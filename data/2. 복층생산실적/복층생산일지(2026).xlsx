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 codeName="현재_통합_문서"/>
  <mc:AlternateContent xmlns:mc="http://schemas.openxmlformats.org/markup-compatibility/2006">
    <mc:Choice Requires="x15">
      <x15ac:absPath xmlns:x15ac="http://schemas.microsoft.com/office/spreadsheetml/2010/11/ac" url="N:\공유\공유받은\_동일유리(주) CLOUD\2. 부서별폴더\A00. 생산.생산관리\A00. 오창공장\A12. 생산_복층\"/>
    </mc:Choice>
  </mc:AlternateContent>
  <xr:revisionPtr revIDLastSave="0" documentId="13_ncr:1_{52552346-2851-44F3-A7CB-D206E4ADEF37}" xr6:coauthVersionLast="36" xr6:coauthVersionMax="36" xr10:uidLastSave="{00000000-0000-0000-0000-000000000000}"/>
  <bookViews>
    <workbookView xWindow="90" yWindow="0" windowWidth="25200" windowHeight="11280" tabRatio="866" firstSheet="87" activeTab="101" xr2:uid="{00000000-000D-0000-FFFF-FFFF00000000}"/>
  </bookViews>
  <sheets>
    <sheet name="1월  2일" sheetId="1129" r:id="rId1"/>
    <sheet name="1월  3일" sheetId="1130" r:id="rId2"/>
    <sheet name="1월  5일" sheetId="1131" r:id="rId3"/>
    <sheet name="1월  6일" sheetId="1132" r:id="rId4"/>
    <sheet name="1월  7일" sheetId="1133" r:id="rId5"/>
    <sheet name="1월  8일" sheetId="1134" r:id="rId6"/>
    <sheet name="1월  9일" sheetId="1135" r:id="rId7"/>
    <sheet name="1월  10일" sheetId="1136" r:id="rId8"/>
    <sheet name="1월  12일" sheetId="1137" r:id="rId9"/>
    <sheet name="1월  13일" sheetId="1138" r:id="rId10"/>
    <sheet name="1월  14일" sheetId="1139" r:id="rId11"/>
    <sheet name="1월  15일" sheetId="1140" r:id="rId12"/>
    <sheet name="1월  16일" sheetId="1141" r:id="rId13"/>
    <sheet name="1월  17일" sheetId="1142" r:id="rId14"/>
    <sheet name="1월  19일" sheetId="1143" r:id="rId15"/>
    <sheet name="1월  20일" sheetId="1144" r:id="rId16"/>
    <sheet name="1월  21일" sheetId="1145" r:id="rId17"/>
    <sheet name="1월  22일" sheetId="1146" r:id="rId18"/>
    <sheet name="1월  23일" sheetId="1147" r:id="rId19"/>
    <sheet name="1월  24일" sheetId="1148" r:id="rId20"/>
    <sheet name="1월  26일" sheetId="1149" r:id="rId21"/>
    <sheet name="1월  27일" sheetId="1150" r:id="rId22"/>
    <sheet name="1월  28일" sheetId="1151" r:id="rId23"/>
    <sheet name="1월  29일" sheetId="1152" r:id="rId24"/>
    <sheet name="1월  30일" sheetId="1153" r:id="rId25"/>
    <sheet name="1월  31일" sheetId="1154" r:id="rId26"/>
    <sheet name="2월  2일" sheetId="1155" r:id="rId27"/>
    <sheet name="2월  3일" sheetId="1156" r:id="rId28"/>
    <sheet name="2월 4일" sheetId="1157" r:id="rId29"/>
    <sheet name="2월  5일" sheetId="1158" r:id="rId30"/>
    <sheet name="2월  6일" sheetId="1159" r:id="rId31"/>
    <sheet name="2월  7일 " sheetId="1160" r:id="rId32"/>
    <sheet name="2월  9일" sheetId="1161" r:id="rId33"/>
    <sheet name="2월  10일" sheetId="1162" r:id="rId34"/>
    <sheet name="2월  11일" sheetId="1163" r:id="rId35"/>
    <sheet name="2월  12일" sheetId="1164" r:id="rId36"/>
    <sheet name="2월  13일" sheetId="1165" r:id="rId37"/>
    <sheet name="2월  19일" sheetId="1166" r:id="rId38"/>
    <sheet name="2월  20일" sheetId="1167" r:id="rId39"/>
    <sheet name="2월  23일" sheetId="1168" r:id="rId40"/>
    <sheet name="2월  24일" sheetId="1169" r:id="rId41"/>
    <sheet name="2월  25일" sheetId="1170" r:id="rId42"/>
    <sheet name="2월  26일" sheetId="1171" r:id="rId43"/>
    <sheet name="2월  27일" sheetId="1172" r:id="rId44"/>
    <sheet name="3월  3일" sheetId="1173" r:id="rId45"/>
    <sheet name="3월  4일" sheetId="1174" r:id="rId46"/>
    <sheet name="3월  5일" sheetId="1175" r:id="rId47"/>
    <sheet name="3월  6일" sheetId="1176" r:id="rId48"/>
    <sheet name="3월  9일" sheetId="1177" r:id="rId49"/>
    <sheet name="3월  10일" sheetId="1178" r:id="rId50"/>
    <sheet name="3월  11일" sheetId="1179" r:id="rId51"/>
    <sheet name="3월  12일" sheetId="1180" r:id="rId52"/>
    <sheet name="3월  13일" sheetId="1181" r:id="rId53"/>
    <sheet name="3월  16일" sheetId="1182" r:id="rId54"/>
    <sheet name="3월  17일" sheetId="1184" r:id="rId55"/>
    <sheet name="3월  18일" sheetId="1185" r:id="rId56"/>
    <sheet name="3월  19일" sheetId="1186" r:id="rId57"/>
    <sheet name="3월  20일" sheetId="1187" r:id="rId58"/>
    <sheet name="3월  23일" sheetId="1188" r:id="rId59"/>
    <sheet name="3월  24일" sheetId="1189" r:id="rId60"/>
    <sheet name="3월  25일" sheetId="1190" r:id="rId61"/>
    <sheet name="3월  26일" sheetId="1191" r:id="rId62"/>
    <sheet name="3월  27일" sheetId="1192" r:id="rId63"/>
    <sheet name="3월  30일" sheetId="1193" r:id="rId64"/>
    <sheet name="3월  31일" sheetId="1194" r:id="rId65"/>
    <sheet name="4월  01일" sheetId="1195" r:id="rId66"/>
    <sheet name="4월 02일" sheetId="1196" r:id="rId67"/>
    <sheet name="4월  03일" sheetId="1183" r:id="rId68"/>
    <sheet name="4월  6일" sheetId="1197" r:id="rId69"/>
    <sheet name="4월  7일" sheetId="1198" r:id="rId70"/>
    <sheet name="4월  8일" sheetId="1199" r:id="rId71"/>
    <sheet name="4월  9일" sheetId="1200" r:id="rId72"/>
    <sheet name="4월  10일" sheetId="1201" r:id="rId73"/>
    <sheet name="4월  11일" sheetId="1202" r:id="rId74"/>
    <sheet name="4월  13일" sheetId="1203" r:id="rId75"/>
    <sheet name="4월  14일" sheetId="1204" r:id="rId76"/>
    <sheet name="4월  15일" sheetId="1206" r:id="rId77"/>
    <sheet name="4월  16일" sheetId="1207" r:id="rId78"/>
    <sheet name="4월  17일" sheetId="1208" r:id="rId79"/>
    <sheet name="4월  18일" sheetId="1209" r:id="rId80"/>
    <sheet name="4월  20일" sheetId="1210" r:id="rId81"/>
    <sheet name="4월  21일" sheetId="1211" r:id="rId82"/>
    <sheet name="4월  22일" sheetId="1212" r:id="rId83"/>
    <sheet name="4월  23일" sheetId="1213" r:id="rId84"/>
    <sheet name="4월  24일" sheetId="1214" r:id="rId85"/>
    <sheet name="4월  25일" sheetId="1215" r:id="rId86"/>
    <sheet name="4월  27일" sheetId="1216" r:id="rId87"/>
    <sheet name="4월  28일" sheetId="1217" r:id="rId88"/>
    <sheet name="4월  29일" sheetId="1218" r:id="rId89"/>
    <sheet name="4월  30일" sheetId="1219" r:id="rId90"/>
    <sheet name="5월  4일" sheetId="1220" r:id="rId91"/>
    <sheet name="5월  5일" sheetId="1221" r:id="rId92"/>
    <sheet name="5월  6일" sheetId="1222" r:id="rId93"/>
    <sheet name="5월  7일" sheetId="1223" r:id="rId94"/>
    <sheet name="5월  8일" sheetId="1224" r:id="rId95"/>
    <sheet name="5월  9일" sheetId="1225" r:id="rId96"/>
    <sheet name="5월  11일" sheetId="1226" r:id="rId97"/>
    <sheet name="5월  12일" sheetId="1227" r:id="rId98"/>
    <sheet name="5월  13일" sheetId="1228" r:id="rId99"/>
    <sheet name="5월  14일" sheetId="1229" r:id="rId100"/>
    <sheet name="5월  15일" sheetId="1230" r:id="rId101"/>
    <sheet name="5월  16일" sheetId="1231" r:id="rId102"/>
    <sheet name="5월  4일 (13)" sheetId="1232" r:id="rId103"/>
    <sheet name="업체현장명" sheetId="889" r:id="rId104"/>
  </sheets>
  <definedNames>
    <definedName name="_xlnm._FilterDatabase" localSheetId="103" hidden="1">업체현장명!$A$1:$B$120</definedName>
    <definedName name="_xlnm.Print_Area" localSheetId="7">'1월  10일'!$A$1:$L$45</definedName>
    <definedName name="_xlnm.Print_Area" localSheetId="8">'1월  12일'!$A$1:$L$45</definedName>
    <definedName name="_xlnm.Print_Area" localSheetId="9">'1월  13일'!$A$1:$L$45</definedName>
    <definedName name="_xlnm.Print_Area" localSheetId="10">'1월  14일'!$A$1:$L$45</definedName>
    <definedName name="_xlnm.Print_Area" localSheetId="11">'1월  15일'!$A$1:$L$47</definedName>
    <definedName name="_xlnm.Print_Area" localSheetId="12">'1월  16일'!$A$1:$L$45</definedName>
    <definedName name="_xlnm.Print_Area" localSheetId="13">'1월  17일'!$A$1:$L$45</definedName>
    <definedName name="_xlnm.Print_Area" localSheetId="14">'1월  19일'!$A$1:$L$45</definedName>
    <definedName name="_xlnm.Print_Area" localSheetId="15">'1월  20일'!$A$1:$L$45</definedName>
    <definedName name="_xlnm.Print_Area" localSheetId="16">'1월  21일'!$A$1:$L$45</definedName>
    <definedName name="_xlnm.Print_Area" localSheetId="17">'1월  22일'!$A$1:$L$45</definedName>
    <definedName name="_xlnm.Print_Area" localSheetId="18">'1월  23일'!$A$1:$L$48</definedName>
    <definedName name="_xlnm.Print_Area" localSheetId="19">'1월  24일'!$A$1:$L$45</definedName>
    <definedName name="_xlnm.Print_Area" localSheetId="20">'1월  26일'!$A$1:$L$45</definedName>
    <definedName name="_xlnm.Print_Area" localSheetId="21">'1월  27일'!$A$1:$L$45</definedName>
    <definedName name="_xlnm.Print_Area" localSheetId="22">'1월  28일'!$A$1:$L$45</definedName>
    <definedName name="_xlnm.Print_Area" localSheetId="23">'1월  29일'!$A$1:$L$47</definedName>
    <definedName name="_xlnm.Print_Area" localSheetId="0">'1월  2일'!$A$1:$L$51</definedName>
    <definedName name="_xlnm.Print_Area" localSheetId="24">'1월  30일'!$A$1:$L$45</definedName>
    <definedName name="_xlnm.Print_Area" localSheetId="25">'1월  31일'!$A$1:$L$45</definedName>
    <definedName name="_xlnm.Print_Area" localSheetId="1">'1월  3일'!$A$1:$L$45</definedName>
    <definedName name="_xlnm.Print_Area" localSheetId="2">'1월  5일'!$A$1:$L$45</definedName>
    <definedName name="_xlnm.Print_Area" localSheetId="3">'1월  6일'!$A$1:$L$45</definedName>
    <definedName name="_xlnm.Print_Area" localSheetId="4">'1월  7일'!$A$1:$L$45</definedName>
    <definedName name="_xlnm.Print_Area" localSheetId="5">'1월  8일'!$A$1:$L$45</definedName>
    <definedName name="_xlnm.Print_Area" localSheetId="6">'1월  9일'!$A$1:$L$45</definedName>
    <definedName name="_xlnm.Print_Area" localSheetId="33">'2월  10일'!$A$1:$L$45</definedName>
    <definedName name="_xlnm.Print_Area" localSheetId="34">'2월  11일'!$A$1:$L$45</definedName>
    <definedName name="_xlnm.Print_Area" localSheetId="35">'2월  12일'!$A$1:$L$45</definedName>
    <definedName name="_xlnm.Print_Area" localSheetId="36">'2월  13일'!$A$1:$L$45</definedName>
    <definedName name="_xlnm.Print_Area" localSheetId="37">'2월  19일'!$A$1:$L$45</definedName>
    <definedName name="_xlnm.Print_Area" localSheetId="38">'2월  20일'!$A$1:$L$45</definedName>
    <definedName name="_xlnm.Print_Area" localSheetId="39">'2월  23일'!$A$1:$L$45</definedName>
    <definedName name="_xlnm.Print_Area" localSheetId="40">'2월  24일'!$A$1:$L$45</definedName>
    <definedName name="_xlnm.Print_Area" localSheetId="41">'2월  25일'!$A$1:$L$45</definedName>
    <definedName name="_xlnm.Print_Area" localSheetId="42">'2월  26일'!$A$1:$L$45</definedName>
    <definedName name="_xlnm.Print_Area" localSheetId="43">'2월  27일'!$A$1:$L$45</definedName>
    <definedName name="_xlnm.Print_Area" localSheetId="26">'2월  2일'!$A$1:$L$45</definedName>
    <definedName name="_xlnm.Print_Area" localSheetId="27">'2월  3일'!$A$1:$L$45</definedName>
    <definedName name="_xlnm.Print_Area" localSheetId="29">'2월  5일'!$A$1:$L$45</definedName>
    <definedName name="_xlnm.Print_Area" localSheetId="30">'2월  6일'!$A$1:$L$45</definedName>
    <definedName name="_xlnm.Print_Area" localSheetId="31">'2월  7일 '!$A$1:$L$45</definedName>
    <definedName name="_xlnm.Print_Area" localSheetId="32">'2월  9일'!$A$1:$L$45</definedName>
    <definedName name="_xlnm.Print_Area" localSheetId="28">'2월 4일'!$A$1:$L$45</definedName>
    <definedName name="_xlnm.Print_Area" localSheetId="49">'3월  10일'!$A$1:$L$45</definedName>
    <definedName name="_xlnm.Print_Area" localSheetId="50">'3월  11일'!$A$1:$L$45</definedName>
    <definedName name="_xlnm.Print_Area" localSheetId="51">'3월  12일'!$A$1:$L$45</definedName>
    <definedName name="_xlnm.Print_Area" localSheetId="52">'3월  13일'!$A$1:$L$45</definedName>
    <definedName name="_xlnm.Print_Area" localSheetId="53">'3월  16일'!$A$1:$L$45</definedName>
    <definedName name="_xlnm.Print_Area" localSheetId="54">'3월  17일'!$A$1:$L$45</definedName>
    <definedName name="_xlnm.Print_Area" localSheetId="55">'3월  18일'!$A$1:$L$45</definedName>
    <definedName name="_xlnm.Print_Area" localSheetId="56">'3월  19일'!$A$1:$L$45</definedName>
    <definedName name="_xlnm.Print_Area" localSheetId="57">'3월  20일'!$A$1:$L$45</definedName>
    <definedName name="_xlnm.Print_Area" localSheetId="58">'3월  23일'!$A$1:$L$45</definedName>
    <definedName name="_xlnm.Print_Area" localSheetId="59">'3월  24일'!$A$1:$L$45</definedName>
    <definedName name="_xlnm.Print_Area" localSheetId="60">'3월  25일'!$A$1:$L$45</definedName>
    <definedName name="_xlnm.Print_Area" localSheetId="61">'3월  26일'!$A$1:$L$45</definedName>
    <definedName name="_xlnm.Print_Area" localSheetId="62">'3월  27일'!$A$1:$L$45</definedName>
    <definedName name="_xlnm.Print_Area" localSheetId="63">'3월  30일'!$A$1:$L$45</definedName>
    <definedName name="_xlnm.Print_Area" localSheetId="64">'3월  31일'!$A$1:$L$45</definedName>
    <definedName name="_xlnm.Print_Area" localSheetId="44">'3월  3일'!$A$1:$L$45</definedName>
    <definedName name="_xlnm.Print_Area" localSheetId="45">'3월  4일'!$A$1:$L$45</definedName>
    <definedName name="_xlnm.Print_Area" localSheetId="46">'3월  5일'!$A$1:$L$45</definedName>
    <definedName name="_xlnm.Print_Area" localSheetId="47">'3월  6일'!$A$1:$L$45</definedName>
    <definedName name="_xlnm.Print_Area" localSheetId="48">'3월  9일'!$A$1:$L$45</definedName>
    <definedName name="_xlnm.Print_Area" localSheetId="65">'4월  01일'!$A$1:$L$45</definedName>
    <definedName name="_xlnm.Print_Area" localSheetId="67">'4월  03일'!$A$1:$L$45</definedName>
    <definedName name="_xlnm.Print_Area" localSheetId="72">'4월  10일'!$A$1:$L$45</definedName>
    <definedName name="_xlnm.Print_Area" localSheetId="73">'4월  11일'!$A$1:$L$45</definedName>
    <definedName name="_xlnm.Print_Area" localSheetId="74">'4월  13일'!$A$1:$L$45</definedName>
    <definedName name="_xlnm.Print_Area" localSheetId="75">'4월  14일'!$A$1:$L$45</definedName>
    <definedName name="_xlnm.Print_Area" localSheetId="76">'4월  15일'!$A$1:$L$45</definedName>
    <definedName name="_xlnm.Print_Area" localSheetId="77">'4월  16일'!$A$1:$L$49</definedName>
    <definedName name="_xlnm.Print_Area" localSheetId="78">'4월  17일'!$A$1:$L$47</definedName>
    <definedName name="_xlnm.Print_Area" localSheetId="79">'4월  18일'!$A$1:$L$45</definedName>
    <definedName name="_xlnm.Print_Area" localSheetId="80">'4월  20일'!$A$1:$L$45</definedName>
    <definedName name="_xlnm.Print_Area" localSheetId="81">'4월  21일'!$A$1:$L$45</definedName>
    <definedName name="_xlnm.Print_Area" localSheetId="82">'4월  22일'!$A$1:$L$56</definedName>
    <definedName name="_xlnm.Print_Area" localSheetId="83">'4월  23일'!$A$1:$L$45</definedName>
    <definedName name="_xlnm.Print_Area" localSheetId="84">'4월  24일'!$A$1:$L$45</definedName>
    <definedName name="_xlnm.Print_Area" localSheetId="85">'4월  25일'!$A$1:$L$45</definedName>
    <definedName name="_xlnm.Print_Area" localSheetId="86">'4월  27일'!$A$1:$L$45</definedName>
    <definedName name="_xlnm.Print_Area" localSheetId="87">'4월  28일'!$A$1:$L$45</definedName>
    <definedName name="_xlnm.Print_Area" localSheetId="88">'4월  29일'!$A$1:$L$47</definedName>
    <definedName name="_xlnm.Print_Area" localSheetId="89">'4월  30일'!$A$1:$L$45</definedName>
    <definedName name="_xlnm.Print_Area" localSheetId="68">'4월  6일'!$A$1:$L$45</definedName>
    <definedName name="_xlnm.Print_Area" localSheetId="69">'4월  7일'!$A$1:$L$45</definedName>
    <definedName name="_xlnm.Print_Area" localSheetId="70">'4월  8일'!$A$1:$L$45</definedName>
    <definedName name="_xlnm.Print_Area" localSheetId="71">'4월  9일'!$A$1:$L$45</definedName>
    <definedName name="_xlnm.Print_Area" localSheetId="66">'4월 02일'!$A$1:$L$45</definedName>
    <definedName name="_xlnm.Print_Area" localSheetId="96">'5월  11일'!$A$1:$L$45</definedName>
    <definedName name="_xlnm.Print_Area" localSheetId="97">'5월  12일'!$A$1:$L$45</definedName>
    <definedName name="_xlnm.Print_Area" localSheetId="98">'5월  13일'!$A$1:$L$45</definedName>
    <definedName name="_xlnm.Print_Area" localSheetId="99">'5월  14일'!$A$1:$L$45</definedName>
    <definedName name="_xlnm.Print_Area" localSheetId="100">'5월  15일'!$A$1:$L$45</definedName>
    <definedName name="_xlnm.Print_Area" localSheetId="101">'5월  16일'!$A$1:$L$45</definedName>
    <definedName name="_xlnm.Print_Area" localSheetId="90">'5월  4일'!$A$1:$L$45</definedName>
    <definedName name="_xlnm.Print_Area" localSheetId="102">'5월  4일 (13)'!$A$1:$L$45</definedName>
    <definedName name="_xlnm.Print_Area" localSheetId="91">'5월  5일'!$A$1:$L$45</definedName>
    <definedName name="_xlnm.Print_Area" localSheetId="92">'5월  6일'!$A$1:$L$45</definedName>
    <definedName name="_xlnm.Print_Area" localSheetId="93">'5월  7일'!$A$1:$L$45</definedName>
    <definedName name="_xlnm.Print_Area" localSheetId="94">'5월  8일'!$A$1:$L$45</definedName>
    <definedName name="_xlnm.Print_Area" localSheetId="95">'5월  9일'!$A$1:$L$45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25" i="1231" l="1"/>
  <c r="J27" i="1230"/>
  <c r="J17" i="1230"/>
  <c r="J16" i="1230"/>
  <c r="J13" i="1230"/>
  <c r="H44" i="1232"/>
  <c r="E44" i="1232"/>
  <c r="C44" i="1232"/>
  <c r="B44" i="1232"/>
  <c r="A44" i="1232"/>
  <c r="J44" i="1232" s="1"/>
  <c r="J41" i="1232"/>
  <c r="K40" i="1232"/>
  <c r="K39" i="1232"/>
  <c r="K38" i="1232"/>
  <c r="K37" i="1232"/>
  <c r="K36" i="1232"/>
  <c r="K35" i="1232"/>
  <c r="K34" i="1232"/>
  <c r="K33" i="1232"/>
  <c r="K32" i="1232"/>
  <c r="K31" i="1232"/>
  <c r="K30" i="1232"/>
  <c r="K29" i="1232"/>
  <c r="K28" i="1232"/>
  <c r="K27" i="1232"/>
  <c r="K26" i="1232"/>
  <c r="K25" i="1232"/>
  <c r="K41" i="1232" s="1"/>
  <c r="J24" i="1232"/>
  <c r="K23" i="1232"/>
  <c r="K22" i="1232"/>
  <c r="K21" i="1232"/>
  <c r="K20" i="1232"/>
  <c r="K19" i="1232"/>
  <c r="K18" i="1232"/>
  <c r="K17" i="1232"/>
  <c r="K16" i="1232"/>
  <c r="K15" i="1232"/>
  <c r="K14" i="1232"/>
  <c r="K13" i="1232"/>
  <c r="K12" i="1232"/>
  <c r="K11" i="1232"/>
  <c r="K10" i="1232"/>
  <c r="K9" i="1232"/>
  <c r="K8" i="1232"/>
  <c r="K24" i="1232" s="1"/>
  <c r="H44" i="1231"/>
  <c r="E44" i="1231"/>
  <c r="C44" i="1231"/>
  <c r="B44" i="1231"/>
  <c r="A44" i="1231"/>
  <c r="J41" i="1231"/>
  <c r="K40" i="1231"/>
  <c r="K39" i="1231"/>
  <c r="K38" i="1231"/>
  <c r="K37" i="1231"/>
  <c r="K36" i="1231"/>
  <c r="K35" i="1231"/>
  <c r="K34" i="1231"/>
  <c r="K33" i="1231"/>
  <c r="K32" i="1231"/>
  <c r="K31" i="1231"/>
  <c r="K30" i="1231"/>
  <c r="K29" i="1231"/>
  <c r="K28" i="1231"/>
  <c r="K27" i="1231"/>
  <c r="K26" i="1231"/>
  <c r="K25" i="1231"/>
  <c r="J24" i="1231"/>
  <c r="K23" i="1231"/>
  <c r="K22" i="1231"/>
  <c r="K21" i="1231"/>
  <c r="K20" i="1231"/>
  <c r="K19" i="1231"/>
  <c r="K18" i="1231"/>
  <c r="K17" i="1231"/>
  <c r="K16" i="1231"/>
  <c r="K15" i="1231"/>
  <c r="K14" i="1231"/>
  <c r="K13" i="1231"/>
  <c r="K12" i="1231"/>
  <c r="K11" i="1231"/>
  <c r="K10" i="1231"/>
  <c r="K9" i="1231"/>
  <c r="K8" i="1231"/>
  <c r="H44" i="1230"/>
  <c r="C44" i="1230"/>
  <c r="B44" i="1230"/>
  <c r="A44" i="1230"/>
  <c r="J41" i="1230"/>
  <c r="K40" i="1230"/>
  <c r="K39" i="1230"/>
  <c r="K37" i="1230"/>
  <c r="K36" i="1230"/>
  <c r="K35" i="1230"/>
  <c r="K34" i="1230"/>
  <c r="K33" i="1230"/>
  <c r="K32" i="1230"/>
  <c r="K31" i="1230"/>
  <c r="K30" i="1230"/>
  <c r="K29" i="1230"/>
  <c r="K28" i="1230"/>
  <c r="K27" i="1230"/>
  <c r="K26" i="1230"/>
  <c r="K25" i="1230"/>
  <c r="K24" i="1230"/>
  <c r="J23" i="1230"/>
  <c r="K22" i="1230"/>
  <c r="K21" i="1230"/>
  <c r="K20" i="1230"/>
  <c r="K38" i="1230"/>
  <c r="K19" i="1230"/>
  <c r="K18" i="1230"/>
  <c r="K17" i="1230"/>
  <c r="K16" i="1230"/>
  <c r="K15" i="1230"/>
  <c r="K14" i="1230"/>
  <c r="K13" i="1230"/>
  <c r="K12" i="1230"/>
  <c r="K11" i="1230"/>
  <c r="K10" i="1230"/>
  <c r="K9" i="1230"/>
  <c r="K8" i="1230"/>
  <c r="H44" i="1229"/>
  <c r="E44" i="1229"/>
  <c r="C44" i="1229"/>
  <c r="B44" i="1229"/>
  <c r="A44" i="1229"/>
  <c r="J41" i="1229"/>
  <c r="K40" i="1229"/>
  <c r="K39" i="1229"/>
  <c r="K38" i="1229"/>
  <c r="K37" i="1229"/>
  <c r="K36" i="1229"/>
  <c r="K35" i="1229"/>
  <c r="K34" i="1229"/>
  <c r="K33" i="1229"/>
  <c r="K32" i="1229"/>
  <c r="K31" i="1229"/>
  <c r="K30" i="1229"/>
  <c r="K29" i="1229"/>
  <c r="K28" i="1229"/>
  <c r="K27" i="1229"/>
  <c r="K26" i="1229"/>
  <c r="K25" i="1229"/>
  <c r="K41" i="1229" s="1"/>
  <c r="J24" i="1229"/>
  <c r="K23" i="1229"/>
  <c r="K22" i="1229"/>
  <c r="K21" i="1229"/>
  <c r="K20" i="1229"/>
  <c r="K19" i="1229"/>
  <c r="K18" i="1229"/>
  <c r="K17" i="1229"/>
  <c r="K16" i="1229"/>
  <c r="K15" i="1229"/>
  <c r="K14" i="1229"/>
  <c r="K13" i="1229"/>
  <c r="K12" i="1229"/>
  <c r="K11" i="1229"/>
  <c r="K10" i="1229"/>
  <c r="K9" i="1229"/>
  <c r="K8" i="1229"/>
  <c r="K41" i="1231" l="1"/>
  <c r="K24" i="1231"/>
  <c r="J44" i="1231"/>
  <c r="K41" i="1230"/>
  <c r="E44" i="1230"/>
  <c r="J44" i="1230" s="1"/>
  <c r="K23" i="1230"/>
  <c r="K24" i="1229"/>
  <c r="J44" i="1229"/>
  <c r="H44" i="1228"/>
  <c r="E44" i="1228"/>
  <c r="C44" i="1228"/>
  <c r="B44" i="1228"/>
  <c r="A44" i="1228"/>
  <c r="J41" i="1228"/>
  <c r="K40" i="1228"/>
  <c r="K39" i="1228"/>
  <c r="K38" i="1228"/>
  <c r="K37" i="1228"/>
  <c r="K36" i="1228"/>
  <c r="K35" i="1228"/>
  <c r="K34" i="1228"/>
  <c r="K33" i="1228"/>
  <c r="K32" i="1228"/>
  <c r="K31" i="1228"/>
  <c r="K30" i="1228"/>
  <c r="K29" i="1228"/>
  <c r="K28" i="1228"/>
  <c r="K27" i="1228"/>
  <c r="K26" i="1228"/>
  <c r="K25" i="1228"/>
  <c r="K41" i="1228" s="1"/>
  <c r="J24" i="1228"/>
  <c r="K23" i="1228"/>
  <c r="K22" i="1228"/>
  <c r="K21" i="1228"/>
  <c r="K20" i="1228"/>
  <c r="K19" i="1228"/>
  <c r="K18" i="1228"/>
  <c r="K17" i="1228"/>
  <c r="K16" i="1228"/>
  <c r="K15" i="1228"/>
  <c r="K14" i="1228"/>
  <c r="K13" i="1228"/>
  <c r="K12" i="1228"/>
  <c r="K11" i="1228"/>
  <c r="K10" i="1228"/>
  <c r="K9" i="1228"/>
  <c r="K8" i="1228"/>
  <c r="H44" i="1227"/>
  <c r="E44" i="1227"/>
  <c r="C44" i="1227"/>
  <c r="B44" i="1227"/>
  <c r="A44" i="1227"/>
  <c r="J41" i="1227"/>
  <c r="K40" i="1227"/>
  <c r="K39" i="1227"/>
  <c r="K38" i="1227"/>
  <c r="K37" i="1227"/>
  <c r="K36" i="1227"/>
  <c r="K35" i="1227"/>
  <c r="K34" i="1227"/>
  <c r="K33" i="1227"/>
  <c r="K32" i="1227"/>
  <c r="K31" i="1227"/>
  <c r="K30" i="1227"/>
  <c r="K29" i="1227"/>
  <c r="K28" i="1227"/>
  <c r="K27" i="1227"/>
  <c r="K26" i="1227"/>
  <c r="K25" i="1227"/>
  <c r="J24" i="1227"/>
  <c r="K23" i="1227"/>
  <c r="K22" i="1227"/>
  <c r="K21" i="1227"/>
  <c r="K20" i="1227"/>
  <c r="K19" i="1227"/>
  <c r="K18" i="1227"/>
  <c r="K17" i="1227"/>
  <c r="K16" i="1227"/>
  <c r="K15" i="1227"/>
  <c r="K14" i="1227"/>
  <c r="K13" i="1227"/>
  <c r="K12" i="1227"/>
  <c r="K11" i="1227"/>
  <c r="K10" i="1227"/>
  <c r="K9" i="1227"/>
  <c r="K8" i="1227"/>
  <c r="K24" i="1228" l="1"/>
  <c r="J44" i="1228"/>
  <c r="K41" i="1227"/>
  <c r="K24" i="1227"/>
  <c r="J44" i="1227"/>
  <c r="H44" i="1226"/>
  <c r="E44" i="1226"/>
  <c r="C44" i="1226"/>
  <c r="B44" i="1226"/>
  <c r="A44" i="1226"/>
  <c r="J41" i="1226"/>
  <c r="K40" i="1226"/>
  <c r="K39" i="1226"/>
  <c r="K38" i="1226"/>
  <c r="K37" i="1226"/>
  <c r="K36" i="1226"/>
  <c r="K35" i="1226"/>
  <c r="K34" i="1226"/>
  <c r="K33" i="1226"/>
  <c r="K32" i="1226"/>
  <c r="K31" i="1226"/>
  <c r="K30" i="1226"/>
  <c r="K29" i="1226"/>
  <c r="K28" i="1226"/>
  <c r="K27" i="1226"/>
  <c r="K26" i="1226"/>
  <c r="K25" i="1226"/>
  <c r="K41" i="1226" s="1"/>
  <c r="J24" i="1226"/>
  <c r="K23" i="1226"/>
  <c r="K22" i="1226"/>
  <c r="K21" i="1226"/>
  <c r="K20" i="1226"/>
  <c r="K19" i="1226"/>
  <c r="K18" i="1226"/>
  <c r="K17" i="1226"/>
  <c r="K16" i="1226"/>
  <c r="K15" i="1226"/>
  <c r="K14" i="1226"/>
  <c r="K13" i="1226"/>
  <c r="K12" i="1226"/>
  <c r="K11" i="1226"/>
  <c r="K10" i="1226"/>
  <c r="K9" i="1226"/>
  <c r="K8" i="1226"/>
  <c r="H44" i="1225"/>
  <c r="E44" i="1225"/>
  <c r="C44" i="1225"/>
  <c r="B44" i="1225"/>
  <c r="A44" i="1225"/>
  <c r="J41" i="1225"/>
  <c r="K40" i="1225"/>
  <c r="K39" i="1225"/>
  <c r="K38" i="1225"/>
  <c r="K37" i="1225"/>
  <c r="K36" i="1225"/>
  <c r="K35" i="1225"/>
  <c r="K34" i="1225"/>
  <c r="K33" i="1225"/>
  <c r="K32" i="1225"/>
  <c r="K31" i="1225"/>
  <c r="K30" i="1225"/>
  <c r="K29" i="1225"/>
  <c r="K28" i="1225"/>
  <c r="K27" i="1225"/>
  <c r="K26" i="1225"/>
  <c r="K25" i="1225"/>
  <c r="K41" i="1225" s="1"/>
  <c r="J24" i="1225"/>
  <c r="K23" i="1225"/>
  <c r="K22" i="1225"/>
  <c r="K21" i="1225"/>
  <c r="K20" i="1225"/>
  <c r="K19" i="1225"/>
  <c r="K18" i="1225"/>
  <c r="K17" i="1225"/>
  <c r="K16" i="1225"/>
  <c r="K15" i="1225"/>
  <c r="K14" i="1225"/>
  <c r="K13" i="1225"/>
  <c r="K12" i="1225"/>
  <c r="K11" i="1225"/>
  <c r="K10" i="1225"/>
  <c r="K9" i="1225"/>
  <c r="K8" i="1225"/>
  <c r="J37" i="1223"/>
  <c r="J30" i="1223"/>
  <c r="K41" i="1222"/>
  <c r="J41" i="1222"/>
  <c r="K19" i="1222"/>
  <c r="J19" i="1222"/>
  <c r="H44" i="1224"/>
  <c r="E44" i="1224"/>
  <c r="C44" i="1224"/>
  <c r="B44" i="1224"/>
  <c r="A44" i="1224"/>
  <c r="J41" i="1224"/>
  <c r="K40" i="1224"/>
  <c r="K39" i="1224"/>
  <c r="K38" i="1224"/>
  <c r="K37" i="1224"/>
  <c r="K36" i="1224"/>
  <c r="K35" i="1224"/>
  <c r="K34" i="1224"/>
  <c r="K33" i="1224"/>
  <c r="K32" i="1224"/>
  <c r="K31" i="1224"/>
  <c r="K30" i="1224"/>
  <c r="K29" i="1224"/>
  <c r="K28" i="1224"/>
  <c r="K27" i="1224"/>
  <c r="K26" i="1224"/>
  <c r="K25" i="1224"/>
  <c r="J24" i="1224"/>
  <c r="K23" i="1224"/>
  <c r="K22" i="1224"/>
  <c r="K21" i="1224"/>
  <c r="K20" i="1224"/>
  <c r="K19" i="1224"/>
  <c r="K18" i="1224"/>
  <c r="K17" i="1224"/>
  <c r="K16" i="1224"/>
  <c r="K15" i="1224"/>
  <c r="K14" i="1224"/>
  <c r="K13" i="1224"/>
  <c r="K12" i="1224"/>
  <c r="K11" i="1224"/>
  <c r="K10" i="1224"/>
  <c r="K9" i="1224"/>
  <c r="K8" i="1224"/>
  <c r="J22" i="1222"/>
  <c r="H44" i="1223"/>
  <c r="E44" i="1223"/>
  <c r="C44" i="1223"/>
  <c r="B44" i="1223"/>
  <c r="A44" i="1223"/>
  <c r="J41" i="1223"/>
  <c r="K40" i="1223"/>
  <c r="K39" i="1223"/>
  <c r="K36" i="1223"/>
  <c r="K35" i="1223"/>
  <c r="K34" i="1223"/>
  <c r="K33" i="1223"/>
  <c r="K32" i="1223"/>
  <c r="K31" i="1223"/>
  <c r="K30" i="1223"/>
  <c r="K29" i="1223"/>
  <c r="K28" i="1223"/>
  <c r="K27" i="1223"/>
  <c r="K26" i="1223"/>
  <c r="K25" i="1223"/>
  <c r="K24" i="1223"/>
  <c r="K23" i="1223"/>
  <c r="J22" i="1223"/>
  <c r="K21" i="1223"/>
  <c r="K20" i="1223"/>
  <c r="K19" i="1223"/>
  <c r="K18" i="1223"/>
  <c r="K17" i="1223"/>
  <c r="K16" i="1223"/>
  <c r="K15" i="1223"/>
  <c r="K38" i="1223"/>
  <c r="K37" i="1223"/>
  <c r="K14" i="1223"/>
  <c r="K13" i="1223"/>
  <c r="K12" i="1223"/>
  <c r="K11" i="1223"/>
  <c r="K10" i="1223"/>
  <c r="K9" i="1223"/>
  <c r="K8" i="1223"/>
  <c r="J9" i="1221"/>
  <c r="K24" i="1226" l="1"/>
  <c r="J44" i="1226"/>
  <c r="K24" i="1225"/>
  <c r="J44" i="1225"/>
  <c r="K41" i="1224"/>
  <c r="K24" i="1224"/>
  <c r="J44" i="1224"/>
  <c r="K41" i="1223"/>
  <c r="K22" i="1223"/>
  <c r="J44" i="1223"/>
  <c r="H44" i="1222"/>
  <c r="E44" i="1222"/>
  <c r="C44" i="1222"/>
  <c r="B44" i="1222"/>
  <c r="A44" i="1222"/>
  <c r="K40" i="1222"/>
  <c r="K39" i="1222"/>
  <c r="K38" i="1222"/>
  <c r="K37" i="1222"/>
  <c r="K36" i="1222"/>
  <c r="K35" i="1222"/>
  <c r="K34" i="1222"/>
  <c r="K33" i="1222"/>
  <c r="K15" i="1222"/>
  <c r="K14" i="1222"/>
  <c r="K13" i="1222"/>
  <c r="K12" i="1222"/>
  <c r="K11" i="1222"/>
  <c r="K10" i="1222"/>
  <c r="K9" i="1222"/>
  <c r="K8" i="1222"/>
  <c r="K18" i="1222"/>
  <c r="K17" i="1222"/>
  <c r="K16" i="1222"/>
  <c r="K32" i="1222"/>
  <c r="K31" i="1222"/>
  <c r="K30" i="1222"/>
  <c r="K29" i="1222"/>
  <c r="K28" i="1222"/>
  <c r="K27" i="1222"/>
  <c r="K26" i="1222"/>
  <c r="K25" i="1222"/>
  <c r="K24" i="1222"/>
  <c r="K23" i="1222"/>
  <c r="K22" i="1222"/>
  <c r="K21" i="1222"/>
  <c r="K20" i="1222"/>
  <c r="H44" i="1221"/>
  <c r="E44" i="1221"/>
  <c r="C44" i="1221"/>
  <c r="B44" i="1221"/>
  <c r="A44" i="1221"/>
  <c r="J41" i="1221"/>
  <c r="K40" i="1221"/>
  <c r="K39" i="1221"/>
  <c r="K38" i="1221"/>
  <c r="K37" i="1221"/>
  <c r="K36" i="1221"/>
  <c r="K35" i="1221"/>
  <c r="K34" i="1221"/>
  <c r="K33" i="1221"/>
  <c r="K32" i="1221"/>
  <c r="K31" i="1221"/>
  <c r="K30" i="1221"/>
  <c r="K29" i="1221"/>
  <c r="K28" i="1221"/>
  <c r="K27" i="1221"/>
  <c r="K26" i="1221"/>
  <c r="K25" i="1221"/>
  <c r="J24" i="1221"/>
  <c r="K23" i="1221"/>
  <c r="K22" i="1221"/>
  <c r="K21" i="1221"/>
  <c r="K20" i="1221"/>
  <c r="K19" i="1221"/>
  <c r="K18" i="1221"/>
  <c r="K17" i="1221"/>
  <c r="K16" i="1221"/>
  <c r="K15" i="1221"/>
  <c r="K14" i="1221"/>
  <c r="K13" i="1221"/>
  <c r="K12" i="1221"/>
  <c r="K11" i="1221"/>
  <c r="K10" i="1221"/>
  <c r="K9" i="1221"/>
  <c r="K8" i="1221"/>
  <c r="J44" i="1222" l="1"/>
  <c r="K41" i="1221"/>
  <c r="K24" i="1221"/>
  <c r="J44" i="1221"/>
  <c r="J41" i="1219"/>
  <c r="J20" i="1219" l="1"/>
  <c r="J16" i="1219"/>
  <c r="H44" i="1220" l="1"/>
  <c r="E44" i="1220"/>
  <c r="C44" i="1220"/>
  <c r="B44" i="1220"/>
  <c r="A44" i="1220"/>
  <c r="J41" i="1220"/>
  <c r="K40" i="1220"/>
  <c r="K39" i="1220"/>
  <c r="K38" i="1220"/>
  <c r="K37" i="1220"/>
  <c r="K36" i="1220"/>
  <c r="K35" i="1220"/>
  <c r="K34" i="1220"/>
  <c r="K33" i="1220"/>
  <c r="K32" i="1220"/>
  <c r="K31" i="1220"/>
  <c r="K30" i="1220"/>
  <c r="K29" i="1220"/>
  <c r="K28" i="1220"/>
  <c r="K27" i="1220"/>
  <c r="K26" i="1220"/>
  <c r="K25" i="1220"/>
  <c r="K41" i="1220" s="1"/>
  <c r="J24" i="1220"/>
  <c r="K23" i="1220"/>
  <c r="K22" i="1220"/>
  <c r="K21" i="1220"/>
  <c r="K20" i="1220"/>
  <c r="K19" i="1220"/>
  <c r="K18" i="1220"/>
  <c r="K17" i="1220"/>
  <c r="K16" i="1220"/>
  <c r="K15" i="1220"/>
  <c r="K14" i="1220"/>
  <c r="K13" i="1220"/>
  <c r="K12" i="1220"/>
  <c r="K11" i="1220"/>
  <c r="K10" i="1220"/>
  <c r="K9" i="1220"/>
  <c r="K8" i="1220"/>
  <c r="J38" i="1218"/>
  <c r="K33" i="1218"/>
  <c r="K32" i="1218"/>
  <c r="K31" i="1218"/>
  <c r="K30" i="1218"/>
  <c r="K29" i="1218"/>
  <c r="K28" i="1218"/>
  <c r="K27" i="1218"/>
  <c r="K26" i="1218"/>
  <c r="K25" i="1218"/>
  <c r="K24" i="1218"/>
  <c r="K23" i="1218"/>
  <c r="K22" i="1218"/>
  <c r="K21" i="1218"/>
  <c r="H44" i="1219"/>
  <c r="E44" i="1219"/>
  <c r="C44" i="1219"/>
  <c r="B44" i="1219"/>
  <c r="A44" i="1219"/>
  <c r="K36" i="1219"/>
  <c r="K35" i="1219"/>
  <c r="K29" i="1219"/>
  <c r="K27" i="1219"/>
  <c r="K26" i="1219"/>
  <c r="K25" i="1219"/>
  <c r="K28" i="1219"/>
  <c r="K24" i="1219"/>
  <c r="K23" i="1219"/>
  <c r="K22" i="1219"/>
  <c r="K21" i="1219"/>
  <c r="K20" i="1219"/>
  <c r="K19" i="1219"/>
  <c r="K18" i="1219"/>
  <c r="K17" i="1219"/>
  <c r="K16" i="1219"/>
  <c r="J15" i="1219"/>
  <c r="K14" i="1219"/>
  <c r="K13" i="1219"/>
  <c r="K40" i="1219"/>
  <c r="K39" i="1219"/>
  <c r="K38" i="1219"/>
  <c r="K37" i="1219"/>
  <c r="K34" i="1219"/>
  <c r="K33" i="1219"/>
  <c r="K32" i="1219"/>
  <c r="K31" i="1219"/>
  <c r="K30" i="1219"/>
  <c r="K12" i="1219"/>
  <c r="K11" i="1219"/>
  <c r="K10" i="1219"/>
  <c r="K9" i="1219"/>
  <c r="K8" i="1219"/>
  <c r="H46" i="1218"/>
  <c r="E46" i="1218"/>
  <c r="C46" i="1218"/>
  <c r="B46" i="1218"/>
  <c r="A46" i="1218"/>
  <c r="J43" i="1218"/>
  <c r="K42" i="1218"/>
  <c r="K41" i="1218"/>
  <c r="K40" i="1218"/>
  <c r="K39" i="1218"/>
  <c r="K38" i="1218"/>
  <c r="K37" i="1218"/>
  <c r="K36" i="1218"/>
  <c r="K35" i="1218"/>
  <c r="J34" i="1218"/>
  <c r="K20" i="1218"/>
  <c r="K19" i="1218"/>
  <c r="K18" i="1218"/>
  <c r="K17" i="1218"/>
  <c r="K16" i="1218"/>
  <c r="K15" i="1218"/>
  <c r="K14" i="1218"/>
  <c r="K13" i="1218"/>
  <c r="K12" i="1218"/>
  <c r="K11" i="1218"/>
  <c r="K10" i="1218"/>
  <c r="K9" i="1218"/>
  <c r="K8" i="1218"/>
  <c r="J39" i="1216"/>
  <c r="J38" i="1216"/>
  <c r="H44" i="1217"/>
  <c r="E44" i="1217"/>
  <c r="C44" i="1217"/>
  <c r="B44" i="1217"/>
  <c r="A44" i="1217"/>
  <c r="J41" i="1217"/>
  <c r="K40" i="1217"/>
  <c r="K39" i="1217"/>
  <c r="K38" i="1217"/>
  <c r="K37" i="1217"/>
  <c r="K36" i="1217"/>
  <c r="K35" i="1217"/>
  <c r="K34" i="1217"/>
  <c r="K33" i="1217"/>
  <c r="K32" i="1217"/>
  <c r="K31" i="1217"/>
  <c r="K30" i="1217"/>
  <c r="K29" i="1217"/>
  <c r="K28" i="1217"/>
  <c r="K27" i="1217"/>
  <c r="K26" i="1217"/>
  <c r="K25" i="1217"/>
  <c r="J24" i="1217"/>
  <c r="K23" i="1217"/>
  <c r="K22" i="1217"/>
  <c r="K21" i="1217"/>
  <c r="K20" i="1217"/>
  <c r="K19" i="1217"/>
  <c r="K18" i="1217"/>
  <c r="K17" i="1217"/>
  <c r="K16" i="1217"/>
  <c r="K15" i="1217"/>
  <c r="K14" i="1217"/>
  <c r="K13" i="1217"/>
  <c r="K12" i="1217"/>
  <c r="K11" i="1217"/>
  <c r="K10" i="1217"/>
  <c r="K9" i="1217"/>
  <c r="K8" i="1217"/>
  <c r="K24" i="1220" l="1"/>
  <c r="J44" i="1220"/>
  <c r="K41" i="1219"/>
  <c r="K15" i="1219"/>
  <c r="J44" i="1219"/>
  <c r="K43" i="1218"/>
  <c r="K34" i="1218"/>
  <c r="J46" i="1218"/>
  <c r="K41" i="1217"/>
  <c r="K24" i="1217"/>
  <c r="J44" i="1217"/>
  <c r="H44" i="1216"/>
  <c r="E44" i="1216"/>
  <c r="C44" i="1216"/>
  <c r="B44" i="1216"/>
  <c r="A44" i="1216"/>
  <c r="J41" i="1216"/>
  <c r="K40" i="1216"/>
  <c r="K39" i="1216"/>
  <c r="K38" i="1216"/>
  <c r="K37" i="1216"/>
  <c r="K36" i="1216"/>
  <c r="K35" i="1216"/>
  <c r="K34" i="1216"/>
  <c r="K33" i="1216"/>
  <c r="K32" i="1216"/>
  <c r="K31" i="1216"/>
  <c r="K30" i="1216"/>
  <c r="K29" i="1216"/>
  <c r="K28" i="1216"/>
  <c r="K27" i="1216"/>
  <c r="K26" i="1216"/>
  <c r="K25" i="1216"/>
  <c r="K41" i="1216" s="1"/>
  <c r="J24" i="1216"/>
  <c r="K23" i="1216"/>
  <c r="K22" i="1216"/>
  <c r="K21" i="1216"/>
  <c r="K20" i="1216"/>
  <c r="K19" i="1216"/>
  <c r="K18" i="1216"/>
  <c r="K17" i="1216"/>
  <c r="K16" i="1216"/>
  <c r="K15" i="1216"/>
  <c r="K14" i="1216"/>
  <c r="K13" i="1216"/>
  <c r="K12" i="1216"/>
  <c r="K11" i="1216"/>
  <c r="K10" i="1216"/>
  <c r="K9" i="1216"/>
  <c r="K8" i="1216"/>
  <c r="H44" i="1215"/>
  <c r="E44" i="1215"/>
  <c r="C44" i="1215"/>
  <c r="B44" i="1215"/>
  <c r="A44" i="1215"/>
  <c r="J41" i="1215"/>
  <c r="K40" i="1215"/>
  <c r="K39" i="1215"/>
  <c r="K38" i="1215"/>
  <c r="K37" i="1215"/>
  <c r="K36" i="1215"/>
  <c r="K35" i="1215"/>
  <c r="K34" i="1215"/>
  <c r="K33" i="1215"/>
  <c r="K32" i="1215"/>
  <c r="K31" i="1215"/>
  <c r="K30" i="1215"/>
  <c r="K29" i="1215"/>
  <c r="K28" i="1215"/>
  <c r="K27" i="1215"/>
  <c r="K26" i="1215"/>
  <c r="K25" i="1215"/>
  <c r="J24" i="1215"/>
  <c r="K23" i="1215"/>
  <c r="K22" i="1215"/>
  <c r="K21" i="1215"/>
  <c r="K20" i="1215"/>
  <c r="K19" i="1215"/>
  <c r="K18" i="1215"/>
  <c r="K17" i="1215"/>
  <c r="K16" i="1215"/>
  <c r="K15" i="1215"/>
  <c r="K14" i="1215"/>
  <c r="K13" i="1215"/>
  <c r="K12" i="1215"/>
  <c r="K11" i="1215"/>
  <c r="K10" i="1215"/>
  <c r="K9" i="1215"/>
  <c r="K8" i="1215"/>
  <c r="J52" i="1212"/>
  <c r="K50" i="1212"/>
  <c r="K49" i="1212"/>
  <c r="K51" i="1212"/>
  <c r="K48" i="1212"/>
  <c r="K47" i="1212"/>
  <c r="K46" i="1212"/>
  <c r="K45" i="1212"/>
  <c r="K44" i="1212"/>
  <c r="K43" i="1212"/>
  <c r="K42" i="1212"/>
  <c r="K41" i="1212"/>
  <c r="J44" i="1216" l="1"/>
  <c r="K24" i="1216"/>
  <c r="K41" i="1215"/>
  <c r="K24" i="1215"/>
  <c r="J44" i="1215"/>
  <c r="H44" i="1214"/>
  <c r="E44" i="1214"/>
  <c r="C44" i="1214"/>
  <c r="B44" i="1214"/>
  <c r="A44" i="1214"/>
  <c r="J41" i="1214"/>
  <c r="K40" i="1214"/>
  <c r="K39" i="1214"/>
  <c r="K38" i="1214"/>
  <c r="K37" i="1214"/>
  <c r="K36" i="1214"/>
  <c r="K35" i="1214"/>
  <c r="K34" i="1214"/>
  <c r="K33" i="1214"/>
  <c r="K32" i="1214"/>
  <c r="K31" i="1214"/>
  <c r="K30" i="1214"/>
  <c r="K29" i="1214"/>
  <c r="K28" i="1214"/>
  <c r="K27" i="1214"/>
  <c r="K26" i="1214"/>
  <c r="K25" i="1214"/>
  <c r="J24" i="1214"/>
  <c r="K23" i="1214"/>
  <c r="K22" i="1214"/>
  <c r="K21" i="1214"/>
  <c r="K20" i="1214"/>
  <c r="K19" i="1214"/>
  <c r="K18" i="1214"/>
  <c r="K17" i="1214"/>
  <c r="K16" i="1214"/>
  <c r="K15" i="1214"/>
  <c r="K14" i="1214"/>
  <c r="K13" i="1214"/>
  <c r="K12" i="1214"/>
  <c r="K11" i="1214"/>
  <c r="K10" i="1214"/>
  <c r="K9" i="1214"/>
  <c r="K8" i="1214"/>
  <c r="H44" i="1213"/>
  <c r="E44" i="1213"/>
  <c r="C44" i="1213"/>
  <c r="B44" i="1213"/>
  <c r="A44" i="1213"/>
  <c r="J41" i="1213"/>
  <c r="K40" i="1213"/>
  <c r="K39" i="1213"/>
  <c r="K38" i="1213"/>
  <c r="K37" i="1213"/>
  <c r="K36" i="1213"/>
  <c r="K35" i="1213"/>
  <c r="K34" i="1213"/>
  <c r="K33" i="1213"/>
  <c r="K32" i="1213"/>
  <c r="K31" i="1213"/>
  <c r="K30" i="1213"/>
  <c r="K29" i="1213"/>
  <c r="K28" i="1213"/>
  <c r="K27" i="1213"/>
  <c r="K26" i="1213"/>
  <c r="K25" i="1213"/>
  <c r="J24" i="1213"/>
  <c r="K23" i="1213"/>
  <c r="K22" i="1213"/>
  <c r="K21" i="1213"/>
  <c r="K20" i="1213"/>
  <c r="K19" i="1213"/>
  <c r="K18" i="1213"/>
  <c r="K17" i="1213"/>
  <c r="K16" i="1213"/>
  <c r="K15" i="1213"/>
  <c r="K14" i="1213"/>
  <c r="K13" i="1213"/>
  <c r="K12" i="1213"/>
  <c r="K11" i="1213"/>
  <c r="K10" i="1213"/>
  <c r="K9" i="1213"/>
  <c r="K8" i="1213"/>
  <c r="K24" i="1213" s="1"/>
  <c r="K41" i="1214" l="1"/>
  <c r="K24" i="1214"/>
  <c r="J44" i="1214"/>
  <c r="K41" i="1213"/>
  <c r="J44" i="1213"/>
  <c r="J32" i="1210"/>
  <c r="J29" i="1210"/>
  <c r="J14" i="1210"/>
  <c r="H55" i="1212" l="1"/>
  <c r="E55" i="1212"/>
  <c r="C55" i="1212"/>
  <c r="B55" i="1212"/>
  <c r="A55" i="1212"/>
  <c r="K40" i="1212"/>
  <c r="K39" i="1212"/>
  <c r="K38" i="1212"/>
  <c r="K37" i="1212"/>
  <c r="K36" i="1212"/>
  <c r="K35" i="1212"/>
  <c r="K34" i="1212"/>
  <c r="K33" i="1212"/>
  <c r="K32" i="1212"/>
  <c r="K31" i="1212"/>
  <c r="K30" i="1212"/>
  <c r="K29" i="1212"/>
  <c r="K24" i="1212"/>
  <c r="K23" i="1212"/>
  <c r="K28" i="1212"/>
  <c r="K27" i="1212"/>
  <c r="J26" i="1212"/>
  <c r="K25" i="1212"/>
  <c r="K22" i="1212"/>
  <c r="K21" i="1212"/>
  <c r="K20" i="1212"/>
  <c r="K19" i="1212"/>
  <c r="K18" i="1212"/>
  <c r="K17" i="1212"/>
  <c r="K16" i="1212"/>
  <c r="K15" i="1212"/>
  <c r="K14" i="1212"/>
  <c r="K13" i="1212"/>
  <c r="K12" i="1212"/>
  <c r="K11" i="1212"/>
  <c r="K10" i="1212"/>
  <c r="K9" i="1212"/>
  <c r="K8" i="1212"/>
  <c r="K26" i="1212" l="1"/>
  <c r="K52" i="1212"/>
  <c r="J55" i="1212"/>
  <c r="J27" i="1209"/>
  <c r="H44" i="1211"/>
  <c r="E44" i="1211"/>
  <c r="C44" i="1211"/>
  <c r="B44" i="1211"/>
  <c r="A44" i="1211"/>
  <c r="J41" i="1211"/>
  <c r="K40" i="1211"/>
  <c r="K39" i="1211"/>
  <c r="K38" i="1211"/>
  <c r="K37" i="1211"/>
  <c r="K33" i="1211"/>
  <c r="K32" i="1211"/>
  <c r="K31" i="1211"/>
  <c r="K30" i="1211"/>
  <c r="K29" i="1211"/>
  <c r="K28" i="1211"/>
  <c r="K27" i="1211"/>
  <c r="K26" i="1211"/>
  <c r="K25" i="1211"/>
  <c r="K24" i="1211"/>
  <c r="K23" i="1211"/>
  <c r="K22" i="1211"/>
  <c r="J21" i="1211"/>
  <c r="K20" i="1211"/>
  <c r="K19" i="1211"/>
  <c r="K18" i="1211"/>
  <c r="K17" i="1211"/>
  <c r="K36" i="1211"/>
  <c r="K35" i="1211"/>
  <c r="K34" i="1211"/>
  <c r="K16" i="1211"/>
  <c r="K15" i="1211"/>
  <c r="K14" i="1211"/>
  <c r="K13" i="1211"/>
  <c r="K12" i="1211"/>
  <c r="K11" i="1211"/>
  <c r="K10" i="1211"/>
  <c r="K9" i="1211"/>
  <c r="K8" i="1211"/>
  <c r="H44" i="1210"/>
  <c r="E44" i="1210"/>
  <c r="C44" i="1210"/>
  <c r="B44" i="1210"/>
  <c r="A44" i="1210"/>
  <c r="J41" i="1210"/>
  <c r="K40" i="1210"/>
  <c r="K39" i="1210"/>
  <c r="K38" i="1210"/>
  <c r="K37" i="1210"/>
  <c r="K36" i="1210"/>
  <c r="K35" i="1210"/>
  <c r="K34" i="1210"/>
  <c r="K33" i="1210"/>
  <c r="K32" i="1210"/>
  <c r="K31" i="1210"/>
  <c r="K30" i="1210"/>
  <c r="K29" i="1210"/>
  <c r="K28" i="1210"/>
  <c r="K27" i="1210"/>
  <c r="K26" i="1210"/>
  <c r="K25" i="1210"/>
  <c r="J24" i="1210"/>
  <c r="K23" i="1210"/>
  <c r="K22" i="1210"/>
  <c r="K21" i="1210"/>
  <c r="K20" i="1210"/>
  <c r="K19" i="1210"/>
  <c r="K18" i="1210"/>
  <c r="K17" i="1210"/>
  <c r="K16" i="1210"/>
  <c r="K15" i="1210"/>
  <c r="K14" i="1210"/>
  <c r="K13" i="1210"/>
  <c r="K12" i="1210"/>
  <c r="K11" i="1210"/>
  <c r="K10" i="1210"/>
  <c r="K9" i="1210"/>
  <c r="K8" i="1210"/>
  <c r="K41" i="1211" l="1"/>
  <c r="K21" i="1211"/>
  <c r="J44" i="1211"/>
  <c r="K41" i="1210"/>
  <c r="K24" i="1210"/>
  <c r="J44" i="1210"/>
  <c r="K23" i="1208"/>
  <c r="K22" i="1208"/>
  <c r="K40" i="1207"/>
  <c r="K39" i="1207"/>
  <c r="K38" i="1207"/>
  <c r="K37" i="1207"/>
  <c r="H44" i="1209"/>
  <c r="E44" i="1209"/>
  <c r="C44" i="1209"/>
  <c r="B44" i="1209"/>
  <c r="A44" i="1209"/>
  <c r="J41" i="1209"/>
  <c r="K40" i="1209"/>
  <c r="K39" i="1209"/>
  <c r="K38" i="1209"/>
  <c r="K37" i="1209"/>
  <c r="K36" i="1209"/>
  <c r="K35" i="1209"/>
  <c r="K34" i="1209"/>
  <c r="K33" i="1209"/>
  <c r="K32" i="1209"/>
  <c r="K31" i="1209"/>
  <c r="K30" i="1209"/>
  <c r="K29" i="1209"/>
  <c r="K28" i="1209"/>
  <c r="K27" i="1209"/>
  <c r="K26" i="1209"/>
  <c r="K25" i="1209"/>
  <c r="K41" i="1209" s="1"/>
  <c r="J24" i="1209"/>
  <c r="K23" i="1209"/>
  <c r="K22" i="1209"/>
  <c r="K21" i="1209"/>
  <c r="K20" i="1209"/>
  <c r="K19" i="1209"/>
  <c r="K18" i="1209"/>
  <c r="K17" i="1209"/>
  <c r="K16" i="1209"/>
  <c r="K15" i="1209"/>
  <c r="K14" i="1209"/>
  <c r="K13" i="1209"/>
  <c r="K12" i="1209"/>
  <c r="K11" i="1209"/>
  <c r="K10" i="1209"/>
  <c r="K9" i="1209"/>
  <c r="K8" i="1209"/>
  <c r="H46" i="1208"/>
  <c r="E46" i="1208"/>
  <c r="C46" i="1208"/>
  <c r="B46" i="1208"/>
  <c r="A46" i="1208"/>
  <c r="J43" i="1208"/>
  <c r="K42" i="1208"/>
  <c r="K41" i="1208"/>
  <c r="K40" i="1208"/>
  <c r="K39" i="1208"/>
  <c r="K38" i="1208"/>
  <c r="K37" i="1208"/>
  <c r="K36" i="1208"/>
  <c r="K35" i="1208"/>
  <c r="K34" i="1208"/>
  <c r="K33" i="1208"/>
  <c r="K26" i="1208"/>
  <c r="K32" i="1208"/>
  <c r="K31" i="1208"/>
  <c r="K30" i="1208"/>
  <c r="K29" i="1208"/>
  <c r="K28" i="1208"/>
  <c r="J27" i="1208"/>
  <c r="K25" i="1208"/>
  <c r="K24" i="1208"/>
  <c r="K21" i="1208"/>
  <c r="K20" i="1208"/>
  <c r="K19" i="1208"/>
  <c r="K18" i="1208"/>
  <c r="K17" i="1208"/>
  <c r="K16" i="1208"/>
  <c r="K15" i="1208"/>
  <c r="K14" i="1208"/>
  <c r="K13" i="1208"/>
  <c r="K12" i="1208"/>
  <c r="K11" i="1208"/>
  <c r="K10" i="1208"/>
  <c r="K9" i="1208"/>
  <c r="K8" i="1208"/>
  <c r="J9" i="1206"/>
  <c r="M8" i="1206"/>
  <c r="H48" i="1207"/>
  <c r="E48" i="1207"/>
  <c r="C48" i="1207"/>
  <c r="B48" i="1207"/>
  <c r="A48" i="1207"/>
  <c r="J45" i="1207"/>
  <c r="K44" i="1207"/>
  <c r="K43" i="1207"/>
  <c r="K42" i="1207"/>
  <c r="K41" i="1207"/>
  <c r="K33" i="1207"/>
  <c r="K32" i="1207"/>
  <c r="K31" i="1207"/>
  <c r="K30" i="1207"/>
  <c r="K29" i="1207"/>
  <c r="K28" i="1207"/>
  <c r="K27" i="1207"/>
  <c r="K26" i="1207"/>
  <c r="K25" i="1207"/>
  <c r="K24" i="1207"/>
  <c r="K23" i="1207"/>
  <c r="K22" i="1207"/>
  <c r="K36" i="1207"/>
  <c r="K35" i="1207"/>
  <c r="K34" i="1207"/>
  <c r="K20" i="1207"/>
  <c r="K19" i="1207"/>
  <c r="K18" i="1207"/>
  <c r="K17" i="1207"/>
  <c r="K16" i="1207"/>
  <c r="K15" i="1207"/>
  <c r="K14" i="1207"/>
  <c r="K13" i="1207"/>
  <c r="K12" i="1207"/>
  <c r="K11" i="1207"/>
  <c r="K10" i="1207"/>
  <c r="K9" i="1207"/>
  <c r="K8" i="1207"/>
  <c r="H44" i="1206"/>
  <c r="E44" i="1206"/>
  <c r="C44" i="1206"/>
  <c r="B44" i="1206"/>
  <c r="A44" i="1206"/>
  <c r="J41" i="1206"/>
  <c r="K40" i="1206"/>
  <c r="K39" i="1206"/>
  <c r="K38" i="1206"/>
  <c r="K37" i="1206"/>
  <c r="K36" i="1206"/>
  <c r="K35" i="1206"/>
  <c r="K34" i="1206"/>
  <c r="K33" i="1206"/>
  <c r="K32" i="1206"/>
  <c r="K31" i="1206"/>
  <c r="K30" i="1206"/>
  <c r="K29" i="1206"/>
  <c r="K28" i="1206"/>
  <c r="K27" i="1206"/>
  <c r="K26" i="1206"/>
  <c r="K25" i="1206"/>
  <c r="J24" i="1206"/>
  <c r="K23" i="1206"/>
  <c r="K22" i="1206"/>
  <c r="K21" i="1206"/>
  <c r="K20" i="1206"/>
  <c r="K19" i="1206"/>
  <c r="K18" i="1206"/>
  <c r="K17" i="1206"/>
  <c r="K16" i="1206"/>
  <c r="K15" i="1206"/>
  <c r="K14" i="1206"/>
  <c r="K13" i="1206"/>
  <c r="K12" i="1206"/>
  <c r="K11" i="1206"/>
  <c r="K10" i="1206"/>
  <c r="K9" i="1206"/>
  <c r="K8" i="1206"/>
  <c r="K24" i="1209" l="1"/>
  <c r="J44" i="1209"/>
  <c r="K43" i="1208"/>
  <c r="K27" i="1208"/>
  <c r="J46" i="1208"/>
  <c r="K45" i="1207"/>
  <c r="J48" i="1207"/>
  <c r="K41" i="1206"/>
  <c r="K24" i="1206"/>
  <c r="J44" i="1206"/>
  <c r="J8" i="1203"/>
  <c r="E44" i="1203" s="1"/>
  <c r="H44" i="1204"/>
  <c r="E44" i="1204"/>
  <c r="C44" i="1204"/>
  <c r="B44" i="1204"/>
  <c r="A44" i="1204"/>
  <c r="J41" i="1204"/>
  <c r="K40" i="1204"/>
  <c r="K39" i="1204"/>
  <c r="K38" i="1204"/>
  <c r="K37" i="1204"/>
  <c r="K36" i="1204"/>
  <c r="K35" i="1204"/>
  <c r="K34" i="1204"/>
  <c r="K33" i="1204"/>
  <c r="K32" i="1204"/>
  <c r="K31" i="1204"/>
  <c r="K30" i="1204"/>
  <c r="K29" i="1204"/>
  <c r="K28" i="1204"/>
  <c r="K27" i="1204"/>
  <c r="K26" i="1204"/>
  <c r="K25" i="1204"/>
  <c r="J24" i="1204"/>
  <c r="K23" i="1204"/>
  <c r="K22" i="1204"/>
  <c r="K21" i="1204"/>
  <c r="K20" i="1204"/>
  <c r="K19" i="1204"/>
  <c r="K14" i="1204"/>
  <c r="K13" i="1204"/>
  <c r="K18" i="1204"/>
  <c r="K17" i="1204"/>
  <c r="K16" i="1204"/>
  <c r="K15" i="1204"/>
  <c r="K12" i="1204"/>
  <c r="K11" i="1204"/>
  <c r="K10" i="1204"/>
  <c r="K9" i="1204"/>
  <c r="K8" i="1204"/>
  <c r="K24" i="1204" s="1"/>
  <c r="H44" i="1203"/>
  <c r="C44" i="1203"/>
  <c r="B44" i="1203"/>
  <c r="A44" i="1203"/>
  <c r="J41" i="1203"/>
  <c r="K40" i="1203"/>
  <c r="K39" i="1203"/>
  <c r="K38" i="1203"/>
  <c r="K37" i="1203"/>
  <c r="K36" i="1203"/>
  <c r="K35" i="1203"/>
  <c r="K34" i="1203"/>
  <c r="K33" i="1203"/>
  <c r="K32" i="1203"/>
  <c r="K31" i="1203"/>
  <c r="K30" i="1203"/>
  <c r="K29" i="1203"/>
  <c r="K28" i="1203"/>
  <c r="K27" i="1203"/>
  <c r="K26" i="1203"/>
  <c r="K25" i="1203"/>
  <c r="K41" i="1203" s="1"/>
  <c r="J24" i="1203"/>
  <c r="K23" i="1203"/>
  <c r="K22" i="1203"/>
  <c r="K21" i="1203"/>
  <c r="K20" i="1203"/>
  <c r="K19" i="1203"/>
  <c r="K18" i="1203"/>
  <c r="K17" i="1203"/>
  <c r="K16" i="1203"/>
  <c r="K15" i="1203"/>
  <c r="K14" i="1203"/>
  <c r="K13" i="1203"/>
  <c r="K12" i="1203"/>
  <c r="K11" i="1203"/>
  <c r="K10" i="1203"/>
  <c r="K9" i="1203"/>
  <c r="K8" i="1203"/>
  <c r="J44" i="1204" l="1"/>
  <c r="K41" i="1204"/>
  <c r="K24" i="1203"/>
  <c r="J44" i="1203"/>
  <c r="J31" i="1200" l="1"/>
  <c r="H44" i="1202" l="1"/>
  <c r="E44" i="1202"/>
  <c r="C44" i="1202"/>
  <c r="B44" i="1202"/>
  <c r="A44" i="1202"/>
  <c r="J41" i="1202"/>
  <c r="K40" i="1202"/>
  <c r="K39" i="1202"/>
  <c r="K38" i="1202"/>
  <c r="K37" i="1202"/>
  <c r="K36" i="1202"/>
  <c r="K35" i="1202"/>
  <c r="K34" i="1202"/>
  <c r="K33" i="1202"/>
  <c r="K32" i="1202"/>
  <c r="K31" i="1202"/>
  <c r="K30" i="1202"/>
  <c r="K29" i="1202"/>
  <c r="K28" i="1202"/>
  <c r="K27" i="1202"/>
  <c r="K26" i="1202"/>
  <c r="K25" i="1202"/>
  <c r="J24" i="1202"/>
  <c r="K23" i="1202"/>
  <c r="K22" i="1202"/>
  <c r="K21" i="1202"/>
  <c r="K20" i="1202"/>
  <c r="K19" i="1202"/>
  <c r="K18" i="1202"/>
  <c r="K17" i="1202"/>
  <c r="K16" i="1202"/>
  <c r="K15" i="1202"/>
  <c r="K14" i="1202"/>
  <c r="K13" i="1202"/>
  <c r="K12" i="1202"/>
  <c r="K11" i="1202"/>
  <c r="K10" i="1202"/>
  <c r="K9" i="1202"/>
  <c r="K8" i="1202"/>
  <c r="H44" i="1201"/>
  <c r="E44" i="1201"/>
  <c r="C44" i="1201"/>
  <c r="B44" i="1201"/>
  <c r="A44" i="1201"/>
  <c r="J44" i="1201" s="1"/>
  <c r="J41" i="1201"/>
  <c r="K40" i="1201"/>
  <c r="K39" i="1201"/>
  <c r="K38" i="1201"/>
  <c r="K37" i="1201"/>
  <c r="K36" i="1201"/>
  <c r="K35" i="1201"/>
  <c r="K34" i="1201"/>
  <c r="K33" i="1201"/>
  <c r="K32" i="1201"/>
  <c r="K31" i="1201"/>
  <c r="K30" i="1201"/>
  <c r="K29" i="1201"/>
  <c r="K28" i="1201"/>
  <c r="K27" i="1201"/>
  <c r="K26" i="1201"/>
  <c r="K25" i="1201"/>
  <c r="J24" i="1201"/>
  <c r="K23" i="1201"/>
  <c r="K22" i="1201"/>
  <c r="K21" i="1201"/>
  <c r="K20" i="1201"/>
  <c r="K19" i="1201"/>
  <c r="K18" i="1201"/>
  <c r="K17" i="1201"/>
  <c r="K16" i="1201"/>
  <c r="K15" i="1201"/>
  <c r="K14" i="1201"/>
  <c r="K13" i="1201"/>
  <c r="K12" i="1201"/>
  <c r="K11" i="1201"/>
  <c r="K10" i="1201"/>
  <c r="K9" i="1201"/>
  <c r="K8" i="1201"/>
  <c r="K24" i="1201" s="1"/>
  <c r="K41" i="1202" l="1"/>
  <c r="K24" i="1202"/>
  <c r="J44" i="1202"/>
  <c r="K41" i="1201"/>
  <c r="H44" i="1200"/>
  <c r="E44" i="1200"/>
  <c r="C44" i="1200"/>
  <c r="B44" i="1200"/>
  <c r="A44" i="1200"/>
  <c r="J41" i="1200"/>
  <c r="K39" i="1200"/>
  <c r="K38" i="1200"/>
  <c r="K37" i="1200"/>
  <c r="K36" i="1200"/>
  <c r="K35" i="1200"/>
  <c r="K34" i="1200"/>
  <c r="K33" i="1200"/>
  <c r="K32" i="1200"/>
  <c r="K31" i="1200"/>
  <c r="K30" i="1200"/>
  <c r="K29" i="1200"/>
  <c r="K28" i="1200"/>
  <c r="K27" i="1200"/>
  <c r="K26" i="1200"/>
  <c r="K25" i="1200"/>
  <c r="K24" i="1200"/>
  <c r="J23" i="1200"/>
  <c r="K22" i="1200"/>
  <c r="K21" i="1200"/>
  <c r="K20" i="1200"/>
  <c r="K19" i="1200"/>
  <c r="K40" i="1200"/>
  <c r="K18" i="1200"/>
  <c r="K17" i="1200"/>
  <c r="K16" i="1200"/>
  <c r="K15" i="1200"/>
  <c r="K14" i="1200"/>
  <c r="K13" i="1200"/>
  <c r="K12" i="1200"/>
  <c r="K11" i="1200"/>
  <c r="K10" i="1200"/>
  <c r="K9" i="1200"/>
  <c r="K8" i="1200"/>
  <c r="K36" i="1198"/>
  <c r="K37" i="1198"/>
  <c r="K38" i="1198"/>
  <c r="K39" i="1198"/>
  <c r="K40" i="1198"/>
  <c r="K41" i="1200" l="1"/>
  <c r="K23" i="1200"/>
  <c r="J44" i="1200"/>
  <c r="J8" i="1198"/>
  <c r="H44" i="1199"/>
  <c r="E44" i="1199"/>
  <c r="C44" i="1199"/>
  <c r="B44" i="1199"/>
  <c r="A44" i="1199"/>
  <c r="J41" i="1199"/>
  <c r="K40" i="1199"/>
  <c r="K39" i="1199"/>
  <c r="K38" i="1199"/>
  <c r="K37" i="1199"/>
  <c r="K36" i="1199"/>
  <c r="K35" i="1199"/>
  <c r="K34" i="1199"/>
  <c r="K33" i="1199"/>
  <c r="K32" i="1199"/>
  <c r="K31" i="1199"/>
  <c r="K30" i="1199"/>
  <c r="K29" i="1199"/>
  <c r="K28" i="1199"/>
  <c r="K27" i="1199"/>
  <c r="K26" i="1199"/>
  <c r="K25" i="1199"/>
  <c r="J24" i="1199"/>
  <c r="K23" i="1199"/>
  <c r="K22" i="1199"/>
  <c r="K21" i="1199"/>
  <c r="K20" i="1199"/>
  <c r="K19" i="1199"/>
  <c r="K18" i="1199"/>
  <c r="K17" i="1199"/>
  <c r="K16" i="1199"/>
  <c r="K15" i="1199"/>
  <c r="K14" i="1199"/>
  <c r="K13" i="1199"/>
  <c r="K12" i="1199"/>
  <c r="K11" i="1199"/>
  <c r="K10" i="1199"/>
  <c r="K9" i="1199"/>
  <c r="K8" i="1199"/>
  <c r="K24" i="1199" s="1"/>
  <c r="K41" i="1199" l="1"/>
  <c r="J44" i="1199"/>
  <c r="H44" i="1198"/>
  <c r="E44" i="1198"/>
  <c r="C44" i="1198"/>
  <c r="B44" i="1198"/>
  <c r="A44" i="1198"/>
  <c r="J41" i="1198"/>
  <c r="K35" i="1198"/>
  <c r="K34" i="1198"/>
  <c r="K33" i="1198"/>
  <c r="K32" i="1198"/>
  <c r="K31" i="1198"/>
  <c r="K30" i="1198"/>
  <c r="K29" i="1198"/>
  <c r="K28" i="1198"/>
  <c r="K27" i="1198"/>
  <c r="K26" i="1198"/>
  <c r="K16" i="1198"/>
  <c r="J15" i="1198"/>
  <c r="K14" i="1198"/>
  <c r="K25" i="1198"/>
  <c r="K24" i="1198"/>
  <c r="K23" i="1198"/>
  <c r="K22" i="1198"/>
  <c r="K21" i="1198"/>
  <c r="K20" i="1198"/>
  <c r="K19" i="1198"/>
  <c r="K18" i="1198"/>
  <c r="K17" i="1198"/>
  <c r="K13" i="1198"/>
  <c r="K12" i="1198"/>
  <c r="K11" i="1198"/>
  <c r="K10" i="1198"/>
  <c r="K9" i="1198"/>
  <c r="K8" i="1198"/>
  <c r="J25" i="1183"/>
  <c r="K41" i="1198" l="1"/>
  <c r="K15" i="1198"/>
  <c r="J44" i="1198"/>
  <c r="H44" i="1197"/>
  <c r="E44" i="1197"/>
  <c r="C44" i="1197"/>
  <c r="B44" i="1197"/>
  <c r="A44" i="1197"/>
  <c r="J41" i="1197"/>
  <c r="K40" i="1197"/>
  <c r="K39" i="1197"/>
  <c r="K38" i="1197"/>
  <c r="K37" i="1197"/>
  <c r="K36" i="1197"/>
  <c r="K35" i="1197"/>
  <c r="K34" i="1197"/>
  <c r="K33" i="1197"/>
  <c r="K32" i="1197"/>
  <c r="K31" i="1197"/>
  <c r="K30" i="1197"/>
  <c r="K29" i="1197"/>
  <c r="K28" i="1197"/>
  <c r="K27" i="1197"/>
  <c r="K26" i="1197"/>
  <c r="K25" i="1197"/>
  <c r="K41" i="1197" s="1"/>
  <c r="J24" i="1197"/>
  <c r="K23" i="1197"/>
  <c r="K22" i="1197"/>
  <c r="K21" i="1197"/>
  <c r="K20" i="1197"/>
  <c r="K19" i="1197"/>
  <c r="K18" i="1197"/>
  <c r="K17" i="1197"/>
  <c r="K16" i="1197"/>
  <c r="K15" i="1197"/>
  <c r="K14" i="1197"/>
  <c r="K13" i="1197"/>
  <c r="K12" i="1197"/>
  <c r="K11" i="1197"/>
  <c r="K10" i="1197"/>
  <c r="K9" i="1197"/>
  <c r="K8" i="1197"/>
  <c r="K24" i="1197" l="1"/>
  <c r="J44" i="1197"/>
  <c r="H44" i="1196"/>
  <c r="E44" i="1196"/>
  <c r="C44" i="1196"/>
  <c r="B44" i="1196"/>
  <c r="A44" i="1196"/>
  <c r="J41" i="1196"/>
  <c r="K40" i="1196"/>
  <c r="K39" i="1196"/>
  <c r="K38" i="1196"/>
  <c r="K37" i="1196"/>
  <c r="K18" i="1196"/>
  <c r="K36" i="1196"/>
  <c r="K35" i="1196"/>
  <c r="K34" i="1196"/>
  <c r="K33" i="1196"/>
  <c r="K32" i="1196"/>
  <c r="K31" i="1196"/>
  <c r="K30" i="1196"/>
  <c r="K29" i="1196"/>
  <c r="K28" i="1196"/>
  <c r="K27" i="1196"/>
  <c r="K26" i="1196"/>
  <c r="J25" i="1196"/>
  <c r="K24" i="1196"/>
  <c r="K23" i="1196"/>
  <c r="K22" i="1196"/>
  <c r="K21" i="1196"/>
  <c r="K20" i="1196"/>
  <c r="K19" i="1196"/>
  <c r="K17" i="1196"/>
  <c r="K16" i="1196"/>
  <c r="K15" i="1196"/>
  <c r="K14" i="1196"/>
  <c r="K13" i="1196"/>
  <c r="K12" i="1196"/>
  <c r="K11" i="1196"/>
  <c r="K10" i="1196"/>
  <c r="K9" i="1196"/>
  <c r="K8" i="1196"/>
  <c r="K25" i="1196" l="1"/>
  <c r="K41" i="1196"/>
  <c r="J44" i="1196"/>
  <c r="H44" i="1195"/>
  <c r="E44" i="1195"/>
  <c r="C44" i="1195"/>
  <c r="B44" i="1195"/>
  <c r="A44" i="1195"/>
  <c r="J41" i="1195"/>
  <c r="K40" i="1195"/>
  <c r="K39" i="1195"/>
  <c r="K38" i="1195"/>
  <c r="K37" i="1195"/>
  <c r="K36" i="1195"/>
  <c r="K35" i="1195"/>
  <c r="K34" i="1195"/>
  <c r="K33" i="1195"/>
  <c r="K32" i="1195"/>
  <c r="K31" i="1195"/>
  <c r="K30" i="1195"/>
  <c r="K29" i="1195"/>
  <c r="K28" i="1195"/>
  <c r="K27" i="1195"/>
  <c r="K26" i="1195"/>
  <c r="K25" i="1195"/>
  <c r="J24" i="1195"/>
  <c r="K23" i="1195"/>
  <c r="K22" i="1195"/>
  <c r="K21" i="1195"/>
  <c r="K20" i="1195"/>
  <c r="K19" i="1195"/>
  <c r="K18" i="1195"/>
  <c r="K17" i="1195"/>
  <c r="K16" i="1195"/>
  <c r="K15" i="1195"/>
  <c r="K14" i="1195"/>
  <c r="K13" i="1195"/>
  <c r="K12" i="1195"/>
  <c r="K11" i="1195"/>
  <c r="K10" i="1195"/>
  <c r="K9" i="1195"/>
  <c r="K8" i="1195"/>
  <c r="K41" i="1195" l="1"/>
  <c r="K24" i="1195"/>
  <c r="J44" i="1195"/>
  <c r="H44" i="1194"/>
  <c r="E44" i="1194"/>
  <c r="C44" i="1194"/>
  <c r="B44" i="1194"/>
  <c r="A44" i="1194"/>
  <c r="J41" i="1194"/>
  <c r="K40" i="1194"/>
  <c r="K39" i="1194"/>
  <c r="K38" i="1194"/>
  <c r="K37" i="1194"/>
  <c r="K36" i="1194"/>
  <c r="K35" i="1194"/>
  <c r="K34" i="1194"/>
  <c r="K33" i="1194"/>
  <c r="K32" i="1194"/>
  <c r="K31" i="1194"/>
  <c r="K30" i="1194"/>
  <c r="K29" i="1194"/>
  <c r="K28" i="1194"/>
  <c r="K27" i="1194"/>
  <c r="K26" i="1194"/>
  <c r="K25" i="1194"/>
  <c r="K41" i="1194" s="1"/>
  <c r="J24" i="1194"/>
  <c r="K23" i="1194"/>
  <c r="K22" i="1194"/>
  <c r="K21" i="1194"/>
  <c r="K20" i="1194"/>
  <c r="K19" i="1194"/>
  <c r="K18" i="1194"/>
  <c r="K17" i="1194"/>
  <c r="K16" i="1194"/>
  <c r="K15" i="1194"/>
  <c r="K14" i="1194"/>
  <c r="K13" i="1194"/>
  <c r="K12" i="1194"/>
  <c r="K11" i="1194"/>
  <c r="K10" i="1194"/>
  <c r="K9" i="1194"/>
  <c r="K8" i="1194"/>
  <c r="K24" i="1194" s="1"/>
  <c r="H44" i="1193"/>
  <c r="E44" i="1193"/>
  <c r="C44" i="1193"/>
  <c r="B44" i="1193"/>
  <c r="A44" i="1193"/>
  <c r="J41" i="1193"/>
  <c r="K40" i="1193"/>
  <c r="K39" i="1193"/>
  <c r="K38" i="1193"/>
  <c r="K37" i="1193"/>
  <c r="K36" i="1193"/>
  <c r="K35" i="1193"/>
  <c r="K34" i="1193"/>
  <c r="K33" i="1193"/>
  <c r="K30" i="1193"/>
  <c r="K32" i="1193"/>
  <c r="K31" i="1193"/>
  <c r="K29" i="1193"/>
  <c r="K28" i="1193"/>
  <c r="K27" i="1193"/>
  <c r="K26" i="1193"/>
  <c r="K25" i="1193"/>
  <c r="J24" i="1193"/>
  <c r="K23" i="1193"/>
  <c r="K22" i="1193"/>
  <c r="K21" i="1193"/>
  <c r="K20" i="1193"/>
  <c r="K19" i="1193"/>
  <c r="K18" i="1193"/>
  <c r="K17" i="1193"/>
  <c r="K16" i="1193"/>
  <c r="K15" i="1193"/>
  <c r="K14" i="1193"/>
  <c r="K13" i="1193"/>
  <c r="K12" i="1193"/>
  <c r="K11" i="1193"/>
  <c r="K10" i="1193"/>
  <c r="K9" i="1193"/>
  <c r="K8" i="1193"/>
  <c r="J44" i="1194" l="1"/>
  <c r="K41" i="1193"/>
  <c r="K24" i="1193"/>
  <c r="J44" i="1193"/>
  <c r="H44" i="1192"/>
  <c r="E44" i="1192"/>
  <c r="C44" i="1192"/>
  <c r="B44" i="1192"/>
  <c r="A44" i="1192"/>
  <c r="J41" i="1192"/>
  <c r="K40" i="1192"/>
  <c r="K39" i="1192"/>
  <c r="K38" i="1192"/>
  <c r="K37" i="1192"/>
  <c r="K36" i="1192"/>
  <c r="K35" i="1192"/>
  <c r="K34" i="1192"/>
  <c r="K33" i="1192"/>
  <c r="K32" i="1192"/>
  <c r="K31" i="1192"/>
  <c r="K30" i="1192"/>
  <c r="K29" i="1192"/>
  <c r="K28" i="1192"/>
  <c r="K27" i="1192"/>
  <c r="K26" i="1192"/>
  <c r="K25" i="1192"/>
  <c r="J24" i="1192"/>
  <c r="K23" i="1192"/>
  <c r="K22" i="1192"/>
  <c r="K21" i="1192"/>
  <c r="K20" i="1192"/>
  <c r="K19" i="1192"/>
  <c r="K18" i="1192"/>
  <c r="K17" i="1192"/>
  <c r="K16" i="1192"/>
  <c r="K15" i="1192"/>
  <c r="K14" i="1192"/>
  <c r="K13" i="1192"/>
  <c r="K12" i="1192"/>
  <c r="K11" i="1192"/>
  <c r="K10" i="1192"/>
  <c r="K9" i="1192"/>
  <c r="K8" i="1192"/>
  <c r="H44" i="1191"/>
  <c r="E44" i="1191"/>
  <c r="C44" i="1191"/>
  <c r="B44" i="1191"/>
  <c r="A44" i="1191"/>
  <c r="J41" i="1191"/>
  <c r="K40" i="1191"/>
  <c r="K39" i="1191"/>
  <c r="K38" i="1191"/>
  <c r="K37" i="1191"/>
  <c r="K36" i="1191"/>
  <c r="K35" i="1191"/>
  <c r="K34" i="1191"/>
  <c r="K33" i="1191"/>
  <c r="K32" i="1191"/>
  <c r="K31" i="1191"/>
  <c r="K30" i="1191"/>
  <c r="K29" i="1191"/>
  <c r="K28" i="1191"/>
  <c r="K27" i="1191"/>
  <c r="K26" i="1191"/>
  <c r="K25" i="1191"/>
  <c r="J24" i="1191"/>
  <c r="K23" i="1191"/>
  <c r="K22" i="1191"/>
  <c r="K21" i="1191"/>
  <c r="K20" i="1191"/>
  <c r="K19" i="1191"/>
  <c r="K18" i="1191"/>
  <c r="K17" i="1191"/>
  <c r="K16" i="1191"/>
  <c r="K15" i="1191"/>
  <c r="K14" i="1191"/>
  <c r="K13" i="1191"/>
  <c r="K12" i="1191"/>
  <c r="K11" i="1191"/>
  <c r="K10" i="1191"/>
  <c r="K9" i="1191"/>
  <c r="K8" i="1191"/>
  <c r="K41" i="1192" l="1"/>
  <c r="K24" i="1192"/>
  <c r="J44" i="1192"/>
  <c r="K41" i="1191"/>
  <c r="K24" i="1191"/>
  <c r="J44" i="1191"/>
  <c r="H44" i="1190"/>
  <c r="E44" i="1190"/>
  <c r="C44" i="1190"/>
  <c r="B44" i="1190"/>
  <c r="A44" i="1190"/>
  <c r="J41" i="1190"/>
  <c r="K40" i="1190"/>
  <c r="K39" i="1190"/>
  <c r="K38" i="1190"/>
  <c r="K37" i="1190"/>
  <c r="K36" i="1190"/>
  <c r="K35" i="1190"/>
  <c r="K34" i="1190"/>
  <c r="K33" i="1190"/>
  <c r="K32" i="1190"/>
  <c r="K31" i="1190"/>
  <c r="K30" i="1190"/>
  <c r="K29" i="1190"/>
  <c r="K28" i="1190"/>
  <c r="K27" i="1190"/>
  <c r="K26" i="1190"/>
  <c r="K25" i="1190"/>
  <c r="J24" i="1190"/>
  <c r="K23" i="1190"/>
  <c r="K22" i="1190"/>
  <c r="K21" i="1190"/>
  <c r="K20" i="1190"/>
  <c r="K19" i="1190"/>
  <c r="K18" i="1190"/>
  <c r="K17" i="1190"/>
  <c r="K16" i="1190"/>
  <c r="K15" i="1190"/>
  <c r="K14" i="1190"/>
  <c r="K13" i="1190"/>
  <c r="K12" i="1190"/>
  <c r="K11" i="1190"/>
  <c r="K10" i="1190"/>
  <c r="K9" i="1190"/>
  <c r="K8" i="1190"/>
  <c r="K24" i="1190" l="1"/>
  <c r="K41" i="1190"/>
  <c r="J44" i="1190"/>
  <c r="K32" i="1189"/>
  <c r="H44" i="1189"/>
  <c r="E44" i="1189"/>
  <c r="C44" i="1189"/>
  <c r="B44" i="1189"/>
  <c r="A44" i="1189"/>
  <c r="J41" i="1189"/>
  <c r="K40" i="1189"/>
  <c r="K39" i="1189"/>
  <c r="K38" i="1189"/>
  <c r="K37" i="1189"/>
  <c r="K36" i="1189"/>
  <c r="K35" i="1189"/>
  <c r="K34" i="1189"/>
  <c r="K33" i="1189"/>
  <c r="K31" i="1189"/>
  <c r="K30" i="1189"/>
  <c r="K29" i="1189"/>
  <c r="K28" i="1189"/>
  <c r="K27" i="1189"/>
  <c r="K26" i="1189"/>
  <c r="K25" i="1189"/>
  <c r="J24" i="1189"/>
  <c r="K23" i="1189"/>
  <c r="K22" i="1189"/>
  <c r="K21" i="1189"/>
  <c r="K20" i="1189"/>
  <c r="K19" i="1189"/>
  <c r="K18" i="1189"/>
  <c r="K17" i="1189"/>
  <c r="K16" i="1189"/>
  <c r="K15" i="1189"/>
  <c r="K14" i="1189"/>
  <c r="K13" i="1189"/>
  <c r="K12" i="1189"/>
  <c r="K11" i="1189"/>
  <c r="K10" i="1189"/>
  <c r="K9" i="1189"/>
  <c r="K8" i="1189"/>
  <c r="K24" i="1189" s="1"/>
  <c r="K41" i="1189" l="1"/>
  <c r="J44" i="1189"/>
  <c r="H44" i="1188"/>
  <c r="E44" i="1188"/>
  <c r="C44" i="1188"/>
  <c r="B44" i="1188"/>
  <c r="A44" i="1188"/>
  <c r="J41" i="1188"/>
  <c r="K40" i="1188"/>
  <c r="K39" i="1188"/>
  <c r="K38" i="1188"/>
  <c r="K37" i="1188"/>
  <c r="K36" i="1188"/>
  <c r="K35" i="1188"/>
  <c r="K34" i="1188"/>
  <c r="K33" i="1188"/>
  <c r="K32" i="1188"/>
  <c r="K31" i="1188"/>
  <c r="K30" i="1188"/>
  <c r="K29" i="1188"/>
  <c r="K28" i="1188"/>
  <c r="K27" i="1188"/>
  <c r="K26" i="1188"/>
  <c r="K25" i="1188"/>
  <c r="J24" i="1188"/>
  <c r="K23" i="1188"/>
  <c r="K22" i="1188"/>
  <c r="K21" i="1188"/>
  <c r="K20" i="1188"/>
  <c r="K19" i="1188"/>
  <c r="K18" i="1188"/>
  <c r="K17" i="1188"/>
  <c r="K16" i="1188"/>
  <c r="K15" i="1188"/>
  <c r="K14" i="1188"/>
  <c r="K13" i="1188"/>
  <c r="K12" i="1188"/>
  <c r="K11" i="1188"/>
  <c r="K10" i="1188"/>
  <c r="K9" i="1188"/>
  <c r="K8" i="1188"/>
  <c r="K41" i="1188" l="1"/>
  <c r="K24" i="1188"/>
  <c r="J44" i="1188"/>
  <c r="H44" i="1187"/>
  <c r="E44" i="1187"/>
  <c r="C44" i="1187"/>
  <c r="B44" i="1187"/>
  <c r="A44" i="1187"/>
  <c r="J41" i="1187"/>
  <c r="K40" i="1187"/>
  <c r="K39" i="1187"/>
  <c r="K38" i="1187"/>
  <c r="K37" i="1187"/>
  <c r="K36" i="1187"/>
  <c r="K35" i="1187"/>
  <c r="K34" i="1187"/>
  <c r="K33" i="1187"/>
  <c r="K32" i="1187"/>
  <c r="K31" i="1187"/>
  <c r="K30" i="1187"/>
  <c r="K29" i="1187"/>
  <c r="K28" i="1187"/>
  <c r="K27" i="1187"/>
  <c r="K26" i="1187"/>
  <c r="K41" i="1187" s="1"/>
  <c r="K25" i="1187"/>
  <c r="J24" i="1187"/>
  <c r="K23" i="1187"/>
  <c r="K22" i="1187"/>
  <c r="K21" i="1187"/>
  <c r="K20" i="1187"/>
  <c r="K19" i="1187"/>
  <c r="K18" i="1187"/>
  <c r="K17" i="1187"/>
  <c r="K16" i="1187"/>
  <c r="K15" i="1187"/>
  <c r="K14" i="1187"/>
  <c r="K13" i="1187"/>
  <c r="K12" i="1187"/>
  <c r="K11" i="1187"/>
  <c r="K10" i="1187"/>
  <c r="K9" i="1187"/>
  <c r="K8" i="1187"/>
  <c r="K24" i="1187" l="1"/>
  <c r="J44" i="1187"/>
  <c r="H44" i="1186"/>
  <c r="E44" i="1186"/>
  <c r="C44" i="1186"/>
  <c r="B44" i="1186"/>
  <c r="A44" i="1186"/>
  <c r="J41" i="1186"/>
  <c r="K40" i="1186"/>
  <c r="K39" i="1186"/>
  <c r="K38" i="1186"/>
  <c r="K37" i="1186"/>
  <c r="K36" i="1186"/>
  <c r="K35" i="1186"/>
  <c r="K34" i="1186"/>
  <c r="K33" i="1186"/>
  <c r="K32" i="1186"/>
  <c r="K31" i="1186"/>
  <c r="K30" i="1186"/>
  <c r="K29" i="1186"/>
  <c r="K28" i="1186"/>
  <c r="K27" i="1186"/>
  <c r="K26" i="1186"/>
  <c r="K25" i="1186"/>
  <c r="K41" i="1186" s="1"/>
  <c r="J24" i="1186"/>
  <c r="K23" i="1186"/>
  <c r="K22" i="1186"/>
  <c r="K21" i="1186"/>
  <c r="K20" i="1186"/>
  <c r="K19" i="1186"/>
  <c r="K18" i="1186"/>
  <c r="K17" i="1186"/>
  <c r="K16" i="1186"/>
  <c r="K15" i="1186"/>
  <c r="K14" i="1186"/>
  <c r="K13" i="1186"/>
  <c r="K12" i="1186"/>
  <c r="K11" i="1186"/>
  <c r="K10" i="1186"/>
  <c r="K9" i="1186"/>
  <c r="K8" i="1186"/>
  <c r="K24" i="1186" l="1"/>
  <c r="J44" i="1186"/>
  <c r="J21" i="1150"/>
  <c r="H44" i="1185" l="1"/>
  <c r="E44" i="1185"/>
  <c r="C44" i="1185"/>
  <c r="B44" i="1185"/>
  <c r="A44" i="1185"/>
  <c r="J41" i="1185"/>
  <c r="K40" i="1185"/>
  <c r="K39" i="1185"/>
  <c r="K38" i="1185"/>
  <c r="K37" i="1185"/>
  <c r="K36" i="1185"/>
  <c r="K35" i="1185"/>
  <c r="K34" i="1185"/>
  <c r="K33" i="1185"/>
  <c r="K32" i="1185"/>
  <c r="K31" i="1185"/>
  <c r="K30" i="1185"/>
  <c r="K29" i="1185"/>
  <c r="K28" i="1185"/>
  <c r="K27" i="1185"/>
  <c r="K26" i="1185"/>
  <c r="K25" i="1185"/>
  <c r="J24" i="1185"/>
  <c r="K23" i="1185"/>
  <c r="K22" i="1185"/>
  <c r="K21" i="1185"/>
  <c r="K20" i="1185"/>
  <c r="K19" i="1185"/>
  <c r="K18" i="1185"/>
  <c r="K17" i="1185"/>
  <c r="K16" i="1185"/>
  <c r="K15" i="1185"/>
  <c r="K14" i="1185"/>
  <c r="K13" i="1185"/>
  <c r="K12" i="1185"/>
  <c r="K11" i="1185"/>
  <c r="K10" i="1185"/>
  <c r="K9" i="1185"/>
  <c r="K8" i="1185"/>
  <c r="K15" i="1184"/>
  <c r="K14" i="1184"/>
  <c r="H44" i="1184"/>
  <c r="E44" i="1184"/>
  <c r="C44" i="1184"/>
  <c r="B44" i="1184"/>
  <c r="A44" i="1184"/>
  <c r="J41" i="1184"/>
  <c r="K40" i="1184"/>
  <c r="K39" i="1184"/>
  <c r="K38" i="1184"/>
  <c r="K37" i="1184"/>
  <c r="K36" i="1184"/>
  <c r="K35" i="1184"/>
  <c r="K34" i="1184"/>
  <c r="K33" i="1184"/>
  <c r="K32" i="1184"/>
  <c r="K31" i="1184"/>
  <c r="K30" i="1184"/>
  <c r="K29" i="1184"/>
  <c r="K28" i="1184"/>
  <c r="K27" i="1184"/>
  <c r="K26" i="1184"/>
  <c r="K25" i="1184"/>
  <c r="J24" i="1184"/>
  <c r="K23" i="1184"/>
  <c r="K22" i="1184"/>
  <c r="K21" i="1184"/>
  <c r="K20" i="1184"/>
  <c r="K19" i="1184"/>
  <c r="K18" i="1184"/>
  <c r="K17" i="1184"/>
  <c r="K16" i="1184"/>
  <c r="K13" i="1184"/>
  <c r="K12" i="1184"/>
  <c r="K11" i="1184"/>
  <c r="K10" i="1184"/>
  <c r="K9" i="1184"/>
  <c r="K8" i="1184"/>
  <c r="K41" i="1185" l="1"/>
  <c r="K24" i="1185"/>
  <c r="J44" i="1185"/>
  <c r="K41" i="1184"/>
  <c r="K24" i="1184"/>
  <c r="J44" i="1184"/>
  <c r="H44" i="1183"/>
  <c r="E44" i="1183"/>
  <c r="C44" i="1183"/>
  <c r="B44" i="1183"/>
  <c r="A44" i="1183"/>
  <c r="J41" i="1183"/>
  <c r="K40" i="1183"/>
  <c r="K39" i="1183"/>
  <c r="K38" i="1183"/>
  <c r="K37" i="1183"/>
  <c r="K36" i="1183"/>
  <c r="K35" i="1183"/>
  <c r="K34" i="1183"/>
  <c r="K33" i="1183"/>
  <c r="K32" i="1183"/>
  <c r="K31" i="1183"/>
  <c r="K30" i="1183"/>
  <c r="K29" i="1183"/>
  <c r="K28" i="1183"/>
  <c r="K27" i="1183"/>
  <c r="K26" i="1183"/>
  <c r="K25" i="1183"/>
  <c r="K41" i="1183" s="1"/>
  <c r="J24" i="1183"/>
  <c r="K23" i="1183"/>
  <c r="K22" i="1183"/>
  <c r="K21" i="1183"/>
  <c r="K20" i="1183"/>
  <c r="K19" i="1183"/>
  <c r="K18" i="1183"/>
  <c r="K17" i="1183"/>
  <c r="K16" i="1183"/>
  <c r="K15" i="1183"/>
  <c r="K14" i="1183"/>
  <c r="K13" i="1183"/>
  <c r="K12" i="1183"/>
  <c r="K11" i="1183"/>
  <c r="K10" i="1183"/>
  <c r="K9" i="1183"/>
  <c r="K8" i="1183"/>
  <c r="H44" i="1182"/>
  <c r="E44" i="1182"/>
  <c r="C44" i="1182"/>
  <c r="B44" i="1182"/>
  <c r="A44" i="1182"/>
  <c r="J41" i="1182"/>
  <c r="K40" i="1182"/>
  <c r="K39" i="1182"/>
  <c r="K38" i="1182"/>
  <c r="K37" i="1182"/>
  <c r="K36" i="1182"/>
  <c r="K35" i="1182"/>
  <c r="K34" i="1182"/>
  <c r="K33" i="1182"/>
  <c r="K32" i="1182"/>
  <c r="K31" i="1182"/>
  <c r="K30" i="1182"/>
  <c r="K29" i="1182"/>
  <c r="K28" i="1182"/>
  <c r="K27" i="1182"/>
  <c r="K26" i="1182"/>
  <c r="K25" i="1182"/>
  <c r="J24" i="1182"/>
  <c r="K23" i="1182"/>
  <c r="K22" i="1182"/>
  <c r="K21" i="1182"/>
  <c r="K20" i="1182"/>
  <c r="K19" i="1182"/>
  <c r="K18" i="1182"/>
  <c r="K17" i="1182"/>
  <c r="K16" i="1182"/>
  <c r="K15" i="1182"/>
  <c r="K14" i="1182"/>
  <c r="K13" i="1182"/>
  <c r="K12" i="1182"/>
  <c r="K11" i="1182"/>
  <c r="K10" i="1182"/>
  <c r="K9" i="1182"/>
  <c r="K8" i="1182"/>
  <c r="J9" i="1180"/>
  <c r="H44" i="1181"/>
  <c r="E44" i="1181"/>
  <c r="C44" i="1181"/>
  <c r="B44" i="1181"/>
  <c r="A44" i="1181"/>
  <c r="J41" i="1181"/>
  <c r="K40" i="1181"/>
  <c r="K39" i="1181"/>
  <c r="K38" i="1181"/>
  <c r="K37" i="1181"/>
  <c r="K36" i="1181"/>
  <c r="K35" i="1181"/>
  <c r="K34" i="1181"/>
  <c r="K33" i="1181"/>
  <c r="K32" i="1181"/>
  <c r="K31" i="1181"/>
  <c r="K30" i="1181"/>
  <c r="K29" i="1181"/>
  <c r="K28" i="1181"/>
  <c r="K26" i="1181"/>
  <c r="K27" i="1181"/>
  <c r="K25" i="1181"/>
  <c r="J24" i="1181"/>
  <c r="K23" i="1181"/>
  <c r="K22" i="1181"/>
  <c r="K21" i="1181"/>
  <c r="K20" i="1181"/>
  <c r="K19" i="1181"/>
  <c r="K18" i="1181"/>
  <c r="K17" i="1181"/>
  <c r="K16" i="1181"/>
  <c r="K15" i="1181"/>
  <c r="K14" i="1181"/>
  <c r="K13" i="1181"/>
  <c r="K12" i="1181"/>
  <c r="K11" i="1181"/>
  <c r="K10" i="1181"/>
  <c r="K9" i="1181"/>
  <c r="K8" i="1181"/>
  <c r="J30" i="1179"/>
  <c r="K24" i="1183" l="1"/>
  <c r="J44" i="1183"/>
  <c r="K24" i="1182"/>
  <c r="J44" i="1182"/>
  <c r="K41" i="1182"/>
  <c r="K41" i="1181"/>
  <c r="K24" i="1181"/>
  <c r="J44" i="1181"/>
  <c r="J10" i="1179"/>
  <c r="H44" i="1180" l="1"/>
  <c r="E44" i="1180"/>
  <c r="C44" i="1180"/>
  <c r="B44" i="1180"/>
  <c r="A44" i="1180"/>
  <c r="J41" i="1180"/>
  <c r="K40" i="1180"/>
  <c r="K39" i="1180"/>
  <c r="K38" i="1180"/>
  <c r="K37" i="1180"/>
  <c r="K36" i="1180"/>
  <c r="K35" i="1180"/>
  <c r="K34" i="1180"/>
  <c r="K33" i="1180"/>
  <c r="K32" i="1180"/>
  <c r="K31" i="1180"/>
  <c r="K30" i="1180"/>
  <c r="K29" i="1180"/>
  <c r="K28" i="1180"/>
  <c r="K27" i="1180"/>
  <c r="K26" i="1180"/>
  <c r="K25" i="1180"/>
  <c r="J24" i="1180"/>
  <c r="K23" i="1180"/>
  <c r="K22" i="1180"/>
  <c r="K21" i="1180"/>
  <c r="K20" i="1180"/>
  <c r="K19" i="1180"/>
  <c r="K18" i="1180"/>
  <c r="K17" i="1180"/>
  <c r="K16" i="1180"/>
  <c r="K15" i="1180"/>
  <c r="K14" i="1180"/>
  <c r="K13" i="1180"/>
  <c r="K12" i="1180"/>
  <c r="K11" i="1180"/>
  <c r="K10" i="1180"/>
  <c r="K9" i="1180"/>
  <c r="K8" i="1180"/>
  <c r="K24" i="1180" l="1"/>
  <c r="K41" i="1180"/>
  <c r="J44" i="1180"/>
  <c r="J8" i="1178"/>
  <c r="H44" i="1179"/>
  <c r="E44" i="1179"/>
  <c r="C44" i="1179"/>
  <c r="B44" i="1179"/>
  <c r="A44" i="1179"/>
  <c r="J41" i="1179"/>
  <c r="K40" i="1179"/>
  <c r="K39" i="1179"/>
  <c r="K38" i="1179"/>
  <c r="K37" i="1179"/>
  <c r="K36" i="1179"/>
  <c r="K35" i="1179"/>
  <c r="K34" i="1179"/>
  <c r="K33" i="1179"/>
  <c r="K32" i="1179"/>
  <c r="K31" i="1179"/>
  <c r="K30" i="1179"/>
  <c r="K29" i="1179"/>
  <c r="K28" i="1179"/>
  <c r="K27" i="1179"/>
  <c r="K26" i="1179"/>
  <c r="K25" i="1179"/>
  <c r="J24" i="1179"/>
  <c r="K23" i="1179"/>
  <c r="K22" i="1179"/>
  <c r="K21" i="1179"/>
  <c r="K20" i="1179"/>
  <c r="K19" i="1179"/>
  <c r="K18" i="1179"/>
  <c r="K17" i="1179"/>
  <c r="K16" i="1179"/>
  <c r="K15" i="1179"/>
  <c r="K14" i="1179"/>
  <c r="K13" i="1179"/>
  <c r="K12" i="1179"/>
  <c r="K11" i="1179"/>
  <c r="K10" i="1179"/>
  <c r="K9" i="1179"/>
  <c r="K8" i="1179"/>
  <c r="J27" i="1177"/>
  <c r="J26" i="1177"/>
  <c r="J25" i="1177"/>
  <c r="K41" i="1179" l="1"/>
  <c r="K24" i="1179"/>
  <c r="J44" i="1179"/>
  <c r="H44" i="1178"/>
  <c r="E44" i="1178"/>
  <c r="C44" i="1178"/>
  <c r="B44" i="1178"/>
  <c r="A44" i="1178"/>
  <c r="J41" i="1178"/>
  <c r="K40" i="1178"/>
  <c r="K39" i="1178"/>
  <c r="K38" i="1178"/>
  <c r="K37" i="1178"/>
  <c r="K36" i="1178"/>
  <c r="K35" i="1178"/>
  <c r="K34" i="1178"/>
  <c r="K33" i="1178"/>
  <c r="K32" i="1178"/>
  <c r="K31" i="1178"/>
  <c r="K30" i="1178"/>
  <c r="K29" i="1178"/>
  <c r="K28" i="1178"/>
  <c r="K27" i="1178"/>
  <c r="K26" i="1178"/>
  <c r="K25" i="1178"/>
  <c r="J24" i="1178"/>
  <c r="K23" i="1178"/>
  <c r="K22" i="1178"/>
  <c r="K21" i="1178"/>
  <c r="K20" i="1178"/>
  <c r="K19" i="1178"/>
  <c r="K18" i="1178"/>
  <c r="K17" i="1178"/>
  <c r="K16" i="1178"/>
  <c r="K15" i="1178"/>
  <c r="K14" i="1178"/>
  <c r="K13" i="1178"/>
  <c r="K12" i="1178"/>
  <c r="K11" i="1178"/>
  <c r="K10" i="1178"/>
  <c r="K9" i="1178"/>
  <c r="K8" i="1178"/>
  <c r="K41" i="1178" l="1"/>
  <c r="K24" i="1178"/>
  <c r="J44" i="1178"/>
  <c r="H44" i="1177"/>
  <c r="E44" i="1177"/>
  <c r="C44" i="1177"/>
  <c r="B44" i="1177"/>
  <c r="A44" i="1177"/>
  <c r="J41" i="1177"/>
  <c r="K40" i="1177"/>
  <c r="K39" i="1177"/>
  <c r="K38" i="1177"/>
  <c r="K37" i="1177"/>
  <c r="K36" i="1177"/>
  <c r="K35" i="1177"/>
  <c r="K34" i="1177"/>
  <c r="K33" i="1177"/>
  <c r="K32" i="1177"/>
  <c r="K31" i="1177"/>
  <c r="K30" i="1177"/>
  <c r="K29" i="1177"/>
  <c r="K28" i="1177"/>
  <c r="K27" i="1177"/>
  <c r="K26" i="1177"/>
  <c r="K25" i="1177"/>
  <c r="J24" i="1177"/>
  <c r="K23" i="1177"/>
  <c r="K22" i="1177"/>
  <c r="K21" i="1177"/>
  <c r="K20" i="1177"/>
  <c r="K19" i="1177"/>
  <c r="K18" i="1177"/>
  <c r="K17" i="1177"/>
  <c r="K16" i="1177"/>
  <c r="K15" i="1177"/>
  <c r="K14" i="1177"/>
  <c r="K13" i="1177"/>
  <c r="K12" i="1177"/>
  <c r="K11" i="1177"/>
  <c r="K10" i="1177"/>
  <c r="K9" i="1177"/>
  <c r="K8" i="1177"/>
  <c r="H44" i="1176"/>
  <c r="E44" i="1176"/>
  <c r="C44" i="1176"/>
  <c r="B44" i="1176"/>
  <c r="A44" i="1176"/>
  <c r="J41" i="1176"/>
  <c r="K40" i="1176"/>
  <c r="K39" i="1176"/>
  <c r="K38" i="1176"/>
  <c r="K32" i="1176"/>
  <c r="K31" i="1176"/>
  <c r="K30" i="1176"/>
  <c r="K29" i="1176"/>
  <c r="K28" i="1176"/>
  <c r="K27" i="1176"/>
  <c r="K26" i="1176"/>
  <c r="K25" i="1176"/>
  <c r="K24" i="1176"/>
  <c r="K23" i="1176"/>
  <c r="K22" i="1176"/>
  <c r="K21" i="1176"/>
  <c r="K20" i="1176"/>
  <c r="J19" i="1176"/>
  <c r="K18" i="1176"/>
  <c r="K37" i="1176"/>
  <c r="K36" i="1176"/>
  <c r="K35" i="1176"/>
  <c r="K34" i="1176"/>
  <c r="K33" i="1176"/>
  <c r="K17" i="1176"/>
  <c r="K16" i="1176"/>
  <c r="K15" i="1176"/>
  <c r="K14" i="1176"/>
  <c r="K13" i="1176"/>
  <c r="K12" i="1176"/>
  <c r="K11" i="1176"/>
  <c r="K10" i="1176"/>
  <c r="K9" i="1176"/>
  <c r="K8" i="1176"/>
  <c r="J31" i="1174"/>
  <c r="K41" i="1177" l="1"/>
  <c r="K24" i="1177"/>
  <c r="J44" i="1177"/>
  <c r="K41" i="1176"/>
  <c r="K19" i="1176"/>
  <c r="J44" i="1176"/>
  <c r="H44" i="1175"/>
  <c r="E44" i="1175"/>
  <c r="C44" i="1175"/>
  <c r="B44" i="1175"/>
  <c r="A44" i="1175"/>
  <c r="J41" i="1175"/>
  <c r="K40" i="1175"/>
  <c r="K39" i="1175"/>
  <c r="K38" i="1175"/>
  <c r="K37" i="1175"/>
  <c r="K36" i="1175"/>
  <c r="K35" i="1175"/>
  <c r="K34" i="1175"/>
  <c r="K33" i="1175"/>
  <c r="K32" i="1175"/>
  <c r="K31" i="1175"/>
  <c r="K30" i="1175"/>
  <c r="K29" i="1175"/>
  <c r="K28" i="1175"/>
  <c r="K27" i="1175"/>
  <c r="K26" i="1175"/>
  <c r="K25" i="1175"/>
  <c r="K41" i="1175" s="1"/>
  <c r="J24" i="1175"/>
  <c r="K23" i="1175"/>
  <c r="K22" i="1175"/>
  <c r="K21" i="1175"/>
  <c r="K20" i="1175"/>
  <c r="K19" i="1175"/>
  <c r="K18" i="1175"/>
  <c r="K17" i="1175"/>
  <c r="K16" i="1175"/>
  <c r="K15" i="1175"/>
  <c r="K14" i="1175"/>
  <c r="K13" i="1175"/>
  <c r="K12" i="1175"/>
  <c r="K11" i="1175"/>
  <c r="K10" i="1175"/>
  <c r="K9" i="1175"/>
  <c r="K8" i="1175"/>
  <c r="J12" i="1173"/>
  <c r="K24" i="1175" l="1"/>
  <c r="J44" i="1175"/>
  <c r="H44" i="1174"/>
  <c r="E44" i="1174"/>
  <c r="C44" i="1174"/>
  <c r="B44" i="1174"/>
  <c r="A44" i="1174"/>
  <c r="J41" i="1174"/>
  <c r="K40" i="1174"/>
  <c r="K39" i="1174"/>
  <c r="K38" i="1174"/>
  <c r="K37" i="1174"/>
  <c r="K36" i="1174"/>
  <c r="K35" i="1174"/>
  <c r="K34" i="1174"/>
  <c r="K33" i="1174"/>
  <c r="K32" i="1174"/>
  <c r="K31" i="1174"/>
  <c r="K30" i="1174"/>
  <c r="K29" i="1174"/>
  <c r="K28" i="1174"/>
  <c r="K27" i="1174"/>
  <c r="K26" i="1174"/>
  <c r="K25" i="1174"/>
  <c r="J24" i="1174"/>
  <c r="K23" i="1174"/>
  <c r="K22" i="1174"/>
  <c r="K21" i="1174"/>
  <c r="K20" i="1174"/>
  <c r="K19" i="1174"/>
  <c r="K18" i="1174"/>
  <c r="K17" i="1174"/>
  <c r="K16" i="1174"/>
  <c r="K15" i="1174"/>
  <c r="K14" i="1174"/>
  <c r="K13" i="1174"/>
  <c r="K12" i="1174"/>
  <c r="K11" i="1174"/>
  <c r="K10" i="1174"/>
  <c r="K9" i="1174"/>
  <c r="K8" i="1174"/>
  <c r="K41" i="1174" l="1"/>
  <c r="K24" i="1174"/>
  <c r="J44" i="1174"/>
  <c r="H44" i="1173"/>
  <c r="E44" i="1173"/>
  <c r="C44" i="1173"/>
  <c r="B44" i="1173"/>
  <c r="A44" i="1173"/>
  <c r="J41" i="1173"/>
  <c r="K40" i="1173"/>
  <c r="K39" i="1173"/>
  <c r="K38" i="1173"/>
  <c r="K37" i="1173"/>
  <c r="K36" i="1173"/>
  <c r="K35" i="1173"/>
  <c r="K34" i="1173"/>
  <c r="K33" i="1173"/>
  <c r="K32" i="1173"/>
  <c r="K31" i="1173"/>
  <c r="K30" i="1173"/>
  <c r="K29" i="1173"/>
  <c r="K28" i="1173"/>
  <c r="K27" i="1173"/>
  <c r="K26" i="1173"/>
  <c r="K25" i="1173"/>
  <c r="J24" i="1173"/>
  <c r="K23" i="1173"/>
  <c r="K22" i="1173"/>
  <c r="K21" i="1173"/>
  <c r="K20" i="1173"/>
  <c r="K19" i="1173"/>
  <c r="K18" i="1173"/>
  <c r="K17" i="1173"/>
  <c r="K16" i="1173"/>
  <c r="K15" i="1173"/>
  <c r="K14" i="1173"/>
  <c r="K13" i="1173"/>
  <c r="K12" i="1173"/>
  <c r="K11" i="1173"/>
  <c r="K10" i="1173"/>
  <c r="K9" i="1173"/>
  <c r="K8" i="1173"/>
  <c r="J11" i="1171"/>
  <c r="K41" i="1173" l="1"/>
  <c r="K24" i="1173"/>
  <c r="J44" i="1173"/>
  <c r="H44" i="1172"/>
  <c r="E44" i="1172"/>
  <c r="C44" i="1172"/>
  <c r="B44" i="1172"/>
  <c r="A44" i="1172"/>
  <c r="J41" i="1172"/>
  <c r="K40" i="1172"/>
  <c r="K39" i="1172"/>
  <c r="K38" i="1172"/>
  <c r="K37" i="1172"/>
  <c r="K36" i="1172"/>
  <c r="K35" i="1172"/>
  <c r="K34" i="1172"/>
  <c r="K33" i="1172"/>
  <c r="K32" i="1172"/>
  <c r="K31" i="1172"/>
  <c r="K30" i="1172"/>
  <c r="K29" i="1172"/>
  <c r="K28" i="1172"/>
  <c r="K27" i="1172"/>
  <c r="K26" i="1172"/>
  <c r="K25" i="1172"/>
  <c r="K41" i="1172" s="1"/>
  <c r="J24" i="1172"/>
  <c r="K23" i="1172"/>
  <c r="K22" i="1172"/>
  <c r="K21" i="1172"/>
  <c r="K20" i="1172"/>
  <c r="K19" i="1172"/>
  <c r="K18" i="1172"/>
  <c r="K17" i="1172"/>
  <c r="K16" i="1172"/>
  <c r="K15" i="1172"/>
  <c r="K14" i="1172"/>
  <c r="K13" i="1172"/>
  <c r="K12" i="1172"/>
  <c r="K11" i="1172"/>
  <c r="K10" i="1172"/>
  <c r="K9" i="1172"/>
  <c r="K8" i="1172"/>
  <c r="K24" i="1172" l="1"/>
  <c r="J44" i="1172"/>
  <c r="H44" i="1171"/>
  <c r="E44" i="1171"/>
  <c r="C44" i="1171"/>
  <c r="B44" i="1171"/>
  <c r="A44" i="1171"/>
  <c r="J41" i="1171"/>
  <c r="K40" i="1171"/>
  <c r="K39" i="1171"/>
  <c r="K38" i="1171"/>
  <c r="K37" i="1171"/>
  <c r="K36" i="1171"/>
  <c r="K35" i="1171"/>
  <c r="K34" i="1171"/>
  <c r="K33" i="1171"/>
  <c r="K32" i="1171"/>
  <c r="K31" i="1171"/>
  <c r="K30" i="1171"/>
  <c r="K29" i="1171"/>
  <c r="K28" i="1171"/>
  <c r="K27" i="1171"/>
  <c r="K26" i="1171"/>
  <c r="K25" i="1171"/>
  <c r="J24" i="1171"/>
  <c r="K23" i="1171"/>
  <c r="K22" i="1171"/>
  <c r="K21" i="1171"/>
  <c r="K20" i="1171"/>
  <c r="K19" i="1171"/>
  <c r="K18" i="1171"/>
  <c r="K17" i="1171"/>
  <c r="K16" i="1171"/>
  <c r="K15" i="1171"/>
  <c r="K14" i="1171"/>
  <c r="K13" i="1171"/>
  <c r="K12" i="1171"/>
  <c r="K11" i="1171"/>
  <c r="K10" i="1171"/>
  <c r="K9" i="1171"/>
  <c r="K8" i="1171"/>
  <c r="J29" i="1169"/>
  <c r="K41" i="1171" l="1"/>
  <c r="K24" i="1171"/>
  <c r="J44" i="1171"/>
  <c r="J14" i="1169"/>
  <c r="H44" i="1170"/>
  <c r="E44" i="1170"/>
  <c r="C44" i="1170"/>
  <c r="B44" i="1170"/>
  <c r="A44" i="1170"/>
  <c r="J41" i="1170"/>
  <c r="K40" i="1170"/>
  <c r="K39" i="1170"/>
  <c r="K38" i="1170"/>
  <c r="K37" i="1170"/>
  <c r="K36" i="1170"/>
  <c r="K35" i="1170"/>
  <c r="K34" i="1170"/>
  <c r="K33" i="1170"/>
  <c r="K32" i="1170"/>
  <c r="K31" i="1170"/>
  <c r="K30" i="1170"/>
  <c r="K29" i="1170"/>
  <c r="K28" i="1170"/>
  <c r="K27" i="1170"/>
  <c r="K26" i="1170"/>
  <c r="K25" i="1170"/>
  <c r="J24" i="1170"/>
  <c r="K23" i="1170"/>
  <c r="K22" i="1170"/>
  <c r="K21" i="1170"/>
  <c r="K20" i="1170"/>
  <c r="K19" i="1170"/>
  <c r="K18" i="1170"/>
  <c r="K17" i="1170"/>
  <c r="K16" i="1170"/>
  <c r="K15" i="1170"/>
  <c r="K14" i="1170"/>
  <c r="K13" i="1170"/>
  <c r="K12" i="1170"/>
  <c r="K11" i="1170"/>
  <c r="K10" i="1170"/>
  <c r="K9" i="1170"/>
  <c r="K8" i="1170"/>
  <c r="K24" i="1170" s="1"/>
  <c r="H44" i="1169"/>
  <c r="E44" i="1169"/>
  <c r="C44" i="1169"/>
  <c r="B44" i="1169"/>
  <c r="A44" i="1169"/>
  <c r="J41" i="1169"/>
  <c r="K40" i="1169"/>
  <c r="K39" i="1169"/>
  <c r="K38" i="1169"/>
  <c r="K37" i="1169"/>
  <c r="K36" i="1169"/>
  <c r="K35" i="1169"/>
  <c r="K34" i="1169"/>
  <c r="K33" i="1169"/>
  <c r="K32" i="1169"/>
  <c r="K31" i="1169"/>
  <c r="K30" i="1169"/>
  <c r="K29" i="1169"/>
  <c r="K28" i="1169"/>
  <c r="K27" i="1169"/>
  <c r="K26" i="1169"/>
  <c r="K25" i="1169"/>
  <c r="J24" i="1169"/>
  <c r="K23" i="1169"/>
  <c r="K22" i="1169"/>
  <c r="K21" i="1169"/>
  <c r="K20" i="1169"/>
  <c r="K19" i="1169"/>
  <c r="K18" i="1169"/>
  <c r="K17" i="1169"/>
  <c r="K16" i="1169"/>
  <c r="K15" i="1169"/>
  <c r="K14" i="1169"/>
  <c r="K13" i="1169"/>
  <c r="K12" i="1169"/>
  <c r="K11" i="1169"/>
  <c r="K10" i="1169"/>
  <c r="K9" i="1169"/>
  <c r="K8" i="1169"/>
  <c r="K41" i="1170" l="1"/>
  <c r="J44" i="1170"/>
  <c r="K41" i="1169"/>
  <c r="K24" i="1169"/>
  <c r="J44" i="1169"/>
  <c r="H44" i="1168"/>
  <c r="E44" i="1168"/>
  <c r="C44" i="1168"/>
  <c r="B44" i="1168"/>
  <c r="A44" i="1168"/>
  <c r="J41" i="1168"/>
  <c r="K40" i="1168"/>
  <c r="K39" i="1168"/>
  <c r="K38" i="1168"/>
  <c r="K37" i="1168"/>
  <c r="K36" i="1168"/>
  <c r="K35" i="1168"/>
  <c r="K34" i="1168"/>
  <c r="K33" i="1168"/>
  <c r="K32" i="1168"/>
  <c r="K31" i="1168"/>
  <c r="K30" i="1168"/>
  <c r="K29" i="1168"/>
  <c r="K28" i="1168"/>
  <c r="K27" i="1168"/>
  <c r="K26" i="1168"/>
  <c r="K25" i="1168"/>
  <c r="J24" i="1168"/>
  <c r="K23" i="1168"/>
  <c r="K22" i="1168"/>
  <c r="K21" i="1168"/>
  <c r="K20" i="1168"/>
  <c r="K19" i="1168"/>
  <c r="K18" i="1168"/>
  <c r="K17" i="1168"/>
  <c r="K16" i="1168"/>
  <c r="K15" i="1168"/>
  <c r="K14" i="1168"/>
  <c r="K13" i="1168"/>
  <c r="K12" i="1168"/>
  <c r="K11" i="1168"/>
  <c r="K10" i="1168"/>
  <c r="K9" i="1168"/>
  <c r="K8" i="1168"/>
  <c r="K41" i="1168" l="1"/>
  <c r="K24" i="1168"/>
  <c r="J44" i="1168"/>
  <c r="H44" i="1167"/>
  <c r="E44" i="1167"/>
  <c r="C44" i="1167"/>
  <c r="B44" i="1167"/>
  <c r="A44" i="1167"/>
  <c r="J41" i="1167"/>
  <c r="K40" i="1167"/>
  <c r="K29" i="1167"/>
  <c r="K28" i="1167"/>
  <c r="K27" i="1167"/>
  <c r="K26" i="1167"/>
  <c r="K25" i="1167"/>
  <c r="K24" i="1167"/>
  <c r="K23" i="1167"/>
  <c r="K22" i="1167"/>
  <c r="K21" i="1167"/>
  <c r="K20" i="1167"/>
  <c r="K19" i="1167"/>
  <c r="K18" i="1167"/>
  <c r="K17" i="1167"/>
  <c r="K16" i="1167"/>
  <c r="K15" i="1167"/>
  <c r="J14" i="1167"/>
  <c r="K13" i="1167"/>
  <c r="K12" i="1167"/>
  <c r="K39" i="1167"/>
  <c r="K38" i="1167"/>
  <c r="K37" i="1167"/>
  <c r="K36" i="1167"/>
  <c r="K35" i="1167"/>
  <c r="K34" i="1167"/>
  <c r="K33" i="1167"/>
  <c r="K32" i="1167"/>
  <c r="K31" i="1167"/>
  <c r="K30" i="1167"/>
  <c r="K11" i="1167"/>
  <c r="K10" i="1167"/>
  <c r="K9" i="1167"/>
  <c r="K8" i="1167"/>
  <c r="J15" i="1165"/>
  <c r="H44" i="1166"/>
  <c r="E44" i="1166"/>
  <c r="C44" i="1166"/>
  <c r="B44" i="1166"/>
  <c r="A44" i="1166"/>
  <c r="J41" i="1166"/>
  <c r="K40" i="1166"/>
  <c r="K39" i="1166"/>
  <c r="K38" i="1166"/>
  <c r="K37" i="1166"/>
  <c r="K36" i="1166"/>
  <c r="K35" i="1166"/>
  <c r="K34" i="1166"/>
  <c r="K33" i="1166"/>
  <c r="K32" i="1166"/>
  <c r="K31" i="1166"/>
  <c r="K30" i="1166"/>
  <c r="K29" i="1166"/>
  <c r="K28" i="1166"/>
  <c r="K27" i="1166"/>
  <c r="K26" i="1166"/>
  <c r="K25" i="1166"/>
  <c r="J24" i="1166"/>
  <c r="K23" i="1166"/>
  <c r="K22" i="1166"/>
  <c r="K21" i="1166"/>
  <c r="K20" i="1166"/>
  <c r="K19" i="1166"/>
  <c r="K18" i="1166"/>
  <c r="K17" i="1166"/>
  <c r="K16" i="1166"/>
  <c r="K15" i="1166"/>
  <c r="K14" i="1166"/>
  <c r="K13" i="1166"/>
  <c r="K12" i="1166"/>
  <c r="K11" i="1166"/>
  <c r="K10" i="1166"/>
  <c r="K9" i="1166"/>
  <c r="K8" i="1166"/>
  <c r="K41" i="1167" l="1"/>
  <c r="K14" i="1167"/>
  <c r="J44" i="1167"/>
  <c r="K41" i="1166"/>
  <c r="K24" i="1166"/>
  <c r="J44" i="1166"/>
  <c r="H44" i="1165"/>
  <c r="E44" i="1165"/>
  <c r="C44" i="1165"/>
  <c r="B44" i="1165"/>
  <c r="A44" i="1165"/>
  <c r="J41" i="1165"/>
  <c r="K40" i="1165"/>
  <c r="K39" i="1165"/>
  <c r="K38" i="1165"/>
  <c r="K37" i="1165"/>
  <c r="K36" i="1165"/>
  <c r="K35" i="1165"/>
  <c r="K34" i="1165"/>
  <c r="K33" i="1165"/>
  <c r="K32" i="1165"/>
  <c r="K31" i="1165"/>
  <c r="K30" i="1165"/>
  <c r="K29" i="1165"/>
  <c r="K28" i="1165"/>
  <c r="K27" i="1165"/>
  <c r="K26" i="1165"/>
  <c r="K25" i="1165"/>
  <c r="K41" i="1165" s="1"/>
  <c r="J24" i="1165"/>
  <c r="K23" i="1165"/>
  <c r="K22" i="1165"/>
  <c r="K21" i="1165"/>
  <c r="K20" i="1165"/>
  <c r="K19" i="1165"/>
  <c r="K18" i="1165"/>
  <c r="K17" i="1165"/>
  <c r="K16" i="1165"/>
  <c r="K15" i="1165"/>
  <c r="K14" i="1165"/>
  <c r="K13" i="1165"/>
  <c r="K12" i="1165"/>
  <c r="K11" i="1165"/>
  <c r="K10" i="1165"/>
  <c r="K9" i="1165"/>
  <c r="K8" i="1165"/>
  <c r="K24" i="1165" l="1"/>
  <c r="J44" i="1165"/>
  <c r="J14" i="1163"/>
  <c r="E44" i="1163" s="1"/>
  <c r="J13" i="1163"/>
  <c r="H44" i="1164"/>
  <c r="E44" i="1164"/>
  <c r="C44" i="1164"/>
  <c r="B44" i="1164"/>
  <c r="A44" i="1164"/>
  <c r="J41" i="1164"/>
  <c r="K40" i="1164"/>
  <c r="K39" i="1164"/>
  <c r="K38" i="1164"/>
  <c r="K37" i="1164"/>
  <c r="K36" i="1164"/>
  <c r="K35" i="1164"/>
  <c r="K34" i="1164"/>
  <c r="K33" i="1164"/>
  <c r="K32" i="1164"/>
  <c r="K31" i="1164"/>
  <c r="K30" i="1164"/>
  <c r="K29" i="1164"/>
  <c r="K28" i="1164"/>
  <c r="K27" i="1164"/>
  <c r="K26" i="1164"/>
  <c r="K25" i="1164"/>
  <c r="J24" i="1164"/>
  <c r="K23" i="1164"/>
  <c r="K22" i="1164"/>
  <c r="K21" i="1164"/>
  <c r="K20" i="1164"/>
  <c r="K19" i="1164"/>
  <c r="K18" i="1164"/>
  <c r="K17" i="1164"/>
  <c r="K16" i="1164"/>
  <c r="K15" i="1164"/>
  <c r="K14" i="1164"/>
  <c r="K13" i="1164"/>
  <c r="K12" i="1164"/>
  <c r="K11" i="1164"/>
  <c r="K10" i="1164"/>
  <c r="K9" i="1164"/>
  <c r="K8" i="1164"/>
  <c r="J8" i="1162"/>
  <c r="H44" i="1163"/>
  <c r="C44" i="1163"/>
  <c r="B44" i="1163"/>
  <c r="A44" i="1163"/>
  <c r="J41" i="1163"/>
  <c r="K40" i="1163"/>
  <c r="K39" i="1163"/>
  <c r="K38" i="1163"/>
  <c r="K37" i="1163"/>
  <c r="K36" i="1163"/>
  <c r="K35" i="1163"/>
  <c r="K34" i="1163"/>
  <c r="K33" i="1163"/>
  <c r="K32" i="1163"/>
  <c r="K31" i="1163"/>
  <c r="K30" i="1163"/>
  <c r="K29" i="1163"/>
  <c r="K28" i="1163"/>
  <c r="K27" i="1163"/>
  <c r="K26" i="1163"/>
  <c r="K25" i="1163"/>
  <c r="J24" i="1163"/>
  <c r="K23" i="1163"/>
  <c r="K22" i="1163"/>
  <c r="K21" i="1163"/>
  <c r="K20" i="1163"/>
  <c r="K19" i="1163"/>
  <c r="K18" i="1163"/>
  <c r="K17" i="1163"/>
  <c r="K16" i="1163"/>
  <c r="K15" i="1163"/>
  <c r="K14" i="1163"/>
  <c r="K13" i="1163"/>
  <c r="K12" i="1163"/>
  <c r="K11" i="1163"/>
  <c r="K10" i="1163"/>
  <c r="K9" i="1163"/>
  <c r="K8" i="1163"/>
  <c r="K41" i="1164" l="1"/>
  <c r="K24" i="1164"/>
  <c r="J44" i="1164"/>
  <c r="K41" i="1163"/>
  <c r="J44" i="1163"/>
  <c r="K24" i="1163"/>
  <c r="H44" i="1162"/>
  <c r="E44" i="1162"/>
  <c r="C44" i="1162"/>
  <c r="B44" i="1162"/>
  <c r="A44" i="1162"/>
  <c r="J41" i="1162"/>
  <c r="K40" i="1162"/>
  <c r="K39" i="1162"/>
  <c r="K38" i="1162"/>
  <c r="K37" i="1162"/>
  <c r="K36" i="1162"/>
  <c r="K35" i="1162"/>
  <c r="K34" i="1162"/>
  <c r="K33" i="1162"/>
  <c r="K32" i="1162"/>
  <c r="K31" i="1162"/>
  <c r="K30" i="1162"/>
  <c r="K29" i="1162"/>
  <c r="K28" i="1162"/>
  <c r="K27" i="1162"/>
  <c r="K26" i="1162"/>
  <c r="K25" i="1162"/>
  <c r="J24" i="1162"/>
  <c r="K23" i="1162"/>
  <c r="K22" i="1162"/>
  <c r="K21" i="1162"/>
  <c r="K20" i="1162"/>
  <c r="K19" i="1162"/>
  <c r="K18" i="1162"/>
  <c r="K17" i="1162"/>
  <c r="K16" i="1162"/>
  <c r="K15" i="1162"/>
  <c r="K14" i="1162"/>
  <c r="K13" i="1162"/>
  <c r="K12" i="1162"/>
  <c r="K11" i="1162"/>
  <c r="K10" i="1162"/>
  <c r="K9" i="1162"/>
  <c r="K8" i="1162"/>
  <c r="J10" i="1160"/>
  <c r="H44" i="1161"/>
  <c r="E44" i="1161"/>
  <c r="C44" i="1161"/>
  <c r="B44" i="1161"/>
  <c r="A44" i="1161"/>
  <c r="J41" i="1161"/>
  <c r="K40" i="1161"/>
  <c r="K35" i="1161"/>
  <c r="K34" i="1161"/>
  <c r="K33" i="1161"/>
  <c r="K32" i="1161"/>
  <c r="K31" i="1161"/>
  <c r="K30" i="1161"/>
  <c r="K29" i="1161"/>
  <c r="K28" i="1161"/>
  <c r="K27" i="1161"/>
  <c r="K26" i="1161"/>
  <c r="K25" i="1161"/>
  <c r="K24" i="1161"/>
  <c r="K23" i="1161"/>
  <c r="K22" i="1161"/>
  <c r="K21" i="1161"/>
  <c r="J20" i="1161"/>
  <c r="K19" i="1161"/>
  <c r="K39" i="1161"/>
  <c r="K38" i="1161"/>
  <c r="K37" i="1161"/>
  <c r="K36" i="1161"/>
  <c r="K18" i="1161"/>
  <c r="K17" i="1161"/>
  <c r="K16" i="1161"/>
  <c r="K15" i="1161"/>
  <c r="K14" i="1161"/>
  <c r="K13" i="1161"/>
  <c r="K12" i="1161"/>
  <c r="K11" i="1161"/>
  <c r="K10" i="1161"/>
  <c r="K9" i="1161"/>
  <c r="K8" i="1161"/>
  <c r="H44" i="1160"/>
  <c r="E44" i="1160"/>
  <c r="C44" i="1160"/>
  <c r="B44" i="1160"/>
  <c r="A44" i="1160"/>
  <c r="J41" i="1160"/>
  <c r="K40" i="1160"/>
  <c r="K39" i="1160"/>
  <c r="K38" i="1160"/>
  <c r="K37" i="1160"/>
  <c r="K36" i="1160"/>
  <c r="K35" i="1160"/>
  <c r="K34" i="1160"/>
  <c r="K33" i="1160"/>
  <c r="K32" i="1160"/>
  <c r="K31" i="1160"/>
  <c r="K30" i="1160"/>
  <c r="K29" i="1160"/>
  <c r="K28" i="1160"/>
  <c r="K27" i="1160"/>
  <c r="K26" i="1160"/>
  <c r="K25" i="1160"/>
  <c r="J24" i="1160"/>
  <c r="K23" i="1160"/>
  <c r="K22" i="1160"/>
  <c r="K21" i="1160"/>
  <c r="K20" i="1160"/>
  <c r="K19" i="1160"/>
  <c r="K18" i="1160"/>
  <c r="K17" i="1160"/>
  <c r="K16" i="1160"/>
  <c r="K15" i="1160"/>
  <c r="K14" i="1160"/>
  <c r="K13" i="1160"/>
  <c r="K12" i="1160"/>
  <c r="K11" i="1160"/>
  <c r="K10" i="1160"/>
  <c r="K9" i="1160"/>
  <c r="K8" i="1160"/>
  <c r="K41" i="1162" l="1"/>
  <c r="K24" i="1162"/>
  <c r="J44" i="1162"/>
  <c r="K41" i="1161"/>
  <c r="K20" i="1161"/>
  <c r="J44" i="1161"/>
  <c r="K41" i="1160"/>
  <c r="J44" i="1160"/>
  <c r="K24" i="1160"/>
  <c r="J9" i="1158"/>
  <c r="J24" i="1158" s="1"/>
  <c r="H44" i="1159"/>
  <c r="E44" i="1159"/>
  <c r="C44" i="1159"/>
  <c r="B44" i="1159"/>
  <c r="A44" i="1159"/>
  <c r="J41" i="1159"/>
  <c r="K40" i="1159"/>
  <c r="K39" i="1159"/>
  <c r="K38" i="1159"/>
  <c r="K33" i="1159"/>
  <c r="K32" i="1159"/>
  <c r="K31" i="1159"/>
  <c r="K30" i="1159"/>
  <c r="K29" i="1159"/>
  <c r="K28" i="1159"/>
  <c r="K27" i="1159"/>
  <c r="K26" i="1159"/>
  <c r="K25" i="1159"/>
  <c r="K24" i="1159"/>
  <c r="K23" i="1159"/>
  <c r="K22" i="1159"/>
  <c r="K21" i="1159"/>
  <c r="J20" i="1159"/>
  <c r="K19" i="1159"/>
  <c r="K18" i="1159"/>
  <c r="K17" i="1159"/>
  <c r="K16" i="1159"/>
  <c r="K15" i="1159"/>
  <c r="K37" i="1159"/>
  <c r="K36" i="1159"/>
  <c r="K35" i="1159"/>
  <c r="K34" i="1159"/>
  <c r="K14" i="1159"/>
  <c r="K13" i="1159"/>
  <c r="K12" i="1159"/>
  <c r="K11" i="1159"/>
  <c r="K10" i="1159"/>
  <c r="K9" i="1159"/>
  <c r="K8" i="1159"/>
  <c r="J8" i="1157"/>
  <c r="H44" i="1158"/>
  <c r="E44" i="1158"/>
  <c r="C44" i="1158"/>
  <c r="B44" i="1158"/>
  <c r="A44" i="1158"/>
  <c r="J41" i="1158"/>
  <c r="K40" i="1158"/>
  <c r="K39" i="1158"/>
  <c r="K38" i="1158"/>
  <c r="K37" i="1158"/>
  <c r="K36" i="1158"/>
  <c r="K35" i="1158"/>
  <c r="K34" i="1158"/>
  <c r="K33" i="1158"/>
  <c r="K32" i="1158"/>
  <c r="K31" i="1158"/>
  <c r="K30" i="1158"/>
  <c r="K29" i="1158"/>
  <c r="K28" i="1158"/>
  <c r="K27" i="1158"/>
  <c r="K26" i="1158"/>
  <c r="K25" i="1158"/>
  <c r="K41" i="1158" s="1"/>
  <c r="K23" i="1158"/>
  <c r="K22" i="1158"/>
  <c r="K21" i="1158"/>
  <c r="K20" i="1158"/>
  <c r="K19" i="1158"/>
  <c r="K18" i="1158"/>
  <c r="K17" i="1158"/>
  <c r="K16" i="1158"/>
  <c r="K15" i="1158"/>
  <c r="K14" i="1158"/>
  <c r="K13" i="1158"/>
  <c r="K12" i="1158"/>
  <c r="K11" i="1158"/>
  <c r="K10" i="1158"/>
  <c r="K9" i="1158"/>
  <c r="K8" i="1158"/>
  <c r="K20" i="1159" l="1"/>
  <c r="K41" i="1159"/>
  <c r="J44" i="1159"/>
  <c r="K24" i="1158"/>
  <c r="J44" i="1158"/>
  <c r="J29" i="1156"/>
  <c r="J28" i="1156"/>
  <c r="J27" i="1156"/>
  <c r="J11" i="1156" l="1"/>
  <c r="J10" i="1156"/>
  <c r="H44" i="1157" l="1"/>
  <c r="E44" i="1157"/>
  <c r="C44" i="1157"/>
  <c r="B44" i="1157"/>
  <c r="A44" i="1157"/>
  <c r="J41" i="1157"/>
  <c r="K40" i="1157"/>
  <c r="K39" i="1157"/>
  <c r="K38" i="1157"/>
  <c r="K37" i="1157"/>
  <c r="K36" i="1157"/>
  <c r="K35" i="1157"/>
  <c r="K34" i="1157"/>
  <c r="K33" i="1157"/>
  <c r="K32" i="1157"/>
  <c r="K31" i="1157"/>
  <c r="K30" i="1157"/>
  <c r="K29" i="1157"/>
  <c r="K28" i="1157"/>
  <c r="K27" i="1157"/>
  <c r="K26" i="1157"/>
  <c r="K25" i="1157"/>
  <c r="K41" i="1157" s="1"/>
  <c r="J24" i="1157"/>
  <c r="K23" i="1157"/>
  <c r="K22" i="1157"/>
  <c r="K21" i="1157"/>
  <c r="K20" i="1157"/>
  <c r="K19" i="1157"/>
  <c r="K18" i="1157"/>
  <c r="K17" i="1157"/>
  <c r="K16" i="1157"/>
  <c r="K15" i="1157"/>
  <c r="K14" i="1157"/>
  <c r="K13" i="1157"/>
  <c r="K12" i="1157"/>
  <c r="K11" i="1157"/>
  <c r="K10" i="1157"/>
  <c r="K9" i="1157"/>
  <c r="K8" i="1157"/>
  <c r="K24" i="1157" l="1"/>
  <c r="J44" i="1157"/>
  <c r="J26" i="1155"/>
  <c r="E44" i="1155" s="1"/>
  <c r="J10" i="1155"/>
  <c r="H44" i="1156"/>
  <c r="E44" i="1156"/>
  <c r="C44" i="1156"/>
  <c r="B44" i="1156"/>
  <c r="A44" i="1156"/>
  <c r="J41" i="1156"/>
  <c r="K40" i="1156"/>
  <c r="K39" i="1156"/>
  <c r="K38" i="1156"/>
  <c r="K37" i="1156"/>
  <c r="K36" i="1156"/>
  <c r="K35" i="1156"/>
  <c r="K34" i="1156"/>
  <c r="K33" i="1156"/>
  <c r="K32" i="1156"/>
  <c r="K31" i="1156"/>
  <c r="K30" i="1156"/>
  <c r="K29" i="1156"/>
  <c r="K28" i="1156"/>
  <c r="K27" i="1156"/>
  <c r="K26" i="1156"/>
  <c r="K25" i="1156"/>
  <c r="J24" i="1156"/>
  <c r="K23" i="1156"/>
  <c r="K22" i="1156"/>
  <c r="K21" i="1156"/>
  <c r="K20" i="1156"/>
  <c r="K19" i="1156"/>
  <c r="K18" i="1156"/>
  <c r="K17" i="1156"/>
  <c r="K16" i="1156"/>
  <c r="K15" i="1156"/>
  <c r="K14" i="1156"/>
  <c r="K13" i="1156"/>
  <c r="K12" i="1156"/>
  <c r="K11" i="1156"/>
  <c r="K10" i="1156"/>
  <c r="K9" i="1156"/>
  <c r="K8" i="1156"/>
  <c r="J25" i="1154"/>
  <c r="H44" i="1155"/>
  <c r="C44" i="1155"/>
  <c r="B44" i="1155"/>
  <c r="A44" i="1155"/>
  <c r="K40" i="1155"/>
  <c r="K39" i="1155"/>
  <c r="K38" i="1155"/>
  <c r="K37" i="1155"/>
  <c r="K36" i="1155"/>
  <c r="K35" i="1155"/>
  <c r="K34" i="1155"/>
  <c r="K33" i="1155"/>
  <c r="K32" i="1155"/>
  <c r="K31" i="1155"/>
  <c r="K30" i="1155"/>
  <c r="K29" i="1155"/>
  <c r="K28" i="1155"/>
  <c r="K27" i="1155"/>
  <c r="K26" i="1155"/>
  <c r="K25" i="1155"/>
  <c r="J24" i="1155"/>
  <c r="K23" i="1155"/>
  <c r="K22" i="1155"/>
  <c r="K21" i="1155"/>
  <c r="K20" i="1155"/>
  <c r="K19" i="1155"/>
  <c r="K18" i="1155"/>
  <c r="K17" i="1155"/>
  <c r="K16" i="1155"/>
  <c r="K15" i="1155"/>
  <c r="K14" i="1155"/>
  <c r="K13" i="1155"/>
  <c r="K12" i="1155"/>
  <c r="K11" i="1155"/>
  <c r="K10" i="1155"/>
  <c r="K9" i="1155"/>
  <c r="K8" i="1155"/>
  <c r="J25" i="1153"/>
  <c r="H44" i="1154"/>
  <c r="E44" i="1154"/>
  <c r="C44" i="1154"/>
  <c r="B44" i="1154"/>
  <c r="A44" i="1154"/>
  <c r="J41" i="1154"/>
  <c r="K40" i="1154"/>
  <c r="K39" i="1154"/>
  <c r="K38" i="1154"/>
  <c r="K37" i="1154"/>
  <c r="K36" i="1154"/>
  <c r="K35" i="1154"/>
  <c r="K34" i="1154"/>
  <c r="K33" i="1154"/>
  <c r="K32" i="1154"/>
  <c r="K31" i="1154"/>
  <c r="K30" i="1154"/>
  <c r="K29" i="1154"/>
  <c r="K28" i="1154"/>
  <c r="K27" i="1154"/>
  <c r="K26" i="1154"/>
  <c r="K25" i="1154"/>
  <c r="J24" i="1154"/>
  <c r="K23" i="1154"/>
  <c r="K22" i="1154"/>
  <c r="K21" i="1154"/>
  <c r="K20" i="1154"/>
  <c r="K19" i="1154"/>
  <c r="K18" i="1154"/>
  <c r="K17" i="1154"/>
  <c r="K16" i="1154"/>
  <c r="K15" i="1154"/>
  <c r="K14" i="1154"/>
  <c r="K13" i="1154"/>
  <c r="K12" i="1154"/>
  <c r="K11" i="1154"/>
  <c r="K10" i="1154"/>
  <c r="K9" i="1154"/>
  <c r="K8" i="1154"/>
  <c r="J38" i="1152"/>
  <c r="J41" i="1155" l="1"/>
  <c r="K41" i="1156"/>
  <c r="K24" i="1156"/>
  <c r="J44" i="1156"/>
  <c r="K41" i="1155"/>
  <c r="K24" i="1155"/>
  <c r="J44" i="1155"/>
  <c r="K41" i="1154"/>
  <c r="K24" i="1154"/>
  <c r="J44" i="1154"/>
  <c r="K32" i="1152"/>
  <c r="K29" i="1152"/>
  <c r="K28" i="1152"/>
  <c r="K27" i="1152"/>
  <c r="K26" i="1152"/>
  <c r="K25" i="1152"/>
  <c r="K24" i="1152"/>
  <c r="K23" i="1152"/>
  <c r="K22" i="1152"/>
  <c r="H44" i="1153"/>
  <c r="E44" i="1153"/>
  <c r="C44" i="1153"/>
  <c r="B44" i="1153"/>
  <c r="A44" i="1153"/>
  <c r="J44" i="1153" s="1"/>
  <c r="J41" i="1153"/>
  <c r="K40" i="1153"/>
  <c r="K39" i="1153"/>
  <c r="K38" i="1153"/>
  <c r="K37" i="1153"/>
  <c r="K36" i="1153"/>
  <c r="K35" i="1153"/>
  <c r="K34" i="1153"/>
  <c r="K33" i="1153"/>
  <c r="K32" i="1153"/>
  <c r="K31" i="1153"/>
  <c r="K30" i="1153"/>
  <c r="K29" i="1153"/>
  <c r="K28" i="1153"/>
  <c r="K27" i="1153"/>
  <c r="K26" i="1153"/>
  <c r="K25" i="1153"/>
  <c r="J24" i="1153"/>
  <c r="K23" i="1153"/>
  <c r="K22" i="1153"/>
  <c r="K21" i="1153"/>
  <c r="K20" i="1153"/>
  <c r="K19" i="1153"/>
  <c r="K18" i="1153"/>
  <c r="K17" i="1153"/>
  <c r="K16" i="1153"/>
  <c r="K15" i="1153"/>
  <c r="K14" i="1153"/>
  <c r="K13" i="1153"/>
  <c r="K12" i="1153"/>
  <c r="K11" i="1153"/>
  <c r="K10" i="1153"/>
  <c r="K9" i="1153"/>
  <c r="K8" i="1153"/>
  <c r="K24" i="1153" s="1"/>
  <c r="K41" i="1153" l="1"/>
  <c r="H46" i="1152"/>
  <c r="E46" i="1152"/>
  <c r="C46" i="1152"/>
  <c r="B46" i="1152"/>
  <c r="A46" i="1152"/>
  <c r="J43" i="1152"/>
  <c r="K42" i="1152"/>
  <c r="K41" i="1152"/>
  <c r="K40" i="1152"/>
  <c r="K39" i="1152"/>
  <c r="K38" i="1152"/>
  <c r="K37" i="1152"/>
  <c r="K36" i="1152"/>
  <c r="K35" i="1152"/>
  <c r="K34" i="1152"/>
  <c r="K31" i="1152"/>
  <c r="J30" i="1152"/>
  <c r="K33" i="1152"/>
  <c r="K21" i="1152"/>
  <c r="K20" i="1152"/>
  <c r="K19" i="1152"/>
  <c r="K18" i="1152"/>
  <c r="K17" i="1152"/>
  <c r="K16" i="1152"/>
  <c r="K15" i="1152"/>
  <c r="K14" i="1152"/>
  <c r="K13" i="1152"/>
  <c r="K12" i="1152"/>
  <c r="K11" i="1152"/>
  <c r="K10" i="1152"/>
  <c r="K9" i="1152"/>
  <c r="K8" i="1152"/>
  <c r="J31" i="1150"/>
  <c r="J29" i="1150"/>
  <c r="M13" i="1150"/>
  <c r="K30" i="1152" l="1"/>
  <c r="J46" i="1152"/>
  <c r="K43" i="1152"/>
  <c r="H44" i="1151"/>
  <c r="E44" i="1151"/>
  <c r="C44" i="1151"/>
  <c r="B44" i="1151"/>
  <c r="A44" i="1151"/>
  <c r="J41" i="1151"/>
  <c r="K40" i="1151"/>
  <c r="K39" i="1151"/>
  <c r="K38" i="1151"/>
  <c r="K37" i="1151"/>
  <c r="K36" i="1151"/>
  <c r="K35" i="1151"/>
  <c r="K34" i="1151"/>
  <c r="K33" i="1151"/>
  <c r="K32" i="1151"/>
  <c r="K31" i="1151"/>
  <c r="K30" i="1151"/>
  <c r="K29" i="1151"/>
  <c r="K28" i="1151"/>
  <c r="K27" i="1151"/>
  <c r="K26" i="1151"/>
  <c r="K25" i="1151"/>
  <c r="J24" i="1151"/>
  <c r="K23" i="1151"/>
  <c r="K22" i="1151"/>
  <c r="K21" i="1151"/>
  <c r="K20" i="1151"/>
  <c r="K19" i="1151"/>
  <c r="K18" i="1151"/>
  <c r="K17" i="1151"/>
  <c r="K16" i="1151"/>
  <c r="K15" i="1151"/>
  <c r="K14" i="1151"/>
  <c r="K13" i="1151"/>
  <c r="K12" i="1151"/>
  <c r="K11" i="1151"/>
  <c r="K10" i="1151"/>
  <c r="K9" i="1151"/>
  <c r="K8" i="1151"/>
  <c r="J33" i="1149"/>
  <c r="H44" i="1150"/>
  <c r="E44" i="1150"/>
  <c r="C44" i="1150"/>
  <c r="B44" i="1150"/>
  <c r="A44" i="1150"/>
  <c r="J41" i="1150"/>
  <c r="K40" i="1150"/>
  <c r="K36" i="1150"/>
  <c r="K35" i="1150"/>
  <c r="K34" i="1150"/>
  <c r="K33" i="1150"/>
  <c r="K32" i="1150"/>
  <c r="K31" i="1150"/>
  <c r="K30" i="1150"/>
  <c r="K29" i="1150"/>
  <c r="K28" i="1150"/>
  <c r="K27" i="1150"/>
  <c r="K26" i="1150"/>
  <c r="K25" i="1150"/>
  <c r="K24" i="1150"/>
  <c r="K23" i="1150"/>
  <c r="K22" i="1150"/>
  <c r="K20" i="1150"/>
  <c r="K39" i="1150"/>
  <c r="K38" i="1150"/>
  <c r="K37" i="1150"/>
  <c r="K19" i="1150"/>
  <c r="K18" i="1150"/>
  <c r="K17" i="1150"/>
  <c r="K16" i="1150"/>
  <c r="K15" i="1150"/>
  <c r="K14" i="1150"/>
  <c r="K13" i="1150"/>
  <c r="K12" i="1150"/>
  <c r="K11" i="1150"/>
  <c r="K10" i="1150"/>
  <c r="K9" i="1150"/>
  <c r="K8" i="1150"/>
  <c r="H44" i="1149"/>
  <c r="E44" i="1149"/>
  <c r="C44" i="1149"/>
  <c r="B44" i="1149"/>
  <c r="A44" i="1149"/>
  <c r="J41" i="1149"/>
  <c r="K40" i="1149"/>
  <c r="K39" i="1149"/>
  <c r="K38" i="1149"/>
  <c r="K37" i="1149"/>
  <c r="K22" i="1149"/>
  <c r="K21" i="1149"/>
  <c r="K20" i="1149"/>
  <c r="K19" i="1149"/>
  <c r="K36" i="1149"/>
  <c r="K35" i="1149"/>
  <c r="K34" i="1149"/>
  <c r="K33" i="1149"/>
  <c r="K28" i="1149"/>
  <c r="K27" i="1149"/>
  <c r="K26" i="1149"/>
  <c r="K25" i="1149"/>
  <c r="J24" i="1149"/>
  <c r="K23" i="1149"/>
  <c r="K32" i="1149"/>
  <c r="K31" i="1149"/>
  <c r="K30" i="1149"/>
  <c r="K29" i="1149"/>
  <c r="K18" i="1149"/>
  <c r="K17" i="1149"/>
  <c r="K16" i="1149"/>
  <c r="K15" i="1149"/>
  <c r="K14" i="1149"/>
  <c r="K13" i="1149"/>
  <c r="K12" i="1149"/>
  <c r="K11" i="1149"/>
  <c r="K10" i="1149"/>
  <c r="K9" i="1149"/>
  <c r="K8" i="1149"/>
  <c r="K21" i="1150" l="1"/>
  <c r="K41" i="1151"/>
  <c r="K24" i="1151"/>
  <c r="J44" i="1151"/>
  <c r="K41" i="1150"/>
  <c r="J44" i="1150"/>
  <c r="K41" i="1149"/>
  <c r="K24" i="1149"/>
  <c r="J44" i="1149"/>
  <c r="K24" i="1147"/>
  <c r="K23" i="1147"/>
  <c r="K22" i="1147"/>
  <c r="H44" i="1148"/>
  <c r="E44" i="1148"/>
  <c r="C44" i="1148"/>
  <c r="B44" i="1148"/>
  <c r="A44" i="1148"/>
  <c r="J41" i="1148"/>
  <c r="K40" i="1148"/>
  <c r="K39" i="1148"/>
  <c r="K38" i="1148"/>
  <c r="K37" i="1148"/>
  <c r="K36" i="1148"/>
  <c r="K35" i="1148"/>
  <c r="K34" i="1148"/>
  <c r="K33" i="1148"/>
  <c r="K32" i="1148"/>
  <c r="K31" i="1148"/>
  <c r="K30" i="1148"/>
  <c r="K29" i="1148"/>
  <c r="K28" i="1148"/>
  <c r="K27" i="1148"/>
  <c r="K26" i="1148"/>
  <c r="K25" i="1148"/>
  <c r="J24" i="1148"/>
  <c r="K23" i="1148"/>
  <c r="K22" i="1148"/>
  <c r="K21" i="1148"/>
  <c r="K20" i="1148"/>
  <c r="K19" i="1148"/>
  <c r="K18" i="1148"/>
  <c r="K17" i="1148"/>
  <c r="K16" i="1148"/>
  <c r="K15" i="1148"/>
  <c r="K14" i="1148"/>
  <c r="K13" i="1148"/>
  <c r="K12" i="1148"/>
  <c r="K11" i="1148"/>
  <c r="K10" i="1148"/>
  <c r="K9" i="1148"/>
  <c r="K8" i="1148"/>
  <c r="M13" i="1146"/>
  <c r="K41" i="1148" l="1"/>
  <c r="K24" i="1148"/>
  <c r="J44" i="1148"/>
  <c r="H47" i="1147"/>
  <c r="E47" i="1147"/>
  <c r="C47" i="1147"/>
  <c r="B47" i="1147"/>
  <c r="A47" i="1147"/>
  <c r="J44" i="1147"/>
  <c r="K43" i="1147"/>
  <c r="K42" i="1147"/>
  <c r="K41" i="1147"/>
  <c r="K40" i="1147"/>
  <c r="K39" i="1147"/>
  <c r="K38" i="1147"/>
  <c r="K37" i="1147"/>
  <c r="K36" i="1147"/>
  <c r="K35" i="1147"/>
  <c r="K34" i="1147"/>
  <c r="K33" i="1147"/>
  <c r="K32" i="1147"/>
  <c r="K31" i="1147"/>
  <c r="K30" i="1147"/>
  <c r="K29" i="1147"/>
  <c r="K28" i="1147"/>
  <c r="J27" i="1147"/>
  <c r="K26" i="1147"/>
  <c r="K25" i="1147"/>
  <c r="K21" i="1147"/>
  <c r="K20" i="1147"/>
  <c r="K19" i="1147"/>
  <c r="K18" i="1147"/>
  <c r="K17" i="1147"/>
  <c r="K16" i="1147"/>
  <c r="K15" i="1147"/>
  <c r="K14" i="1147"/>
  <c r="K13" i="1147"/>
  <c r="K12" i="1147"/>
  <c r="K11" i="1147"/>
  <c r="K10" i="1147"/>
  <c r="K9" i="1147"/>
  <c r="K8" i="1147"/>
  <c r="H44" i="1146"/>
  <c r="E44" i="1146"/>
  <c r="C44" i="1146"/>
  <c r="B44" i="1146"/>
  <c r="A44" i="1146"/>
  <c r="J41" i="1146"/>
  <c r="K40" i="1146"/>
  <c r="K39" i="1146"/>
  <c r="K38" i="1146"/>
  <c r="K37" i="1146"/>
  <c r="K36" i="1146"/>
  <c r="K35" i="1146"/>
  <c r="K34" i="1146"/>
  <c r="K33" i="1146"/>
  <c r="K32" i="1146"/>
  <c r="K31" i="1146"/>
  <c r="K30" i="1146"/>
  <c r="K29" i="1146"/>
  <c r="K28" i="1146"/>
  <c r="K27" i="1146"/>
  <c r="K26" i="1146"/>
  <c r="K25" i="1146"/>
  <c r="J24" i="1146"/>
  <c r="K23" i="1146"/>
  <c r="K22" i="1146"/>
  <c r="K21" i="1146"/>
  <c r="K20" i="1146"/>
  <c r="K19" i="1146"/>
  <c r="K18" i="1146"/>
  <c r="K17" i="1146"/>
  <c r="K16" i="1146"/>
  <c r="K15" i="1146"/>
  <c r="K14" i="1146"/>
  <c r="K13" i="1146"/>
  <c r="K12" i="1146"/>
  <c r="K11" i="1146"/>
  <c r="K10" i="1146"/>
  <c r="K9" i="1146"/>
  <c r="K8" i="1146"/>
  <c r="K44" i="1147" l="1"/>
  <c r="K27" i="1147"/>
  <c r="J47" i="1147"/>
  <c r="K41" i="1146"/>
  <c r="K24" i="1146"/>
  <c r="J44" i="1146"/>
  <c r="H44" i="1145"/>
  <c r="E44" i="1145"/>
  <c r="C44" i="1145"/>
  <c r="B44" i="1145"/>
  <c r="A44" i="1145"/>
  <c r="J41" i="1145"/>
  <c r="K40" i="1145"/>
  <c r="K39" i="1145"/>
  <c r="K38" i="1145"/>
  <c r="K37" i="1145"/>
  <c r="K36" i="1145"/>
  <c r="K35" i="1145"/>
  <c r="K34" i="1145"/>
  <c r="K33" i="1145"/>
  <c r="K32" i="1145"/>
  <c r="K31" i="1145"/>
  <c r="K30" i="1145"/>
  <c r="K29" i="1145"/>
  <c r="K28" i="1145"/>
  <c r="K27" i="1145"/>
  <c r="K26" i="1145"/>
  <c r="K25" i="1145"/>
  <c r="J24" i="1145"/>
  <c r="K23" i="1145"/>
  <c r="K22" i="1145"/>
  <c r="K21" i="1145"/>
  <c r="K20" i="1145"/>
  <c r="K19" i="1145"/>
  <c r="K18" i="1145"/>
  <c r="K17" i="1145"/>
  <c r="K16" i="1145"/>
  <c r="K15" i="1145"/>
  <c r="K14" i="1145"/>
  <c r="K13" i="1145"/>
  <c r="K12" i="1145"/>
  <c r="K11" i="1145"/>
  <c r="K10" i="1145"/>
  <c r="K9" i="1145"/>
  <c r="K8" i="1145"/>
  <c r="K41" i="1145" l="1"/>
  <c r="K24" i="1145"/>
  <c r="J44" i="1145"/>
  <c r="J20" i="1143"/>
  <c r="H44" i="1144" l="1"/>
  <c r="E44" i="1144"/>
  <c r="C44" i="1144"/>
  <c r="B44" i="1144"/>
  <c r="A44" i="1144"/>
  <c r="J41" i="1144"/>
  <c r="K40" i="1144"/>
  <c r="K39" i="1144"/>
  <c r="K38" i="1144"/>
  <c r="K37" i="1144"/>
  <c r="K36" i="1144"/>
  <c r="K35" i="1144"/>
  <c r="K34" i="1144"/>
  <c r="K33" i="1144"/>
  <c r="K32" i="1144"/>
  <c r="K31" i="1144"/>
  <c r="K30" i="1144"/>
  <c r="K29" i="1144"/>
  <c r="K28" i="1144"/>
  <c r="K27" i="1144"/>
  <c r="K26" i="1144"/>
  <c r="K25" i="1144"/>
  <c r="J24" i="1144"/>
  <c r="K23" i="1144"/>
  <c r="K22" i="1144"/>
  <c r="K21" i="1144"/>
  <c r="K20" i="1144"/>
  <c r="K19" i="1144"/>
  <c r="K18" i="1144"/>
  <c r="K17" i="1144"/>
  <c r="K16" i="1144"/>
  <c r="K15" i="1144"/>
  <c r="K14" i="1144"/>
  <c r="K13" i="1144"/>
  <c r="K12" i="1144"/>
  <c r="K11" i="1144"/>
  <c r="K10" i="1144"/>
  <c r="K9" i="1144"/>
  <c r="K8" i="1144"/>
  <c r="K24" i="1144" s="1"/>
  <c r="K41" i="1144" l="1"/>
  <c r="J44" i="1144"/>
  <c r="H44" i="1143"/>
  <c r="E44" i="1143"/>
  <c r="C44" i="1143"/>
  <c r="B44" i="1143"/>
  <c r="A44" i="1143"/>
  <c r="J41" i="1143"/>
  <c r="K40" i="1143"/>
  <c r="K39" i="1143"/>
  <c r="K38" i="1143"/>
  <c r="K37" i="1143"/>
  <c r="K36" i="1143"/>
  <c r="K35" i="1143"/>
  <c r="K34" i="1143"/>
  <c r="K33" i="1143"/>
  <c r="K32" i="1143"/>
  <c r="K31" i="1143"/>
  <c r="K30" i="1143"/>
  <c r="K29" i="1143"/>
  <c r="K28" i="1143"/>
  <c r="K27" i="1143"/>
  <c r="K26" i="1143"/>
  <c r="K25" i="1143"/>
  <c r="J24" i="1143"/>
  <c r="K23" i="1143"/>
  <c r="K22" i="1143"/>
  <c r="K21" i="1143"/>
  <c r="K20" i="1143"/>
  <c r="K19" i="1143"/>
  <c r="K18" i="1143"/>
  <c r="K17" i="1143"/>
  <c r="K16" i="1143"/>
  <c r="K15" i="1143"/>
  <c r="K14" i="1143"/>
  <c r="K13" i="1143"/>
  <c r="K12" i="1143"/>
  <c r="K11" i="1143"/>
  <c r="K10" i="1143"/>
  <c r="K9" i="1143"/>
  <c r="K8" i="1143"/>
  <c r="K41" i="1143" l="1"/>
  <c r="K24" i="1143"/>
  <c r="J44" i="1143"/>
  <c r="H44" i="1142"/>
  <c r="E44" i="1142"/>
  <c r="C44" i="1142"/>
  <c r="B44" i="1142"/>
  <c r="A44" i="1142"/>
  <c r="J41" i="1142"/>
  <c r="K40" i="1142"/>
  <c r="K39" i="1142"/>
  <c r="K38" i="1142"/>
  <c r="K37" i="1142"/>
  <c r="K36" i="1142"/>
  <c r="K35" i="1142"/>
  <c r="K34" i="1142"/>
  <c r="K33" i="1142"/>
  <c r="K32" i="1142"/>
  <c r="K31" i="1142"/>
  <c r="K30" i="1142"/>
  <c r="K29" i="1142"/>
  <c r="K28" i="1142"/>
  <c r="K27" i="1142"/>
  <c r="K26" i="1142"/>
  <c r="K25" i="1142"/>
  <c r="J24" i="1142"/>
  <c r="K23" i="1142"/>
  <c r="K22" i="1142"/>
  <c r="K21" i="1142"/>
  <c r="K20" i="1142"/>
  <c r="K19" i="1142"/>
  <c r="K18" i="1142"/>
  <c r="K17" i="1142"/>
  <c r="K16" i="1142"/>
  <c r="K15" i="1142"/>
  <c r="K14" i="1142"/>
  <c r="K13" i="1142"/>
  <c r="K12" i="1142"/>
  <c r="K11" i="1142"/>
  <c r="K10" i="1142"/>
  <c r="K9" i="1142"/>
  <c r="K8" i="1142"/>
  <c r="K29" i="1140"/>
  <c r="K28" i="1140"/>
  <c r="K41" i="1142" l="1"/>
  <c r="K24" i="1142"/>
  <c r="J44" i="1142"/>
  <c r="H44" i="1141"/>
  <c r="E44" i="1141"/>
  <c r="C44" i="1141"/>
  <c r="B44" i="1141"/>
  <c r="A44" i="1141"/>
  <c r="J41" i="1141"/>
  <c r="K40" i="1141"/>
  <c r="K39" i="1141"/>
  <c r="K38" i="1141"/>
  <c r="K37" i="1141"/>
  <c r="K36" i="1141"/>
  <c r="K35" i="1141"/>
  <c r="K34" i="1141"/>
  <c r="K33" i="1141"/>
  <c r="K32" i="1141"/>
  <c r="K31" i="1141"/>
  <c r="K30" i="1141"/>
  <c r="K29" i="1141"/>
  <c r="K28" i="1141"/>
  <c r="K27" i="1141"/>
  <c r="K26" i="1141"/>
  <c r="K25" i="1141"/>
  <c r="J24" i="1141"/>
  <c r="K23" i="1141"/>
  <c r="K22" i="1141"/>
  <c r="K21" i="1141"/>
  <c r="K20" i="1141"/>
  <c r="K19" i="1141"/>
  <c r="K18" i="1141"/>
  <c r="K17" i="1141"/>
  <c r="K16" i="1141"/>
  <c r="K15" i="1141"/>
  <c r="K14" i="1141"/>
  <c r="K13" i="1141"/>
  <c r="K12" i="1141"/>
  <c r="K11" i="1141"/>
  <c r="K10" i="1141"/>
  <c r="K9" i="1141"/>
  <c r="K8" i="1141"/>
  <c r="J30" i="1139"/>
  <c r="K41" i="1141" l="1"/>
  <c r="K24" i="1141"/>
  <c r="J44" i="1141"/>
  <c r="H46" i="1140"/>
  <c r="E46" i="1140"/>
  <c r="C46" i="1140"/>
  <c r="B46" i="1140"/>
  <c r="A46" i="1140"/>
  <c r="J43" i="1140"/>
  <c r="K42" i="1140"/>
  <c r="K41" i="1140"/>
  <c r="K40" i="1140"/>
  <c r="K39" i="1140"/>
  <c r="K38" i="1140"/>
  <c r="K37" i="1140"/>
  <c r="K36" i="1140"/>
  <c r="K35" i="1140"/>
  <c r="K34" i="1140"/>
  <c r="K33" i="1140"/>
  <c r="K32" i="1140"/>
  <c r="K31" i="1140"/>
  <c r="K30" i="1140"/>
  <c r="K27" i="1140"/>
  <c r="K26" i="1140"/>
  <c r="K25" i="1140"/>
  <c r="J24" i="1140"/>
  <c r="K23" i="1140"/>
  <c r="K22" i="1140"/>
  <c r="K21" i="1140"/>
  <c r="K20" i="1140"/>
  <c r="K19" i="1140"/>
  <c r="K18" i="1140"/>
  <c r="K17" i="1140"/>
  <c r="K16" i="1140"/>
  <c r="K15" i="1140"/>
  <c r="K14" i="1140"/>
  <c r="K13" i="1140"/>
  <c r="K12" i="1140"/>
  <c r="K11" i="1140"/>
  <c r="K10" i="1140"/>
  <c r="K9" i="1140"/>
  <c r="K8" i="1140"/>
  <c r="H44" i="1139"/>
  <c r="E44" i="1139"/>
  <c r="C44" i="1139"/>
  <c r="B44" i="1139"/>
  <c r="A44" i="1139"/>
  <c r="J41" i="1139"/>
  <c r="K40" i="1139"/>
  <c r="K39" i="1139"/>
  <c r="K38" i="1139"/>
  <c r="K37" i="1139"/>
  <c r="K36" i="1139"/>
  <c r="K35" i="1139"/>
  <c r="K34" i="1139"/>
  <c r="K33" i="1139"/>
  <c r="K32" i="1139"/>
  <c r="K31" i="1139"/>
  <c r="K30" i="1139"/>
  <c r="K29" i="1139"/>
  <c r="K28" i="1139"/>
  <c r="K27" i="1139"/>
  <c r="K26" i="1139"/>
  <c r="K25" i="1139"/>
  <c r="J24" i="1139"/>
  <c r="K23" i="1139"/>
  <c r="K22" i="1139"/>
  <c r="K21" i="1139"/>
  <c r="K20" i="1139"/>
  <c r="K19" i="1139"/>
  <c r="K18" i="1139"/>
  <c r="K17" i="1139"/>
  <c r="K16" i="1139"/>
  <c r="K15" i="1139"/>
  <c r="K14" i="1139"/>
  <c r="K13" i="1139"/>
  <c r="K12" i="1139"/>
  <c r="K11" i="1139"/>
  <c r="K10" i="1139"/>
  <c r="K9" i="1139"/>
  <c r="K8" i="1139"/>
  <c r="J35" i="1137"/>
  <c r="J15" i="1137"/>
  <c r="H44" i="1138"/>
  <c r="E44" i="1138"/>
  <c r="C44" i="1138"/>
  <c r="B44" i="1138"/>
  <c r="A44" i="1138"/>
  <c r="J41" i="1138"/>
  <c r="K40" i="1138"/>
  <c r="K39" i="1138"/>
  <c r="K38" i="1138"/>
  <c r="K37" i="1138"/>
  <c r="K36" i="1138"/>
  <c r="K35" i="1138"/>
  <c r="K34" i="1138"/>
  <c r="K33" i="1138"/>
  <c r="K32" i="1138"/>
  <c r="K31" i="1138"/>
  <c r="K30" i="1138"/>
  <c r="K29" i="1138"/>
  <c r="K28" i="1138"/>
  <c r="K27" i="1138"/>
  <c r="K26" i="1138"/>
  <c r="K25" i="1138"/>
  <c r="J24" i="1138"/>
  <c r="K23" i="1138"/>
  <c r="K22" i="1138"/>
  <c r="K21" i="1138"/>
  <c r="K20" i="1138"/>
  <c r="K19" i="1138"/>
  <c r="K18" i="1138"/>
  <c r="K17" i="1138"/>
  <c r="K16" i="1138"/>
  <c r="K15" i="1138"/>
  <c r="K14" i="1138"/>
  <c r="K13" i="1138"/>
  <c r="K12" i="1138"/>
  <c r="K11" i="1138"/>
  <c r="K10" i="1138"/>
  <c r="K9" i="1138"/>
  <c r="K8" i="1138"/>
  <c r="K24" i="1140" l="1"/>
  <c r="K43" i="1140"/>
  <c r="J46" i="1140"/>
  <c r="K41" i="1139"/>
  <c r="K24" i="1139"/>
  <c r="J44" i="1139"/>
  <c r="K41" i="1138"/>
  <c r="K24" i="1138"/>
  <c r="J44" i="1138"/>
  <c r="J18" i="1136"/>
  <c r="H44" i="1137"/>
  <c r="E44" i="1137"/>
  <c r="C44" i="1137"/>
  <c r="B44" i="1137"/>
  <c r="A44" i="1137"/>
  <c r="J41" i="1137"/>
  <c r="K40" i="1137"/>
  <c r="K39" i="1137"/>
  <c r="K38" i="1137"/>
  <c r="K37" i="1137"/>
  <c r="K36" i="1137"/>
  <c r="K35" i="1137"/>
  <c r="K34" i="1137"/>
  <c r="K33" i="1137"/>
  <c r="K32" i="1137"/>
  <c r="K31" i="1137"/>
  <c r="K30" i="1137"/>
  <c r="K29" i="1137"/>
  <c r="K28" i="1137"/>
  <c r="K27" i="1137"/>
  <c r="K26" i="1137"/>
  <c r="K25" i="1137"/>
  <c r="J24" i="1137"/>
  <c r="K23" i="1137"/>
  <c r="K22" i="1137"/>
  <c r="K21" i="1137"/>
  <c r="K20" i="1137"/>
  <c r="K19" i="1137"/>
  <c r="K18" i="1137"/>
  <c r="K17" i="1137"/>
  <c r="K16" i="1137"/>
  <c r="K15" i="1137"/>
  <c r="K14" i="1137"/>
  <c r="K13" i="1137"/>
  <c r="K12" i="1137"/>
  <c r="K11" i="1137"/>
  <c r="K10" i="1137"/>
  <c r="K9" i="1137"/>
  <c r="K8" i="1137"/>
  <c r="H44" i="1136"/>
  <c r="E44" i="1136"/>
  <c r="C44" i="1136"/>
  <c r="B44" i="1136"/>
  <c r="A44" i="1136"/>
  <c r="J41" i="1136"/>
  <c r="K40" i="1136"/>
  <c r="K39" i="1136"/>
  <c r="K38" i="1136"/>
  <c r="K37" i="1136"/>
  <c r="K36" i="1136"/>
  <c r="K35" i="1136"/>
  <c r="K34" i="1136"/>
  <c r="K33" i="1136"/>
  <c r="K32" i="1136"/>
  <c r="K31" i="1136"/>
  <c r="K30" i="1136"/>
  <c r="K29" i="1136"/>
  <c r="K28" i="1136"/>
  <c r="K27" i="1136"/>
  <c r="K26" i="1136"/>
  <c r="K25" i="1136"/>
  <c r="J24" i="1136"/>
  <c r="K23" i="1136"/>
  <c r="K22" i="1136"/>
  <c r="K21" i="1136"/>
  <c r="K20" i="1136"/>
  <c r="K19" i="1136"/>
  <c r="K18" i="1136"/>
  <c r="K17" i="1136"/>
  <c r="K16" i="1136"/>
  <c r="K15" i="1136"/>
  <c r="K14" i="1136"/>
  <c r="K13" i="1136"/>
  <c r="K12" i="1136"/>
  <c r="K11" i="1136"/>
  <c r="K10" i="1136"/>
  <c r="K9" i="1136"/>
  <c r="K8" i="1136"/>
  <c r="K24" i="1137" l="1"/>
  <c r="J44" i="1137"/>
  <c r="K41" i="1137"/>
  <c r="K41" i="1136"/>
  <c r="K24" i="1136"/>
  <c r="J44" i="1136"/>
  <c r="H44" i="1135"/>
  <c r="E44" i="1135"/>
  <c r="C44" i="1135"/>
  <c r="B44" i="1135"/>
  <c r="A44" i="1135"/>
  <c r="J41" i="1135"/>
  <c r="K40" i="1135"/>
  <c r="K39" i="1135"/>
  <c r="K38" i="1135"/>
  <c r="K37" i="1135"/>
  <c r="K36" i="1135"/>
  <c r="K35" i="1135"/>
  <c r="K33" i="1135"/>
  <c r="K32" i="1135"/>
  <c r="K31" i="1135"/>
  <c r="K30" i="1135"/>
  <c r="K29" i="1135"/>
  <c r="K28" i="1135"/>
  <c r="K27" i="1135"/>
  <c r="K26" i="1135"/>
  <c r="K25" i="1135"/>
  <c r="J24" i="1135"/>
  <c r="K23" i="1135"/>
  <c r="K22" i="1135"/>
  <c r="K21" i="1135"/>
  <c r="K20" i="1135"/>
  <c r="K19" i="1135"/>
  <c r="K18" i="1135"/>
  <c r="K17" i="1135"/>
  <c r="K16" i="1135"/>
  <c r="K15" i="1135"/>
  <c r="K14" i="1135"/>
  <c r="K13" i="1135"/>
  <c r="K12" i="1135"/>
  <c r="K11" i="1135"/>
  <c r="K10" i="1135"/>
  <c r="K9" i="1135"/>
  <c r="K8" i="1135"/>
  <c r="K41" i="1135" l="1"/>
  <c r="K24" i="1135"/>
  <c r="J44" i="1135"/>
  <c r="H44" i="1134"/>
  <c r="E44" i="1134"/>
  <c r="C44" i="1134"/>
  <c r="B44" i="1134"/>
  <c r="A44" i="1134"/>
  <c r="J41" i="1134"/>
  <c r="K40" i="1134"/>
  <c r="K39" i="1134"/>
  <c r="K38" i="1134"/>
  <c r="K37" i="1134"/>
  <c r="K36" i="1134"/>
  <c r="K35" i="1134"/>
  <c r="K34" i="1134"/>
  <c r="K33" i="1134"/>
  <c r="K32" i="1134"/>
  <c r="K31" i="1134"/>
  <c r="K30" i="1134"/>
  <c r="K29" i="1134"/>
  <c r="K28" i="1134"/>
  <c r="K27" i="1134"/>
  <c r="K26" i="1134"/>
  <c r="K25" i="1134"/>
  <c r="J24" i="1134"/>
  <c r="K23" i="1134"/>
  <c r="K22" i="1134"/>
  <c r="K21" i="1134"/>
  <c r="K20" i="1134"/>
  <c r="K19" i="1134"/>
  <c r="K18" i="1134"/>
  <c r="K17" i="1134"/>
  <c r="K16" i="1134"/>
  <c r="K15" i="1134"/>
  <c r="K14" i="1134"/>
  <c r="K13" i="1134"/>
  <c r="K12" i="1134"/>
  <c r="K11" i="1134"/>
  <c r="K10" i="1134"/>
  <c r="K9" i="1134"/>
  <c r="K8" i="1134"/>
  <c r="K41" i="1134" l="1"/>
  <c r="K24" i="1134"/>
  <c r="J44" i="1134"/>
  <c r="J29" i="1132"/>
  <c r="H44" i="1133" l="1"/>
  <c r="E44" i="1133"/>
  <c r="C44" i="1133"/>
  <c r="B44" i="1133"/>
  <c r="A44" i="1133"/>
  <c r="J41" i="1133"/>
  <c r="K40" i="1133"/>
  <c r="K39" i="1133"/>
  <c r="K38" i="1133"/>
  <c r="K37" i="1133"/>
  <c r="K36" i="1133"/>
  <c r="K35" i="1133"/>
  <c r="K34" i="1133"/>
  <c r="K33" i="1133"/>
  <c r="K32" i="1133"/>
  <c r="K21" i="1133"/>
  <c r="K31" i="1133"/>
  <c r="K30" i="1133"/>
  <c r="K22" i="1133"/>
  <c r="K29" i="1133"/>
  <c r="K28" i="1133"/>
  <c r="K27" i="1133"/>
  <c r="J26" i="1133"/>
  <c r="K25" i="1133"/>
  <c r="K24" i="1133"/>
  <c r="K23" i="1133"/>
  <c r="K20" i="1133"/>
  <c r="K19" i="1133"/>
  <c r="K18" i="1133"/>
  <c r="K17" i="1133"/>
  <c r="K16" i="1133"/>
  <c r="K15" i="1133"/>
  <c r="K14" i="1133"/>
  <c r="K13" i="1133"/>
  <c r="K12" i="1133"/>
  <c r="K11" i="1133"/>
  <c r="K10" i="1133"/>
  <c r="K9" i="1133"/>
  <c r="K8" i="1133"/>
  <c r="K26" i="1133" l="1"/>
  <c r="K41" i="1133"/>
  <c r="J44" i="1133"/>
  <c r="H44" i="1132"/>
  <c r="E44" i="1132"/>
  <c r="C44" i="1132"/>
  <c r="B44" i="1132"/>
  <c r="A44" i="1132"/>
  <c r="J41" i="1132"/>
  <c r="K40" i="1132"/>
  <c r="K39" i="1132"/>
  <c r="K38" i="1132"/>
  <c r="K37" i="1132"/>
  <c r="K36" i="1132"/>
  <c r="K35" i="1132"/>
  <c r="K34" i="1132"/>
  <c r="K33" i="1132"/>
  <c r="K32" i="1132"/>
  <c r="K31" i="1132"/>
  <c r="K30" i="1132"/>
  <c r="K29" i="1132"/>
  <c r="K28" i="1132"/>
  <c r="K27" i="1132"/>
  <c r="K26" i="1132"/>
  <c r="K25" i="1132"/>
  <c r="J24" i="1132"/>
  <c r="K23" i="1132"/>
  <c r="K22" i="1132"/>
  <c r="K21" i="1132"/>
  <c r="K20" i="1132"/>
  <c r="K19" i="1132"/>
  <c r="K18" i="1132"/>
  <c r="K17" i="1132"/>
  <c r="K16" i="1132"/>
  <c r="K15" i="1132"/>
  <c r="K14" i="1132"/>
  <c r="K13" i="1132"/>
  <c r="K12" i="1132"/>
  <c r="K11" i="1132"/>
  <c r="K10" i="1132"/>
  <c r="K9" i="1132"/>
  <c r="K8" i="1132"/>
  <c r="K41" i="1132" l="1"/>
  <c r="K24" i="1132"/>
  <c r="J44" i="1132"/>
  <c r="H44" i="1131"/>
  <c r="E44" i="1131"/>
  <c r="C44" i="1131"/>
  <c r="B44" i="1131"/>
  <c r="A44" i="1131"/>
  <c r="J41" i="1131"/>
  <c r="K40" i="1131"/>
  <c r="K39" i="1131"/>
  <c r="K38" i="1131"/>
  <c r="K37" i="1131"/>
  <c r="K36" i="1131"/>
  <c r="K35" i="1131"/>
  <c r="K34" i="1131"/>
  <c r="K33" i="1131"/>
  <c r="K32" i="1131"/>
  <c r="K31" i="1131"/>
  <c r="K30" i="1131"/>
  <c r="K29" i="1131"/>
  <c r="K28" i="1131"/>
  <c r="K27" i="1131"/>
  <c r="K26" i="1131"/>
  <c r="K25" i="1131"/>
  <c r="J24" i="1131"/>
  <c r="K23" i="1131"/>
  <c r="K22" i="1131"/>
  <c r="K21" i="1131"/>
  <c r="K20" i="1131"/>
  <c r="K19" i="1131"/>
  <c r="K18" i="1131"/>
  <c r="K17" i="1131"/>
  <c r="K16" i="1131"/>
  <c r="K15" i="1131"/>
  <c r="K14" i="1131"/>
  <c r="K13" i="1131"/>
  <c r="K12" i="1131"/>
  <c r="K11" i="1131"/>
  <c r="K10" i="1131"/>
  <c r="K9" i="1131"/>
  <c r="K8" i="1131"/>
  <c r="K41" i="1131" l="1"/>
  <c r="K24" i="1131"/>
  <c r="J44" i="1131"/>
  <c r="K27" i="1129"/>
  <c r="K26" i="1129"/>
  <c r="K25" i="1129"/>
  <c r="K24" i="1129"/>
  <c r="K23" i="1129"/>
  <c r="K22" i="1129"/>
  <c r="H44" i="1130" l="1"/>
  <c r="E44" i="1130"/>
  <c r="C44" i="1130"/>
  <c r="B44" i="1130"/>
  <c r="A44" i="1130"/>
  <c r="J41" i="1130"/>
  <c r="K40" i="1130"/>
  <c r="K39" i="1130"/>
  <c r="K38" i="1130"/>
  <c r="K37" i="1130"/>
  <c r="K36" i="1130"/>
  <c r="K35" i="1130"/>
  <c r="K34" i="1130"/>
  <c r="K33" i="1130"/>
  <c r="K32" i="1130"/>
  <c r="K31" i="1130"/>
  <c r="K30" i="1130"/>
  <c r="K29" i="1130"/>
  <c r="K28" i="1130"/>
  <c r="K27" i="1130"/>
  <c r="K26" i="1130"/>
  <c r="K25" i="1130"/>
  <c r="J24" i="1130"/>
  <c r="K23" i="1130"/>
  <c r="K22" i="1130"/>
  <c r="K21" i="1130"/>
  <c r="K20" i="1130"/>
  <c r="K19" i="1130"/>
  <c r="K18" i="1130"/>
  <c r="K17" i="1130"/>
  <c r="K16" i="1130"/>
  <c r="K15" i="1130"/>
  <c r="K14" i="1130"/>
  <c r="K13" i="1130"/>
  <c r="K12" i="1130"/>
  <c r="K11" i="1130"/>
  <c r="K10" i="1130"/>
  <c r="K9" i="1130"/>
  <c r="K8" i="1130"/>
  <c r="K24" i="1130" s="1"/>
  <c r="K41" i="1130" l="1"/>
  <c r="J44" i="1130"/>
  <c r="H50" i="1129"/>
  <c r="E50" i="1129"/>
  <c r="C50" i="1129"/>
  <c r="B50" i="1129"/>
  <c r="A50" i="1129"/>
  <c r="J47" i="1129"/>
  <c r="K46" i="1129"/>
  <c r="K45" i="1129"/>
  <c r="K44" i="1129"/>
  <c r="K43" i="1129"/>
  <c r="K42" i="1129"/>
  <c r="K41" i="1129"/>
  <c r="K40" i="1129"/>
  <c r="K39" i="1129"/>
  <c r="K38" i="1129"/>
  <c r="K37" i="1129"/>
  <c r="K36" i="1129"/>
  <c r="K35" i="1129"/>
  <c r="K34" i="1129"/>
  <c r="K33" i="1129"/>
  <c r="K32" i="1129"/>
  <c r="K31" i="1129"/>
  <c r="J30" i="1129"/>
  <c r="K29" i="1129"/>
  <c r="K28" i="1129"/>
  <c r="K21" i="1129"/>
  <c r="K20" i="1129"/>
  <c r="K19" i="1129"/>
  <c r="K18" i="1129"/>
  <c r="K17" i="1129"/>
  <c r="K16" i="1129"/>
  <c r="K15" i="1129"/>
  <c r="K14" i="1129"/>
  <c r="K13" i="1129"/>
  <c r="K12" i="1129"/>
  <c r="K11" i="1129"/>
  <c r="K10" i="1129"/>
  <c r="K9" i="1129"/>
  <c r="K8" i="1129"/>
  <c r="K47" i="1129" l="1"/>
  <c r="K30" i="1129"/>
  <c r="J50" i="1129"/>
  <c r="J21" i="1207"/>
  <c r="K21" i="1207"/>
</calcChain>
</file>

<file path=xl/sharedStrings.xml><?xml version="1.0" encoding="utf-8"?>
<sst xmlns="http://schemas.openxmlformats.org/spreadsheetml/2006/main" count="12587" uniqueCount="2527">
  <si>
    <t>(복층유리) 생산일지</t>
    <phoneticPr fontId="2" type="noConversion"/>
  </si>
  <si>
    <t>결재</t>
    <phoneticPr fontId="2" type="noConversion"/>
  </si>
  <si>
    <t>작성</t>
    <phoneticPr fontId="2" type="noConversion"/>
  </si>
  <si>
    <t>검토</t>
    <phoneticPr fontId="2" type="noConversion"/>
  </si>
  <si>
    <t>승인</t>
    <phoneticPr fontId="2" type="noConversion"/>
  </si>
  <si>
    <t xml:space="preserve">    생산일자 : </t>
    <phoneticPr fontId="2" type="noConversion"/>
  </si>
  <si>
    <t>주문번호</t>
    <phoneticPr fontId="2" type="noConversion"/>
  </si>
  <si>
    <t>거래처(발주자)</t>
    <phoneticPr fontId="2" type="noConversion"/>
  </si>
  <si>
    <t>종류</t>
    <phoneticPr fontId="2" type="noConversion"/>
  </si>
  <si>
    <t>재료종류</t>
    <phoneticPr fontId="2" type="noConversion"/>
  </si>
  <si>
    <t>제품
두께</t>
    <phoneticPr fontId="2" type="noConversion"/>
  </si>
  <si>
    <t>AR</t>
    <phoneticPr fontId="2" type="noConversion"/>
  </si>
  <si>
    <t>생산</t>
    <phoneticPr fontId="2" type="noConversion"/>
  </si>
  <si>
    <t>비고</t>
    <phoneticPr fontId="2" type="noConversion"/>
  </si>
  <si>
    <t>가로</t>
    <phoneticPr fontId="2" type="noConversion"/>
  </si>
  <si>
    <t>세로</t>
    <phoneticPr fontId="2" type="noConversion"/>
  </si>
  <si>
    <t>수량외</t>
    <phoneticPr fontId="2" type="noConversion"/>
  </si>
  <si>
    <t>수량(매)</t>
    <phoneticPr fontId="2" type="noConversion"/>
  </si>
  <si>
    <t>수량(평)</t>
    <phoneticPr fontId="2" type="noConversion"/>
  </si>
  <si>
    <t>A종(U1)</t>
    <phoneticPr fontId="2" type="noConversion"/>
  </si>
  <si>
    <t>A종(U2)</t>
    <phoneticPr fontId="2" type="noConversion"/>
  </si>
  <si>
    <t>B종(U3-1)</t>
    <phoneticPr fontId="2" type="noConversion"/>
  </si>
  <si>
    <t>B종(U3-2)</t>
    <phoneticPr fontId="2" type="noConversion"/>
  </si>
  <si>
    <t>C종 (E5)</t>
    <phoneticPr fontId="2" type="noConversion"/>
  </si>
  <si>
    <t>합  계</t>
    <phoneticPr fontId="2" type="noConversion"/>
  </si>
  <si>
    <t>특기사항</t>
    <phoneticPr fontId="2" type="noConversion"/>
  </si>
  <si>
    <t>누계(수량)</t>
    <phoneticPr fontId="2" type="noConversion"/>
  </si>
  <si>
    <t>누계(평)</t>
    <phoneticPr fontId="2" type="noConversion"/>
  </si>
  <si>
    <t>(주)포스코이앤씨l 청주 구룡공원 공동주택 유리공사</t>
    <phoneticPr fontId="2" type="noConversion"/>
  </si>
  <si>
    <t>U3</t>
    <phoneticPr fontId="2" type="noConversion"/>
  </si>
  <si>
    <t>현대엔지니어링(주)s 청주 고속터미널 복합건축물(터미널,주상복합)</t>
    <phoneticPr fontId="2" type="noConversion"/>
  </si>
  <si>
    <t>계룡건설산업(주)gg 원주의료원 증축 및 리모델링 건축공사</t>
    <phoneticPr fontId="2" type="noConversion"/>
  </si>
  <si>
    <t>계룡건설산업(주)ff 베이스볼 드림파크 건립공사 유리공사</t>
    <phoneticPr fontId="2" type="noConversion"/>
  </si>
  <si>
    <t>금강종합건설(주)d 강릉 영진리 코아루 휴티스 공동주택(기본)</t>
    <phoneticPr fontId="2" type="noConversion"/>
  </si>
  <si>
    <t>대흥건설(주)d 평택고덕Aa-53BL 아파트건설공사 13공구 중 유리공사</t>
    <phoneticPr fontId="2" type="noConversion"/>
  </si>
  <si>
    <t>대흥건설(주)g 한양대 ERICA 캠퍼스 혁신파크 HUB동현장</t>
    <phoneticPr fontId="2" type="noConversion"/>
  </si>
  <si>
    <t>(주)한양g 인천청라 B5-2 BL 오피스텔</t>
    <phoneticPr fontId="2" type="noConversion"/>
  </si>
  <si>
    <t>현대엔지니어링㈜t 아산모종 2지구 공동주택 신축공사</t>
    <phoneticPr fontId="2" type="noConversion"/>
  </si>
  <si>
    <t>(주)이화산업개발b 청안반다비 국민체육센터 건립공사(건축,토목)</t>
    <phoneticPr fontId="2" type="noConversion"/>
  </si>
  <si>
    <t>대흥건설(주)f 민자사업(BTL) 중 삼양초, 옥천고 유리공사현장</t>
    <phoneticPr fontId="2" type="noConversion"/>
  </si>
  <si>
    <t>계룡건설산업(주)ee 양주옥정A5 공공지원민간임대주택</t>
    <phoneticPr fontId="2" type="noConversion"/>
  </si>
  <si>
    <t>현대건설(주)a 케이스퀘어 데이터센터 신축공사현장</t>
    <phoneticPr fontId="2" type="noConversion"/>
  </si>
  <si>
    <t>경원공영(주)a 평창알펜시아현장</t>
    <phoneticPr fontId="2" type="noConversion"/>
  </si>
  <si>
    <t>(주)씨앤창호b 목동3구역현장</t>
    <phoneticPr fontId="2" type="noConversion"/>
  </si>
  <si>
    <t>신동아건설(주)k 인천여상 외 1교 BTL 중 유리공사</t>
    <phoneticPr fontId="2" type="noConversion"/>
  </si>
  <si>
    <t>일성건설(주)b 청주 오창 생활형숙박시설 신축사업현장</t>
    <phoneticPr fontId="2" type="noConversion"/>
  </si>
  <si>
    <t>신화종합건설(주)a 육지 후비 전력관제센터 건립 건축공사 중 유리공사</t>
    <phoneticPr fontId="2" type="noConversion"/>
  </si>
  <si>
    <t>(주)금성백조주택h  이천중리B3(공사)2공구 유리공사</t>
    <phoneticPr fontId="2" type="noConversion"/>
  </si>
  <si>
    <t>(주)대우건설e 충북 청주전시관 건립사업 증축공사</t>
    <phoneticPr fontId="2" type="noConversion"/>
  </si>
  <si>
    <t>광희엔지니어링(주)I 국원고 행복감성 미래교실 증축 및 기타공사 현장</t>
    <phoneticPr fontId="2" type="noConversion"/>
  </si>
  <si>
    <t>한국유리공업(주)k 1블럭-용인 고림진덕지구 공동주택(현대엔지니어링)</t>
    <phoneticPr fontId="2" type="noConversion"/>
  </si>
  <si>
    <t>(주)미래도건설g 양주옥정 A6-2BL 모아미래도 아파트 신축공사 현장</t>
    <phoneticPr fontId="2" type="noConversion"/>
  </si>
  <si>
    <t>한국유리공업(주)l 2블럭-용인 고림진덕지구 공동주택(현대엔지니어링)</t>
    <phoneticPr fontId="2" type="noConversion"/>
  </si>
  <si>
    <t>에이치엘디앤아이한라(주)vv 청주시 흥덕구 월명공원 공동주택</t>
    <phoneticPr fontId="2" type="noConversion"/>
  </si>
  <si>
    <t>쌍용건설(주)e ASML 화성 뉴캠퍼스 신축공사 P1현장</t>
    <phoneticPr fontId="2" type="noConversion"/>
  </si>
  <si>
    <t>우암건설(주)a 고양지축LH아파트 유리공사</t>
    <phoneticPr fontId="2" type="noConversion"/>
  </si>
  <si>
    <t xml:space="preserve">(주)한화a 매봉공원특례사업 </t>
    <phoneticPr fontId="2" type="noConversion"/>
  </si>
  <si>
    <t>(주)엘엑스글라스aa 대우건설_신영지웰푸르지오테크노폴리스센트럴</t>
    <phoneticPr fontId="2" type="noConversion"/>
  </si>
  <si>
    <t xml:space="preserve">제일건설(주)f  의왕고천B2BL 제일풍경채 신축사업현장 </t>
    <phoneticPr fontId="2" type="noConversion"/>
  </si>
  <si>
    <t>계룡건설산업(주)y 양주옥정 A4-1시공책임형 CM 유리납품(1공구)</t>
    <phoneticPr fontId="2" type="noConversion"/>
  </si>
  <si>
    <t>성주종합건설(주)k 충청북도특수교육원 교육관 증축공사 현장</t>
    <phoneticPr fontId="2" type="noConversion"/>
  </si>
  <si>
    <t>에스케이에코플랜트(주)a 청주 SK VIEW 자이</t>
    <phoneticPr fontId="2" type="noConversion"/>
  </si>
  <si>
    <t>계룡건설산업(주)ii 한국교원대학교 생활관 2차 임대형민자사업(BTL)현장</t>
    <phoneticPr fontId="2" type="noConversion"/>
  </si>
  <si>
    <t>신화종합건설(주)I KITECH 연구동 환경개선사업 건축공사현장</t>
    <phoneticPr fontId="2" type="noConversion"/>
  </si>
  <si>
    <t>(주)성안건설a 괴산 반다비 국민체육센터 건립공사</t>
    <phoneticPr fontId="2" type="noConversion"/>
  </si>
  <si>
    <t>대화건설(주)b 345kV 신청주변전소 토건공사 중 유리공사</t>
    <phoneticPr fontId="2" type="noConversion"/>
  </si>
  <si>
    <t>금호건설(주)a 성남복정A1BL현장</t>
    <phoneticPr fontId="2" type="noConversion"/>
  </si>
  <si>
    <t>대화건설(주)c 충주지식산업센터현장</t>
    <phoneticPr fontId="2" type="noConversion"/>
  </si>
  <si>
    <t>대보건설(주)g 행복도시 4-2공동캠퍼스 18공구 중 유리공사</t>
    <phoneticPr fontId="2" type="noConversion"/>
  </si>
  <si>
    <t>혜림건설(주)b 춘천학곡지구 A1-2BL 모아엘가 아파트 신축공사</t>
    <phoneticPr fontId="2" type="noConversion"/>
  </si>
  <si>
    <t>에이치엘디앤아이한라(주)uu 군산 신역세권 B2 공동주택 신축공사</t>
    <phoneticPr fontId="2" type="noConversion"/>
  </si>
  <si>
    <t>인종합건설(주)j ㈜에코프로에이치엔 초평2캠퍼스현장</t>
    <phoneticPr fontId="2" type="noConversion"/>
  </si>
  <si>
    <t>(주)포스코건설h 0415CA양산사송2단계공동주택사업(7BL)</t>
    <phoneticPr fontId="2" type="noConversion"/>
  </si>
  <si>
    <t>(주)포스코건설I 대구 지산시영1단지 주택재건축정비사업 (시공)</t>
    <phoneticPr fontId="2" type="noConversion"/>
  </si>
  <si>
    <t>(주)엘지하우시스a 현대건설 호원초(어바인퍼스트)</t>
    <phoneticPr fontId="2" type="noConversion"/>
  </si>
  <si>
    <t>롯데건설(주)g 천안 청당동 공동주택사업(자체) 현장</t>
    <phoneticPr fontId="2" type="noConversion"/>
  </si>
  <si>
    <t>동인종합건설(주)bb 강릉4공장(G4) 증축공사 중 유리공사</t>
    <phoneticPr fontId="2" type="noConversion"/>
  </si>
  <si>
    <t>제일건설(주)d 화성동탄2지구 A60블록 공동주택 신축공사 유</t>
    <phoneticPr fontId="2" type="noConversion"/>
  </si>
  <si>
    <t>(주)원건설I 청주탑동 힐데스하임 아파트 신축공사</t>
    <phoneticPr fontId="2" type="noConversion"/>
  </si>
  <si>
    <t>활림건설(주)j 계양전기 천안공장 카동 증축공사</t>
    <phoneticPr fontId="2" type="noConversion"/>
  </si>
  <si>
    <t>(주)대우건설f 청주 테크노폴리스 S1-1,2BL 주상복합 신축공사</t>
    <phoneticPr fontId="2" type="noConversion"/>
  </si>
  <si>
    <t>(주)금성백조주택f 인천검단지구 AA11블록 공동주택현장</t>
    <phoneticPr fontId="2" type="noConversion"/>
  </si>
  <si>
    <t>디에스종합건설(주)a 인천 검단신도시 AB3-1블럭 대성베르힐</t>
    <phoneticPr fontId="2" type="noConversion"/>
  </si>
  <si>
    <t>(주)한국종합건설a (가칭)화곡초등학교 신축공사 중 창호유리 자재납품</t>
    <phoneticPr fontId="2" type="noConversion"/>
  </si>
  <si>
    <t>태평양개발(주)a 대한육상연맹 교육훈련센터현장</t>
    <phoneticPr fontId="2" type="noConversion"/>
  </si>
  <si>
    <t>효성중공업(주)a 대구신암6구역재개발 유리공사</t>
    <phoneticPr fontId="2" type="noConversion"/>
  </si>
  <si>
    <t xml:space="preserve">현대엔지니어링(주)o 용인삼가 2지구 뉴스테이 아파트 신축공사 </t>
    <phoneticPr fontId="2" type="noConversion"/>
  </si>
  <si>
    <t>부강이엔에스(주)a 청주 기상청 창호교체공사</t>
    <phoneticPr fontId="2" type="noConversion"/>
  </si>
  <si>
    <t>(주)대원dd 청주 흥덕 지역주택조합 아파트 신축사업</t>
    <phoneticPr fontId="2" type="noConversion"/>
  </si>
  <si>
    <t>한내종합건설(주)a 증평군 농촌신활력플러스 34플러스센터 건립공사 현장</t>
    <phoneticPr fontId="2" type="noConversion"/>
  </si>
  <si>
    <t>(주)서희건설l 천안청당조합주택신축</t>
    <phoneticPr fontId="2" type="noConversion"/>
  </si>
  <si>
    <t>(주)태영건설b 시흥장현 A-3BL 아파트 건설공사 12공구</t>
    <phoneticPr fontId="2" type="noConversion"/>
  </si>
  <si>
    <t>(주)포스코건설j 경남 거창 공동주택 신축사업 유리공사</t>
    <phoneticPr fontId="2" type="noConversion"/>
  </si>
  <si>
    <t>제일건설(주)e 양주옥정신도시 A19-2BL 제일풍경채 신축사업</t>
    <phoneticPr fontId="2" type="noConversion"/>
  </si>
  <si>
    <t>(주)한화건설b 서충주신도시 APT [본공사]</t>
    <phoneticPr fontId="2" type="noConversion"/>
  </si>
  <si>
    <t>한국유리공업(주)I 오송 제2생명과학단지B2블럭아파트1공구</t>
    <phoneticPr fontId="2" type="noConversion"/>
  </si>
  <si>
    <t>(주)포스코건설e 동대구역 주상복합 신축사업(시공)</t>
    <phoneticPr fontId="2" type="noConversion"/>
  </si>
  <si>
    <t>(주)대광건영d 광주 산정동 대광로제비앙 공동주택 신축공사</t>
    <phoneticPr fontId="2" type="noConversion"/>
  </si>
  <si>
    <t>(주)영신ENGa 음성 수요맞춤 전기다목적 자동차기반 구축사업현장</t>
    <phoneticPr fontId="2" type="noConversion"/>
  </si>
  <si>
    <t>현대건설(주)b 혁신원자력연구단지 구축공사</t>
    <phoneticPr fontId="2" type="noConversion"/>
  </si>
  <si>
    <t>금호건설(주)b 도봉2구역재개발현장</t>
    <phoneticPr fontId="2" type="noConversion"/>
  </si>
  <si>
    <t>(주)케이씨씨글라스b 오송역퍼스트 2공구(HEC)</t>
    <phoneticPr fontId="2" type="noConversion"/>
  </si>
  <si>
    <t>현대산업개발(주)p 잠실진주아파트주택재건축정비사업조합현장</t>
    <phoneticPr fontId="2" type="noConversion"/>
  </si>
  <si>
    <t>(주)케이씨씨글라스a 과천지식정보타운 유리납품</t>
    <phoneticPr fontId="2" type="noConversion"/>
  </si>
  <si>
    <t>우미건설(주)c 파주운정3지구 A33BL 공동주택현장</t>
    <phoneticPr fontId="2" type="noConversion"/>
  </si>
  <si>
    <t>현대산업개발(주)m 마곡 아이파크 디어반 유리공사</t>
    <phoneticPr fontId="2" type="noConversion"/>
  </si>
  <si>
    <t>(주)대건건설산업b 문의중 소규모 옥외체육관 증축공사 현장</t>
    <phoneticPr fontId="2" type="noConversion"/>
  </si>
  <si>
    <t>(주)대성건설j 천호동 DS356 주거복합 신축공사</t>
    <phoneticPr fontId="2" type="noConversion"/>
  </si>
  <si>
    <t>(주)포스코건설g 울산 번영로더샵 공동주택 신축사업</t>
    <phoneticPr fontId="2" type="noConversion"/>
  </si>
  <si>
    <t>극동건설(주)a 강원대학교 생활관3차 임대형 민간투자사업(BTL) 현장</t>
    <phoneticPr fontId="2" type="noConversion"/>
  </si>
  <si>
    <t>계룡건설산업(주)jj 증산도 상생 역사문화교육원 유리공사</t>
    <phoneticPr fontId="2" type="noConversion"/>
  </si>
  <si>
    <t>우미건설(주)a 청주테크노2차 지웰 신축공사</t>
    <phoneticPr fontId="2" type="noConversion"/>
  </si>
  <si>
    <t>(주)도원이엔씨d 미래학교BTL 송곡초 개축공사현장</t>
    <phoneticPr fontId="2" type="noConversion"/>
  </si>
  <si>
    <t>(주)도원이엔씨c 미래학교 BTL 음암중학교현장</t>
    <phoneticPr fontId="2" type="noConversion"/>
  </si>
  <si>
    <t>인종합건설(주)k ㈜이엠아이 청주 사업장 신축공사 현장</t>
    <phoneticPr fontId="2" type="noConversion"/>
  </si>
  <si>
    <t>배경산업개발(주)a 청주산단 스타트업센터 및 복합문화센터 건립공사</t>
    <phoneticPr fontId="2" type="noConversion"/>
  </si>
  <si>
    <t>동성건설(주)o 한전KDN 충북지역사업처 사옥 신축공사</t>
    <phoneticPr fontId="2" type="noConversion"/>
  </si>
  <si>
    <t>(주)대건건설산업c 농민과학관리모델링및일부개축공사 현장</t>
    <phoneticPr fontId="2" type="noConversion"/>
  </si>
  <si>
    <t>(자)금왕건설a 이수초 본관 및 후관교사 보수공사 현장</t>
    <phoneticPr fontId="2" type="noConversion"/>
  </si>
  <si>
    <t>디더블유대원(주)ee 청주농고 창업교육융합관 증축공사</t>
    <phoneticPr fontId="2" type="noConversion"/>
  </si>
  <si>
    <t>(주)금성백조주택g 세종6-4UR2BL 행복주택현장</t>
    <phoneticPr fontId="2" type="noConversion"/>
  </si>
  <si>
    <t xml:space="preserve">(주)도원이엔씨e 미래학교 원이중개축공사 </t>
    <phoneticPr fontId="2" type="noConversion"/>
  </si>
  <si>
    <t>삼성물산(주)c 거제2구역 주택재개발 정비사업</t>
    <phoneticPr fontId="2" type="noConversion"/>
  </si>
  <si>
    <t>(주)아킹스a 증산도 아킹스 숙소동현장</t>
    <phoneticPr fontId="2" type="noConversion"/>
  </si>
  <si>
    <t>(주)청주테크노에스타워관리단a 에스타워 유리교체</t>
    <phoneticPr fontId="2" type="noConversion"/>
  </si>
  <si>
    <t>건영건축사사무소a 율량동 럭키아파트현장</t>
    <phoneticPr fontId="2" type="noConversion"/>
  </si>
  <si>
    <t>(주)대원aa 대구 동인동 센트럴 대원칸타빌 신축공사 중 유리공사</t>
    <phoneticPr fontId="2" type="noConversion"/>
  </si>
  <si>
    <t>씨제이대한통운(주)b 오리온 도곡 신사옥 신축공사</t>
    <phoneticPr fontId="2" type="noConversion"/>
  </si>
  <si>
    <t>(주)한라ss 계룡 대실지구 1블록 공동주택 신축공사</t>
    <phoneticPr fontId="2" type="noConversion"/>
  </si>
  <si>
    <t>(주)도원이엔씨a 천안시청소년복합커뮤니티센터현장</t>
    <phoneticPr fontId="2" type="noConversion"/>
  </si>
  <si>
    <t>(주)도원이엔씨b 미래학교 온양천도초현장</t>
    <phoneticPr fontId="2" type="noConversion"/>
  </si>
  <si>
    <t>정석개발a 청주 테크노폴리스 A8현장</t>
    <phoneticPr fontId="2" type="noConversion"/>
  </si>
  <si>
    <t>(주)도원이엔씨e 미래학교BTL 홍남초현장</t>
    <phoneticPr fontId="2" type="noConversion"/>
  </si>
  <si>
    <t>효성건설(주)a 백두대간 휴양관광벨트 조성사업현장</t>
    <phoneticPr fontId="2" type="noConversion"/>
  </si>
  <si>
    <t>동성건설(주) 평택시 에스이티 신사옥</t>
    <phoneticPr fontId="2" type="noConversion"/>
  </si>
  <si>
    <t>제이에스씨(주)c 이월 행복나눔의 집 및 이월마실 어울림센터 건립공사</t>
    <phoneticPr fontId="2" type="noConversion"/>
  </si>
  <si>
    <t>신화종합건설(주)j 청주테크노폴리스 신영1빌딩 신축공사현장</t>
    <phoneticPr fontId="2" type="noConversion"/>
  </si>
  <si>
    <t>에스제이종합건설(주)a 앙성감곡지구 다목적농촌용수개발사업 양수장현장</t>
    <phoneticPr fontId="2" type="noConversion"/>
  </si>
  <si>
    <t>제일건설(주)g 인천검단 AB21-2BL 공공지원 민간임대주택사업현장</t>
    <phoneticPr fontId="2" type="noConversion"/>
  </si>
  <si>
    <t>(주)세림a 도안초 본관 외 1동(다목적교실) 외벽보강공사현장</t>
    <phoneticPr fontId="2" type="noConversion"/>
  </si>
  <si>
    <t>한라 군산</t>
    <phoneticPr fontId="2" type="noConversion"/>
  </si>
  <si>
    <t>한라 월명</t>
    <phoneticPr fontId="2" type="noConversion"/>
  </si>
  <si>
    <t>한양 인천청라</t>
    <phoneticPr fontId="2" type="noConversion"/>
  </si>
  <si>
    <t>우미건설(주)b 인천검단 민간임대</t>
    <phoneticPr fontId="2" type="noConversion"/>
  </si>
  <si>
    <t>한국철도기술연구원b 고속철도 객실창유리 내압시험 검토용 시제품 제작</t>
    <phoneticPr fontId="2" type="noConversion"/>
  </si>
  <si>
    <t>대광로제비앙(주)b 평택 브레인시티 (가칭)도일1초등학교 신축공사현장</t>
    <phoneticPr fontId="2" type="noConversion"/>
  </si>
  <si>
    <t>엘엑스</t>
    <phoneticPr fontId="2" type="noConversion"/>
  </si>
  <si>
    <t>디엘이앤씨㈜f 김포풍무 오피스텔 신축사업</t>
    <phoneticPr fontId="2" type="noConversion"/>
  </si>
  <si>
    <t>디더블유대원(주)ff 용인 에버랜드역 칸타빌 아파트 신축공사</t>
    <phoneticPr fontId="2" type="noConversion"/>
  </si>
  <si>
    <t>디엘이앤씨(주)a e편한세상  홍제  가든플라츠</t>
    <phoneticPr fontId="2" type="noConversion"/>
  </si>
  <si>
    <t>(주)새늘aa 청주내덕 공동주택 건설공사 1공구현장</t>
    <phoneticPr fontId="2" type="noConversion"/>
  </si>
  <si>
    <t xml:space="preserve">(주)이정종합건설a 흥덕구 외북동 291번지 근린생활시설 </t>
    <phoneticPr fontId="2" type="noConversion"/>
  </si>
  <si>
    <t>(주)포스코이앤씨m 아산탕정지구도시개발사업4BL공동주택현장[기본]</t>
    <phoneticPr fontId="2" type="noConversion"/>
  </si>
  <si>
    <t>신동아건설(주)j 세종시 6-3 M2BL 16공구</t>
    <phoneticPr fontId="2" type="noConversion"/>
  </si>
  <si>
    <t>25-2628</t>
    <phoneticPr fontId="2" type="noConversion"/>
  </si>
  <si>
    <t>5newGN+12Ar.+5DURA MAX</t>
  </si>
  <si>
    <t>5CL+12Ar.+5DURA MAX</t>
  </si>
  <si>
    <t>2조외24</t>
    <phoneticPr fontId="2" type="noConversion"/>
  </si>
  <si>
    <t>25-2630</t>
    <phoneticPr fontId="2" type="noConversion"/>
  </si>
  <si>
    <t>1조외18</t>
    <phoneticPr fontId="2" type="noConversion"/>
  </si>
  <si>
    <t>25-2631</t>
    <phoneticPr fontId="2" type="noConversion"/>
  </si>
  <si>
    <t>3조외54</t>
    <phoneticPr fontId="2" type="noConversion"/>
  </si>
  <si>
    <t>25-2632</t>
    <phoneticPr fontId="2" type="noConversion"/>
  </si>
  <si>
    <t>2조외20</t>
    <phoneticPr fontId="2" type="noConversion"/>
  </si>
  <si>
    <t>25-2633</t>
    <phoneticPr fontId="2" type="noConversion"/>
  </si>
  <si>
    <t>3조외30</t>
    <phoneticPr fontId="2" type="noConversion"/>
  </si>
  <si>
    <t>25-2660</t>
    <phoneticPr fontId="2" type="noConversion"/>
  </si>
  <si>
    <t>2조외38</t>
    <phoneticPr fontId="2" type="noConversion"/>
  </si>
  <si>
    <t>25-2661</t>
    <phoneticPr fontId="2" type="noConversion"/>
  </si>
  <si>
    <t>2조외32</t>
    <phoneticPr fontId="2" type="noConversion"/>
  </si>
  <si>
    <t>2조외2</t>
    <phoneticPr fontId="2" type="noConversion"/>
  </si>
  <si>
    <t>25-2807</t>
    <phoneticPr fontId="2" type="noConversion"/>
  </si>
  <si>
    <t>(주)정원커머스a 청주시 청원구 사천동 조은술세종㈜ 제2공장 현장</t>
    <phoneticPr fontId="2" type="noConversion"/>
  </si>
  <si>
    <t xml:space="preserve">(주)태영건설c 부산 메디컬카운티 지역주택조합사업현장 </t>
    <phoneticPr fontId="2" type="noConversion"/>
  </si>
  <si>
    <t>강산산업개발(주)b 탄소저감반도체융합부품 기술지원센터</t>
    <phoneticPr fontId="2" type="noConversion"/>
  </si>
  <si>
    <t>계룡건설산업(주)kk 안양 오뚜기 기념관 증축 및 팩토리 신축공사</t>
    <phoneticPr fontId="2" type="noConversion"/>
  </si>
  <si>
    <t>대한건설협회충청북도회 충청북도회사옥 파손유리교체</t>
    <phoneticPr fontId="2" type="noConversion"/>
  </si>
  <si>
    <t>덕양건설(주)a 혁신기술 제조창업 공유공장 건축공사(건축)</t>
    <phoneticPr fontId="2" type="noConversion"/>
  </si>
  <si>
    <t>동성건설(주)p ㈜태성 천안 신공장 신축공사현장</t>
    <phoneticPr fontId="2" type="noConversion"/>
  </si>
  <si>
    <t>동인종합건설(주)aa 이천시 대포동 물류센터 신축공사</t>
    <phoneticPr fontId="2" type="noConversion"/>
  </si>
  <si>
    <t>디엘건설(주)a 대전문화2구역재개발정비사업현장</t>
    <phoneticPr fontId="2" type="noConversion"/>
  </si>
  <si>
    <t>디엘이앤씨(주)d 수원고색 오피스텔 중 유리공사</t>
    <phoneticPr fontId="2" type="noConversion"/>
  </si>
  <si>
    <t>디엘이앤씨(주)g e편한세상 내포 퍼스트드림 현장</t>
    <phoneticPr fontId="2" type="noConversion"/>
  </si>
  <si>
    <t>신동아건설(주)l 하나은행 구로 신사옥현장</t>
    <phoneticPr fontId="2" type="noConversion"/>
  </si>
  <si>
    <t>우미건설(주)d  울산다운2지구 B-4블럭 공동주택 신축공사</t>
    <phoneticPr fontId="2" type="noConversion"/>
  </si>
  <si>
    <t>인성종합건설(주)d 추풍령주거플랫폼생활SOC문화복합시설건립사업 현장</t>
    <phoneticPr fontId="2" type="noConversion"/>
  </si>
  <si>
    <t>현대산업개발(주)q 광주 센테니얼 아이파크</t>
    <phoneticPr fontId="2" type="noConversion"/>
  </si>
  <si>
    <t>현대산업개발(주)r 신월2 주택재건축정비사업현장</t>
    <phoneticPr fontId="2" type="noConversion"/>
  </si>
  <si>
    <t>5CLh/s+12A+5로이</t>
  </si>
  <si>
    <t>5조외10</t>
    <phoneticPr fontId="2" type="noConversion"/>
  </si>
  <si>
    <t>25-2808</t>
    <phoneticPr fontId="2" type="noConversion"/>
  </si>
  <si>
    <t>5조외5</t>
    <phoneticPr fontId="2" type="noConversion"/>
  </si>
  <si>
    <t>25-2809</t>
    <phoneticPr fontId="2" type="noConversion"/>
  </si>
  <si>
    <t>25-2810</t>
    <phoneticPr fontId="2" type="noConversion"/>
  </si>
  <si>
    <t>10조외20</t>
    <phoneticPr fontId="2" type="noConversion"/>
  </si>
  <si>
    <t>5CL+12A+5로이</t>
  </si>
  <si>
    <t>10조외80</t>
    <phoneticPr fontId="2" type="noConversion"/>
  </si>
  <si>
    <t>25-2784</t>
    <phoneticPr fontId="2" type="noConversion"/>
  </si>
  <si>
    <t>5CL+12단열(Ar.)+5SUPERPLUS2.0</t>
  </si>
  <si>
    <t>25-2874</t>
    <phoneticPr fontId="2" type="noConversion"/>
  </si>
  <si>
    <t>5newGNh/s+12A+5로이h/s</t>
  </si>
  <si>
    <t>5newGN+12A+5로이</t>
  </si>
  <si>
    <t>9조외9</t>
    <phoneticPr fontId="2" type="noConversion"/>
  </si>
  <si>
    <t>18조외190</t>
    <phoneticPr fontId="2" type="noConversion"/>
  </si>
  <si>
    <t>25-2875</t>
    <phoneticPr fontId="2" type="noConversion"/>
  </si>
  <si>
    <t>10조외10</t>
    <phoneticPr fontId="2" type="noConversion"/>
  </si>
  <si>
    <t>10조외330</t>
    <phoneticPr fontId="2" type="noConversion"/>
  </si>
  <si>
    <t>25-2629</t>
    <phoneticPr fontId="2" type="noConversion"/>
  </si>
  <si>
    <t>3조외36</t>
    <phoneticPr fontId="2" type="noConversion"/>
  </si>
  <si>
    <t>25-2661</t>
    <phoneticPr fontId="2" type="noConversion"/>
  </si>
  <si>
    <t>2조외28</t>
    <phoneticPr fontId="2" type="noConversion"/>
  </si>
  <si>
    <t>25-2806</t>
    <phoneticPr fontId="2" type="noConversion"/>
  </si>
  <si>
    <t>20조외40</t>
    <phoneticPr fontId="2" type="noConversion"/>
  </si>
  <si>
    <t>25-2901</t>
    <phoneticPr fontId="2" type="noConversion"/>
  </si>
  <si>
    <t>10조외120</t>
    <phoneticPr fontId="2" type="noConversion"/>
  </si>
  <si>
    <t>5조외145</t>
    <phoneticPr fontId="2" type="noConversion"/>
  </si>
  <si>
    <t>25-3016</t>
    <phoneticPr fontId="2" type="noConversion"/>
  </si>
  <si>
    <t>5CL+12Ar.+5로이</t>
  </si>
  <si>
    <t>1조외2</t>
    <phoneticPr fontId="2" type="noConversion"/>
  </si>
  <si>
    <t>25-3017</t>
    <phoneticPr fontId="2" type="noConversion"/>
  </si>
  <si>
    <t>(주)서희건설m 광주각화3차조합주택</t>
    <phoneticPr fontId="2" type="noConversion"/>
  </si>
  <si>
    <t>25-3019</t>
    <phoneticPr fontId="2" type="noConversion"/>
  </si>
  <si>
    <t>6CL+16단열(Ar.)+6로이</t>
  </si>
  <si>
    <t>25-3030</t>
    <phoneticPr fontId="2" type="noConversion"/>
  </si>
  <si>
    <t>5newGN+12AR.+5로이</t>
  </si>
  <si>
    <t>25-3037</t>
    <phoneticPr fontId="2" type="noConversion"/>
  </si>
  <si>
    <t>5BL+14단열(Ar.)+5ONE</t>
  </si>
  <si>
    <t>26-0001</t>
    <phoneticPr fontId="2" type="noConversion"/>
  </si>
  <si>
    <t>동양유리샤시</t>
    <phoneticPr fontId="2" type="noConversion"/>
  </si>
  <si>
    <t>5newGN+14단열(Ar.)+5DURA MAX</t>
  </si>
  <si>
    <t xml:space="preserve"> 5ML+14단열(Ar.)+5CL</t>
  </si>
  <si>
    <t>U2</t>
    <phoneticPr fontId="2" type="noConversion"/>
  </si>
  <si>
    <t>25-2784</t>
    <phoneticPr fontId="2" type="noConversion"/>
  </si>
  <si>
    <t>10.76투명접합+12단열(Ar.)+5SUPERPLUS2.0</t>
  </si>
  <si>
    <t>78조외166</t>
    <phoneticPr fontId="2" type="noConversion"/>
  </si>
  <si>
    <t>12조외166</t>
    <phoneticPr fontId="2" type="noConversion"/>
  </si>
  <si>
    <t>25-2876</t>
    <phoneticPr fontId="2" type="noConversion"/>
  </si>
  <si>
    <t>4조외121</t>
    <phoneticPr fontId="2" type="noConversion"/>
  </si>
  <si>
    <t>5조외5</t>
    <phoneticPr fontId="2" type="noConversion"/>
  </si>
  <si>
    <t>10조외30</t>
    <phoneticPr fontId="2" type="noConversion"/>
  </si>
  <si>
    <t>25-2902</t>
    <phoneticPr fontId="2" type="noConversion"/>
  </si>
  <si>
    <t>5조외165</t>
    <phoneticPr fontId="2" type="noConversion"/>
  </si>
  <si>
    <t>25-2990</t>
    <phoneticPr fontId="2" type="noConversion"/>
  </si>
  <si>
    <t>5ONE+14단열(Ar.)+5CL</t>
  </si>
  <si>
    <t>1조외59</t>
    <phoneticPr fontId="2" type="noConversion"/>
  </si>
  <si>
    <t>26-0002</t>
    <phoneticPr fontId="2" type="noConversion"/>
  </si>
  <si>
    <t>㈜한일기업</t>
    <phoneticPr fontId="2" type="noConversion"/>
  </si>
  <si>
    <t>5SKN154IIh/s+14단열(Ar.)+5CL</t>
  </si>
  <si>
    <t>4조외32</t>
    <phoneticPr fontId="2" type="noConversion"/>
  </si>
  <si>
    <t>4조외5</t>
    <phoneticPr fontId="2" type="noConversion"/>
  </si>
  <si>
    <t>8조외146</t>
    <phoneticPr fontId="2" type="noConversion"/>
  </si>
  <si>
    <t>25-2877</t>
    <phoneticPr fontId="2" type="noConversion"/>
  </si>
  <si>
    <t>4조외4</t>
    <phoneticPr fontId="2" type="noConversion"/>
  </si>
  <si>
    <t>4조외132</t>
    <phoneticPr fontId="2" type="noConversion"/>
  </si>
  <si>
    <t>4조외116</t>
    <phoneticPr fontId="2" type="noConversion"/>
  </si>
  <si>
    <t>25-2885</t>
    <phoneticPr fontId="2" type="noConversion"/>
  </si>
  <si>
    <t>7조외7</t>
    <phoneticPr fontId="2" type="noConversion"/>
  </si>
  <si>
    <t>7조외56</t>
    <phoneticPr fontId="2" type="noConversion"/>
  </si>
  <si>
    <t>25-3006</t>
    <phoneticPr fontId="2" type="noConversion"/>
  </si>
  <si>
    <t>1조외127</t>
    <phoneticPr fontId="2" type="noConversion"/>
  </si>
  <si>
    <t>25-3007</t>
  </si>
  <si>
    <t>1조외136</t>
    <phoneticPr fontId="2" type="noConversion"/>
  </si>
  <si>
    <t>25-3008</t>
  </si>
  <si>
    <t>25-3009</t>
  </si>
  <si>
    <t>30조외42</t>
    <phoneticPr fontId="2" type="noConversion"/>
  </si>
  <si>
    <t>26-0004</t>
    <phoneticPr fontId="2" type="noConversion"/>
  </si>
  <si>
    <t>26-0007</t>
    <phoneticPr fontId="2" type="noConversion"/>
  </si>
  <si>
    <t>26-0008</t>
    <phoneticPr fontId="2" type="noConversion"/>
  </si>
  <si>
    <t>현대샷시유리공사</t>
    <phoneticPr fontId="2" type="noConversion"/>
  </si>
  <si>
    <t>6newGN+6A+5CL</t>
  </si>
  <si>
    <t>26-0009</t>
    <phoneticPr fontId="2" type="noConversion"/>
  </si>
  <si>
    <t>강남유리</t>
    <phoneticPr fontId="2" type="noConversion"/>
  </si>
  <si>
    <t>5SKN154IIh/s+12A+5CL</t>
  </si>
  <si>
    <t>U1</t>
    <phoneticPr fontId="2" type="noConversion"/>
  </si>
  <si>
    <t>26-0010</t>
  </si>
  <si>
    <t>㈜한일기업</t>
    <phoneticPr fontId="2" type="noConversion"/>
  </si>
  <si>
    <t>5SKN154+14단열(Ar.)+5CL</t>
  </si>
  <si>
    <t>1조외141</t>
    <phoneticPr fontId="2" type="noConversion"/>
  </si>
  <si>
    <t>25-2807</t>
    <phoneticPr fontId="2" type="noConversion"/>
  </si>
  <si>
    <t>8.76(4cl+0.76+4cl)접합+12A+5로이</t>
  </si>
  <si>
    <t>8.76투명접합+14Ar.+5로이h/s+14Ar.+5로이</t>
  </si>
  <si>
    <t>5조외40</t>
    <phoneticPr fontId="2" type="noConversion"/>
  </si>
  <si>
    <t>25-2808</t>
    <phoneticPr fontId="2" type="noConversion"/>
  </si>
  <si>
    <t>10조외35</t>
    <phoneticPr fontId="2" type="noConversion"/>
  </si>
  <si>
    <t>25-2809</t>
    <phoneticPr fontId="2" type="noConversion"/>
  </si>
  <si>
    <t>9조외29</t>
    <phoneticPr fontId="2" type="noConversion"/>
  </si>
  <si>
    <t>25-2810</t>
    <phoneticPr fontId="2" type="noConversion"/>
  </si>
  <si>
    <t>10조외54</t>
    <phoneticPr fontId="2" type="noConversion"/>
  </si>
  <si>
    <t>25-2885</t>
    <phoneticPr fontId="2" type="noConversion"/>
  </si>
  <si>
    <t>14조외224</t>
    <phoneticPr fontId="2" type="noConversion"/>
  </si>
  <si>
    <t>14조외133</t>
    <phoneticPr fontId="2" type="noConversion"/>
  </si>
  <si>
    <t>25-2886</t>
    <phoneticPr fontId="2" type="noConversion"/>
  </si>
  <si>
    <t>10조외85</t>
    <phoneticPr fontId="2" type="noConversion"/>
  </si>
  <si>
    <t>25-3001</t>
    <phoneticPr fontId="2" type="noConversion"/>
  </si>
  <si>
    <t>6ONE+12단열(Ar.)+6ONE</t>
  </si>
  <si>
    <t>2조외12</t>
    <phoneticPr fontId="2" type="noConversion"/>
  </si>
  <si>
    <t>25-3002</t>
  </si>
  <si>
    <t>5ONE+14단열(Ar.)+5ONE</t>
  </si>
  <si>
    <t>10조외106</t>
    <phoneticPr fontId="2" type="noConversion"/>
  </si>
  <si>
    <t>25-3003</t>
  </si>
  <si>
    <t>1조외6</t>
    <phoneticPr fontId="2" type="noConversion"/>
  </si>
  <si>
    <t>25-3006</t>
    <phoneticPr fontId="2" type="noConversion"/>
  </si>
  <si>
    <t>25-3009</t>
    <phoneticPr fontId="2" type="noConversion"/>
  </si>
  <si>
    <t>25-3012</t>
    <phoneticPr fontId="2" type="noConversion"/>
  </si>
  <si>
    <t>6SKN176IIh/s+16단열(Ar.)+6CL</t>
  </si>
  <si>
    <t>3조외6</t>
    <phoneticPr fontId="2" type="noConversion"/>
  </si>
  <si>
    <t>25-3014</t>
    <phoneticPr fontId="2" type="noConversion"/>
  </si>
  <si>
    <t>5CLh/s+14Ar.+5로이</t>
  </si>
  <si>
    <t>4조외13</t>
    <phoneticPr fontId="2" type="noConversion"/>
  </si>
  <si>
    <t>25-3015</t>
  </si>
  <si>
    <t>5SKN154IIh/s+14단열(Ar.)+5CLh/s</t>
  </si>
  <si>
    <t>25-3034</t>
    <phoneticPr fontId="2" type="noConversion"/>
  </si>
  <si>
    <t>5CL+12A+5CL</t>
  </si>
  <si>
    <t>8.76투명접합+12A+5CL</t>
  </si>
  <si>
    <t>25-3035</t>
    <phoneticPr fontId="2" type="noConversion"/>
  </si>
  <si>
    <t>10조외9</t>
    <phoneticPr fontId="2" type="noConversion"/>
  </si>
  <si>
    <t>25-3036</t>
    <phoneticPr fontId="2" type="noConversion"/>
  </si>
  <si>
    <t>2조외34</t>
    <phoneticPr fontId="2" type="noConversion"/>
  </si>
  <si>
    <t>26-0003</t>
    <phoneticPr fontId="2" type="noConversion"/>
  </si>
  <si>
    <t>28조외50</t>
    <phoneticPr fontId="2" type="noConversion"/>
  </si>
  <si>
    <t>26-0011</t>
    <phoneticPr fontId="2" type="noConversion"/>
  </si>
  <si>
    <t>26-0016</t>
    <phoneticPr fontId="2" type="noConversion"/>
  </si>
  <si>
    <t>㈜다솔산업</t>
    <phoneticPr fontId="2" type="noConversion"/>
  </si>
  <si>
    <t>5투명+12A+5투명</t>
  </si>
  <si>
    <t>1조외7</t>
    <phoneticPr fontId="2" type="noConversion"/>
  </si>
  <si>
    <t>25-2886</t>
    <phoneticPr fontId="2" type="noConversion"/>
  </si>
  <si>
    <t>10조외250</t>
    <phoneticPr fontId="2" type="noConversion"/>
  </si>
  <si>
    <t>5조외200</t>
    <phoneticPr fontId="2" type="noConversion"/>
  </si>
  <si>
    <t>25-2999</t>
    <phoneticPr fontId="2" type="noConversion"/>
  </si>
  <si>
    <t>10.76(5clh/s+0.76+5clh/s)접합+12단열(T)+5로이</t>
  </si>
  <si>
    <t>25-3029</t>
    <phoneticPr fontId="2" type="noConversion"/>
  </si>
  <si>
    <t>5CL+12단열(T)+5로이</t>
  </si>
  <si>
    <t>5newGNh/s+12단열(T)+5로이</t>
  </si>
  <si>
    <t>1조외25</t>
    <phoneticPr fontId="2" type="noConversion"/>
  </si>
  <si>
    <t>25-3031</t>
    <phoneticPr fontId="2" type="noConversion"/>
  </si>
  <si>
    <t>5CLh/s+14Ar.+5로이h/s</t>
  </si>
  <si>
    <t>5CL+14A+5로이</t>
  </si>
  <si>
    <t>1조외1</t>
    <phoneticPr fontId="2" type="noConversion"/>
  </si>
  <si>
    <t>26-0024</t>
    <phoneticPr fontId="2" type="noConversion"/>
  </si>
  <si>
    <t>5newGN+12단열(T)+5CL</t>
  </si>
  <si>
    <t>5CL+12단열(T)+5CL</t>
  </si>
  <si>
    <t>6조외8</t>
    <phoneticPr fontId="2" type="noConversion"/>
  </si>
  <si>
    <t>25-3003</t>
    <phoneticPr fontId="2" type="noConversion"/>
  </si>
  <si>
    <t>4조외185</t>
    <phoneticPr fontId="2" type="noConversion"/>
  </si>
  <si>
    <t>25-3025</t>
    <phoneticPr fontId="2" type="noConversion"/>
  </si>
  <si>
    <t>5SKN154+14단열(Ar.)+5CL</t>
    <phoneticPr fontId="2" type="noConversion"/>
  </si>
  <si>
    <t>2조외9</t>
    <phoneticPr fontId="2" type="noConversion"/>
  </si>
  <si>
    <t>25-3026</t>
    <phoneticPr fontId="2" type="noConversion"/>
  </si>
  <si>
    <t>2조외5</t>
    <phoneticPr fontId="2" type="noConversion"/>
  </si>
  <si>
    <t>25-3027</t>
  </si>
  <si>
    <t>2조외23</t>
    <phoneticPr fontId="2" type="noConversion"/>
  </si>
  <si>
    <t>25-3032</t>
    <phoneticPr fontId="2" type="noConversion"/>
  </si>
  <si>
    <t>5투명h/s+12A+5로이</t>
  </si>
  <si>
    <t>25-3033</t>
    <phoneticPr fontId="2" type="noConversion"/>
  </si>
  <si>
    <t>5SKG144+14단열(S)(Ar.)+5CLh/s</t>
  </si>
  <si>
    <t>25-2886</t>
    <phoneticPr fontId="2" type="noConversion"/>
  </si>
  <si>
    <t>20조외60</t>
    <phoneticPr fontId="2" type="noConversion"/>
  </si>
  <si>
    <t>25-2887</t>
    <phoneticPr fontId="2" type="noConversion"/>
  </si>
  <si>
    <t>10조외180</t>
    <phoneticPr fontId="2" type="noConversion"/>
  </si>
  <si>
    <t>10조외140</t>
    <phoneticPr fontId="2" type="noConversion"/>
  </si>
  <si>
    <t>25-2888</t>
    <phoneticPr fontId="2" type="noConversion"/>
  </si>
  <si>
    <t>9조외162</t>
    <phoneticPr fontId="2" type="noConversion"/>
  </si>
  <si>
    <t>9조외108</t>
    <phoneticPr fontId="2" type="noConversion"/>
  </si>
  <si>
    <t>25-3013</t>
    <phoneticPr fontId="2" type="noConversion"/>
  </si>
  <si>
    <t>5CLh/s+12A+5로이h/s</t>
  </si>
  <si>
    <t>5CLh/s+16Ar.+5로이h/s+16Ar.+5로이</t>
  </si>
  <si>
    <t>1조외3</t>
    <phoneticPr fontId="2" type="noConversion"/>
  </si>
  <si>
    <t>1조외2</t>
    <phoneticPr fontId="2" type="noConversion"/>
  </si>
  <si>
    <t>26-0019</t>
    <phoneticPr fontId="2" type="noConversion"/>
  </si>
  <si>
    <t>㈜한일기업</t>
    <phoneticPr fontId="2" type="noConversion"/>
  </si>
  <si>
    <t>5SKN154+14Ar.+5CL+14Ar.+5CL 이형</t>
  </si>
  <si>
    <t>25-2705</t>
    <phoneticPr fontId="2" type="noConversion"/>
  </si>
  <si>
    <t>5newGN+14A+5로이</t>
  </si>
  <si>
    <t>8조외112</t>
    <phoneticPr fontId="2" type="noConversion"/>
  </si>
  <si>
    <t>16조외16</t>
    <phoneticPr fontId="2" type="noConversion"/>
  </si>
  <si>
    <t>25-3028</t>
    <phoneticPr fontId="2" type="noConversion"/>
  </si>
  <si>
    <t>2조외19</t>
    <phoneticPr fontId="2" type="noConversion"/>
  </si>
  <si>
    <t>26-0006</t>
    <phoneticPr fontId="2" type="noConversion"/>
  </si>
  <si>
    <t>6SKS142IIh/s+16단열(S)(Ar.)+6CLh/s</t>
  </si>
  <si>
    <t>4조외187</t>
    <phoneticPr fontId="2" type="noConversion"/>
  </si>
  <si>
    <t>26-0010</t>
    <phoneticPr fontId="2" type="noConversion"/>
  </si>
  <si>
    <t>26-0022</t>
    <phoneticPr fontId="2" type="noConversion"/>
  </si>
  <si>
    <t>현대샷시유리공사</t>
    <phoneticPr fontId="2" type="noConversion"/>
  </si>
  <si>
    <t>5newGN+6A+5CL</t>
  </si>
  <si>
    <t>26-0055</t>
    <phoneticPr fontId="2" type="noConversion"/>
  </si>
  <si>
    <t>1조외5</t>
    <phoneticPr fontId="2" type="noConversion"/>
  </si>
  <si>
    <t>25-2809</t>
    <phoneticPr fontId="2" type="noConversion"/>
  </si>
  <si>
    <t>1조외6</t>
    <phoneticPr fontId="2" type="noConversion"/>
  </si>
  <si>
    <t>25-2810</t>
    <phoneticPr fontId="2" type="noConversion"/>
  </si>
  <si>
    <t>2조외4</t>
    <phoneticPr fontId="2" type="noConversion"/>
  </si>
  <si>
    <t>25-2816</t>
    <phoneticPr fontId="2" type="noConversion"/>
  </si>
  <si>
    <t>5조외39</t>
    <phoneticPr fontId="2" type="noConversion"/>
  </si>
  <si>
    <t>5조외30</t>
    <phoneticPr fontId="2" type="noConversion"/>
  </si>
  <si>
    <t>25-2817</t>
    <phoneticPr fontId="2" type="noConversion"/>
  </si>
  <si>
    <t>20조외70</t>
    <phoneticPr fontId="2" type="noConversion"/>
  </si>
  <si>
    <t>25-2818</t>
  </si>
  <si>
    <t>10조외60</t>
    <phoneticPr fontId="2" type="noConversion"/>
  </si>
  <si>
    <t>26-0012</t>
    <phoneticPr fontId="2" type="noConversion"/>
  </si>
  <si>
    <t>78조외155</t>
    <phoneticPr fontId="2" type="noConversion"/>
  </si>
  <si>
    <t>26-0058</t>
    <phoneticPr fontId="2" type="noConversion"/>
  </si>
  <si>
    <t>(주)신정암건설c 한빛교회</t>
    <phoneticPr fontId="2" type="noConversion"/>
  </si>
  <si>
    <t>5SKN154+14A+5CL</t>
  </si>
  <si>
    <t>25-2701</t>
    <phoneticPr fontId="2" type="noConversion"/>
  </si>
  <si>
    <t>5newGNh/s+14A+5로이h/s</t>
  </si>
  <si>
    <t>25-2702</t>
    <phoneticPr fontId="2" type="noConversion"/>
  </si>
  <si>
    <t>25-2705</t>
    <phoneticPr fontId="2" type="noConversion"/>
  </si>
  <si>
    <t>8조외112</t>
    <phoneticPr fontId="2" type="noConversion"/>
  </si>
  <si>
    <t>25-2706</t>
    <phoneticPr fontId="2" type="noConversion"/>
  </si>
  <si>
    <t>8조외72</t>
    <phoneticPr fontId="2" type="noConversion"/>
  </si>
  <si>
    <t>26-0005</t>
    <phoneticPr fontId="2" type="noConversion"/>
  </si>
  <si>
    <t>5CL+14Ar.+5로이</t>
  </si>
  <si>
    <t>2조외3</t>
    <phoneticPr fontId="2" type="noConversion"/>
  </si>
  <si>
    <t>26-0006</t>
    <phoneticPr fontId="2" type="noConversion"/>
  </si>
  <si>
    <t>26-0013</t>
    <phoneticPr fontId="2" type="noConversion"/>
  </si>
  <si>
    <t>5SKG149Th/s+14단열(Ar.)+5CLh/s</t>
  </si>
  <si>
    <t>6SKG149Th/s+16단열(Ar.)+6CLh/s</t>
  </si>
  <si>
    <t>1조외40</t>
    <phoneticPr fontId="2" type="noConversion"/>
  </si>
  <si>
    <t>26-0020</t>
    <phoneticPr fontId="2" type="noConversion"/>
  </si>
  <si>
    <t>26-0038</t>
    <phoneticPr fontId="2" type="noConversion"/>
  </si>
  <si>
    <t>42조외44</t>
    <phoneticPr fontId="2" type="noConversion"/>
  </si>
  <si>
    <t>26-0057</t>
    <phoneticPr fontId="2" type="noConversion"/>
  </si>
  <si>
    <t>미도사</t>
    <phoneticPr fontId="2" type="noConversion"/>
  </si>
  <si>
    <t>6SKS142II+12A+5CL</t>
  </si>
  <si>
    <t>26-0059</t>
    <phoneticPr fontId="2" type="noConversion"/>
  </si>
  <si>
    <t>26-0060</t>
    <phoneticPr fontId="2" type="noConversion"/>
  </si>
  <si>
    <t>6조외1</t>
    <phoneticPr fontId="2" type="noConversion"/>
  </si>
  <si>
    <t>25-2555</t>
    <phoneticPr fontId="2" type="noConversion"/>
  </si>
  <si>
    <t>25-2816</t>
    <phoneticPr fontId="2" type="noConversion"/>
  </si>
  <si>
    <t>5조외65</t>
    <phoneticPr fontId="2" type="noConversion"/>
  </si>
  <si>
    <t>25-2817</t>
    <phoneticPr fontId="2" type="noConversion"/>
  </si>
  <si>
    <t>9조외10</t>
    <phoneticPr fontId="2" type="noConversion"/>
  </si>
  <si>
    <t>10조외190</t>
    <phoneticPr fontId="2" type="noConversion"/>
  </si>
  <si>
    <t>25-2818</t>
    <phoneticPr fontId="2" type="noConversion"/>
  </si>
  <si>
    <t>26-0023</t>
    <phoneticPr fontId="2" type="noConversion"/>
  </si>
  <si>
    <t>26-0053</t>
    <phoneticPr fontId="2" type="noConversion"/>
  </si>
  <si>
    <t>(주)대건건설산업d 형석고 기숙사 드라이비트 교체 및 기타 건축현장</t>
    <phoneticPr fontId="2" type="noConversion"/>
  </si>
  <si>
    <t>5MZT152h/s+14단열(AR.)+5CL</t>
  </si>
  <si>
    <t>8조외117</t>
    <phoneticPr fontId="2" type="noConversion"/>
  </si>
  <si>
    <t>26-0054</t>
    <phoneticPr fontId="2" type="noConversion"/>
  </si>
  <si>
    <t>8조외32</t>
    <phoneticPr fontId="2" type="noConversion"/>
  </si>
  <si>
    <t>26-0056</t>
    <phoneticPr fontId="2" type="noConversion"/>
  </si>
  <si>
    <t>남영유리상사</t>
    <phoneticPr fontId="2" type="noConversion"/>
  </si>
  <si>
    <t>5CLh/s+6A+5CLh/s</t>
  </si>
  <si>
    <t>10조외90</t>
    <phoneticPr fontId="2" type="noConversion"/>
  </si>
  <si>
    <t>15조외100</t>
    <phoneticPr fontId="2" type="noConversion"/>
  </si>
  <si>
    <t>32조외32</t>
    <phoneticPr fontId="2" type="noConversion"/>
  </si>
  <si>
    <t>8조외136</t>
    <phoneticPr fontId="2" type="noConversion"/>
  </si>
  <si>
    <t>16조외16</t>
    <phoneticPr fontId="2" type="noConversion"/>
  </si>
  <si>
    <t>20조외230</t>
    <phoneticPr fontId="2" type="noConversion"/>
  </si>
  <si>
    <t>25-2889</t>
    <phoneticPr fontId="2" type="noConversion"/>
  </si>
  <si>
    <t>10조외170</t>
    <phoneticPr fontId="2" type="noConversion"/>
  </si>
  <si>
    <t>10조외45</t>
    <phoneticPr fontId="2" type="noConversion"/>
  </si>
  <si>
    <t>26-0012</t>
    <phoneticPr fontId="2" type="noConversion"/>
  </si>
  <si>
    <t>24조외64</t>
    <phoneticPr fontId="2" type="noConversion"/>
  </si>
  <si>
    <t>25-2941</t>
    <phoneticPr fontId="2" type="noConversion"/>
  </si>
  <si>
    <t>1조외146</t>
    <phoneticPr fontId="2" type="noConversion"/>
  </si>
  <si>
    <t>10조외137</t>
    <phoneticPr fontId="2" type="noConversion"/>
  </si>
  <si>
    <t>25-2942</t>
    <phoneticPr fontId="2" type="noConversion"/>
  </si>
  <si>
    <t>15조외97</t>
    <phoneticPr fontId="2" type="noConversion"/>
  </si>
  <si>
    <t>26-0025</t>
    <phoneticPr fontId="2" type="noConversion"/>
  </si>
  <si>
    <t>6SKS142IIh/s+16단열(S)(Ar.)+6스팬드럴h/s</t>
  </si>
  <si>
    <t>15조외80</t>
    <phoneticPr fontId="2" type="noConversion"/>
  </si>
  <si>
    <t>25-2892</t>
    <phoneticPr fontId="2" type="noConversion"/>
  </si>
  <si>
    <t>9조외154</t>
    <phoneticPr fontId="2" type="noConversion"/>
  </si>
  <si>
    <t>9조외126</t>
    <phoneticPr fontId="2" type="noConversion"/>
  </si>
  <si>
    <t>25-2893</t>
    <phoneticPr fontId="2" type="noConversion"/>
  </si>
  <si>
    <t>10조외140</t>
    <phoneticPr fontId="2" type="noConversion"/>
  </si>
  <si>
    <t>25-2894</t>
    <phoneticPr fontId="2" type="noConversion"/>
  </si>
  <si>
    <t>9조외18</t>
    <phoneticPr fontId="2" type="noConversion"/>
  </si>
  <si>
    <t>25-2704</t>
    <phoneticPr fontId="2" type="noConversion"/>
  </si>
  <si>
    <t>10조외73</t>
    <phoneticPr fontId="2" type="noConversion"/>
  </si>
  <si>
    <t>25-2942</t>
    <phoneticPr fontId="2" type="noConversion"/>
  </si>
  <si>
    <t>14조외150</t>
    <phoneticPr fontId="2" type="noConversion"/>
  </si>
  <si>
    <t>15조외260</t>
    <phoneticPr fontId="2" type="noConversion"/>
  </si>
  <si>
    <t>26-0073</t>
    <phoneticPr fontId="2" type="noConversion"/>
  </si>
  <si>
    <t>㈜다솔산업</t>
    <phoneticPr fontId="2" type="noConversion"/>
  </si>
  <si>
    <t>5CL+12A+5DURA MAX</t>
  </si>
  <si>
    <t>5newGN+12A+5Dura max</t>
  </si>
  <si>
    <t>2조외10</t>
    <phoneticPr fontId="2" type="noConversion"/>
  </si>
  <si>
    <t>25-2703</t>
    <phoneticPr fontId="2" type="noConversion"/>
  </si>
  <si>
    <t>10조외70</t>
    <phoneticPr fontId="2" type="noConversion"/>
  </si>
  <si>
    <t>10조외80</t>
    <phoneticPr fontId="2" type="noConversion"/>
  </si>
  <si>
    <t>25-2894</t>
    <phoneticPr fontId="2" type="noConversion"/>
  </si>
  <si>
    <t>9조외152</t>
    <phoneticPr fontId="2" type="noConversion"/>
  </si>
  <si>
    <t>18조외90</t>
    <phoneticPr fontId="2" type="noConversion"/>
  </si>
  <si>
    <t>26-0012</t>
    <phoneticPr fontId="2" type="noConversion"/>
  </si>
  <si>
    <t>26-0093</t>
    <phoneticPr fontId="2" type="noConversion"/>
  </si>
  <si>
    <t>동일유리㈜</t>
    <phoneticPr fontId="2" type="noConversion"/>
  </si>
  <si>
    <t>25-2704</t>
    <phoneticPr fontId="2" type="noConversion"/>
  </si>
  <si>
    <t>10조외90</t>
    <phoneticPr fontId="2" type="noConversion"/>
  </si>
  <si>
    <t>25-2709</t>
    <phoneticPr fontId="2" type="noConversion"/>
  </si>
  <si>
    <t>25-2710</t>
    <phoneticPr fontId="2" type="noConversion"/>
  </si>
  <si>
    <t>10조외100</t>
    <phoneticPr fontId="2" type="noConversion"/>
  </si>
  <si>
    <t>26-0071</t>
    <phoneticPr fontId="2" type="noConversion"/>
  </si>
  <si>
    <t>4조외8</t>
    <phoneticPr fontId="2" type="noConversion"/>
  </si>
  <si>
    <t>26-0072</t>
  </si>
  <si>
    <t>8조외8</t>
    <phoneticPr fontId="2" type="noConversion"/>
  </si>
  <si>
    <t>26-0092</t>
    <phoneticPr fontId="2" type="noConversion"/>
  </si>
  <si>
    <t>현대샷시유리공사</t>
    <phoneticPr fontId="2" type="noConversion"/>
  </si>
  <si>
    <t>1조외2</t>
    <phoneticPr fontId="2" type="noConversion"/>
  </si>
  <si>
    <t>26-0094</t>
    <phoneticPr fontId="2" type="noConversion"/>
  </si>
  <si>
    <t>미도사</t>
    <phoneticPr fontId="2" type="noConversion"/>
  </si>
  <si>
    <t>26-0095</t>
    <phoneticPr fontId="2" type="noConversion"/>
  </si>
  <si>
    <t>동양유리샤시</t>
    <phoneticPr fontId="2" type="noConversion"/>
  </si>
  <si>
    <t>5newGN+6A+5CL(이형)</t>
  </si>
  <si>
    <t>26-0098</t>
    <phoneticPr fontId="2" type="noConversion"/>
  </si>
  <si>
    <t>2조외26</t>
    <phoneticPr fontId="2" type="noConversion"/>
  </si>
  <si>
    <t>25-2972</t>
    <phoneticPr fontId="2" type="noConversion"/>
  </si>
  <si>
    <t>10조외160</t>
    <phoneticPr fontId="2" type="noConversion"/>
  </si>
  <si>
    <t>10조외35</t>
    <phoneticPr fontId="2" type="noConversion"/>
  </si>
  <si>
    <t>26-0012</t>
    <phoneticPr fontId="2" type="noConversion"/>
  </si>
  <si>
    <t>31조외164</t>
    <phoneticPr fontId="2" type="noConversion"/>
  </si>
  <si>
    <t>26-0015</t>
    <phoneticPr fontId="2" type="noConversion"/>
  </si>
  <si>
    <t>5CL+12단열+5SUPERPLUS2.0</t>
  </si>
  <si>
    <t>5CL+14단열(Ar.)+5SUPERPLUS1.0+14단열(Ar.)+5SUPERPLUS1.0</t>
  </si>
  <si>
    <t>7조외1</t>
    <phoneticPr fontId="2" type="noConversion"/>
  </si>
  <si>
    <t>1조외5</t>
    <phoneticPr fontId="2" type="noConversion"/>
  </si>
  <si>
    <t>26-0021</t>
    <phoneticPr fontId="2" type="noConversion"/>
  </si>
  <si>
    <t>5DURA MAX h/s+14단열(Ar.)+5CLh/s</t>
  </si>
  <si>
    <t>5MCT154h/s+14단열(Ar.)+5CLh/s</t>
  </si>
  <si>
    <t>26-0061</t>
    <phoneticPr fontId="2" type="noConversion"/>
  </si>
  <si>
    <t>1조외1</t>
    <phoneticPr fontId="2" type="noConversion"/>
  </si>
  <si>
    <t>26-0068</t>
    <phoneticPr fontId="2" type="noConversion"/>
  </si>
  <si>
    <t>2조외40</t>
    <phoneticPr fontId="2" type="noConversion"/>
  </si>
  <si>
    <t>26-0070</t>
    <phoneticPr fontId="2" type="noConversion"/>
  </si>
  <si>
    <t>11조외48</t>
    <phoneticPr fontId="2" type="noConversion"/>
  </si>
  <si>
    <t>26-0090</t>
    <phoneticPr fontId="2" type="noConversion"/>
  </si>
  <si>
    <t>㈜한일기업</t>
    <phoneticPr fontId="2" type="noConversion"/>
  </si>
  <si>
    <t>26-0097</t>
    <phoneticPr fontId="2" type="noConversion"/>
  </si>
  <si>
    <t>26-0099</t>
    <phoneticPr fontId="2" type="noConversion"/>
  </si>
  <si>
    <t>천수기업</t>
    <phoneticPr fontId="2" type="noConversion"/>
  </si>
  <si>
    <t>5newGN+14Ar.+5DURA MAX</t>
  </si>
  <si>
    <t>26-0014</t>
    <phoneticPr fontId="2" type="noConversion"/>
  </si>
  <si>
    <t>8.76투명접합+12단열+5CL</t>
  </si>
  <si>
    <t>5UGA+12단열(Ar.)+5SUPERPLUS1.0+12단열(Ar.)+8.76투명접합</t>
  </si>
  <si>
    <t>2조외3</t>
    <phoneticPr fontId="2" type="noConversion"/>
  </si>
  <si>
    <t>4조외7</t>
    <phoneticPr fontId="2" type="noConversion"/>
  </si>
  <si>
    <t>25-2709</t>
    <phoneticPr fontId="2" type="noConversion"/>
  </si>
  <si>
    <t>25-2710</t>
    <phoneticPr fontId="2" type="noConversion"/>
  </si>
  <si>
    <t>25-2895</t>
    <phoneticPr fontId="2" type="noConversion"/>
  </si>
  <si>
    <t>10조외170</t>
    <phoneticPr fontId="2" type="noConversion"/>
  </si>
  <si>
    <t>10조외140</t>
    <phoneticPr fontId="2" type="noConversion"/>
  </si>
  <si>
    <t>25-2896</t>
    <phoneticPr fontId="2" type="noConversion"/>
  </si>
  <si>
    <t>25-2899</t>
    <phoneticPr fontId="2" type="noConversion"/>
  </si>
  <si>
    <t>10조외50</t>
    <phoneticPr fontId="2" type="noConversion"/>
  </si>
  <si>
    <t>25-2972</t>
    <phoneticPr fontId="2" type="noConversion"/>
  </si>
  <si>
    <t>35조외80</t>
    <phoneticPr fontId="2" type="noConversion"/>
  </si>
  <si>
    <t>25-2973</t>
    <phoneticPr fontId="2" type="noConversion"/>
  </si>
  <si>
    <t>10조외141</t>
    <phoneticPr fontId="2" type="noConversion"/>
  </si>
  <si>
    <t>25-2978</t>
    <phoneticPr fontId="2" type="noConversion"/>
  </si>
  <si>
    <t>10조외130</t>
    <phoneticPr fontId="2" type="noConversion"/>
  </si>
  <si>
    <t>25-2979</t>
    <phoneticPr fontId="2" type="noConversion"/>
  </si>
  <si>
    <t>15조외45</t>
    <phoneticPr fontId="2" type="noConversion"/>
  </si>
  <si>
    <t>25-2392</t>
    <phoneticPr fontId="2" type="noConversion"/>
  </si>
  <si>
    <t>6SKN076IIh/s+16단열(S)(Ar.)+6DI h/s</t>
  </si>
  <si>
    <t>2조외14</t>
    <phoneticPr fontId="2" type="noConversion"/>
  </si>
  <si>
    <t>25-2396</t>
    <phoneticPr fontId="2" type="noConversion"/>
  </si>
  <si>
    <t>2조외18</t>
    <phoneticPr fontId="2" type="noConversion"/>
  </si>
  <si>
    <t>25-2538</t>
    <phoneticPr fontId="2" type="noConversion"/>
  </si>
  <si>
    <t>3조외17</t>
    <phoneticPr fontId="2" type="noConversion"/>
  </si>
  <si>
    <t>25-2539</t>
  </si>
  <si>
    <t>1조외19</t>
    <phoneticPr fontId="2" type="noConversion"/>
  </si>
  <si>
    <t>25-2730</t>
    <phoneticPr fontId="2" type="noConversion"/>
  </si>
  <si>
    <t>1조외10</t>
    <phoneticPr fontId="2" type="noConversion"/>
  </si>
  <si>
    <t>25-2861</t>
    <phoneticPr fontId="2" type="noConversion"/>
  </si>
  <si>
    <t>1조외5</t>
    <phoneticPr fontId="2" type="noConversion"/>
  </si>
  <si>
    <t>20조외100</t>
    <phoneticPr fontId="2" type="noConversion"/>
  </si>
  <si>
    <t>25-2900</t>
    <phoneticPr fontId="2" type="noConversion"/>
  </si>
  <si>
    <t>10조외70</t>
    <phoneticPr fontId="2" type="noConversion"/>
  </si>
  <si>
    <t>25-2939</t>
    <phoneticPr fontId="2" type="noConversion"/>
  </si>
  <si>
    <t>5조외84</t>
    <phoneticPr fontId="2" type="noConversion"/>
  </si>
  <si>
    <t>5조외140</t>
    <phoneticPr fontId="2" type="noConversion"/>
  </si>
  <si>
    <t>15조외190</t>
    <phoneticPr fontId="2" type="noConversion"/>
  </si>
  <si>
    <t>26-0026</t>
    <phoneticPr fontId="2" type="noConversion"/>
  </si>
  <si>
    <t>5SUPERPLUS1.0h/s+14단열(Ar.)+5SUPERPLUS1.0h/s+14단열(Ar.)+5CL</t>
  </si>
  <si>
    <t>5CLh/s+14단열(Ar.)+5ONEIIh/s</t>
  </si>
  <si>
    <t>1조외3</t>
    <phoneticPr fontId="2" type="noConversion"/>
  </si>
  <si>
    <t>2조외1</t>
    <phoneticPr fontId="2" type="noConversion"/>
  </si>
  <si>
    <t>26-0067</t>
    <phoneticPr fontId="2" type="noConversion"/>
  </si>
  <si>
    <t>26-0111</t>
    <phoneticPr fontId="2" type="noConversion"/>
  </si>
  <si>
    <t>26-0112</t>
    <phoneticPr fontId="2" type="noConversion"/>
  </si>
  <si>
    <t>진흥엔지니어링 청주시 청원구 사천동 조은술세종㈜ 제2공장 현장</t>
    <phoneticPr fontId="2" type="noConversion"/>
  </si>
  <si>
    <t>26-0113</t>
    <phoneticPr fontId="2" type="noConversion"/>
  </si>
  <si>
    <t>㈜한일기업</t>
    <phoneticPr fontId="2" type="noConversion"/>
  </si>
  <si>
    <t>25-2229</t>
    <phoneticPr fontId="2" type="noConversion"/>
  </si>
  <si>
    <t>3조외27</t>
    <phoneticPr fontId="2" type="noConversion"/>
  </si>
  <si>
    <t>25-2388</t>
    <phoneticPr fontId="2" type="noConversion"/>
  </si>
  <si>
    <t>2조외13</t>
    <phoneticPr fontId="2" type="noConversion"/>
  </si>
  <si>
    <t>25-2389</t>
  </si>
  <si>
    <t>2조외14</t>
    <phoneticPr fontId="2" type="noConversion"/>
  </si>
  <si>
    <t>25-2391</t>
    <phoneticPr fontId="2" type="noConversion"/>
  </si>
  <si>
    <t>25-2395</t>
    <phoneticPr fontId="2" type="noConversion"/>
  </si>
  <si>
    <t>25-2535</t>
    <phoneticPr fontId="2" type="noConversion"/>
  </si>
  <si>
    <t>3조외17</t>
    <phoneticPr fontId="2" type="noConversion"/>
  </si>
  <si>
    <t>25-2536</t>
    <phoneticPr fontId="2" type="noConversion"/>
  </si>
  <si>
    <t>25-2730</t>
    <phoneticPr fontId="2" type="noConversion"/>
  </si>
  <si>
    <t>25-2798</t>
    <phoneticPr fontId="2" type="noConversion"/>
  </si>
  <si>
    <t>3조외13</t>
    <phoneticPr fontId="2" type="noConversion"/>
  </si>
  <si>
    <t>25-2799</t>
    <phoneticPr fontId="2" type="noConversion"/>
  </si>
  <si>
    <t>2조외15</t>
    <phoneticPr fontId="2" type="noConversion"/>
  </si>
  <si>
    <t>25-2839</t>
    <phoneticPr fontId="2" type="noConversion"/>
  </si>
  <si>
    <t>3조외7</t>
    <phoneticPr fontId="2" type="noConversion"/>
  </si>
  <si>
    <t>25-2840</t>
    <phoneticPr fontId="2" type="noConversion"/>
  </si>
  <si>
    <t>2조외8</t>
    <phoneticPr fontId="2" type="noConversion"/>
  </si>
  <si>
    <t>25-2897</t>
    <phoneticPr fontId="2" type="noConversion"/>
  </si>
  <si>
    <t>9조외13</t>
    <phoneticPr fontId="2" type="noConversion"/>
  </si>
  <si>
    <t>25-2900</t>
    <phoneticPr fontId="2" type="noConversion"/>
  </si>
  <si>
    <t>20조외80</t>
    <phoneticPr fontId="2" type="noConversion"/>
  </si>
  <si>
    <t>25-2939</t>
    <phoneticPr fontId="2" type="noConversion"/>
  </si>
  <si>
    <t>36조외270</t>
    <phoneticPr fontId="2" type="noConversion"/>
  </si>
  <si>
    <t>5조외390</t>
    <phoneticPr fontId="2" type="noConversion"/>
  </si>
  <si>
    <t>26-0034</t>
    <phoneticPr fontId="2" type="noConversion"/>
  </si>
  <si>
    <t>한우창호주식회사</t>
    <phoneticPr fontId="2" type="noConversion"/>
  </si>
  <si>
    <t>5DURA MAX h/s+14단열(Ar.)+5CLh/s+14단열(Ar.)+5DURA MAX h/s</t>
  </si>
  <si>
    <t>1조외27</t>
    <phoneticPr fontId="2" type="noConversion"/>
  </si>
  <si>
    <t>25-2975</t>
    <phoneticPr fontId="2" type="noConversion"/>
  </si>
  <si>
    <t>10조외130</t>
    <phoneticPr fontId="2" type="noConversion"/>
  </si>
  <si>
    <t>25-2976</t>
    <phoneticPr fontId="2" type="noConversion"/>
  </si>
  <si>
    <t>10조외140</t>
    <phoneticPr fontId="2" type="noConversion"/>
  </si>
  <si>
    <t>25-2977</t>
    <phoneticPr fontId="2" type="noConversion"/>
  </si>
  <si>
    <t>5조외32</t>
    <phoneticPr fontId="2" type="noConversion"/>
  </si>
  <si>
    <t>26-0157</t>
    <phoneticPr fontId="2" type="noConversion"/>
  </si>
  <si>
    <t>현대샷시유리공사</t>
    <phoneticPr fontId="2" type="noConversion"/>
  </si>
  <si>
    <t>25-2943</t>
    <phoneticPr fontId="2" type="noConversion"/>
  </si>
  <si>
    <t>15조외243</t>
    <phoneticPr fontId="2" type="noConversion"/>
  </si>
  <si>
    <t>15조외244</t>
    <phoneticPr fontId="2" type="noConversion"/>
  </si>
  <si>
    <t>25-2980</t>
    <phoneticPr fontId="2" type="noConversion"/>
  </si>
  <si>
    <t>10조외150</t>
    <phoneticPr fontId="2" type="noConversion"/>
  </si>
  <si>
    <t>10조외15</t>
    <phoneticPr fontId="2" type="noConversion"/>
  </si>
  <si>
    <t>25-2944</t>
    <phoneticPr fontId="2" type="noConversion"/>
  </si>
  <si>
    <t>10조외150</t>
    <phoneticPr fontId="2" type="noConversion"/>
  </si>
  <si>
    <t>25-2974</t>
    <phoneticPr fontId="2" type="noConversion"/>
  </si>
  <si>
    <t>25-2977</t>
    <phoneticPr fontId="2" type="noConversion"/>
  </si>
  <si>
    <t>9조외20</t>
    <phoneticPr fontId="2" type="noConversion"/>
  </si>
  <si>
    <t>5조외61</t>
    <phoneticPr fontId="2" type="noConversion"/>
  </si>
  <si>
    <t>26-0129</t>
    <phoneticPr fontId="2" type="noConversion"/>
  </si>
  <si>
    <t>서진유리산업</t>
    <phoneticPr fontId="2" type="noConversion"/>
  </si>
  <si>
    <t>5CL+6A+6N-29</t>
  </si>
  <si>
    <t>1조외11</t>
    <phoneticPr fontId="2" type="noConversion"/>
  </si>
  <si>
    <t>25-2980</t>
    <phoneticPr fontId="2" type="noConversion"/>
  </si>
  <si>
    <t>15조외120</t>
    <phoneticPr fontId="2" type="noConversion"/>
  </si>
  <si>
    <t>25-2981</t>
    <phoneticPr fontId="2" type="noConversion"/>
  </si>
  <si>
    <t>25-2982</t>
    <phoneticPr fontId="2" type="noConversion"/>
  </si>
  <si>
    <t>16조외203</t>
    <phoneticPr fontId="2" type="noConversion"/>
  </si>
  <si>
    <t>26-0069</t>
    <phoneticPr fontId="2" type="noConversion"/>
  </si>
  <si>
    <t>10.76(5cl+0.76+5cl)접합+12단열(T)+5로이</t>
  </si>
  <si>
    <t>26-0107</t>
    <phoneticPr fontId="2" type="noConversion"/>
  </si>
  <si>
    <t>계룡건설산업(주)mm  KT 인재개발원 공동주택 유리공사(2공구)</t>
    <phoneticPr fontId="2" type="noConversion"/>
  </si>
  <si>
    <t>6CL+12A+6로이</t>
  </si>
  <si>
    <t>26-0119</t>
    <phoneticPr fontId="2" type="noConversion"/>
  </si>
  <si>
    <t>5CL+14단열(T)+5로이</t>
  </si>
  <si>
    <t>25-2945</t>
    <phoneticPr fontId="2" type="noConversion"/>
  </si>
  <si>
    <t>25-2983</t>
    <phoneticPr fontId="2" type="noConversion"/>
  </si>
  <si>
    <t>16조외240</t>
    <phoneticPr fontId="2" type="noConversion"/>
  </si>
  <si>
    <t>26-0143</t>
    <phoneticPr fontId="2" type="noConversion"/>
  </si>
  <si>
    <t>5조외1</t>
    <phoneticPr fontId="2" type="noConversion"/>
  </si>
  <si>
    <t>26-0146</t>
    <phoneticPr fontId="2" type="noConversion"/>
  </si>
  <si>
    <t>1조외8</t>
    <phoneticPr fontId="2" type="noConversion"/>
  </si>
  <si>
    <t>26-0158</t>
    <phoneticPr fontId="2" type="noConversion"/>
  </si>
  <si>
    <t>1조외4</t>
    <phoneticPr fontId="2" type="noConversion"/>
  </si>
  <si>
    <t>16조외272</t>
    <phoneticPr fontId="2" type="noConversion"/>
  </si>
  <si>
    <t>5조외64</t>
    <phoneticPr fontId="2" type="noConversion"/>
  </si>
  <si>
    <t>26-0063</t>
    <phoneticPr fontId="2" type="noConversion"/>
  </si>
  <si>
    <t>1조외14</t>
    <phoneticPr fontId="2" type="noConversion"/>
  </si>
  <si>
    <t>26-0064</t>
    <phoneticPr fontId="2" type="noConversion"/>
  </si>
  <si>
    <t>26-0065</t>
    <phoneticPr fontId="2" type="noConversion"/>
  </si>
  <si>
    <t>1조외16</t>
    <phoneticPr fontId="2" type="noConversion"/>
  </si>
  <si>
    <t>26-0106</t>
    <phoneticPr fontId="2" type="noConversion"/>
  </si>
  <si>
    <t>26-0122</t>
    <phoneticPr fontId="2" type="noConversion"/>
  </si>
  <si>
    <t>25-2821</t>
  </si>
  <si>
    <t>25-2821</t>
    <phoneticPr fontId="2" type="noConversion"/>
  </si>
  <si>
    <t>5조외3</t>
    <phoneticPr fontId="2" type="noConversion"/>
  </si>
  <si>
    <t>5조외108</t>
    <phoneticPr fontId="2" type="noConversion"/>
  </si>
  <si>
    <t>25-2898</t>
    <phoneticPr fontId="2" type="noConversion"/>
  </si>
  <si>
    <t>26-0110</t>
    <phoneticPr fontId="2" type="noConversion"/>
  </si>
  <si>
    <t>5CL+6A+5CL</t>
  </si>
  <si>
    <t>26-0116</t>
    <phoneticPr fontId="2" type="noConversion"/>
  </si>
  <si>
    <t>5SKN154IIh/s+16단열(Ar.)+5CL</t>
  </si>
  <si>
    <t>6SKN154+12단열(Ar.)+6CL</t>
  </si>
  <si>
    <t>26-0117</t>
    <phoneticPr fontId="2" type="noConversion"/>
  </si>
  <si>
    <t>2조외27</t>
    <phoneticPr fontId="2" type="noConversion"/>
  </si>
  <si>
    <t>26-0118</t>
    <phoneticPr fontId="2" type="noConversion"/>
  </si>
  <si>
    <t>2조외62</t>
    <phoneticPr fontId="2" type="noConversion"/>
  </si>
  <si>
    <t>26-0120</t>
    <phoneticPr fontId="2" type="noConversion"/>
  </si>
  <si>
    <t>5CL+12단열+5로이</t>
  </si>
  <si>
    <t>26-0138</t>
    <phoneticPr fontId="2" type="noConversion"/>
  </si>
  <si>
    <t>8조외1</t>
    <phoneticPr fontId="2" type="noConversion"/>
  </si>
  <si>
    <t>8조외2</t>
    <phoneticPr fontId="2" type="noConversion"/>
  </si>
  <si>
    <t>26-0196</t>
    <phoneticPr fontId="2" type="noConversion"/>
  </si>
  <si>
    <t>26-0199</t>
    <phoneticPr fontId="2" type="noConversion"/>
  </si>
  <si>
    <t>류진종합건축</t>
    <phoneticPr fontId="2" type="noConversion"/>
  </si>
  <si>
    <t>5CL+14A+5CL</t>
  </si>
  <si>
    <t>4조외1</t>
    <phoneticPr fontId="2" type="noConversion"/>
  </si>
  <si>
    <t>26-0066</t>
    <phoneticPr fontId="2" type="noConversion"/>
  </si>
  <si>
    <t>5MVT172h/s+14단열(T)(Ar.)+5CL</t>
  </si>
  <si>
    <t>1조외24</t>
    <phoneticPr fontId="2" type="noConversion"/>
  </si>
  <si>
    <t>26-0075</t>
    <phoneticPr fontId="2" type="noConversion"/>
  </si>
  <si>
    <t>1조외47</t>
    <phoneticPr fontId="2" type="noConversion"/>
  </si>
  <si>
    <t>26-0076</t>
    <phoneticPr fontId="2" type="noConversion"/>
  </si>
  <si>
    <t>1조외185</t>
    <phoneticPr fontId="2" type="noConversion"/>
  </si>
  <si>
    <t>26-0077</t>
  </si>
  <si>
    <t>26-0077</t>
    <phoneticPr fontId="2" type="noConversion"/>
  </si>
  <si>
    <t>1조외64</t>
    <phoneticPr fontId="2" type="noConversion"/>
  </si>
  <si>
    <t>1조외83</t>
    <phoneticPr fontId="2" type="noConversion"/>
  </si>
  <si>
    <t>26-0121</t>
    <phoneticPr fontId="2" type="noConversion"/>
  </si>
  <si>
    <t>26-0125</t>
    <phoneticPr fontId="2" type="noConversion"/>
  </si>
  <si>
    <t>6SKG149Th/s+16단열(S)(Ar.)+6CLh/s</t>
  </si>
  <si>
    <t>25-2819</t>
    <phoneticPr fontId="2" type="noConversion"/>
  </si>
  <si>
    <t>5조외100</t>
    <phoneticPr fontId="2" type="noConversion"/>
  </si>
  <si>
    <t>25-2820</t>
  </si>
  <si>
    <t>10조외17</t>
    <phoneticPr fontId="2" type="noConversion"/>
  </si>
  <si>
    <t>10조외102</t>
    <phoneticPr fontId="2" type="noConversion"/>
  </si>
  <si>
    <t>26-0074</t>
    <phoneticPr fontId="2" type="noConversion"/>
  </si>
  <si>
    <t>1조외63</t>
    <phoneticPr fontId="2" type="noConversion"/>
  </si>
  <si>
    <t>26-0078</t>
    <phoneticPr fontId="2" type="noConversion"/>
  </si>
  <si>
    <t>1조외51</t>
    <phoneticPr fontId="2" type="noConversion"/>
  </si>
  <si>
    <t>26-0079</t>
  </si>
  <si>
    <t>6조외62</t>
    <phoneticPr fontId="2" type="noConversion"/>
  </si>
  <si>
    <t>86조외88</t>
    <phoneticPr fontId="2" type="noConversion"/>
  </si>
  <si>
    <t>86조외124</t>
    <phoneticPr fontId="2" type="noConversion"/>
  </si>
  <si>
    <t>1조외78</t>
    <phoneticPr fontId="2" type="noConversion"/>
  </si>
  <si>
    <t>25-2820</t>
    <phoneticPr fontId="2" type="noConversion"/>
  </si>
  <si>
    <t>20조외153</t>
    <phoneticPr fontId="2" type="noConversion"/>
  </si>
  <si>
    <t>10조외13</t>
    <phoneticPr fontId="2" type="noConversion"/>
  </si>
  <si>
    <t>25-2822</t>
    <phoneticPr fontId="2" type="noConversion"/>
  </si>
  <si>
    <t>10조외115</t>
    <phoneticPr fontId="2" type="noConversion"/>
  </si>
  <si>
    <t>25-2827</t>
    <phoneticPr fontId="2" type="noConversion"/>
  </si>
  <si>
    <t>10조외19</t>
    <phoneticPr fontId="2" type="noConversion"/>
  </si>
  <si>
    <t>26-0027</t>
    <phoneticPr fontId="2" type="noConversion"/>
  </si>
  <si>
    <t>10.76(5newGN+0.76+5CL)접합+12단열(T)+5로이</t>
  </si>
  <si>
    <t>86조외122</t>
    <phoneticPr fontId="2" type="noConversion"/>
  </si>
  <si>
    <t>1조외13</t>
    <phoneticPr fontId="2" type="noConversion"/>
  </si>
  <si>
    <t>26-0089</t>
    <phoneticPr fontId="2" type="noConversion"/>
  </si>
  <si>
    <t>5newGN+12단열(T)AR.+5로이</t>
  </si>
  <si>
    <t>5CL에칭+6A+5CL</t>
  </si>
  <si>
    <t>26-0105</t>
    <phoneticPr fontId="2" type="noConversion"/>
  </si>
  <si>
    <t>3조외53</t>
    <phoneticPr fontId="2" type="noConversion"/>
  </si>
  <si>
    <t>26-0167</t>
    <phoneticPr fontId="2" type="noConversion"/>
  </si>
  <si>
    <t>48조외81</t>
    <phoneticPr fontId="2" type="noConversion"/>
  </si>
  <si>
    <t>26-0168</t>
  </si>
  <si>
    <t>1조외20</t>
    <phoneticPr fontId="2" type="noConversion"/>
  </si>
  <si>
    <t>26-0189</t>
    <phoneticPr fontId="2" type="noConversion"/>
  </si>
  <si>
    <t>3조외70</t>
    <phoneticPr fontId="2" type="noConversion"/>
  </si>
  <si>
    <t>25-2820</t>
    <phoneticPr fontId="2" type="noConversion"/>
  </si>
  <si>
    <t>20조외68</t>
    <phoneticPr fontId="2" type="noConversion"/>
  </si>
  <si>
    <t>25-2822</t>
  </si>
  <si>
    <t>5조외30</t>
    <phoneticPr fontId="2" type="noConversion"/>
  </si>
  <si>
    <t>25-2823</t>
  </si>
  <si>
    <t>10조외200</t>
    <phoneticPr fontId="2" type="noConversion"/>
  </si>
  <si>
    <t>25-2824</t>
  </si>
  <si>
    <t>10조외15</t>
    <phoneticPr fontId="2" type="noConversion"/>
  </si>
  <si>
    <t>25-2827</t>
    <phoneticPr fontId="2" type="noConversion"/>
  </si>
  <si>
    <t>29조외1</t>
    <phoneticPr fontId="2" type="noConversion"/>
  </si>
  <si>
    <t>25-3021</t>
    <phoneticPr fontId="2" type="noConversion"/>
  </si>
  <si>
    <t>23조외38</t>
    <phoneticPr fontId="2" type="noConversion"/>
  </si>
  <si>
    <t>26-0128</t>
    <phoneticPr fontId="2" type="noConversion"/>
  </si>
  <si>
    <t>11조외31</t>
    <phoneticPr fontId="2" type="noConversion"/>
  </si>
  <si>
    <t>26-0156</t>
    <phoneticPr fontId="2" type="noConversion"/>
  </si>
  <si>
    <t>10조외50</t>
    <phoneticPr fontId="2" type="noConversion"/>
  </si>
  <si>
    <t>26-0191</t>
    <phoneticPr fontId="2" type="noConversion"/>
  </si>
  <si>
    <t>1조외12</t>
    <phoneticPr fontId="2" type="noConversion"/>
  </si>
  <si>
    <t>1조외14</t>
    <phoneticPr fontId="2" type="noConversion"/>
  </si>
  <si>
    <t>26-0203</t>
    <phoneticPr fontId="2" type="noConversion"/>
  </si>
  <si>
    <t>25-2819</t>
    <phoneticPr fontId="2" type="noConversion"/>
  </si>
  <si>
    <t>26-0080</t>
    <phoneticPr fontId="2" type="noConversion"/>
  </si>
  <si>
    <t>6로이+12Ar.+6CL</t>
  </si>
  <si>
    <t>1조외43</t>
    <phoneticPr fontId="2" type="noConversion"/>
  </si>
  <si>
    <t>1조외2</t>
    <phoneticPr fontId="2" type="noConversion"/>
  </si>
  <si>
    <t>26-0104</t>
    <phoneticPr fontId="2" type="noConversion"/>
  </si>
  <si>
    <t>6ONE+12단열(Ar.)+6CL</t>
  </si>
  <si>
    <t>4조외38</t>
    <phoneticPr fontId="2" type="noConversion"/>
  </si>
  <si>
    <t>26-0130</t>
    <phoneticPr fontId="2" type="noConversion"/>
  </si>
  <si>
    <t>26-0131</t>
  </si>
  <si>
    <t>(주)지에스시스템창호a 청주대학교 국제문화관 (구기숙사 식당동)</t>
    <phoneticPr fontId="2" type="noConversion"/>
  </si>
  <si>
    <t>5ONE+14단열(Ar.)+5newGNh/s+14단열(Ar.)+5ONE</t>
  </si>
  <si>
    <t>4조외47</t>
    <phoneticPr fontId="2" type="noConversion"/>
  </si>
  <si>
    <t>26-0132</t>
  </si>
  <si>
    <t>1조외97</t>
    <phoneticPr fontId="2" type="noConversion"/>
  </si>
  <si>
    <t>26-0133</t>
  </si>
  <si>
    <t>1조외36</t>
    <phoneticPr fontId="2" type="noConversion"/>
  </si>
  <si>
    <t>26-0167</t>
    <phoneticPr fontId="2" type="noConversion"/>
  </si>
  <si>
    <t>1조외7</t>
    <phoneticPr fontId="2" type="noConversion"/>
  </si>
  <si>
    <t>26-0189</t>
    <phoneticPr fontId="2" type="noConversion"/>
  </si>
  <si>
    <t>26-0204</t>
    <phoneticPr fontId="2" type="noConversion"/>
  </si>
  <si>
    <t>1조외1</t>
    <phoneticPr fontId="2" type="noConversion"/>
  </si>
  <si>
    <t>26-0207</t>
    <phoneticPr fontId="2" type="noConversion"/>
  </si>
  <si>
    <t>1조외3</t>
    <phoneticPr fontId="2" type="noConversion"/>
  </si>
  <si>
    <t>26-0208</t>
    <phoneticPr fontId="2" type="noConversion"/>
  </si>
  <si>
    <t>4조외4</t>
    <phoneticPr fontId="2" type="noConversion"/>
  </si>
  <si>
    <t>25-2824</t>
    <phoneticPr fontId="2" type="noConversion"/>
  </si>
  <si>
    <t>5조외70</t>
    <phoneticPr fontId="2" type="noConversion"/>
  </si>
  <si>
    <t>25-2825</t>
  </si>
  <si>
    <t>10조외110</t>
    <phoneticPr fontId="2" type="noConversion"/>
  </si>
  <si>
    <t>25-2826</t>
  </si>
  <si>
    <t>25-3022</t>
    <phoneticPr fontId="2" type="noConversion"/>
  </si>
  <si>
    <t>17조외16</t>
    <phoneticPr fontId="2" type="noConversion"/>
  </si>
  <si>
    <t>25-3023</t>
  </si>
  <si>
    <t>12조외7</t>
    <phoneticPr fontId="2" type="noConversion"/>
  </si>
  <si>
    <t>6SKN076IIh/s+16단열(S)(Ar.)+6DI h/s 이형</t>
  </si>
  <si>
    <t>25-3024</t>
  </si>
  <si>
    <t>25-3024</t>
    <phoneticPr fontId="2" type="noConversion"/>
  </si>
  <si>
    <t>13조외11</t>
    <phoneticPr fontId="2" type="noConversion"/>
  </si>
  <si>
    <t>26-0034</t>
    <phoneticPr fontId="2" type="noConversion"/>
  </si>
  <si>
    <t>한우창호주식회사</t>
    <phoneticPr fontId="2" type="noConversion"/>
  </si>
  <si>
    <t>26-0040</t>
    <phoneticPr fontId="2" type="noConversion"/>
  </si>
  <si>
    <t>15조외260</t>
    <phoneticPr fontId="2" type="noConversion"/>
  </si>
  <si>
    <t>26-0131</t>
    <phoneticPr fontId="2" type="noConversion"/>
  </si>
  <si>
    <t>1조외88</t>
    <phoneticPr fontId="2" type="noConversion"/>
  </si>
  <si>
    <t>26-0134</t>
  </si>
  <si>
    <t>1조외76</t>
    <phoneticPr fontId="2" type="noConversion"/>
  </si>
  <si>
    <t>26-0135</t>
  </si>
  <si>
    <t>1조외27</t>
    <phoneticPr fontId="2" type="noConversion"/>
  </si>
  <si>
    <t>26-0214</t>
    <phoneticPr fontId="2" type="noConversion"/>
  </si>
  <si>
    <t>5CLh/s+14단열(Ar.)+5CLh/s</t>
  </si>
  <si>
    <t>26-0216</t>
    <phoneticPr fontId="2" type="noConversion"/>
  </si>
  <si>
    <t>25-2221</t>
    <phoneticPr fontId="2" type="noConversion"/>
  </si>
  <si>
    <t>25-2222</t>
  </si>
  <si>
    <t>5조외16</t>
    <phoneticPr fontId="2" type="noConversion"/>
  </si>
  <si>
    <t>25-2823</t>
    <phoneticPr fontId="2" type="noConversion"/>
  </si>
  <si>
    <t>10조외69</t>
    <phoneticPr fontId="2" type="noConversion"/>
  </si>
  <si>
    <t>25-2824</t>
    <phoneticPr fontId="2" type="noConversion"/>
  </si>
  <si>
    <t>10조외33</t>
    <phoneticPr fontId="2" type="noConversion"/>
  </si>
  <si>
    <t>25-2825</t>
    <phoneticPr fontId="2" type="noConversion"/>
  </si>
  <si>
    <t>10조외25</t>
    <phoneticPr fontId="2" type="noConversion"/>
  </si>
  <si>
    <t>25-2826</t>
    <phoneticPr fontId="2" type="noConversion"/>
  </si>
  <si>
    <t>25-3022</t>
    <phoneticPr fontId="2" type="noConversion"/>
  </si>
  <si>
    <t>2조외43</t>
    <phoneticPr fontId="2" type="noConversion"/>
  </si>
  <si>
    <t>25-3023</t>
    <phoneticPr fontId="2" type="noConversion"/>
  </si>
  <si>
    <t>2조외25</t>
    <phoneticPr fontId="2" type="noConversion"/>
  </si>
  <si>
    <t>1조외29</t>
    <phoneticPr fontId="2" type="noConversion"/>
  </si>
  <si>
    <t>26-0037</t>
    <phoneticPr fontId="2" type="noConversion"/>
  </si>
  <si>
    <t>2조외110</t>
    <phoneticPr fontId="2" type="noConversion"/>
  </si>
  <si>
    <t>2조외22</t>
    <phoneticPr fontId="2" type="noConversion"/>
  </si>
  <si>
    <t>26-0128</t>
    <phoneticPr fontId="2" type="noConversion"/>
  </si>
  <si>
    <t>26-0205</t>
    <phoneticPr fontId="2" type="noConversion"/>
  </si>
  <si>
    <t>26-0040</t>
    <phoneticPr fontId="2" type="noConversion"/>
  </si>
  <si>
    <t>26-0041</t>
  </si>
  <si>
    <t>15조외76</t>
    <phoneticPr fontId="2" type="noConversion"/>
  </si>
  <si>
    <t>26-0209</t>
    <phoneticPr fontId="2" type="noConversion"/>
  </si>
  <si>
    <t>26-0217</t>
    <phoneticPr fontId="2" type="noConversion"/>
  </si>
  <si>
    <t>신흥유리</t>
    <phoneticPr fontId="2" type="noConversion"/>
  </si>
  <si>
    <t>5newGN+12A+5CL</t>
  </si>
  <si>
    <t>26-0219</t>
    <phoneticPr fontId="2" type="noConversion"/>
  </si>
  <si>
    <t>2조외86</t>
    <phoneticPr fontId="2" type="noConversion"/>
  </si>
  <si>
    <t>26-0043</t>
    <phoneticPr fontId="2" type="noConversion"/>
  </si>
  <si>
    <t>15조외240</t>
    <phoneticPr fontId="2" type="noConversion"/>
  </si>
  <si>
    <t>26-0044</t>
    <phoneticPr fontId="2" type="noConversion"/>
  </si>
  <si>
    <t>15조외70</t>
    <phoneticPr fontId="2" type="noConversion"/>
  </si>
  <si>
    <t>26-0237</t>
    <phoneticPr fontId="2" type="noConversion"/>
  </si>
  <si>
    <t>5CL+12단열(Ar.)+5로이</t>
  </si>
  <si>
    <t>26-0041</t>
    <phoneticPr fontId="2" type="noConversion"/>
  </si>
  <si>
    <t>34조외150</t>
    <phoneticPr fontId="2" type="noConversion"/>
  </si>
  <si>
    <t>26-0042</t>
    <phoneticPr fontId="2" type="noConversion"/>
  </si>
  <si>
    <t>26-0049</t>
    <phoneticPr fontId="2" type="noConversion"/>
  </si>
  <si>
    <t>8조외104</t>
    <phoneticPr fontId="2" type="noConversion"/>
  </si>
  <si>
    <t>26-0220</t>
    <phoneticPr fontId="2" type="noConversion"/>
  </si>
  <si>
    <t>5SKN154II+14단열(Ar.)+5CL+14단열(Ar.)+5SKN154II</t>
  </si>
  <si>
    <t>6조외12</t>
    <phoneticPr fontId="2" type="noConversion"/>
  </si>
  <si>
    <t>40조외150</t>
    <phoneticPr fontId="2" type="noConversion"/>
  </si>
  <si>
    <t>26-0045</t>
    <phoneticPr fontId="2" type="noConversion"/>
  </si>
  <si>
    <t>6조외18</t>
    <phoneticPr fontId="2" type="noConversion"/>
  </si>
  <si>
    <t>26-0210</t>
    <phoneticPr fontId="2" type="noConversion"/>
  </si>
  <si>
    <t>46조외81</t>
    <phoneticPr fontId="2" type="noConversion"/>
  </si>
  <si>
    <t>26-0211</t>
  </si>
  <si>
    <t>2조외98</t>
    <phoneticPr fontId="2" type="noConversion"/>
  </si>
  <si>
    <t>26-0212</t>
  </si>
  <si>
    <t>26-0212</t>
    <phoneticPr fontId="2" type="noConversion"/>
  </si>
  <si>
    <t>1조외133</t>
    <phoneticPr fontId="2" type="noConversion"/>
  </si>
  <si>
    <t>26-0213</t>
  </si>
  <si>
    <t>26-0213</t>
    <phoneticPr fontId="2" type="noConversion"/>
  </si>
  <si>
    <t>1조외48</t>
    <phoneticPr fontId="2" type="noConversion"/>
  </si>
  <si>
    <t>26-0221</t>
  </si>
  <si>
    <t>24조외48</t>
    <phoneticPr fontId="2" type="noConversion"/>
  </si>
  <si>
    <t>6조외90</t>
    <phoneticPr fontId="2" type="noConversion"/>
  </si>
  <si>
    <t>26-0048</t>
    <phoneticPr fontId="2" type="noConversion"/>
  </si>
  <si>
    <t>12조외152</t>
    <phoneticPr fontId="2" type="noConversion"/>
  </si>
  <si>
    <t>26-0233</t>
    <phoneticPr fontId="2" type="noConversion"/>
  </si>
  <si>
    <t>26-0050</t>
    <phoneticPr fontId="2" type="noConversion"/>
  </si>
  <si>
    <t>12조외76</t>
    <phoneticPr fontId="2" type="noConversion"/>
  </si>
  <si>
    <t>26-0197</t>
    <phoneticPr fontId="2" type="noConversion"/>
  </si>
  <si>
    <t>6로이+16단열(Ar.)+6CL</t>
  </si>
  <si>
    <t>5CL+12AR.+5CL</t>
  </si>
  <si>
    <t>3조외47</t>
    <phoneticPr fontId="2" type="noConversion"/>
  </si>
  <si>
    <t>6조외2</t>
    <phoneticPr fontId="2" type="noConversion"/>
  </si>
  <si>
    <t>26-0215</t>
    <phoneticPr fontId="2" type="noConversion"/>
  </si>
  <si>
    <t>1조외100</t>
    <phoneticPr fontId="2" type="noConversion"/>
  </si>
  <si>
    <t>26-0234</t>
    <phoneticPr fontId="2" type="noConversion"/>
  </si>
  <si>
    <t>2조외6</t>
    <phoneticPr fontId="2" type="noConversion"/>
  </si>
  <si>
    <t>25-2711</t>
    <phoneticPr fontId="2" type="noConversion"/>
  </si>
  <si>
    <t>19조외3</t>
    <phoneticPr fontId="2" type="noConversion"/>
  </si>
  <si>
    <t>26-0048</t>
    <phoneticPr fontId="2" type="noConversion"/>
  </si>
  <si>
    <t>26-0051</t>
    <phoneticPr fontId="2" type="noConversion"/>
  </si>
  <si>
    <t>8조외136</t>
    <phoneticPr fontId="2" type="noConversion"/>
  </si>
  <si>
    <t>26-0052</t>
    <phoneticPr fontId="2" type="noConversion"/>
  </si>
  <si>
    <t>8조외120</t>
    <phoneticPr fontId="2" type="noConversion"/>
  </si>
  <si>
    <t>26-0242</t>
    <phoneticPr fontId="2" type="noConversion"/>
  </si>
  <si>
    <t>1조외2</t>
    <phoneticPr fontId="2" type="noConversion"/>
  </si>
  <si>
    <t>1조외1</t>
    <phoneticPr fontId="2" type="noConversion"/>
  </si>
  <si>
    <t>26-0243</t>
    <phoneticPr fontId="2" type="noConversion"/>
  </si>
  <si>
    <t>㈜다솔산업</t>
    <phoneticPr fontId="2" type="noConversion"/>
  </si>
  <si>
    <t>2조외24</t>
    <phoneticPr fontId="2" type="noConversion"/>
  </si>
  <si>
    <t>26-0248</t>
    <phoneticPr fontId="2" type="noConversion"/>
  </si>
  <si>
    <t>신흥유리</t>
    <phoneticPr fontId="2" type="noConversion"/>
  </si>
  <si>
    <t>26-0046</t>
    <phoneticPr fontId="2" type="noConversion"/>
  </si>
  <si>
    <t>6조외84</t>
    <phoneticPr fontId="2" type="noConversion"/>
  </si>
  <si>
    <t>26-0047</t>
    <phoneticPr fontId="2" type="noConversion"/>
  </si>
  <si>
    <t>8조외104</t>
    <phoneticPr fontId="2" type="noConversion"/>
  </si>
  <si>
    <t>26-0050</t>
    <phoneticPr fontId="2" type="noConversion"/>
  </si>
  <si>
    <t>12조외64</t>
    <phoneticPr fontId="2" type="noConversion"/>
  </si>
  <si>
    <t>26-0197</t>
    <phoneticPr fontId="2" type="noConversion"/>
  </si>
  <si>
    <t>6로이+16단열(AR.)+8.76(4CL+0.76+4CL)접합</t>
  </si>
  <si>
    <t>26-0198</t>
  </si>
  <si>
    <t>26-0198</t>
    <phoneticPr fontId="2" type="noConversion"/>
  </si>
  <si>
    <t>6조외72</t>
    <phoneticPr fontId="2" type="noConversion"/>
  </si>
  <si>
    <t>5조외29</t>
    <phoneticPr fontId="2" type="noConversion"/>
  </si>
  <si>
    <t>26-0218</t>
    <phoneticPr fontId="2" type="noConversion"/>
  </si>
  <si>
    <t>9조외70</t>
    <phoneticPr fontId="2" type="noConversion"/>
  </si>
  <si>
    <t>25-2711</t>
    <phoneticPr fontId="2" type="noConversion"/>
  </si>
  <si>
    <t>73조외58</t>
    <phoneticPr fontId="2" type="noConversion"/>
  </si>
  <si>
    <t>19조외153</t>
    <phoneticPr fontId="2" type="noConversion"/>
  </si>
  <si>
    <t>25-2938</t>
    <phoneticPr fontId="2" type="noConversion"/>
  </si>
  <si>
    <t>8조외135</t>
    <phoneticPr fontId="2" type="noConversion"/>
  </si>
  <si>
    <t>26-0190</t>
    <phoneticPr fontId="2" type="noConversion"/>
  </si>
  <si>
    <t>45조외160</t>
    <phoneticPr fontId="2" type="noConversion"/>
  </si>
  <si>
    <t>26-0192</t>
    <phoneticPr fontId="2" type="noConversion"/>
  </si>
  <si>
    <t>67조외146</t>
    <phoneticPr fontId="2" type="noConversion"/>
  </si>
  <si>
    <t>26-0215</t>
    <phoneticPr fontId="2" type="noConversion"/>
  </si>
  <si>
    <t>24조외52</t>
    <phoneticPr fontId="2" type="noConversion"/>
  </si>
  <si>
    <t>25-2938</t>
    <phoneticPr fontId="2" type="noConversion"/>
  </si>
  <si>
    <t>21조외296</t>
    <phoneticPr fontId="2" type="noConversion"/>
  </si>
  <si>
    <t>26-0249</t>
    <phoneticPr fontId="2" type="noConversion"/>
  </si>
  <si>
    <t>12조외124</t>
    <phoneticPr fontId="2" type="noConversion"/>
  </si>
  <si>
    <t>26-0250</t>
  </si>
  <si>
    <t>26-0251</t>
    <phoneticPr fontId="2" type="noConversion"/>
  </si>
  <si>
    <t>26-0252</t>
    <phoneticPr fontId="2" type="noConversion"/>
  </si>
  <si>
    <t>26-0253</t>
    <phoneticPr fontId="2" type="noConversion"/>
  </si>
  <si>
    <t>25-2740</t>
    <phoneticPr fontId="2" type="noConversion"/>
  </si>
  <si>
    <t>26-0192</t>
    <phoneticPr fontId="2" type="noConversion"/>
  </si>
  <si>
    <t>26-0193</t>
  </si>
  <si>
    <t>19조외65</t>
    <phoneticPr fontId="2" type="noConversion"/>
  </si>
  <si>
    <t>26-0194</t>
  </si>
  <si>
    <t>3조외3</t>
    <phoneticPr fontId="2" type="noConversion"/>
  </si>
  <si>
    <t>26-0200</t>
    <phoneticPr fontId="2" type="noConversion"/>
  </si>
  <si>
    <t>6SKN176IIh/s+16단열(Ar.)+6CL에칭</t>
  </si>
  <si>
    <t>1조외26</t>
    <phoneticPr fontId="2" type="noConversion"/>
  </si>
  <si>
    <t>26-0235</t>
    <phoneticPr fontId="2" type="noConversion"/>
  </si>
  <si>
    <t>26-0254</t>
    <phoneticPr fontId="2" type="noConversion"/>
  </si>
  <si>
    <t>25-2937</t>
    <phoneticPr fontId="2" type="noConversion"/>
  </si>
  <si>
    <t>12조외403</t>
    <phoneticPr fontId="2" type="noConversion"/>
  </si>
  <si>
    <t>4조외48</t>
    <phoneticPr fontId="2" type="noConversion"/>
  </si>
  <si>
    <t>26-0258</t>
    <phoneticPr fontId="2" type="noConversion"/>
  </si>
  <si>
    <t>5CLh/s+16단열(S)(Ar.)+5ECT173h/s+16단열(S)(Ar.)+5ECT173h/s</t>
  </si>
  <si>
    <t>25-2714</t>
    <phoneticPr fontId="2" type="noConversion"/>
  </si>
  <si>
    <t>26-0190</t>
    <phoneticPr fontId="2" type="noConversion"/>
  </si>
  <si>
    <t>2조외7</t>
    <phoneticPr fontId="2" type="noConversion"/>
  </si>
  <si>
    <t>26-0244</t>
    <phoneticPr fontId="2" type="noConversion"/>
  </si>
  <si>
    <t>2조외44</t>
    <phoneticPr fontId="2" type="noConversion"/>
  </si>
  <si>
    <t>26-0245</t>
  </si>
  <si>
    <t>2조외33</t>
    <phoneticPr fontId="2" type="noConversion"/>
  </si>
  <si>
    <t>26-0246</t>
  </si>
  <si>
    <t>26-0247</t>
  </si>
  <si>
    <t>27조외27</t>
    <phoneticPr fontId="2" type="noConversion"/>
  </si>
  <si>
    <t>26-0263</t>
    <phoneticPr fontId="2" type="noConversion"/>
  </si>
  <si>
    <t>5SUPERPLUS1.0h/s+16단열(Ar.)+5SUPERPLUS1.0h/s+16단열(Ar.)+5CL</t>
  </si>
  <si>
    <t>26-0269</t>
    <phoneticPr fontId="2" type="noConversion"/>
  </si>
  <si>
    <t>26-0271</t>
    <phoneticPr fontId="2" type="noConversion"/>
  </si>
  <si>
    <t>26-0275</t>
    <phoneticPr fontId="2" type="noConversion"/>
  </si>
  <si>
    <t>26-0276</t>
    <phoneticPr fontId="2" type="noConversion"/>
  </si>
  <si>
    <t>6조외13</t>
    <phoneticPr fontId="2" type="noConversion"/>
  </si>
  <si>
    <t>26-0277</t>
    <phoneticPr fontId="2" type="noConversion"/>
  </si>
  <si>
    <t>26-0279</t>
    <phoneticPr fontId="2" type="noConversion"/>
  </si>
  <si>
    <t>12조외107</t>
    <phoneticPr fontId="2" type="noConversion"/>
  </si>
  <si>
    <t>8조외44</t>
    <phoneticPr fontId="2" type="noConversion"/>
  </si>
  <si>
    <t>26-0262</t>
    <phoneticPr fontId="2" type="noConversion"/>
  </si>
  <si>
    <t>26-0264</t>
    <phoneticPr fontId="2" type="noConversion"/>
  </si>
  <si>
    <t>26-0265</t>
    <phoneticPr fontId="2" type="noConversion"/>
  </si>
  <si>
    <t>1조외42</t>
    <phoneticPr fontId="2" type="noConversion"/>
  </si>
  <si>
    <t>26-0035</t>
    <phoneticPr fontId="2" type="noConversion"/>
  </si>
  <si>
    <t>26-0238</t>
    <phoneticPr fontId="2" type="noConversion"/>
  </si>
  <si>
    <t>5BLh/s+14단열(Ar.)+5CLh/s</t>
  </si>
  <si>
    <t>4조외50</t>
    <phoneticPr fontId="2" type="noConversion"/>
  </si>
  <si>
    <t>26-0239</t>
    <phoneticPr fontId="2" type="noConversion"/>
  </si>
  <si>
    <t>4조외29</t>
    <phoneticPr fontId="2" type="noConversion"/>
  </si>
  <si>
    <t>26-0240</t>
  </si>
  <si>
    <t>26-0240</t>
    <phoneticPr fontId="2" type="noConversion"/>
  </si>
  <si>
    <t>3조외31</t>
    <phoneticPr fontId="2" type="noConversion"/>
  </si>
  <si>
    <t>26-0241</t>
  </si>
  <si>
    <t>26-0241</t>
    <phoneticPr fontId="2" type="noConversion"/>
  </si>
  <si>
    <t>1조외44</t>
    <phoneticPr fontId="2" type="noConversion"/>
  </si>
  <si>
    <t>26-0270</t>
    <phoneticPr fontId="2" type="noConversion"/>
  </si>
  <si>
    <t>25-2713</t>
    <phoneticPr fontId="2" type="noConversion"/>
  </si>
  <si>
    <t>12조외8</t>
    <phoneticPr fontId="2" type="noConversion"/>
  </si>
  <si>
    <t>26-0259</t>
    <phoneticPr fontId="2" type="noConversion"/>
  </si>
  <si>
    <t>2조외21</t>
    <phoneticPr fontId="2" type="noConversion"/>
  </si>
  <si>
    <t>26-0260</t>
  </si>
  <si>
    <t>2조외69</t>
    <phoneticPr fontId="2" type="noConversion"/>
  </si>
  <si>
    <t>86조외92</t>
    <phoneticPr fontId="2" type="noConversion"/>
  </si>
  <si>
    <t>42조외79</t>
    <phoneticPr fontId="2" type="noConversion"/>
  </si>
  <si>
    <t>26-0227</t>
    <phoneticPr fontId="2" type="noConversion"/>
  </si>
  <si>
    <t>26-0245</t>
    <phoneticPr fontId="2" type="noConversion"/>
  </si>
  <si>
    <t>26-0255</t>
    <phoneticPr fontId="2" type="noConversion"/>
  </si>
  <si>
    <t xml:space="preserve">계룡건설산업(주)ll 경기 부천 대현청실아파트 가로주택정비사업현장 </t>
    <phoneticPr fontId="2" type="noConversion"/>
  </si>
  <si>
    <t>6SKN154II+12단열(Ar.)+6CL</t>
  </si>
  <si>
    <t>4조외20</t>
    <phoneticPr fontId="2" type="noConversion"/>
  </si>
  <si>
    <t>26-0257</t>
    <phoneticPr fontId="2" type="noConversion"/>
  </si>
  <si>
    <t>26-0283</t>
    <phoneticPr fontId="2" type="noConversion"/>
  </si>
  <si>
    <t>26-0284</t>
    <phoneticPr fontId="2" type="noConversion"/>
  </si>
  <si>
    <t>5newGN+12Ar.+5CL</t>
  </si>
  <si>
    <t>26-0285</t>
    <phoneticPr fontId="2" type="noConversion"/>
  </si>
  <si>
    <t>5로이+14단열(Ar.)+5CL</t>
  </si>
  <si>
    <t>25-2935</t>
    <phoneticPr fontId="2" type="noConversion"/>
  </si>
  <si>
    <t>12조외31</t>
    <phoneticPr fontId="2" type="noConversion"/>
  </si>
  <si>
    <t>12조외436</t>
    <phoneticPr fontId="2" type="noConversion"/>
  </si>
  <si>
    <t>25-2946</t>
    <phoneticPr fontId="2" type="noConversion"/>
  </si>
  <si>
    <t>5조외192</t>
    <phoneticPr fontId="2" type="noConversion"/>
  </si>
  <si>
    <t>12조외192</t>
    <phoneticPr fontId="2" type="noConversion"/>
  </si>
  <si>
    <t>26-0281</t>
    <phoneticPr fontId="2" type="noConversion"/>
  </si>
  <si>
    <t>26-0032</t>
    <phoneticPr fontId="2" type="noConversion"/>
  </si>
  <si>
    <t>26-0033</t>
    <phoneticPr fontId="2" type="noConversion"/>
  </si>
  <si>
    <t>26-0228</t>
    <phoneticPr fontId="2" type="noConversion"/>
  </si>
  <si>
    <t>26-0297</t>
    <phoneticPr fontId="2" type="noConversion"/>
  </si>
  <si>
    <t>6조외27</t>
    <phoneticPr fontId="2" type="noConversion"/>
  </si>
  <si>
    <t>10조외18</t>
    <phoneticPr fontId="2" type="noConversion"/>
  </si>
  <si>
    <t>20조외30</t>
    <phoneticPr fontId="2" type="noConversion"/>
  </si>
  <si>
    <t>26-0170</t>
    <phoneticPr fontId="2" type="noConversion"/>
  </si>
  <si>
    <t>26-0229</t>
    <phoneticPr fontId="2" type="noConversion"/>
  </si>
  <si>
    <t>12조외40</t>
    <phoneticPr fontId="2" type="noConversion"/>
  </si>
  <si>
    <t>26-0033</t>
    <phoneticPr fontId="2" type="noConversion"/>
  </si>
  <si>
    <t>10조외90</t>
    <phoneticPr fontId="2" type="noConversion"/>
  </si>
  <si>
    <t>26-0230</t>
    <phoneticPr fontId="2" type="noConversion"/>
  </si>
  <si>
    <t>8조외120</t>
    <phoneticPr fontId="2" type="noConversion"/>
  </si>
  <si>
    <t>26-0231</t>
    <phoneticPr fontId="2" type="noConversion"/>
  </si>
  <si>
    <t>8조외40</t>
    <phoneticPr fontId="2" type="noConversion"/>
  </si>
  <si>
    <t>26-0029</t>
    <phoneticPr fontId="2" type="noConversion"/>
  </si>
  <si>
    <t>26-0229</t>
    <phoneticPr fontId="2" type="noConversion"/>
  </si>
  <si>
    <t>48조외64</t>
    <phoneticPr fontId="2" type="noConversion"/>
  </si>
  <si>
    <t>26-0286</t>
    <phoneticPr fontId="2" type="noConversion"/>
  </si>
  <si>
    <t>1조외11</t>
    <phoneticPr fontId="2" type="noConversion"/>
  </si>
  <si>
    <t>26-0287</t>
    <phoneticPr fontId="2" type="noConversion"/>
  </si>
  <si>
    <t>1조외4</t>
    <phoneticPr fontId="2" type="noConversion"/>
  </si>
  <si>
    <t>1조외18</t>
    <phoneticPr fontId="2" type="noConversion"/>
  </si>
  <si>
    <t>26-0288</t>
    <phoneticPr fontId="2" type="noConversion"/>
  </si>
  <si>
    <t>1조외2</t>
    <phoneticPr fontId="2" type="noConversion"/>
  </si>
  <si>
    <t>26-0289</t>
    <phoneticPr fontId="2" type="noConversion"/>
  </si>
  <si>
    <t>11조외24</t>
    <phoneticPr fontId="2" type="noConversion"/>
  </si>
  <si>
    <t>26-0293</t>
    <phoneticPr fontId="2" type="noConversion"/>
  </si>
  <si>
    <t>1조외126</t>
    <phoneticPr fontId="2" type="noConversion"/>
  </si>
  <si>
    <t>26-0294</t>
  </si>
  <si>
    <t>2조외59</t>
    <phoneticPr fontId="2" type="noConversion"/>
  </si>
  <si>
    <t>26-0307</t>
    <phoneticPr fontId="2" type="noConversion"/>
  </si>
  <si>
    <t>남영유리상사</t>
    <phoneticPr fontId="2" type="noConversion"/>
  </si>
  <si>
    <t>5DURA MAX+8Ar.+5DURA MAX+8Ar.+5DURA MAX</t>
  </si>
  <si>
    <t>1조외3</t>
    <phoneticPr fontId="2" type="noConversion"/>
  </si>
  <si>
    <t>26-0309</t>
    <phoneticPr fontId="2" type="noConversion"/>
  </si>
  <si>
    <t>26-0310</t>
    <phoneticPr fontId="2" type="noConversion"/>
  </si>
  <si>
    <t>26-0028</t>
    <phoneticPr fontId="2" type="noConversion"/>
  </si>
  <si>
    <t>26-0231</t>
    <phoneticPr fontId="2" type="noConversion"/>
  </si>
  <si>
    <t>16조외56</t>
    <phoneticPr fontId="2" type="noConversion"/>
  </si>
  <si>
    <t>26-0268</t>
    <phoneticPr fontId="2" type="noConversion"/>
  </si>
  <si>
    <t>6SKN176IIh/s+16단열(Ar.)+6CL(스텝)</t>
  </si>
  <si>
    <t>26-0296</t>
    <phoneticPr fontId="2" type="noConversion"/>
  </si>
  <si>
    <t>25-2715</t>
    <phoneticPr fontId="2" type="noConversion"/>
  </si>
  <si>
    <t>3조외75</t>
    <phoneticPr fontId="2" type="noConversion"/>
  </si>
  <si>
    <t>26-0029</t>
    <phoneticPr fontId="2" type="noConversion"/>
  </si>
  <si>
    <t>12조외34</t>
    <phoneticPr fontId="2" type="noConversion"/>
  </si>
  <si>
    <t>12조외94</t>
    <phoneticPr fontId="2" type="noConversion"/>
  </si>
  <si>
    <t>26-0266</t>
    <phoneticPr fontId="2" type="noConversion"/>
  </si>
  <si>
    <t>5SKS142IIh/s+16단열(S)(Ar.)+5스팬드럴h/s</t>
  </si>
  <si>
    <t>26-0278</t>
    <phoneticPr fontId="2" type="noConversion"/>
  </si>
  <si>
    <t>5XTN145II+16단열(T)(Ar.)+5CL</t>
  </si>
  <si>
    <t>26-0280</t>
    <phoneticPr fontId="2" type="noConversion"/>
  </si>
  <si>
    <t>5ONEIIT/P+14Ar.+5CLT/P</t>
  </si>
  <si>
    <t>26-0290</t>
    <phoneticPr fontId="2" type="noConversion"/>
  </si>
  <si>
    <t>4조외10</t>
    <phoneticPr fontId="2" type="noConversion"/>
  </si>
  <si>
    <t>26-0293</t>
    <phoneticPr fontId="2" type="noConversion"/>
  </si>
  <si>
    <t>10조외1</t>
    <phoneticPr fontId="2" type="noConversion"/>
  </si>
  <si>
    <t>30조외40</t>
    <phoneticPr fontId="2" type="noConversion"/>
  </si>
  <si>
    <t>26-0299</t>
    <phoneticPr fontId="2" type="noConversion"/>
  </si>
  <si>
    <t>10조외4</t>
    <phoneticPr fontId="2" type="noConversion"/>
  </si>
  <si>
    <t>26-0350</t>
    <phoneticPr fontId="2" type="noConversion"/>
  </si>
  <si>
    <t>인성종합건설(주)e 청주드림신협 문화센터지점(가칭) 신축공사현장</t>
    <phoneticPr fontId="2" type="noConversion"/>
  </si>
  <si>
    <t>5SKN154+14단열(Ar.)+5D.GREY</t>
  </si>
  <si>
    <t>5SKN154+14단열(Ar.)+5D.GREY(에칭)</t>
  </si>
  <si>
    <t>25-2742</t>
    <phoneticPr fontId="2" type="noConversion"/>
  </si>
  <si>
    <t>3조외40</t>
    <phoneticPr fontId="2" type="noConversion"/>
  </si>
  <si>
    <t>25-2940</t>
    <phoneticPr fontId="2" type="noConversion"/>
  </si>
  <si>
    <t>8조외144</t>
    <phoneticPr fontId="2" type="noConversion"/>
  </si>
  <si>
    <t>26-0202</t>
    <phoneticPr fontId="2" type="noConversion"/>
  </si>
  <si>
    <t>5조외7</t>
    <phoneticPr fontId="2" type="noConversion"/>
  </si>
  <si>
    <t>26-0096</t>
    <phoneticPr fontId="2" type="noConversion"/>
  </si>
  <si>
    <t xml:space="preserve">계룡건설산업(주)bb 충남형 더 행복한 주택(당진채운)공공주택 </t>
    <phoneticPr fontId="2" type="noConversion"/>
  </si>
  <si>
    <t>26-0171</t>
    <phoneticPr fontId="2" type="noConversion"/>
  </si>
  <si>
    <t>6조외98</t>
    <phoneticPr fontId="2" type="noConversion"/>
  </si>
  <si>
    <t>20조외116</t>
    <phoneticPr fontId="2" type="noConversion"/>
  </si>
  <si>
    <t>26-0300</t>
  </si>
  <si>
    <t>20조외200</t>
    <phoneticPr fontId="2" type="noConversion"/>
  </si>
  <si>
    <t>16조외284</t>
    <phoneticPr fontId="2" type="noConversion"/>
  </si>
  <si>
    <t>26-0286</t>
    <phoneticPr fontId="2" type="noConversion"/>
  </si>
  <si>
    <t>26-0287</t>
    <phoneticPr fontId="2" type="noConversion"/>
  </si>
  <si>
    <t>26-0288</t>
    <phoneticPr fontId="2" type="noConversion"/>
  </si>
  <si>
    <t>26-0289</t>
    <phoneticPr fontId="2" type="noConversion"/>
  </si>
  <si>
    <t>8.76(4그린+0.76+4투명)접합+12A+5로이h/s</t>
  </si>
  <si>
    <t>5SKN154II+14Ar.+5CL+14Ar.+5SKN154II</t>
  </si>
  <si>
    <t>26-0295</t>
    <phoneticPr fontId="2" type="noConversion"/>
  </si>
  <si>
    <t>5로이+14Ar.+5투명</t>
  </si>
  <si>
    <t>1조외35</t>
    <phoneticPr fontId="2" type="noConversion"/>
  </si>
  <si>
    <t>12조외4</t>
    <phoneticPr fontId="2" type="noConversion"/>
  </si>
  <si>
    <t>26-0311</t>
    <phoneticPr fontId="2" type="noConversion"/>
  </si>
  <si>
    <t>1조외9</t>
    <phoneticPr fontId="2" type="noConversion"/>
  </si>
  <si>
    <t>26-0347</t>
    <phoneticPr fontId="2" type="noConversion"/>
  </si>
  <si>
    <t>1조외22</t>
    <phoneticPr fontId="2" type="noConversion"/>
  </si>
  <si>
    <t>26-0348</t>
  </si>
  <si>
    <t>7조외9</t>
    <phoneticPr fontId="2" type="noConversion"/>
  </si>
  <si>
    <t>26-0349</t>
  </si>
  <si>
    <t>25-2935</t>
    <phoneticPr fontId="2" type="noConversion"/>
  </si>
  <si>
    <t>8조외156</t>
    <phoneticPr fontId="2" type="noConversion"/>
  </si>
  <si>
    <t>12조외8</t>
    <phoneticPr fontId="2" type="noConversion"/>
  </si>
  <si>
    <t>26-0171</t>
    <phoneticPr fontId="2" type="noConversion"/>
  </si>
  <si>
    <t>26-0299</t>
    <phoneticPr fontId="2" type="noConversion"/>
  </si>
  <si>
    <t>10조외10</t>
    <phoneticPr fontId="2" type="noConversion"/>
  </si>
  <si>
    <t>26-0300</t>
    <phoneticPr fontId="2" type="noConversion"/>
  </si>
  <si>
    <t>10조외20</t>
    <phoneticPr fontId="2" type="noConversion"/>
  </si>
  <si>
    <t>26-0301</t>
  </si>
  <si>
    <t>18조외160</t>
    <phoneticPr fontId="2" type="noConversion"/>
  </si>
  <si>
    <t>10조외18</t>
    <phoneticPr fontId="2" type="noConversion"/>
  </si>
  <si>
    <t>25-2715</t>
    <phoneticPr fontId="2" type="noConversion"/>
  </si>
  <si>
    <t>5조외5</t>
    <phoneticPr fontId="2" type="noConversion"/>
  </si>
  <si>
    <t>25-2940</t>
    <phoneticPr fontId="2" type="noConversion"/>
  </si>
  <si>
    <t>4조외36</t>
    <phoneticPr fontId="2" type="noConversion"/>
  </si>
  <si>
    <t>4조외8</t>
    <phoneticPr fontId="2" type="noConversion"/>
  </si>
  <si>
    <t>26-0029</t>
    <phoneticPr fontId="2" type="noConversion"/>
  </si>
  <si>
    <t>26-0036</t>
    <phoneticPr fontId="2" type="noConversion"/>
  </si>
  <si>
    <t>96조외152</t>
    <phoneticPr fontId="2" type="noConversion"/>
  </si>
  <si>
    <t>26-0295</t>
    <phoneticPr fontId="2" type="noConversion"/>
  </si>
  <si>
    <t>7조외4</t>
    <phoneticPr fontId="2" type="noConversion"/>
  </si>
  <si>
    <t>26-0311</t>
    <phoneticPr fontId="2" type="noConversion"/>
  </si>
  <si>
    <t>26-0346</t>
    <phoneticPr fontId="2" type="noConversion"/>
  </si>
  <si>
    <t>4조외83</t>
    <phoneticPr fontId="2" type="noConversion"/>
  </si>
  <si>
    <t>25-2741</t>
    <phoneticPr fontId="2" type="noConversion"/>
  </si>
  <si>
    <t>25-2742</t>
  </si>
  <si>
    <t>26-0173</t>
    <phoneticPr fontId="2" type="noConversion"/>
  </si>
  <si>
    <t>12조외84</t>
    <phoneticPr fontId="2" type="noConversion"/>
  </si>
  <si>
    <t>26-0301</t>
    <phoneticPr fontId="2" type="noConversion"/>
  </si>
  <si>
    <t>26-0327</t>
    <phoneticPr fontId="2" type="noConversion"/>
  </si>
  <si>
    <t>(주)씨타대헌건설a 춘천계성학교 공간재구조화 증개축공사 현장</t>
    <phoneticPr fontId="2" type="noConversion"/>
  </si>
  <si>
    <t>5MZT152h/s+16단열(AR.)+5CL</t>
  </si>
  <si>
    <t>15조외95</t>
    <phoneticPr fontId="2" type="noConversion"/>
  </si>
  <si>
    <t>26-0328</t>
  </si>
  <si>
    <t>15조외62</t>
    <phoneticPr fontId="2" type="noConversion"/>
  </si>
  <si>
    <t>26-0329</t>
  </si>
  <si>
    <t>12조외32</t>
    <phoneticPr fontId="2" type="noConversion"/>
  </si>
  <si>
    <t>16조외4</t>
    <phoneticPr fontId="2" type="noConversion"/>
  </si>
  <si>
    <t>26-0036</t>
    <phoneticPr fontId="2" type="noConversion"/>
  </si>
  <si>
    <t>44조외100</t>
    <phoneticPr fontId="2" type="noConversion"/>
  </si>
  <si>
    <t>5ONE+14Ar.+5CLh/s+14Ar.+5ONE</t>
  </si>
  <si>
    <t>6로이+12단열(S)(Ar.)+6CL</t>
  </si>
  <si>
    <t>8조외46</t>
    <phoneticPr fontId="2" type="noConversion"/>
  </si>
  <si>
    <t>25-2741</t>
    <phoneticPr fontId="2" type="noConversion"/>
  </si>
  <si>
    <t>1조외29</t>
    <phoneticPr fontId="2" type="noConversion"/>
  </si>
  <si>
    <t>26-0200</t>
    <phoneticPr fontId="2" type="noConversion"/>
  </si>
  <si>
    <t>5SKN176IIh/s+16단열(Ar.)+5CL</t>
  </si>
  <si>
    <t>3조외5</t>
    <phoneticPr fontId="2" type="noConversion"/>
  </si>
  <si>
    <t>26-0201</t>
  </si>
  <si>
    <t>2조외13</t>
    <phoneticPr fontId="2" type="noConversion"/>
  </si>
  <si>
    <t>2조외5</t>
    <phoneticPr fontId="2" type="noConversion"/>
  </si>
  <si>
    <t>26-0202</t>
    <phoneticPr fontId="2" type="noConversion"/>
  </si>
  <si>
    <t>26-0268</t>
    <phoneticPr fontId="2" type="noConversion"/>
  </si>
  <si>
    <t>26-0361</t>
    <phoneticPr fontId="2" type="noConversion"/>
  </si>
  <si>
    <t>26-0364</t>
    <phoneticPr fontId="2" type="noConversion"/>
  </si>
  <si>
    <t>3조외15</t>
    <phoneticPr fontId="2" type="noConversion"/>
  </si>
  <si>
    <t>25-2707</t>
    <phoneticPr fontId="2" type="noConversion"/>
  </si>
  <si>
    <t>10조외70</t>
    <phoneticPr fontId="2" type="noConversion"/>
  </si>
  <si>
    <t>26-0036</t>
    <phoneticPr fontId="2" type="noConversion"/>
  </si>
  <si>
    <t>6조외288</t>
    <phoneticPr fontId="2" type="noConversion"/>
  </si>
  <si>
    <t>26-0291</t>
    <phoneticPr fontId="2" type="noConversion"/>
  </si>
  <si>
    <t>(주)케이씨씨건설 여의도 오피스텔 신축현장</t>
    <phoneticPr fontId="2" type="noConversion"/>
  </si>
  <si>
    <t>5로이+12단열(Ar.)+5CLh/s+12단열(Ar.)+5CL</t>
  </si>
  <si>
    <t>24조외27</t>
    <phoneticPr fontId="2" type="noConversion"/>
  </si>
  <si>
    <t>6조외17</t>
    <phoneticPr fontId="2" type="noConversion"/>
  </si>
  <si>
    <t>26-0325</t>
    <phoneticPr fontId="2" type="noConversion"/>
  </si>
  <si>
    <t>1조외9</t>
    <phoneticPr fontId="2" type="noConversion"/>
  </si>
  <si>
    <t>1조외4</t>
    <phoneticPr fontId="2" type="noConversion"/>
  </si>
  <si>
    <t>26-0363</t>
    <phoneticPr fontId="2" type="noConversion"/>
  </si>
  <si>
    <t>25-2741</t>
    <phoneticPr fontId="2" type="noConversion"/>
  </si>
  <si>
    <t>2조외11</t>
    <phoneticPr fontId="2" type="noConversion"/>
  </si>
  <si>
    <t>26-0171</t>
    <phoneticPr fontId="2" type="noConversion"/>
  </si>
  <si>
    <t>6조외12</t>
    <phoneticPr fontId="2" type="noConversion"/>
  </si>
  <si>
    <t>26-0172</t>
    <phoneticPr fontId="2" type="noConversion"/>
  </si>
  <si>
    <t>6조외6</t>
    <phoneticPr fontId="2" type="noConversion"/>
  </si>
  <si>
    <t>12조외108</t>
    <phoneticPr fontId="2" type="noConversion"/>
  </si>
  <si>
    <t>26-0173</t>
    <phoneticPr fontId="2" type="noConversion"/>
  </si>
  <si>
    <t>26-0174</t>
  </si>
  <si>
    <t>11조외24</t>
    <phoneticPr fontId="2" type="noConversion"/>
  </si>
  <si>
    <t>24조외79</t>
    <phoneticPr fontId="2" type="noConversion"/>
  </si>
  <si>
    <t>26-0267</t>
    <phoneticPr fontId="2" type="noConversion"/>
  </si>
  <si>
    <t>1조외7</t>
    <phoneticPr fontId="2" type="noConversion"/>
  </si>
  <si>
    <t>26-0327</t>
    <phoneticPr fontId="2" type="noConversion"/>
  </si>
  <si>
    <t>26-0362</t>
    <phoneticPr fontId="2" type="noConversion"/>
  </si>
  <si>
    <t>1조외2</t>
    <phoneticPr fontId="2" type="noConversion"/>
  </si>
  <si>
    <t>26-0036</t>
    <phoneticPr fontId="2" type="noConversion"/>
  </si>
  <si>
    <t>96조외190</t>
    <phoneticPr fontId="2" type="noConversion"/>
  </si>
  <si>
    <t>7조외1</t>
    <phoneticPr fontId="2" type="noConversion"/>
  </si>
  <si>
    <t>26-0291</t>
    <phoneticPr fontId="2" type="noConversion"/>
  </si>
  <si>
    <t>7조외115</t>
    <phoneticPr fontId="2" type="noConversion"/>
  </si>
  <si>
    <t>26-0313</t>
    <phoneticPr fontId="2" type="noConversion"/>
  </si>
  <si>
    <t>26-0346</t>
    <phoneticPr fontId="2" type="noConversion"/>
  </si>
  <si>
    <t>26-0360</t>
    <phoneticPr fontId="2" type="noConversion"/>
  </si>
  <si>
    <t>8.76(4그린+0.76+4투명)접합+12단열(T)(Ar.)+5로이h/s</t>
  </si>
  <si>
    <t>5그린h/s+12단열(T)(Ar.)+5로이</t>
  </si>
  <si>
    <t>1조외1</t>
    <phoneticPr fontId="2" type="noConversion"/>
  </si>
  <si>
    <t>26-0365</t>
    <phoneticPr fontId="2" type="noConversion"/>
  </si>
  <si>
    <t>1조외3</t>
    <phoneticPr fontId="2" type="noConversion"/>
  </si>
  <si>
    <t>26-0370</t>
    <phoneticPr fontId="2" type="noConversion"/>
  </si>
  <si>
    <t>남영유리상사</t>
    <phoneticPr fontId="2" type="noConversion"/>
  </si>
  <si>
    <t>25-2707</t>
    <phoneticPr fontId="2" type="noConversion"/>
  </si>
  <si>
    <t>10조외80</t>
    <phoneticPr fontId="2" type="noConversion"/>
  </si>
  <si>
    <t>25-2708</t>
  </si>
  <si>
    <t>5조외80</t>
    <phoneticPr fontId="2" type="noConversion"/>
  </si>
  <si>
    <t>5조외88</t>
    <phoneticPr fontId="2" type="noConversion"/>
  </si>
  <si>
    <t>26-0174</t>
    <phoneticPr fontId="2" type="noConversion"/>
  </si>
  <si>
    <t>17조외204</t>
    <phoneticPr fontId="2" type="noConversion"/>
  </si>
  <si>
    <t>6조외100</t>
    <phoneticPr fontId="2" type="noConversion"/>
  </si>
  <si>
    <t>26-0175</t>
    <phoneticPr fontId="2" type="noConversion"/>
  </si>
  <si>
    <t>6조외120</t>
    <phoneticPr fontId="2" type="noConversion"/>
  </si>
  <si>
    <t>26-0176</t>
  </si>
  <si>
    <t>12조외125</t>
    <phoneticPr fontId="2" type="noConversion"/>
  </si>
  <si>
    <t>26-0351</t>
    <phoneticPr fontId="2" type="noConversion"/>
  </si>
  <si>
    <t>2조외28</t>
    <phoneticPr fontId="2" type="noConversion"/>
  </si>
  <si>
    <t>2조외30</t>
    <phoneticPr fontId="2" type="noConversion"/>
  </si>
  <si>
    <t>4조외4</t>
    <phoneticPr fontId="2" type="noConversion"/>
  </si>
  <si>
    <t>26-0352</t>
    <phoneticPr fontId="2" type="noConversion"/>
  </si>
  <si>
    <t>2조외36</t>
    <phoneticPr fontId="2" type="noConversion"/>
  </si>
  <si>
    <t>26-0373</t>
    <phoneticPr fontId="2" type="noConversion"/>
  </si>
  <si>
    <t>신흥유리</t>
    <phoneticPr fontId="2" type="noConversion"/>
  </si>
  <si>
    <t>6블루반사JJA+14Ar.+5DURA MAX</t>
  </si>
  <si>
    <t>25-2707</t>
    <phoneticPr fontId="2" type="noConversion"/>
  </si>
  <si>
    <t>26-0330</t>
    <phoneticPr fontId="2" type="noConversion"/>
  </si>
  <si>
    <t>(주)씨타대헌건설a 춘천계성학교 공간재구조화 증개축공사 현장</t>
    <phoneticPr fontId="2" type="noConversion"/>
  </si>
  <si>
    <t>3조외259</t>
    <phoneticPr fontId="2" type="noConversion"/>
  </si>
  <si>
    <t>26-0331</t>
  </si>
  <si>
    <t>132조외32</t>
    <phoneticPr fontId="2" type="noConversion"/>
  </si>
  <si>
    <t>26-0368</t>
    <phoneticPr fontId="2" type="noConversion"/>
  </si>
  <si>
    <t>26-0176</t>
    <phoneticPr fontId="2" type="noConversion"/>
  </si>
  <si>
    <t>7조외96</t>
    <phoneticPr fontId="2" type="noConversion"/>
  </si>
  <si>
    <t>26-0177</t>
  </si>
  <si>
    <t>24조외288</t>
    <phoneticPr fontId="2" type="noConversion"/>
  </si>
  <si>
    <t>26-0335</t>
    <phoneticPr fontId="2" type="noConversion"/>
  </si>
  <si>
    <t>10조외140</t>
    <phoneticPr fontId="2" type="noConversion"/>
  </si>
  <si>
    <t>10조외20</t>
    <phoneticPr fontId="2" type="noConversion"/>
  </si>
  <si>
    <t>25-2716</t>
    <phoneticPr fontId="2" type="noConversion"/>
  </si>
  <si>
    <t>26-0331</t>
    <phoneticPr fontId="2" type="noConversion"/>
  </si>
  <si>
    <t>112조외12</t>
    <phoneticPr fontId="2" type="noConversion"/>
  </si>
  <si>
    <t>26-0332</t>
  </si>
  <si>
    <t>2조외150</t>
    <phoneticPr fontId="2" type="noConversion"/>
  </si>
  <si>
    <t>26-0333</t>
    <phoneticPr fontId="2" type="noConversion"/>
  </si>
  <si>
    <t>10조외66</t>
    <phoneticPr fontId="2" type="noConversion"/>
  </si>
  <si>
    <t>26-0354</t>
    <phoneticPr fontId="2" type="noConversion"/>
  </si>
  <si>
    <t>26-0355</t>
  </si>
  <si>
    <t>26-0381</t>
    <phoneticPr fontId="2" type="noConversion"/>
  </si>
  <si>
    <t>(주)이랜드건설c 수원 남문 신축공사현장</t>
    <phoneticPr fontId="2" type="noConversion"/>
  </si>
  <si>
    <t>5CL+12단열+5DURAMAX</t>
  </si>
  <si>
    <t>2조외8</t>
    <phoneticPr fontId="2" type="noConversion"/>
  </si>
  <si>
    <t>26-0171</t>
    <phoneticPr fontId="2" type="noConversion"/>
  </si>
  <si>
    <t>6조외48</t>
    <phoneticPr fontId="2" type="noConversion"/>
  </si>
  <si>
    <t>26-0172</t>
    <phoneticPr fontId="2" type="noConversion"/>
  </si>
  <si>
    <t>12조외42</t>
    <phoneticPr fontId="2" type="noConversion"/>
  </si>
  <si>
    <t>26-0173</t>
    <phoneticPr fontId="2" type="noConversion"/>
  </si>
  <si>
    <t>12조외30</t>
    <phoneticPr fontId="2" type="noConversion"/>
  </si>
  <si>
    <t>26-0174</t>
    <phoneticPr fontId="2" type="noConversion"/>
  </si>
  <si>
    <t>12조외72</t>
    <phoneticPr fontId="2" type="noConversion"/>
  </si>
  <si>
    <t>26-0176</t>
    <phoneticPr fontId="2" type="noConversion"/>
  </si>
  <si>
    <t>24조외84</t>
    <phoneticPr fontId="2" type="noConversion"/>
  </si>
  <si>
    <t>26-0335</t>
    <phoneticPr fontId="2" type="noConversion"/>
  </si>
  <si>
    <t>10조외110</t>
    <phoneticPr fontId="2" type="noConversion"/>
  </si>
  <si>
    <t>26-0374</t>
    <phoneticPr fontId="2" type="noConversion"/>
  </si>
  <si>
    <t>5PLAONE+14단열(S)(Ar.)+5CL</t>
  </si>
  <si>
    <t>26-0395</t>
    <phoneticPr fontId="2" type="noConversion"/>
  </si>
  <si>
    <t>인성종합건설(주)e 청주드림신협 문화센터지점(가칭) 신축공사현장</t>
    <phoneticPr fontId="2" type="noConversion"/>
  </si>
  <si>
    <t>5SKN154+14단열(Ar.)+5CL에칭</t>
  </si>
  <si>
    <t>5CL+14단열(Ar.)+5SKN154에칭</t>
  </si>
  <si>
    <t>26-0401</t>
    <phoneticPr fontId="2" type="noConversion"/>
  </si>
  <si>
    <t>5Dura max+12AR.+5newGN</t>
  </si>
  <si>
    <t>4조외60</t>
    <phoneticPr fontId="2" type="noConversion"/>
  </si>
  <si>
    <t>10조외130</t>
    <phoneticPr fontId="2" type="noConversion"/>
  </si>
  <si>
    <t>26-0334</t>
    <phoneticPr fontId="2" type="noConversion"/>
  </si>
  <si>
    <t>10조외150</t>
    <phoneticPr fontId="2" type="noConversion"/>
  </si>
  <si>
    <t>26-0336</t>
    <phoneticPr fontId="2" type="noConversion"/>
  </si>
  <si>
    <t>8조외8</t>
    <phoneticPr fontId="2" type="noConversion"/>
  </si>
  <si>
    <t>26-0175</t>
    <phoneticPr fontId="2" type="noConversion"/>
  </si>
  <si>
    <t>26-0177</t>
    <phoneticPr fontId="2" type="noConversion"/>
  </si>
  <si>
    <t>12조외60</t>
    <phoneticPr fontId="2" type="noConversion"/>
  </si>
  <si>
    <t>26-0342</t>
    <phoneticPr fontId="2" type="noConversion"/>
  </si>
  <si>
    <t>10조외55</t>
    <phoneticPr fontId="2" type="noConversion"/>
  </si>
  <si>
    <t>26-0376</t>
    <phoneticPr fontId="2" type="noConversion"/>
  </si>
  <si>
    <t>2조외61</t>
    <phoneticPr fontId="2" type="noConversion"/>
  </si>
  <si>
    <t>26-0377</t>
    <phoneticPr fontId="2" type="noConversion"/>
  </si>
  <si>
    <t>2조외60</t>
    <phoneticPr fontId="2" type="noConversion"/>
  </si>
  <si>
    <t>26-0378</t>
  </si>
  <si>
    <t>1조외60</t>
    <phoneticPr fontId="2" type="noConversion"/>
  </si>
  <si>
    <t>26-0382</t>
    <phoneticPr fontId="2" type="noConversion"/>
  </si>
  <si>
    <t>6SKN154IIh/s+12단열(S)(Ar.)+6CL</t>
  </si>
  <si>
    <t>5CL+12단열(S)+5로이</t>
  </si>
  <si>
    <t>26-0403</t>
    <phoneticPr fontId="2" type="noConversion"/>
  </si>
  <si>
    <t>26-0312</t>
    <phoneticPr fontId="2" type="noConversion"/>
  </si>
  <si>
    <t xml:space="preserve">신동아건설(주)m 건강보험심사평가원 미래인재개발센터현장 </t>
    <phoneticPr fontId="2" type="noConversion"/>
  </si>
  <si>
    <t>6MZT128h/s+16단열+6CLh/s</t>
  </si>
  <si>
    <t>6MZT128h/s+16단열(Ar.)+6CL</t>
  </si>
  <si>
    <t>26-0332</t>
    <phoneticPr fontId="2" type="noConversion"/>
  </si>
  <si>
    <t>26-0336</t>
    <phoneticPr fontId="2" type="noConversion"/>
  </si>
  <si>
    <t>16조외80</t>
    <phoneticPr fontId="2" type="noConversion"/>
  </si>
  <si>
    <t>26-0337</t>
    <phoneticPr fontId="2" type="noConversion"/>
  </si>
  <si>
    <t>8조외80</t>
    <phoneticPr fontId="2" type="noConversion"/>
  </si>
  <si>
    <t>26-0379</t>
    <phoneticPr fontId="2" type="noConversion"/>
  </si>
  <si>
    <t>1조외69</t>
    <phoneticPr fontId="2" type="noConversion"/>
  </si>
  <si>
    <t>26-0380</t>
  </si>
  <si>
    <t>26-0420</t>
    <phoneticPr fontId="2" type="noConversion"/>
  </si>
  <si>
    <t>6MZT128h/s+16단열(Ar.)+6CLh/s</t>
  </si>
  <si>
    <t>12조외12</t>
    <phoneticPr fontId="2" type="noConversion"/>
  </si>
  <si>
    <t>26-0177</t>
    <phoneticPr fontId="2" type="noConversion"/>
  </si>
  <si>
    <t>12조외24</t>
    <phoneticPr fontId="2" type="noConversion"/>
  </si>
  <si>
    <t>1조외1</t>
    <phoneticPr fontId="2" type="noConversion"/>
  </si>
  <si>
    <t>26-0342</t>
    <phoneticPr fontId="2" type="noConversion"/>
  </si>
  <si>
    <t>15조외80</t>
    <phoneticPr fontId="2" type="noConversion"/>
  </si>
  <si>
    <t>26-0345</t>
    <phoneticPr fontId="2" type="noConversion"/>
  </si>
  <si>
    <t>10조외130</t>
    <phoneticPr fontId="2" type="noConversion"/>
  </si>
  <si>
    <t>26-0372</t>
    <phoneticPr fontId="2" type="noConversion"/>
  </si>
  <si>
    <t>3조외15</t>
    <phoneticPr fontId="2" type="noConversion"/>
  </si>
  <si>
    <t>26-0376</t>
    <phoneticPr fontId="2" type="noConversion"/>
  </si>
  <si>
    <t>26-0378</t>
    <phoneticPr fontId="2" type="noConversion"/>
  </si>
  <si>
    <t>26-0383</t>
    <phoneticPr fontId="2" type="noConversion"/>
  </si>
  <si>
    <t>26-0384</t>
    <phoneticPr fontId="2" type="noConversion"/>
  </si>
  <si>
    <t>26-0404</t>
    <phoneticPr fontId="2" type="noConversion"/>
  </si>
  <si>
    <t>2조외69</t>
    <phoneticPr fontId="2" type="noConversion"/>
  </si>
  <si>
    <t>26-0405</t>
  </si>
  <si>
    <t>1조외76</t>
    <phoneticPr fontId="2" type="noConversion"/>
  </si>
  <si>
    <t>26-0337</t>
    <phoneticPr fontId="2" type="noConversion"/>
  </si>
  <si>
    <t>16조외16</t>
    <phoneticPr fontId="2" type="noConversion"/>
  </si>
  <si>
    <t>8조외112</t>
    <phoneticPr fontId="2" type="noConversion"/>
  </si>
  <si>
    <t>26-0338</t>
    <phoneticPr fontId="2" type="noConversion"/>
  </si>
  <si>
    <t>8조외104</t>
    <phoneticPr fontId="2" type="noConversion"/>
  </si>
  <si>
    <t>26-0339</t>
    <phoneticPr fontId="2" type="noConversion"/>
  </si>
  <si>
    <t>12조외144</t>
    <phoneticPr fontId="2" type="noConversion"/>
  </si>
  <si>
    <t>26-0340</t>
    <phoneticPr fontId="2" type="noConversion"/>
  </si>
  <si>
    <t>26-0341</t>
    <phoneticPr fontId="2" type="noConversion"/>
  </si>
  <si>
    <t>12조외152</t>
    <phoneticPr fontId="2" type="noConversion"/>
  </si>
  <si>
    <t>12조외21</t>
    <phoneticPr fontId="2" type="noConversion"/>
  </si>
  <si>
    <t>26-0342</t>
    <phoneticPr fontId="2" type="noConversion"/>
  </si>
  <si>
    <t>10조외150</t>
    <phoneticPr fontId="2" type="noConversion"/>
  </si>
  <si>
    <t>26-0411</t>
    <phoneticPr fontId="2" type="noConversion"/>
  </si>
  <si>
    <t>25-2716</t>
    <phoneticPr fontId="2" type="noConversion"/>
  </si>
  <si>
    <t>15조외90</t>
    <phoneticPr fontId="2" type="noConversion"/>
  </si>
  <si>
    <t>26-0302</t>
    <phoneticPr fontId="2" type="noConversion"/>
  </si>
  <si>
    <t>10조외140</t>
    <phoneticPr fontId="2" type="noConversion"/>
  </si>
  <si>
    <t>26-0414</t>
    <phoneticPr fontId="2" type="noConversion"/>
  </si>
  <si>
    <t>5로이+14Ar.+5CL</t>
  </si>
  <si>
    <t>1조외1</t>
    <phoneticPr fontId="2" type="noConversion"/>
  </si>
  <si>
    <t>2조외8</t>
    <phoneticPr fontId="2" type="noConversion"/>
  </si>
  <si>
    <t>26-0417</t>
    <phoneticPr fontId="2" type="noConversion"/>
  </si>
  <si>
    <t>5CL+12A+5EVI181(n)</t>
  </si>
  <si>
    <t>26-0418</t>
    <phoneticPr fontId="2" type="noConversion"/>
  </si>
  <si>
    <t>26-0303</t>
    <phoneticPr fontId="2" type="noConversion"/>
  </si>
  <si>
    <t>20조외66</t>
    <phoneticPr fontId="2" type="noConversion"/>
  </si>
  <si>
    <t>19조외112</t>
    <phoneticPr fontId="2" type="noConversion"/>
  </si>
  <si>
    <t>26-0343</t>
    <phoneticPr fontId="2" type="noConversion"/>
  </si>
  <si>
    <t>26-0422</t>
    <phoneticPr fontId="2" type="noConversion"/>
  </si>
  <si>
    <t>백화유리</t>
    <phoneticPr fontId="2" type="noConversion"/>
  </si>
  <si>
    <t>5newGN+18단열(Ar.)+5CL+18단열(Ar.)+5DURA MAX</t>
  </si>
  <si>
    <t>26-0423</t>
    <phoneticPr fontId="2" type="noConversion"/>
  </si>
  <si>
    <t>1조외5</t>
    <phoneticPr fontId="2" type="noConversion"/>
  </si>
  <si>
    <t>1조외6</t>
    <phoneticPr fontId="2" type="noConversion"/>
  </si>
  <si>
    <t>2조외1</t>
    <phoneticPr fontId="2" type="noConversion"/>
  </si>
  <si>
    <t>26-0426</t>
    <phoneticPr fontId="2" type="noConversion"/>
  </si>
  <si>
    <t>현대샷시유리공사</t>
    <phoneticPr fontId="2" type="noConversion"/>
  </si>
  <si>
    <t>5CL+14A+5ML</t>
  </si>
  <si>
    <t>5Dura MAX+14단열(Ar.)+5CL에칭</t>
  </si>
  <si>
    <t>4조외4</t>
    <phoneticPr fontId="2" type="noConversion"/>
  </si>
  <si>
    <t>26-0435</t>
    <phoneticPr fontId="2" type="noConversion"/>
  </si>
  <si>
    <t xml:space="preserve">인성종합건설(주)f 오창테크노폴리스 폐기물처리시설현장 </t>
    <phoneticPr fontId="2" type="noConversion"/>
  </si>
  <si>
    <t>6CL+12단열+6로이</t>
  </si>
  <si>
    <t>25-2712</t>
    <phoneticPr fontId="2" type="noConversion"/>
  </si>
  <si>
    <t>28조외84</t>
    <phoneticPr fontId="2" type="noConversion"/>
  </si>
  <si>
    <t>25-2716</t>
    <phoneticPr fontId="2" type="noConversion"/>
  </si>
  <si>
    <t>15조외125</t>
    <phoneticPr fontId="2" type="noConversion"/>
  </si>
  <si>
    <t>26-0353</t>
    <phoneticPr fontId="2" type="noConversion"/>
  </si>
  <si>
    <t>10조외70</t>
    <phoneticPr fontId="2" type="noConversion"/>
  </si>
  <si>
    <t>10조외80</t>
    <phoneticPr fontId="2" type="noConversion"/>
  </si>
  <si>
    <t>10조외10</t>
    <phoneticPr fontId="2" type="noConversion"/>
  </si>
  <si>
    <t>26-0434</t>
    <phoneticPr fontId="2" type="noConversion"/>
  </si>
  <si>
    <t>(주)신라종합건설I 청주테크노 S타워 아파트형공장 신축공사</t>
    <phoneticPr fontId="2" type="noConversion"/>
  </si>
  <si>
    <t>26-0437</t>
    <phoneticPr fontId="2" type="noConversion"/>
  </si>
  <si>
    <t>청주부속상사</t>
    <phoneticPr fontId="2" type="noConversion"/>
  </si>
  <si>
    <t>5newGN+14A+5PLTdura+</t>
  </si>
  <si>
    <t>26-0303</t>
  </si>
  <si>
    <t>26-0303</t>
    <phoneticPr fontId="2" type="noConversion"/>
  </si>
  <si>
    <t>14조외120</t>
    <phoneticPr fontId="2" type="noConversion"/>
  </si>
  <si>
    <t>26-0344</t>
    <phoneticPr fontId="2" type="noConversion"/>
  </si>
  <si>
    <t>10조외130</t>
    <phoneticPr fontId="2" type="noConversion"/>
  </si>
  <si>
    <t>26-0383</t>
    <phoneticPr fontId="2" type="noConversion"/>
  </si>
  <si>
    <t>1조외1</t>
    <phoneticPr fontId="2" type="noConversion"/>
  </si>
  <si>
    <t>26-0406</t>
    <phoneticPr fontId="2" type="noConversion"/>
  </si>
  <si>
    <t>태원</t>
    <phoneticPr fontId="2" type="noConversion"/>
  </si>
  <si>
    <t>6SKS142IIh/s+12A+6CLh/s</t>
  </si>
  <si>
    <t>26-0407</t>
    <phoneticPr fontId="2" type="noConversion"/>
  </si>
  <si>
    <t>2조외89</t>
    <phoneticPr fontId="2" type="noConversion"/>
  </si>
  <si>
    <t>26-0409</t>
    <phoneticPr fontId="2" type="noConversion"/>
  </si>
  <si>
    <t>5조외71</t>
    <phoneticPr fontId="2" type="noConversion"/>
  </si>
  <si>
    <t>32조외78</t>
    <phoneticPr fontId="2" type="noConversion"/>
  </si>
  <si>
    <t>29조외223</t>
    <phoneticPr fontId="2" type="noConversion"/>
  </si>
  <si>
    <t>26-0353</t>
    <phoneticPr fontId="2" type="noConversion"/>
  </si>
  <si>
    <t>26-0354</t>
  </si>
  <si>
    <t>10조외8</t>
    <phoneticPr fontId="2" type="noConversion"/>
  </si>
  <si>
    <t>26-0438</t>
    <phoneticPr fontId="2" type="noConversion"/>
  </si>
  <si>
    <t>5newGN+12단열(S)+5로이</t>
  </si>
  <si>
    <t>26-0441</t>
    <phoneticPr fontId="2" type="noConversion"/>
  </si>
  <si>
    <t>영림창호</t>
    <phoneticPr fontId="2" type="noConversion"/>
  </si>
  <si>
    <t>25-2556</t>
    <phoneticPr fontId="2" type="noConversion"/>
  </si>
  <si>
    <t>6SKG149Th/s+16단열(Ar.)+6CL</t>
  </si>
  <si>
    <t>41조외149</t>
    <phoneticPr fontId="2" type="noConversion"/>
  </si>
  <si>
    <t>26-0344</t>
    <phoneticPr fontId="2" type="noConversion"/>
  </si>
  <si>
    <t>20조외20</t>
    <phoneticPr fontId="2" type="noConversion"/>
  </si>
  <si>
    <t>26-0371</t>
    <phoneticPr fontId="2" type="noConversion"/>
  </si>
  <si>
    <t>9조외25</t>
    <phoneticPr fontId="2" type="noConversion"/>
  </si>
  <si>
    <t>26-0407</t>
    <phoneticPr fontId="2" type="noConversion"/>
  </si>
  <si>
    <t>26-0425</t>
    <phoneticPr fontId="2" type="noConversion"/>
  </si>
  <si>
    <t>26-0304</t>
  </si>
  <si>
    <t>18조외183</t>
    <phoneticPr fontId="2" type="noConversion"/>
  </si>
  <si>
    <t>25-2557</t>
    <phoneticPr fontId="2" type="noConversion"/>
  </si>
  <si>
    <t>5SKG149Th/s+16단열(Ar.)+5CL</t>
  </si>
  <si>
    <t>46조외148</t>
    <phoneticPr fontId="2" type="noConversion"/>
  </si>
  <si>
    <t>26-0410</t>
    <phoneticPr fontId="2" type="noConversion"/>
  </si>
  <si>
    <t>5로이+14단열(T)(Ar.)+5CL+14단열(T)(Ar.)+5로이</t>
  </si>
  <si>
    <t>26-0428</t>
    <phoneticPr fontId="2" type="noConversion"/>
  </si>
  <si>
    <t>4조외56</t>
    <phoneticPr fontId="2" type="noConversion"/>
  </si>
  <si>
    <t>26-0429</t>
  </si>
  <si>
    <t>26-0178</t>
    <phoneticPr fontId="2" type="noConversion"/>
  </si>
  <si>
    <t>㈜태영건설c 부산 메디컬카운티 지역주택조합사업현장</t>
    <phoneticPr fontId="2" type="noConversion"/>
  </si>
  <si>
    <t>5CL+12A+5로이</t>
    <phoneticPr fontId="2" type="noConversion"/>
  </si>
  <si>
    <t>6조외120</t>
    <phoneticPr fontId="2" type="noConversion"/>
  </si>
  <si>
    <t>26-0179</t>
    <phoneticPr fontId="2" type="noConversion"/>
  </si>
  <si>
    <t>12조외41</t>
    <phoneticPr fontId="2" type="noConversion"/>
  </si>
  <si>
    <t>26-0371</t>
    <phoneticPr fontId="2" type="noConversion"/>
  </si>
  <si>
    <t>신동아건설㈜l 하나은행 구로 신사옥현장</t>
    <phoneticPr fontId="2" type="noConversion"/>
  </si>
  <si>
    <t>6조외34</t>
    <phoneticPr fontId="2" type="noConversion"/>
  </si>
  <si>
    <t>26-0419</t>
    <phoneticPr fontId="2" type="noConversion"/>
  </si>
  <si>
    <t>정석개발a 청주 테크노폴리스 A8현장</t>
    <phoneticPr fontId="2" type="noConversion"/>
  </si>
  <si>
    <t>5newGN+12Ar.+5DURA MAX</t>
    <phoneticPr fontId="2" type="noConversion"/>
  </si>
  <si>
    <t>26-0429</t>
    <phoneticPr fontId="2" type="noConversion"/>
  </si>
  <si>
    <t>㈜씨타대헌건설a 춘천계성학교 공간재구조화 증개축공사 현장</t>
    <phoneticPr fontId="2" type="noConversion"/>
  </si>
  <si>
    <t>5MZT152h/s+16단열(AR.)+5CL</t>
    <phoneticPr fontId="2" type="noConversion"/>
  </si>
  <si>
    <t>4조외79</t>
    <phoneticPr fontId="2" type="noConversion"/>
  </si>
  <si>
    <t>26-0431</t>
    <phoneticPr fontId="2" type="noConversion"/>
  </si>
  <si>
    <t>1조외7</t>
    <phoneticPr fontId="2" type="noConversion"/>
  </si>
  <si>
    <t>26-0442</t>
    <phoneticPr fontId="2" type="noConversion"/>
  </si>
  <si>
    <t>㈜서희건설m</t>
    <phoneticPr fontId="2" type="noConversion"/>
  </si>
  <si>
    <t>5로이+12Ar.+5투명+12Ar.+5로이</t>
    <phoneticPr fontId="2" type="noConversion"/>
  </si>
  <si>
    <t>26-0452</t>
    <phoneticPr fontId="2" type="noConversion"/>
  </si>
  <si>
    <t>㈜다솔산업</t>
    <phoneticPr fontId="2" type="noConversion"/>
  </si>
  <si>
    <t>5CL+14단열(Ar.)+5DURA MAX</t>
    <phoneticPr fontId="2" type="noConversion"/>
  </si>
  <si>
    <t>26-0453</t>
    <phoneticPr fontId="2" type="noConversion"/>
  </si>
  <si>
    <t>에이치엘디앤아이한라㈜vv</t>
    <phoneticPr fontId="2" type="noConversion"/>
  </si>
  <si>
    <t>5Dura max+12AR.+5newGN</t>
    <phoneticPr fontId="2" type="noConversion"/>
  </si>
  <si>
    <t>26-0304</t>
    <phoneticPr fontId="2" type="noConversion"/>
  </si>
  <si>
    <t>5CL+12Ar.+5로이</t>
    <phoneticPr fontId="2" type="noConversion"/>
  </si>
  <si>
    <t>26-0355</t>
    <phoneticPr fontId="2" type="noConversion"/>
  </si>
  <si>
    <t>계룡건설산업㈜mm KT 인재개발원 공동주택 유리공사(2공구)</t>
    <phoneticPr fontId="2" type="noConversion"/>
  </si>
  <si>
    <t>제일건설㈜g 인천검단 AB21-2BL 공공지원 민간임대주택사업현장</t>
    <phoneticPr fontId="2" type="noConversion"/>
  </si>
  <si>
    <t>5newGN+14A+5로이</t>
    <phoneticPr fontId="2" type="noConversion"/>
  </si>
  <si>
    <t>10조외70</t>
    <phoneticPr fontId="2" type="noConversion"/>
  </si>
  <si>
    <t>5CL+14A+5로이</t>
    <phoneticPr fontId="2" type="noConversion"/>
  </si>
  <si>
    <t>10조외80</t>
    <phoneticPr fontId="2" type="noConversion"/>
  </si>
  <si>
    <t>5newGN+12ar.+5로이</t>
    <phoneticPr fontId="2" type="noConversion"/>
  </si>
  <si>
    <t>26-0356</t>
    <phoneticPr fontId="2" type="noConversion"/>
  </si>
  <si>
    <t>15조외18</t>
    <phoneticPr fontId="2" type="noConversion"/>
  </si>
  <si>
    <t>26-0430</t>
    <phoneticPr fontId="2" type="noConversion"/>
  </si>
  <si>
    <t>6조외79</t>
    <phoneticPr fontId="2" type="noConversion"/>
  </si>
  <si>
    <t>26-0477</t>
    <phoneticPr fontId="2" type="noConversion"/>
  </si>
  <si>
    <t>5CL+12Ar.+5로이</t>
    <phoneticPr fontId="2" type="noConversion"/>
  </si>
  <si>
    <t>㈜포스코이앤씨l 청주 구룡공원 공동주택 유리공사</t>
    <phoneticPr fontId="2" type="noConversion"/>
  </si>
  <si>
    <t>26-0445</t>
    <phoneticPr fontId="2" type="noConversion"/>
  </si>
  <si>
    <t>동성건설㈜p ㈜태성 천안 신공장 신축공사현장</t>
    <phoneticPr fontId="2" type="noConversion"/>
  </si>
  <si>
    <t>5SKN154IIh/s+14단열(Ar.)+5CL</t>
    <phoneticPr fontId="2" type="noConversion"/>
  </si>
  <si>
    <t>1조외33</t>
    <phoneticPr fontId="2" type="noConversion"/>
  </si>
  <si>
    <t>26-0356</t>
    <phoneticPr fontId="2" type="noConversion"/>
  </si>
  <si>
    <t>제일건설㈜g 인천검단 AB21-2BL 공공지원 민간임대주택사업현장</t>
    <phoneticPr fontId="2" type="noConversion"/>
  </si>
  <si>
    <t>5newGN+14A+5로이</t>
    <phoneticPr fontId="2" type="noConversion"/>
  </si>
  <si>
    <t>42조외40</t>
    <phoneticPr fontId="2" type="noConversion"/>
  </si>
  <si>
    <t>5CL+14A+5로이</t>
    <phoneticPr fontId="2" type="noConversion"/>
  </si>
  <si>
    <t>15조외115</t>
    <phoneticPr fontId="2" type="noConversion"/>
  </si>
  <si>
    <t>5newGN+12AR.+5로이</t>
    <phoneticPr fontId="2" type="noConversion"/>
  </si>
  <si>
    <t>26-0446</t>
    <phoneticPr fontId="2" type="noConversion"/>
  </si>
  <si>
    <t>26-0447</t>
    <phoneticPr fontId="2" type="noConversion"/>
  </si>
  <si>
    <t>26-0443</t>
    <phoneticPr fontId="2" type="noConversion"/>
  </si>
  <si>
    <t>㈜케이씨씨글라스b 오송역퍼스트 2공구(HEC)</t>
    <phoneticPr fontId="2" type="noConversion"/>
  </si>
  <si>
    <t>5CL+12단열(T)+5로이</t>
    <phoneticPr fontId="2" type="noConversion"/>
  </si>
  <si>
    <t>6SKG149Th/s+16단열(Ar.)+6CL</t>
    <phoneticPr fontId="2" type="noConversion"/>
  </si>
  <si>
    <t>6조외3</t>
    <phoneticPr fontId="2" type="noConversion"/>
  </si>
  <si>
    <t>계룡건설산업㈜jj 증산도 상생 역사문화교육원 유리공사</t>
    <phoneticPr fontId="2" type="noConversion"/>
  </si>
  <si>
    <t>신동아건설㈜l 하나은행 구로 신사옥현장</t>
    <phoneticPr fontId="2" type="noConversion"/>
  </si>
  <si>
    <t>6SKN176IIh/s+16단열(Ar.)+9.52(4+1.52+4)투명배강도접합</t>
    <phoneticPr fontId="2" type="noConversion"/>
  </si>
  <si>
    <t>26-0429</t>
    <phoneticPr fontId="2" type="noConversion"/>
  </si>
  <si>
    <t>㈜씨타대헌건설a 춘천계성학교 공간재구조화 증개축공사 현장</t>
    <phoneticPr fontId="2" type="noConversion"/>
  </si>
  <si>
    <t>5MZT152h/s+16단열(AR.)+5CL</t>
    <phoneticPr fontId="2" type="noConversion"/>
  </si>
  <si>
    <t>26-0444</t>
    <phoneticPr fontId="2" type="noConversion"/>
  </si>
  <si>
    <t>㈜대성건설j 천호동 DS356 주거복합 신축공사</t>
    <phoneticPr fontId="2" type="noConversion"/>
  </si>
  <si>
    <t>5SUPERPLUS1.0h/s+14단열(Ar.)+5SUPERPLUS1.0h/s+14단열(Ar.)+5CL</t>
    <phoneticPr fontId="2" type="noConversion"/>
  </si>
  <si>
    <t>26-0416</t>
    <phoneticPr fontId="2" type="noConversion"/>
  </si>
  <si>
    <t>대광로제비앙㈜b 평택 브레인시티 (가칭)도일1초등학교 신축공사현장</t>
    <phoneticPr fontId="2" type="noConversion"/>
  </si>
  <si>
    <t>5ONE+14Ar.+5CLh/s+14Ar.+5ONE</t>
    <phoneticPr fontId="2" type="noConversion"/>
  </si>
  <si>
    <t>26-0180</t>
    <phoneticPr fontId="2" type="noConversion"/>
  </si>
  <si>
    <t>㈜태영건설c 부산 메디컬카운티 지역주택조합사업현장</t>
    <phoneticPr fontId="2" type="noConversion"/>
  </si>
  <si>
    <t>5CL+12A+5로이</t>
    <phoneticPr fontId="2" type="noConversion"/>
  </si>
  <si>
    <t>12조외132</t>
    <phoneticPr fontId="2" type="noConversion"/>
  </si>
  <si>
    <t>26-0179</t>
    <phoneticPr fontId="2" type="noConversion"/>
  </si>
  <si>
    <t>12조외163</t>
    <phoneticPr fontId="2" type="noConversion"/>
  </si>
  <si>
    <t>26-0470</t>
    <phoneticPr fontId="2" type="noConversion"/>
  </si>
  <si>
    <t>미성건설</t>
    <phoneticPr fontId="2" type="noConversion"/>
  </si>
  <si>
    <t>6N-29+12A+5CL</t>
    <phoneticPr fontId="2" type="noConversion"/>
  </si>
  <si>
    <t>26-0357</t>
    <phoneticPr fontId="2" type="noConversion"/>
  </si>
  <si>
    <t>5newGNh/s+14A+5로이h/s</t>
    <phoneticPr fontId="2" type="noConversion"/>
  </si>
  <si>
    <t>5newGNh/s+14A+5로이</t>
    <phoneticPr fontId="2" type="noConversion"/>
  </si>
  <si>
    <t>3조외42</t>
    <phoneticPr fontId="2" type="noConversion"/>
  </si>
  <si>
    <t>3조외45</t>
    <phoneticPr fontId="2" type="noConversion"/>
  </si>
  <si>
    <t>26-0358</t>
    <phoneticPr fontId="2" type="noConversion"/>
  </si>
  <si>
    <t>26-0181</t>
    <phoneticPr fontId="2" type="noConversion"/>
  </si>
  <si>
    <t>12조외110</t>
    <phoneticPr fontId="2" type="noConversion"/>
  </si>
  <si>
    <t>26-0467</t>
    <phoneticPr fontId="2" type="noConversion"/>
  </si>
  <si>
    <t>계룡건설산업㈜gg 원주의료원 증축 및 리모델링 건축공사</t>
    <phoneticPr fontId="2" type="noConversion"/>
  </si>
  <si>
    <t>5SKN154IIh/s+14단열(S)(Ar.)+5CL</t>
    <phoneticPr fontId="2" type="noConversion"/>
  </si>
  <si>
    <t>8.76(4cl+0.76+4cl)접합+12A+5로이</t>
    <phoneticPr fontId="2" type="noConversion"/>
  </si>
  <si>
    <t>24조외72</t>
    <phoneticPr fontId="2" type="noConversion"/>
  </si>
  <si>
    <t>5newGNh/s+12단열(T)+5로이</t>
    <phoneticPr fontId="2" type="noConversion"/>
  </si>
  <si>
    <t>98조외197</t>
    <phoneticPr fontId="2" type="noConversion"/>
  </si>
  <si>
    <t>52조외98</t>
    <phoneticPr fontId="2" type="noConversion"/>
  </si>
  <si>
    <t>6SKN176IIh/s+16단열(Ar.)+9.2(4+1.52+4)투명배강도접합</t>
    <phoneticPr fontId="2" type="noConversion"/>
  </si>
  <si>
    <t>26-0413</t>
    <phoneticPr fontId="2" type="noConversion"/>
  </si>
  <si>
    <t>씨제이대한동운㈜b 오리온 도곡 신사옥 신축공사</t>
    <phoneticPr fontId="2" type="noConversion"/>
  </si>
  <si>
    <t>6SKN076IIh/s+16단열(S)(Ar.)+6Dlh/s</t>
    <phoneticPr fontId="2" type="noConversion"/>
  </si>
  <si>
    <t>4조외6</t>
    <phoneticPr fontId="2" type="noConversion"/>
  </si>
  <si>
    <t>6SKS142IIh/s+16단열(S)(Ar.)+6스팬드럴h/s</t>
    <phoneticPr fontId="2" type="noConversion"/>
  </si>
  <si>
    <t>26-0479</t>
    <phoneticPr fontId="2" type="noConversion"/>
  </si>
  <si>
    <t>㈜포스코이앤씨m 아산탕정지구도시개발사업4BL공종주택현장[기본]</t>
    <phoneticPr fontId="2" type="noConversion"/>
  </si>
  <si>
    <t>26-0292</t>
    <phoneticPr fontId="2" type="noConversion"/>
  </si>
  <si>
    <t>㈜케이씨씨건설 여의도 오피스텔 신축현장</t>
    <phoneticPr fontId="2" type="noConversion"/>
  </si>
  <si>
    <t>5로이+12단열(Ar.)+5CLh/s+12단열(Ar.)+5CL</t>
    <phoneticPr fontId="2" type="noConversion"/>
  </si>
  <si>
    <t>5로이+14단열(Ar.)+5CL</t>
    <phoneticPr fontId="2" type="noConversion"/>
  </si>
  <si>
    <t>3조외103</t>
    <phoneticPr fontId="2" type="noConversion"/>
  </si>
  <si>
    <t>6조외36</t>
    <phoneticPr fontId="2" type="noConversion"/>
  </si>
  <si>
    <t>26-0497</t>
    <phoneticPr fontId="2" type="noConversion"/>
  </si>
  <si>
    <t>26-0448</t>
    <phoneticPr fontId="2" type="noConversion"/>
  </si>
  <si>
    <t>디더블유대원㈜ff 용인 에버랜드역 칸타빌 아파트 신축공사</t>
    <phoneticPr fontId="2" type="noConversion"/>
  </si>
  <si>
    <t>6로이+12Ar.+6CL</t>
    <phoneticPr fontId="2" type="noConversion"/>
  </si>
  <si>
    <t>5로이+14Ar.+5투명</t>
    <phoneticPr fontId="2" type="noConversion"/>
  </si>
  <si>
    <t>26-0474</t>
    <phoneticPr fontId="2" type="noConversion"/>
  </si>
  <si>
    <t>6SKN176IIh/s+16단열(Ar.)+6CL(스텝)</t>
    <phoneticPr fontId="2" type="noConversion"/>
  </si>
  <si>
    <t>6SKN176IIh/s+16단열(Ar.)+6CL</t>
    <phoneticPr fontId="2" type="noConversion"/>
  </si>
  <si>
    <t>5SKN176IIh/s+16단열(Ar.)+5CL</t>
    <phoneticPr fontId="2" type="noConversion"/>
  </si>
  <si>
    <t>26-0182</t>
    <phoneticPr fontId="2" type="noConversion"/>
  </si>
  <si>
    <t>12조외96</t>
    <phoneticPr fontId="2" type="noConversion"/>
  </si>
  <si>
    <t>12조외80</t>
    <phoneticPr fontId="2" type="noConversion"/>
  </si>
  <si>
    <t>26-0500</t>
    <phoneticPr fontId="2" type="noConversion"/>
  </si>
  <si>
    <t>5SKN154IIh/s+16단열+5CL</t>
    <phoneticPr fontId="2" type="noConversion"/>
  </si>
  <si>
    <t>26-0469</t>
    <phoneticPr fontId="2" type="noConversion"/>
  </si>
  <si>
    <t>쌍용건설㈜e ASML 화성 뉴캠퍼스 신축공사 P1현장</t>
    <phoneticPr fontId="2" type="noConversion"/>
  </si>
  <si>
    <t>6SKG149Th/s+16단열(S)(Ar.)+6CLh/s</t>
    <phoneticPr fontId="2" type="noConversion"/>
  </si>
  <si>
    <t>26-0449</t>
    <phoneticPr fontId="2" type="noConversion"/>
  </si>
  <si>
    <t>7조외14</t>
    <phoneticPr fontId="2" type="noConversion"/>
  </si>
  <si>
    <t>26-0492</t>
    <phoneticPr fontId="2" type="noConversion"/>
  </si>
  <si>
    <t>씨제이대한통운㈜b 오리온 도곡 신사옥 신축공사</t>
    <phoneticPr fontId="2" type="noConversion"/>
  </si>
  <si>
    <t>6SKS142IIh/s+16단열(S)(Ar.)+6CLh/s</t>
    <phoneticPr fontId="2" type="noConversion"/>
  </si>
  <si>
    <t>5조외14</t>
    <phoneticPr fontId="2" type="noConversion"/>
  </si>
  <si>
    <t>26-0475</t>
    <phoneticPr fontId="2" type="noConversion"/>
  </si>
  <si>
    <t>계룡건설산업㈜kk 안양 오뚜기 팩토리 신축공사</t>
    <phoneticPr fontId="2" type="noConversion"/>
  </si>
  <si>
    <t>5SKG149Th/s+14단열(Ar.)+5CLh/s</t>
    <phoneticPr fontId="2" type="noConversion"/>
  </si>
  <si>
    <t>26-0185</t>
    <phoneticPr fontId="2" type="noConversion"/>
  </si>
  <si>
    <t>12조외148</t>
    <phoneticPr fontId="2" type="noConversion"/>
  </si>
  <si>
    <t>26-0183</t>
    <phoneticPr fontId="2" type="noConversion"/>
  </si>
  <si>
    <t>26-0184</t>
    <phoneticPr fontId="2" type="noConversion"/>
  </si>
  <si>
    <t>26-0476</t>
    <phoneticPr fontId="2" type="noConversion"/>
  </si>
  <si>
    <t>계룡건설산업㈜ll 경기 부천 대현청실아파트 가로주택정비사업현장</t>
    <phoneticPr fontId="2" type="noConversion"/>
  </si>
  <si>
    <t>5CL에칭+14단열(Ar.)+5로이</t>
    <phoneticPr fontId="2" type="noConversion"/>
  </si>
  <si>
    <t>26-0515</t>
    <phoneticPr fontId="2" type="noConversion"/>
  </si>
  <si>
    <t>5CL+12단열+5로이</t>
    <phoneticPr fontId="2" type="noConversion"/>
  </si>
  <si>
    <t>26-0472</t>
    <phoneticPr fontId="2" type="noConversion"/>
  </si>
  <si>
    <t>5CL+12A+5CL</t>
    <phoneticPr fontId="2" type="noConversion"/>
  </si>
  <si>
    <t>26-0187</t>
    <phoneticPr fontId="2" type="noConversion"/>
  </si>
  <si>
    <t>6조외66</t>
    <phoneticPr fontId="2" type="noConversion"/>
  </si>
  <si>
    <t>26-0186</t>
    <phoneticPr fontId="2" type="noConversion"/>
  </si>
  <si>
    <t>26-0188</t>
    <phoneticPr fontId="2" type="noConversion"/>
  </si>
  <si>
    <t>26-0421</t>
    <phoneticPr fontId="2" type="noConversion"/>
  </si>
  <si>
    <t>계룡건설산업㈜y 양주옥정 A4-1시공책임형 CM 유리납품(1공구)</t>
    <phoneticPr fontId="2" type="noConversion"/>
  </si>
  <si>
    <t>6PLTdura+12단열(T)(Ar.)+6CL</t>
    <phoneticPr fontId="2" type="noConversion"/>
  </si>
  <si>
    <t>26-0516</t>
    <phoneticPr fontId="2" type="noConversion"/>
  </si>
  <si>
    <t>26-0439</t>
    <phoneticPr fontId="2" type="noConversion"/>
  </si>
  <si>
    <t>6SKS142IIh/s+16단열(S)(Ar.)+13.52(6CLh/s+1.52PVB+6FRITh/s)스텝</t>
    <phoneticPr fontId="2" type="noConversion"/>
  </si>
  <si>
    <t>26-0432</t>
    <phoneticPr fontId="2" type="noConversion"/>
  </si>
  <si>
    <t>5SKS142IIh/s+14단열(S)(Ar.)+5CLh/s+14단열(S)(Ar.)+5스팬드럴h/s</t>
    <phoneticPr fontId="2" type="noConversion"/>
  </si>
  <si>
    <t>6SKN076IIh/s+16단열(S)(Ar.)+6DI FRIT[스킨코트]</t>
    <phoneticPr fontId="2" type="noConversion"/>
  </si>
  <si>
    <t>6SKN076IIh/s+16단열(S)(Ar.)+6DI FRIT스텝[스킨코트]</t>
    <phoneticPr fontId="2" type="noConversion"/>
  </si>
  <si>
    <t>1076(5newGN+0.76+5CL)접합+12단열(T)+5로이</t>
    <phoneticPr fontId="2" type="noConversion"/>
  </si>
  <si>
    <t>98조외198</t>
    <phoneticPr fontId="2" type="noConversion"/>
  </si>
  <si>
    <t>26-0501</t>
    <phoneticPr fontId="2" type="noConversion"/>
  </si>
  <si>
    <t>㈜이랜드건설c 수원남문 신축공사현장</t>
    <phoneticPr fontId="2" type="noConversion"/>
  </si>
  <si>
    <t>40조외136</t>
    <phoneticPr fontId="2" type="noConversion"/>
  </si>
  <si>
    <t>26-0490</t>
    <phoneticPr fontId="2" type="noConversion"/>
  </si>
  <si>
    <t>㈜대진글라스a 대우건설_산성역헤리스톤3BL현장</t>
    <phoneticPr fontId="2" type="noConversion"/>
  </si>
  <si>
    <t>6CL+12A+6CL</t>
    <phoneticPr fontId="2" type="noConversion"/>
  </si>
  <si>
    <t>26-0484</t>
    <phoneticPr fontId="2" type="noConversion"/>
  </si>
  <si>
    <t>㈜대우건설f 청주 테크노폴리스 S1-1,2BL 주상복합 신축공사</t>
    <phoneticPr fontId="2" type="noConversion"/>
  </si>
  <si>
    <t>5ONE+14단열(Ar.)+5CL</t>
    <phoneticPr fontId="2" type="noConversion"/>
  </si>
  <si>
    <t>26-0489</t>
    <phoneticPr fontId="2" type="noConversion"/>
  </si>
  <si>
    <t>1076투명접합+10A+6로이</t>
    <phoneticPr fontId="2" type="noConversion"/>
  </si>
  <si>
    <t>6CL+12A+6로이</t>
    <phoneticPr fontId="2" type="noConversion"/>
  </si>
  <si>
    <t>1조외15</t>
    <phoneticPr fontId="2" type="noConversion"/>
  </si>
  <si>
    <t>26-0481</t>
    <phoneticPr fontId="2" type="noConversion"/>
  </si>
  <si>
    <t>2조외54</t>
    <phoneticPr fontId="2" type="noConversion"/>
  </si>
  <si>
    <t>26-0483</t>
    <phoneticPr fontId="2" type="noConversion"/>
  </si>
  <si>
    <t>26-0545</t>
    <phoneticPr fontId="2" type="noConversion"/>
  </si>
  <si>
    <t>26-0541</t>
    <phoneticPr fontId="2" type="noConversion"/>
  </si>
  <si>
    <t>5CL+6A+5CL</t>
    <phoneticPr fontId="2" type="noConversion"/>
  </si>
  <si>
    <t>26-0529</t>
    <phoneticPr fontId="2" type="noConversion"/>
  </si>
  <si>
    <t>㈜우미개발a 청주동남2차 우미린 아파트 신축공사 현장</t>
    <phoneticPr fontId="2" type="noConversion"/>
  </si>
  <si>
    <t>5newGN+12A+5CL</t>
    <phoneticPr fontId="2" type="noConversion"/>
  </si>
  <si>
    <t>26-0503</t>
    <phoneticPr fontId="2" type="noConversion"/>
  </si>
  <si>
    <t>㈜이랜드건설c 수원 남문 신축공사현장</t>
    <phoneticPr fontId="2" type="noConversion"/>
  </si>
  <si>
    <t>110조외306</t>
    <phoneticPr fontId="2" type="noConversion"/>
  </si>
  <si>
    <t>17조외36</t>
    <phoneticPr fontId="2" type="noConversion"/>
  </si>
  <si>
    <t>26-0471</t>
    <phoneticPr fontId="2" type="noConversion"/>
  </si>
  <si>
    <t>㈜한양g 인천청라 B5-2 BL 오피스텔</t>
    <phoneticPr fontId="2" type="noConversion"/>
  </si>
  <si>
    <t>8.76투명접합+12A+5CL</t>
    <phoneticPr fontId="2" type="noConversion"/>
  </si>
  <si>
    <t>26-0495</t>
    <phoneticPr fontId="2" type="noConversion"/>
  </si>
  <si>
    <t>계룡건설산업㈜kk 안양 오뚜기 기념관 증축 및 팩토리 신축공사</t>
    <phoneticPr fontId="2" type="noConversion"/>
  </si>
  <si>
    <t>26-0450</t>
    <phoneticPr fontId="2" type="noConversion"/>
  </si>
  <si>
    <t>31조외156</t>
    <phoneticPr fontId="2" type="noConversion"/>
  </si>
  <si>
    <t>26-0525</t>
    <phoneticPr fontId="2" type="noConversion"/>
  </si>
  <si>
    <t>10조외2</t>
    <phoneticPr fontId="2" type="noConversion"/>
  </si>
  <si>
    <t>26-0518</t>
    <phoneticPr fontId="2" type="noConversion"/>
  </si>
  <si>
    <t>1조외30</t>
    <phoneticPr fontId="2" type="noConversion"/>
  </si>
  <si>
    <t>5CLh/s+12A+5로이</t>
    <phoneticPr fontId="2" type="noConversion"/>
  </si>
  <si>
    <t>8.76투명접합+14Ar.+5로이h/s+14Ar.+5로이</t>
    <phoneticPr fontId="2" type="noConversion"/>
  </si>
  <si>
    <t>26-0517</t>
    <phoneticPr fontId="2" type="noConversion"/>
  </si>
  <si>
    <t>5PLAONE+14단열(Ar.)+5CL</t>
    <phoneticPr fontId="2" type="noConversion"/>
  </si>
  <si>
    <t>26-0503</t>
    <phoneticPr fontId="2" type="noConversion"/>
  </si>
  <si>
    <t>㈜이랜드건설c 수원 남문 신축공사현장</t>
    <phoneticPr fontId="2" type="noConversion"/>
  </si>
  <si>
    <t>5CL+12단열+5로이</t>
    <phoneticPr fontId="2" type="noConversion"/>
  </si>
  <si>
    <t>44조외110</t>
    <phoneticPr fontId="2" type="noConversion"/>
  </si>
  <si>
    <t>26-0531</t>
    <phoneticPr fontId="2" type="noConversion"/>
  </si>
  <si>
    <t>덕양건설㈜a 혁신기술 제조창업 공유공장 건축공사(건축)</t>
    <phoneticPr fontId="2" type="noConversion"/>
  </si>
  <si>
    <t>5SKN154IIh/s+14단열(Ar.)+5CL</t>
    <phoneticPr fontId="2" type="noConversion"/>
  </si>
  <si>
    <t>1조외1</t>
    <phoneticPr fontId="2" type="noConversion"/>
  </si>
  <si>
    <t>26-0540</t>
    <phoneticPr fontId="2" type="noConversion"/>
  </si>
  <si>
    <t>디엘이앤씨㈜g e편한세상 내포 퍼스트드림 현장</t>
    <phoneticPr fontId="2" type="noConversion"/>
  </si>
  <si>
    <t>6SKN154+12단열(Ar.)+6CL</t>
    <phoneticPr fontId="2" type="noConversion"/>
  </si>
  <si>
    <t>2조외9</t>
    <phoneticPr fontId="2" type="noConversion"/>
  </si>
  <si>
    <t>26-0385</t>
    <phoneticPr fontId="2" type="noConversion"/>
  </si>
  <si>
    <t>5CL+12A+5로이</t>
    <phoneticPr fontId="2" type="noConversion"/>
  </si>
  <si>
    <t>3조외4</t>
    <phoneticPr fontId="2" type="noConversion"/>
  </si>
  <si>
    <t>26-0544</t>
    <phoneticPr fontId="2" type="noConversion"/>
  </si>
  <si>
    <t>디엘건설㈜a 대전문화2구역재개발정비사업현장</t>
    <phoneticPr fontId="2" type="noConversion"/>
  </si>
  <si>
    <t>6로이+16단열(Ar.)+6CL</t>
    <phoneticPr fontId="2" type="noConversion"/>
  </si>
  <si>
    <t>2조외34</t>
    <phoneticPr fontId="2" type="noConversion"/>
  </si>
  <si>
    <t>6로이+16단열(Ar.)+6로이</t>
    <phoneticPr fontId="2" type="noConversion"/>
  </si>
  <si>
    <t>2조외2</t>
    <phoneticPr fontId="2" type="noConversion"/>
  </si>
  <si>
    <t>26-0493</t>
    <phoneticPr fontId="2" type="noConversion"/>
  </si>
  <si>
    <t>계룡건설산업㈜jj 증산도 상생 역사문화교육원 유리공사</t>
    <phoneticPr fontId="2" type="noConversion"/>
  </si>
  <si>
    <t>6SKG149Th/s+16단열(Ar.)+6CL(이형)</t>
    <phoneticPr fontId="2" type="noConversion"/>
  </si>
  <si>
    <t>26-0494</t>
    <phoneticPr fontId="2" type="noConversion"/>
  </si>
  <si>
    <t>1조외24</t>
    <phoneticPr fontId="2" type="noConversion"/>
  </si>
  <si>
    <t>26-0542</t>
    <phoneticPr fontId="2" type="noConversion"/>
  </si>
  <si>
    <t>신동아건설㈜l 하나은행 구로 신사옥현장</t>
    <phoneticPr fontId="2" type="noConversion"/>
  </si>
  <si>
    <t>6SKN176IIh/s+16단열(Ar.)+6CL</t>
    <phoneticPr fontId="2" type="noConversion"/>
  </si>
  <si>
    <t>26-0480</t>
    <phoneticPr fontId="2" type="noConversion"/>
  </si>
  <si>
    <t>계룡건설산업㈜gg 원주의료원 증축 및 리모델링 건축공사</t>
    <phoneticPr fontId="2" type="noConversion"/>
  </si>
  <si>
    <t>6SKN154IIh/s+12sws(Ar.)+6CLh/s+12sws(Ar.)+6SKN154IIh/s</t>
    <phoneticPr fontId="2" type="noConversion"/>
  </si>
  <si>
    <t>26-0504</t>
    <phoneticPr fontId="2" type="noConversion"/>
  </si>
  <si>
    <t>132조외186</t>
    <phoneticPr fontId="2" type="noConversion"/>
  </si>
  <si>
    <t>26-0525</t>
    <phoneticPr fontId="2" type="noConversion"/>
  </si>
  <si>
    <t>6SKN176IIh/s+16단열(Ar.)+6CL(스텝)</t>
    <phoneticPr fontId="2" type="noConversion"/>
  </si>
  <si>
    <t>1조외2</t>
    <phoneticPr fontId="2" type="noConversion"/>
  </si>
  <si>
    <t>26-0466</t>
    <phoneticPr fontId="2" type="noConversion"/>
  </si>
  <si>
    <t>쌍용건설㈜e ASML 화성 뉴캠퍼스 신축공사 P1현장</t>
    <phoneticPr fontId="2" type="noConversion"/>
  </si>
  <si>
    <t>6SKG149Th/s+16단열(S)(Ar.)+6CLh/s</t>
    <phoneticPr fontId="2" type="noConversion"/>
  </si>
  <si>
    <t>26-0552</t>
    <phoneticPr fontId="2" type="noConversion"/>
  </si>
  <si>
    <t>두두(DoDo)</t>
    <phoneticPr fontId="2" type="noConversion"/>
  </si>
  <si>
    <t>3조외25</t>
    <phoneticPr fontId="2" type="noConversion"/>
  </si>
  <si>
    <t>26-0385</t>
    <phoneticPr fontId="2" type="noConversion"/>
  </si>
  <si>
    <t>26-0386</t>
    <phoneticPr fontId="2" type="noConversion"/>
  </si>
  <si>
    <t>26-0387</t>
    <phoneticPr fontId="2" type="noConversion"/>
  </si>
  <si>
    <t>8조외56</t>
    <phoneticPr fontId="2" type="noConversion"/>
  </si>
  <si>
    <t>26-0388</t>
    <phoneticPr fontId="2" type="noConversion"/>
  </si>
  <si>
    <t>16조외190</t>
    <phoneticPr fontId="2" type="noConversion"/>
  </si>
  <si>
    <t>5CLh/s+12A+5로이h/s</t>
    <phoneticPr fontId="2" type="noConversion"/>
  </si>
  <si>
    <t>26-0456</t>
    <phoneticPr fontId="2" type="noConversion"/>
  </si>
  <si>
    <t>26-0570</t>
    <phoneticPr fontId="2" type="noConversion"/>
  </si>
  <si>
    <r>
      <t>㈜보미건설a 청주대학교 항공</t>
    </r>
    <r>
      <rPr>
        <sz val="9"/>
        <rFont val="맑은 고딕"/>
        <family val="3"/>
        <charset val="129"/>
      </rPr>
      <t>∙국방대학 리모델링 및 증축공사</t>
    </r>
    <phoneticPr fontId="2" type="noConversion"/>
  </si>
  <si>
    <t>5ONE+14TPS(Ar.)+5CL+14TPS(Ar.)+5ONE</t>
    <phoneticPr fontId="2" type="noConversion"/>
  </si>
  <si>
    <t>26-0504</t>
    <phoneticPr fontId="2" type="noConversion"/>
  </si>
  <si>
    <t>26-0454</t>
    <phoneticPr fontId="2" type="noConversion"/>
  </si>
  <si>
    <t>9조외114</t>
    <phoneticPr fontId="2" type="noConversion"/>
  </si>
  <si>
    <t>5CL+12Ar.+5DURA MAX</t>
    <phoneticPr fontId="2" type="noConversion"/>
  </si>
  <si>
    <t>26-0519</t>
    <phoneticPr fontId="2" type="noConversion"/>
  </si>
  <si>
    <t>5ONEIIT/P+14Ar.+5CLT/P</t>
    <phoneticPr fontId="2" type="noConversion"/>
  </si>
  <si>
    <t>26-0457</t>
    <phoneticPr fontId="2" type="noConversion"/>
  </si>
  <si>
    <t>11조외190</t>
    <phoneticPr fontId="2" type="noConversion"/>
  </si>
  <si>
    <t>26-0455</t>
    <phoneticPr fontId="2" type="noConversion"/>
  </si>
  <si>
    <t>1조외230</t>
    <phoneticPr fontId="2" type="noConversion"/>
  </si>
  <si>
    <t>1조외165</t>
    <phoneticPr fontId="2" type="noConversion"/>
  </si>
  <si>
    <t>2조외151</t>
    <phoneticPr fontId="2" type="noConversion"/>
  </si>
  <si>
    <t>26-0595</t>
    <phoneticPr fontId="2" type="noConversion"/>
  </si>
  <si>
    <t>5newGN+6A+5CL</t>
    <phoneticPr fontId="2" type="noConversion"/>
  </si>
  <si>
    <t>26-0549</t>
    <phoneticPr fontId="2" type="noConversion"/>
  </si>
  <si>
    <t>인성종합건설㈜e 청주드림신협 문화센터지점(가칭) 신축공사현장</t>
    <phoneticPr fontId="2" type="noConversion"/>
  </si>
  <si>
    <t>7조외20</t>
    <phoneticPr fontId="2" type="noConversion"/>
  </si>
  <si>
    <t>5SKN154+14단열(Ar.)+5CLh/s</t>
    <phoneticPr fontId="2" type="noConversion"/>
  </si>
  <si>
    <t>5SKN154IIh/s+16단열(Ar.)+5CL</t>
    <phoneticPr fontId="2" type="noConversion"/>
  </si>
  <si>
    <t>26-0548</t>
    <phoneticPr fontId="2" type="noConversion"/>
  </si>
  <si>
    <t>1조외81</t>
    <phoneticPr fontId="2" type="noConversion"/>
  </si>
  <si>
    <t>26-0550</t>
    <phoneticPr fontId="2" type="noConversion"/>
  </si>
  <si>
    <t>1조외21</t>
    <phoneticPr fontId="2" type="noConversion"/>
  </si>
  <si>
    <t>정석개발a 청주테크노폴리스 A8현장</t>
    <phoneticPr fontId="2" type="noConversion"/>
  </si>
  <si>
    <t>5CL+12Ar+5DURA MAX</t>
    <phoneticPr fontId="2" type="noConversion"/>
  </si>
  <si>
    <t>2조외63</t>
    <phoneticPr fontId="2" type="noConversion"/>
  </si>
  <si>
    <t>26-0459</t>
    <phoneticPr fontId="2" type="noConversion"/>
  </si>
  <si>
    <t>6조외78</t>
    <phoneticPr fontId="2" type="noConversion"/>
  </si>
  <si>
    <t>26-0458</t>
    <phoneticPr fontId="2" type="noConversion"/>
  </si>
  <si>
    <t>15조외20</t>
    <phoneticPr fontId="2" type="noConversion"/>
  </si>
  <si>
    <t>26-0532</t>
    <phoneticPr fontId="2" type="noConversion"/>
  </si>
  <si>
    <t>6SKG149Th/s+16단열(Ar.)+6CLh/s</t>
    <phoneticPr fontId="2" type="noConversion"/>
  </si>
  <si>
    <t>26-0451</t>
    <phoneticPr fontId="2" type="noConversion"/>
  </si>
  <si>
    <t>5SKG149Th/s+16단열(Ar.)+5CL</t>
    <phoneticPr fontId="2" type="noConversion"/>
  </si>
  <si>
    <t>20조외221</t>
    <phoneticPr fontId="2" type="noConversion"/>
  </si>
  <si>
    <t>26-0572</t>
    <phoneticPr fontId="2" type="noConversion"/>
  </si>
  <si>
    <t>26-0581</t>
    <phoneticPr fontId="2" type="noConversion"/>
  </si>
  <si>
    <t>제일건설㈜h 청주장성지구 A1블럭 공동주택 신축공사</t>
    <phoneticPr fontId="2" type="noConversion"/>
  </si>
  <si>
    <t>5newGN+12A+5로이</t>
    <phoneticPr fontId="2" type="noConversion"/>
  </si>
  <si>
    <t>26-0583</t>
    <phoneticPr fontId="2" type="noConversion"/>
  </si>
  <si>
    <t>활림건설㈜k 아산시 배방읍 장재리 근린생활시설현장</t>
    <phoneticPr fontId="2" type="noConversion"/>
  </si>
  <si>
    <t>5SKN154+14단열(Ar.)+5newGN</t>
    <phoneticPr fontId="2" type="noConversion"/>
  </si>
  <si>
    <t>5SKN154+14단열(Ar.)+5BL</t>
    <phoneticPr fontId="2" type="noConversion"/>
  </si>
  <si>
    <t>5SKN154+14단열(Ar.)+5BZ</t>
    <phoneticPr fontId="2" type="noConversion"/>
  </si>
  <si>
    <t>26-0571</t>
    <phoneticPr fontId="2" type="noConversion"/>
  </si>
  <si>
    <t>26-0568</t>
    <phoneticPr fontId="2" type="noConversion"/>
  </si>
  <si>
    <t>26-0460</t>
    <phoneticPr fontId="2" type="noConversion"/>
  </si>
  <si>
    <t>15조외132</t>
    <phoneticPr fontId="2" type="noConversion"/>
  </si>
  <si>
    <t>11조외10</t>
    <phoneticPr fontId="2" type="noConversion"/>
  </si>
  <si>
    <t>26-0551</t>
    <phoneticPr fontId="2" type="noConversion"/>
  </si>
  <si>
    <t>1조외54</t>
    <phoneticPr fontId="2" type="noConversion"/>
  </si>
  <si>
    <t>1조외67</t>
    <phoneticPr fontId="2" type="noConversion"/>
  </si>
  <si>
    <t>98조외48</t>
    <phoneticPr fontId="2" type="noConversion"/>
  </si>
  <si>
    <t>2조외232</t>
    <phoneticPr fontId="2" type="noConversion"/>
  </si>
  <si>
    <t>5ONE+14단열+5newGN+14단열+5ONE</t>
  </si>
  <si>
    <t>11조외168</t>
    <phoneticPr fontId="2" type="noConversion"/>
  </si>
  <si>
    <t>26-0460</t>
    <phoneticPr fontId="2" type="noConversion"/>
  </si>
  <si>
    <t>50조외60</t>
    <phoneticPr fontId="2" type="noConversion"/>
  </si>
  <si>
    <t>15조외240</t>
    <phoneticPr fontId="2" type="noConversion"/>
  </si>
  <si>
    <t>26-0498</t>
    <phoneticPr fontId="2" type="noConversion"/>
  </si>
  <si>
    <t>26-0461</t>
    <phoneticPr fontId="2" type="noConversion"/>
  </si>
  <si>
    <t>15조외262</t>
    <phoneticPr fontId="2" type="noConversion"/>
  </si>
  <si>
    <t>26-0502</t>
    <phoneticPr fontId="2" type="noConversion"/>
  </si>
  <si>
    <t>㈜제이앤에스한백</t>
    <phoneticPr fontId="2" type="noConversion"/>
  </si>
  <si>
    <t>6SKN076II h/s+12TPS(Ar.)+6DI h/s</t>
  </si>
  <si>
    <t>4조외19</t>
    <phoneticPr fontId="2" type="noConversion"/>
  </si>
  <si>
    <t>(주)보미건설a 청주대학교 항공ㆍ국방대학 리모델링 및 증축공사</t>
    <phoneticPr fontId="2" type="noConversion"/>
  </si>
  <si>
    <t>26-0569</t>
    <phoneticPr fontId="2" type="noConversion"/>
  </si>
  <si>
    <t>5ONE+14TPS(Ar.)+5newGNh/s+14TPS(Ar.)+5ONE</t>
  </si>
  <si>
    <t>48조외22</t>
    <phoneticPr fontId="2" type="noConversion"/>
  </si>
  <si>
    <t>26-0463</t>
    <phoneticPr fontId="2" type="noConversion"/>
  </si>
  <si>
    <t>12조외53</t>
    <phoneticPr fontId="2" type="noConversion"/>
  </si>
  <si>
    <t>26-0584</t>
    <phoneticPr fontId="2" type="noConversion"/>
  </si>
  <si>
    <t>1조외8</t>
    <phoneticPr fontId="2" type="noConversion"/>
  </si>
  <si>
    <t>26-0596</t>
    <phoneticPr fontId="2" type="noConversion"/>
  </si>
  <si>
    <t>(주)포스코건설k 천안 직산읍 공동주택 신축사업 중 천안 직산읍현장</t>
    <phoneticPr fontId="2" type="noConversion"/>
  </si>
  <si>
    <t>26-0634</t>
    <phoneticPr fontId="2" type="noConversion"/>
  </si>
  <si>
    <t>26-0663</t>
    <phoneticPr fontId="2" type="noConversion"/>
  </si>
  <si>
    <t>26-0635</t>
    <phoneticPr fontId="2" type="noConversion"/>
  </si>
  <si>
    <t>5CL+16Ar.+5로이</t>
  </si>
  <si>
    <t xml:space="preserve">인종합건설(주)l 이노레스㈜ 혁신캠퍼스 신축공사현장 </t>
    <phoneticPr fontId="2" type="noConversion"/>
  </si>
  <si>
    <t>5SKN154II+14단열(Ar.)+5CL</t>
  </si>
  <si>
    <t>20조외60</t>
    <phoneticPr fontId="2" type="noConversion"/>
  </si>
  <si>
    <t>26-0473</t>
    <phoneticPr fontId="2" type="noConversion"/>
  </si>
  <si>
    <t>5SKN154+14단열(Ar.)+5CLh/s+14단열(Ar.)+5SKN154</t>
  </si>
  <si>
    <t>26-0520</t>
    <phoneticPr fontId="2" type="noConversion"/>
  </si>
  <si>
    <t>69조외139</t>
    <phoneticPr fontId="2" type="noConversion"/>
  </si>
  <si>
    <t>26-0582</t>
    <phoneticPr fontId="2" type="noConversion"/>
  </si>
  <si>
    <t>6SKN076IIh/s+16단열(S)(Ar.)+6DI FRIT스텝[스킨코트]</t>
  </si>
  <si>
    <t>26-0586</t>
    <phoneticPr fontId="2" type="noConversion"/>
  </si>
  <si>
    <t>1조외2</t>
    <phoneticPr fontId="2" type="noConversion"/>
  </si>
  <si>
    <t>26-0619</t>
    <phoneticPr fontId="2" type="noConversion"/>
  </si>
  <si>
    <t>26-0427</t>
    <phoneticPr fontId="2" type="noConversion"/>
  </si>
  <si>
    <t>50조외64</t>
    <phoneticPr fontId="2" type="noConversion"/>
  </si>
  <si>
    <t>26-0463</t>
    <phoneticPr fontId="2" type="noConversion"/>
  </si>
  <si>
    <t>36조외65</t>
    <phoneticPr fontId="2" type="noConversion"/>
  </si>
  <si>
    <t>12조외155</t>
    <phoneticPr fontId="2" type="noConversion"/>
  </si>
  <si>
    <t>26-0464</t>
    <phoneticPr fontId="2" type="noConversion"/>
  </si>
  <si>
    <t>6조외102</t>
    <phoneticPr fontId="2" type="noConversion"/>
  </si>
  <si>
    <t>26-0629</t>
    <phoneticPr fontId="2" type="noConversion"/>
  </si>
  <si>
    <t>5CLh/s+12Ar.+5ONE</t>
  </si>
  <si>
    <t>26-0186</t>
  </si>
  <si>
    <t>26-0187</t>
  </si>
  <si>
    <t>6조외5</t>
    <phoneticPr fontId="2" type="noConversion"/>
  </si>
  <si>
    <t>26-0385</t>
    <phoneticPr fontId="2" type="noConversion"/>
  </si>
  <si>
    <t>4조외8</t>
    <phoneticPr fontId="2" type="noConversion"/>
  </si>
  <si>
    <t>26-0386</t>
    <phoneticPr fontId="2" type="noConversion"/>
  </si>
  <si>
    <t>4조외4</t>
    <phoneticPr fontId="2" type="noConversion"/>
  </si>
  <si>
    <t>26-0387</t>
    <phoneticPr fontId="2" type="noConversion"/>
  </si>
  <si>
    <t>26-0461</t>
    <phoneticPr fontId="2" type="noConversion"/>
  </si>
  <si>
    <t>30조외150</t>
    <phoneticPr fontId="2" type="noConversion"/>
  </si>
  <si>
    <t>26-0462</t>
    <phoneticPr fontId="2" type="noConversion"/>
  </si>
  <si>
    <t>8조외94</t>
    <phoneticPr fontId="2" type="noConversion"/>
  </si>
  <si>
    <t>8조외103</t>
    <phoneticPr fontId="2" type="noConversion"/>
  </si>
  <si>
    <t>26-0465</t>
    <phoneticPr fontId="2" type="noConversion"/>
  </si>
  <si>
    <t>6조외90</t>
    <phoneticPr fontId="2" type="noConversion"/>
  </si>
  <si>
    <t>26-0473</t>
    <phoneticPr fontId="2" type="noConversion"/>
  </si>
  <si>
    <t>26-0520</t>
    <phoneticPr fontId="2" type="noConversion"/>
  </si>
  <si>
    <t>26-0582</t>
    <phoneticPr fontId="2" type="noConversion"/>
  </si>
  <si>
    <t>6SKS142IIh/s+16단열(S)(Ar.)+13.52(6CLh/s+1.52PVB+6FRITh/s)스텝</t>
  </si>
  <si>
    <t>2조외1</t>
    <phoneticPr fontId="2" type="noConversion"/>
  </si>
  <si>
    <t>26-0427</t>
    <phoneticPr fontId="2" type="noConversion"/>
  </si>
  <si>
    <t>24조외74</t>
    <phoneticPr fontId="2" type="noConversion"/>
  </si>
  <si>
    <t>26-0585</t>
    <phoneticPr fontId="2" type="noConversion"/>
  </si>
  <si>
    <t>1조외10</t>
    <phoneticPr fontId="2" type="noConversion"/>
  </si>
  <si>
    <t>26-0587</t>
    <phoneticPr fontId="2" type="noConversion"/>
  </si>
  <si>
    <t>5CL+14A+5로이</t>
    <phoneticPr fontId="2" type="noConversion"/>
  </si>
  <si>
    <t>10조외70</t>
    <phoneticPr fontId="2" type="noConversion"/>
  </si>
  <si>
    <t>10조외80</t>
    <phoneticPr fontId="2" type="noConversion"/>
  </si>
  <si>
    <t>26-0660</t>
    <phoneticPr fontId="2" type="noConversion"/>
  </si>
  <si>
    <t>6Bz+12단열(Ar.)+6로이</t>
  </si>
  <si>
    <t>6CL+12단열(Ar.)+6로이</t>
  </si>
  <si>
    <t>2조외31</t>
    <phoneticPr fontId="2" type="noConversion"/>
  </si>
  <si>
    <t>2조외28</t>
    <phoneticPr fontId="2" type="noConversion"/>
  </si>
  <si>
    <t>26-0664</t>
    <phoneticPr fontId="2" type="noConversion"/>
  </si>
  <si>
    <t>1조외2</t>
    <phoneticPr fontId="2" type="noConversion"/>
  </si>
  <si>
    <t>1조외5</t>
    <phoneticPr fontId="2" type="noConversion"/>
  </si>
  <si>
    <t>26-0665</t>
    <phoneticPr fontId="2" type="noConversion"/>
  </si>
  <si>
    <t>2조외12</t>
    <phoneticPr fontId="2" type="noConversion"/>
  </si>
  <si>
    <t>26-0385</t>
    <phoneticPr fontId="2" type="noConversion"/>
  </si>
  <si>
    <t>4조외32</t>
    <phoneticPr fontId="2" type="noConversion"/>
  </si>
  <si>
    <t>26-0388</t>
    <phoneticPr fontId="2" type="noConversion"/>
  </si>
  <si>
    <t>8조외13</t>
    <phoneticPr fontId="2" type="noConversion"/>
  </si>
  <si>
    <t>26-0535</t>
    <phoneticPr fontId="2" type="noConversion"/>
  </si>
  <si>
    <t>120조외144</t>
    <phoneticPr fontId="2" type="noConversion"/>
  </si>
  <si>
    <t>26-0662</t>
    <phoneticPr fontId="2" type="noConversion"/>
  </si>
  <si>
    <t>2조외1</t>
    <phoneticPr fontId="2" type="noConversion"/>
  </si>
  <si>
    <t>26-0670</t>
    <phoneticPr fontId="2" type="noConversion"/>
  </si>
  <si>
    <t>주식회사 제이로건설</t>
  </si>
  <si>
    <t>주식회사 제이로건설</t>
    <phoneticPr fontId="2" type="noConversion"/>
  </si>
  <si>
    <t>6BL+6A+6CL</t>
  </si>
  <si>
    <t>1조외1</t>
    <phoneticPr fontId="2" type="noConversion"/>
  </si>
  <si>
    <t>26-0536</t>
    <phoneticPr fontId="2" type="noConversion"/>
  </si>
  <si>
    <t>110조외17</t>
    <phoneticPr fontId="2" type="noConversion"/>
  </si>
  <si>
    <t>26-0588</t>
    <phoneticPr fontId="2" type="noConversion"/>
  </si>
  <si>
    <t>5조외95</t>
    <phoneticPr fontId="2" type="noConversion"/>
  </si>
  <si>
    <t>5조외100</t>
    <phoneticPr fontId="2" type="noConversion"/>
  </si>
  <si>
    <t>5조외5</t>
    <phoneticPr fontId="2" type="noConversion"/>
  </si>
  <si>
    <t>26-0589</t>
    <phoneticPr fontId="2" type="noConversion"/>
  </si>
  <si>
    <t>26-0386</t>
    <phoneticPr fontId="2" type="noConversion"/>
  </si>
  <si>
    <t>8조외28</t>
    <phoneticPr fontId="2" type="noConversion"/>
  </si>
  <si>
    <t>26-0387</t>
    <phoneticPr fontId="2" type="noConversion"/>
  </si>
  <si>
    <t>8조외20</t>
    <phoneticPr fontId="2" type="noConversion"/>
  </si>
  <si>
    <t>8조외48</t>
    <phoneticPr fontId="2" type="noConversion"/>
  </si>
  <si>
    <t>26-0547</t>
    <phoneticPr fontId="2" type="noConversion"/>
  </si>
  <si>
    <t>5PLAONE+14TPS(Ar.)+5PLAONE II h/s+14TPS(Ar.)+8.76투명접합</t>
  </si>
  <si>
    <t>5PLAONE+14TPS(Ar.)+5CLh/s+14TPS(Ar.)+5PLAONE</t>
  </si>
  <si>
    <t>5CL+12TPS(AR.)+5PLTdura+</t>
  </si>
  <si>
    <t>1조외6</t>
    <phoneticPr fontId="2" type="noConversion"/>
  </si>
  <si>
    <t>26-0590</t>
    <phoneticPr fontId="2" type="noConversion"/>
  </si>
  <si>
    <t>10조외30</t>
    <phoneticPr fontId="2" type="noConversion"/>
  </si>
  <si>
    <t>26-0667</t>
    <phoneticPr fontId="2" type="noConversion"/>
  </si>
  <si>
    <t>6SKN154IIh/s+12단열(Ar.)+6CL+12단열(Ar.)+6ONE</t>
  </si>
  <si>
    <t>4조외4</t>
    <phoneticPr fontId="2" type="noConversion"/>
  </si>
  <si>
    <t>3조외3</t>
    <phoneticPr fontId="2" type="noConversion"/>
  </si>
  <si>
    <t>26-0668</t>
    <phoneticPr fontId="2" type="noConversion"/>
  </si>
  <si>
    <t>26-0677</t>
    <phoneticPr fontId="2" type="noConversion"/>
  </si>
  <si>
    <t>5BL+6A+5CL</t>
  </si>
  <si>
    <t>26-0536</t>
    <phoneticPr fontId="2" type="noConversion"/>
  </si>
  <si>
    <t>103조외230</t>
    <phoneticPr fontId="2" type="noConversion"/>
  </si>
  <si>
    <t>26-0592</t>
    <phoneticPr fontId="2" type="noConversion"/>
  </si>
  <si>
    <t>5SKS142IIh/s+14단열(S)(Ar.)+5CLh/s+14단열(S)(Ar.)+5스팬드럴h/s</t>
  </si>
  <si>
    <t>26-0590</t>
    <phoneticPr fontId="2" type="noConversion"/>
  </si>
  <si>
    <t>26-0591</t>
    <phoneticPr fontId="2" type="noConversion"/>
  </si>
  <si>
    <t>8.76(4cl+0.76+4cl)접합+16단열(Ar.)+5로이</t>
  </si>
  <si>
    <t>26-0669</t>
    <phoneticPr fontId="2" type="noConversion"/>
  </si>
  <si>
    <t>5SKN154+14단열(Ar.)+5CLh/s</t>
  </si>
  <si>
    <t>26-0681</t>
    <phoneticPr fontId="2" type="noConversion"/>
  </si>
  <si>
    <t>26-0389</t>
    <phoneticPr fontId="2" type="noConversion"/>
  </si>
  <si>
    <t>4조외80</t>
    <phoneticPr fontId="2" type="noConversion"/>
  </si>
  <si>
    <t>26-0390</t>
    <phoneticPr fontId="2" type="noConversion"/>
  </si>
  <si>
    <t>26-0391</t>
  </si>
  <si>
    <t>16조외192</t>
    <phoneticPr fontId="2" type="noConversion"/>
  </si>
  <si>
    <t>26-0671</t>
    <phoneticPr fontId="2" type="noConversion"/>
  </si>
  <si>
    <t>26-0366</t>
    <phoneticPr fontId="2" type="noConversion"/>
  </si>
  <si>
    <t>5SKG149Th/s+14단열(Ar.)+5CLh/s+14단열(Ar.)+5SUPERPLUS1.0 h/s</t>
  </si>
  <si>
    <t>26-0661</t>
    <phoneticPr fontId="2" type="noConversion"/>
  </si>
  <si>
    <t>2조외158</t>
    <phoneticPr fontId="2" type="noConversion"/>
  </si>
  <si>
    <t>26-0704</t>
    <phoneticPr fontId="2" type="noConversion"/>
  </si>
  <si>
    <t>5newGN+14단열(T)(Ar.)+5로이</t>
  </si>
  <si>
    <t>8조외148</t>
    <phoneticPr fontId="2" type="noConversion"/>
  </si>
  <si>
    <t>26-0491</t>
    <phoneticPr fontId="2" type="noConversion"/>
  </si>
  <si>
    <t>5CL+12SWS(AR.)+5PLTdura+</t>
  </si>
  <si>
    <t>5CL+12A+5PLTdura+</t>
  </si>
  <si>
    <t>26-0537</t>
    <phoneticPr fontId="2" type="noConversion"/>
  </si>
  <si>
    <t>88조외139</t>
    <phoneticPr fontId="2" type="noConversion"/>
  </si>
  <si>
    <t>26-0614</t>
    <phoneticPr fontId="2" type="noConversion"/>
  </si>
  <si>
    <t>5CL+12TPS(Ar.)+5로이</t>
  </si>
  <si>
    <t>5CL+12TPS+5로이</t>
  </si>
  <si>
    <t>(주)엘엑스글라스bb DL건설 청주 지북 현장</t>
    <phoneticPr fontId="2" type="noConversion"/>
  </si>
  <si>
    <t>26-0615</t>
    <phoneticPr fontId="2" type="noConversion"/>
  </si>
  <si>
    <t>5CLh/s+12TPS(Ar.)+5로이h/s</t>
  </si>
  <si>
    <t>3조외63</t>
    <phoneticPr fontId="2" type="noConversion"/>
  </si>
  <si>
    <t>26-0616</t>
  </si>
  <si>
    <t>26-0616</t>
    <phoneticPr fontId="2" type="noConversion"/>
  </si>
  <si>
    <t>2조외104</t>
    <phoneticPr fontId="2" type="noConversion"/>
  </si>
  <si>
    <t>26-0617</t>
  </si>
  <si>
    <t>26-0617</t>
    <phoneticPr fontId="2" type="noConversion"/>
  </si>
  <si>
    <t>3조외51</t>
    <phoneticPr fontId="2" type="noConversion"/>
  </si>
  <si>
    <t>26-0618</t>
  </si>
  <si>
    <t>26-0618</t>
    <phoneticPr fontId="2" type="noConversion"/>
  </si>
  <si>
    <t>26-0620</t>
    <phoneticPr fontId="2" type="noConversion"/>
  </si>
  <si>
    <t>88조외53</t>
    <phoneticPr fontId="2" type="noConversion"/>
  </si>
  <si>
    <t>26-0597</t>
    <phoneticPr fontId="2" type="noConversion"/>
  </si>
  <si>
    <t>26-0673</t>
    <phoneticPr fontId="2" type="noConversion"/>
  </si>
  <si>
    <t>26-0683</t>
    <phoneticPr fontId="2" type="noConversion"/>
  </si>
  <si>
    <t>2조외71</t>
    <phoneticPr fontId="2" type="noConversion"/>
  </si>
  <si>
    <t>26-0684</t>
    <phoneticPr fontId="2" type="noConversion"/>
  </si>
  <si>
    <t>2조외65</t>
    <phoneticPr fontId="2" type="noConversion"/>
  </si>
  <si>
    <t>26-0698</t>
    <phoneticPr fontId="2" type="noConversion"/>
  </si>
  <si>
    <t>26-0715</t>
    <phoneticPr fontId="2" type="noConversion"/>
  </si>
  <si>
    <t>26-0682</t>
    <phoneticPr fontId="2" type="noConversion"/>
  </si>
  <si>
    <t>5SKN154IIh/s+14단열(Ar.)+5CL에칭</t>
  </si>
  <si>
    <t>2조외47</t>
    <phoneticPr fontId="2" type="noConversion"/>
  </si>
  <si>
    <t>26-0621</t>
  </si>
  <si>
    <t>26-0621</t>
    <phoneticPr fontId="2" type="noConversion"/>
  </si>
  <si>
    <t>26-0622</t>
  </si>
  <si>
    <t>26-0622</t>
    <phoneticPr fontId="2" type="noConversion"/>
  </si>
  <si>
    <t>26-0623</t>
  </si>
  <si>
    <t>26-0623</t>
    <phoneticPr fontId="2" type="noConversion"/>
  </si>
  <si>
    <t>26-0624</t>
  </si>
  <si>
    <t>26-0624</t>
    <phoneticPr fontId="2" type="noConversion"/>
  </si>
  <si>
    <t>26-0630</t>
    <phoneticPr fontId="2" type="noConversion"/>
  </si>
  <si>
    <t>5그린+12단열(T)(Ar.)+5로이</t>
  </si>
  <si>
    <t>5CL+12단열(T)(Ar.)+5로이</t>
  </si>
  <si>
    <t>26-0690</t>
    <phoneticPr fontId="2" type="noConversion"/>
  </si>
  <si>
    <t>6조외30</t>
    <phoneticPr fontId="2" type="noConversion"/>
  </si>
  <si>
    <t>26-0691</t>
    <phoneticPr fontId="2" type="noConversion"/>
  </si>
  <si>
    <t>26-0598</t>
    <phoneticPr fontId="2" type="noConversion"/>
  </si>
  <si>
    <t>현대엔지니어링(주)u AutoLand 화성 기아 LW 프로젝트 / 유리(통합식당)</t>
    <phoneticPr fontId="2" type="noConversion"/>
  </si>
  <si>
    <t>5BLh/s+14단열(Ar.)+5로이h/s</t>
  </si>
  <si>
    <t>5BLh/s+14단열(Ar.)+5로이</t>
  </si>
  <si>
    <t>26조외41</t>
    <phoneticPr fontId="2" type="noConversion"/>
  </si>
  <si>
    <t>52조외166</t>
    <phoneticPr fontId="2" type="noConversion"/>
  </si>
  <si>
    <t>26-0636</t>
    <phoneticPr fontId="2" type="noConversion"/>
  </si>
  <si>
    <t>우미건설(주)e  남원주 역세권 복합용지 AC-4BL 우미린 공동주택현장</t>
    <phoneticPr fontId="2" type="noConversion"/>
  </si>
  <si>
    <t>4조외17</t>
    <phoneticPr fontId="2" type="noConversion"/>
  </si>
  <si>
    <t>26-0722</t>
    <phoneticPr fontId="2" type="noConversion"/>
  </si>
  <si>
    <t>26-0726</t>
    <phoneticPr fontId="2" type="noConversion"/>
  </si>
  <si>
    <t>6BL+16단열(Ar.)+6ONE</t>
  </si>
  <si>
    <t>6SKN154+16단열(Ar.)+6CL</t>
  </si>
  <si>
    <t>26-0761</t>
    <phoneticPr fontId="2" type="noConversion"/>
  </si>
  <si>
    <t>6조외16</t>
    <phoneticPr fontId="2" type="noConversion"/>
  </si>
  <si>
    <t>12조외36</t>
    <phoneticPr fontId="2" type="noConversion"/>
  </si>
  <si>
    <t>26-0625</t>
  </si>
  <si>
    <t>26-0625</t>
    <phoneticPr fontId="2" type="noConversion"/>
  </si>
  <si>
    <t>26-0674</t>
    <phoneticPr fontId="2" type="noConversion"/>
  </si>
  <si>
    <t>5ONEIIh/s+14단열(Ar.)+5CLh/s+14단열(Ar.)+5OENIIh/s</t>
  </si>
  <si>
    <t>26-0633</t>
    <phoneticPr fontId="2" type="noConversion"/>
  </si>
  <si>
    <t>37조외36</t>
    <phoneticPr fontId="2" type="noConversion"/>
  </si>
  <si>
    <t>7조외32</t>
    <phoneticPr fontId="2" type="noConversion"/>
  </si>
  <si>
    <t>26-0637</t>
    <phoneticPr fontId="2" type="noConversion"/>
  </si>
  <si>
    <t>5조외60</t>
    <phoneticPr fontId="2" type="noConversion"/>
  </si>
  <si>
    <t>26-0638</t>
    <phoneticPr fontId="2" type="noConversion"/>
  </si>
  <si>
    <t>26-0639</t>
    <phoneticPr fontId="2" type="noConversion"/>
  </si>
  <si>
    <t>26-0640</t>
    <phoneticPr fontId="2" type="noConversion"/>
  </si>
  <si>
    <t>26-0754</t>
    <phoneticPr fontId="2" type="noConversion"/>
  </si>
  <si>
    <t>26-0781</t>
    <phoneticPr fontId="2" type="noConversion"/>
  </si>
  <si>
    <t>5CLh/s+12TPS(Ar.)+5로이</t>
  </si>
  <si>
    <t>26-0626</t>
    <phoneticPr fontId="2" type="noConversion"/>
  </si>
  <si>
    <t>3조외2</t>
    <phoneticPr fontId="2" type="noConversion"/>
  </si>
  <si>
    <t>26-0627</t>
    <phoneticPr fontId="2" type="noConversion"/>
  </si>
  <si>
    <t>26-0702</t>
    <phoneticPr fontId="2" type="noConversion"/>
  </si>
  <si>
    <t>26-0718</t>
    <phoneticPr fontId="2" type="noConversion"/>
  </si>
  <si>
    <t>8조외11</t>
    <phoneticPr fontId="2" type="noConversion"/>
  </si>
  <si>
    <t>3조외83</t>
    <phoneticPr fontId="2" type="noConversion"/>
  </si>
  <si>
    <t>26-0719</t>
    <phoneticPr fontId="2" type="noConversion"/>
  </si>
  <si>
    <t>3조외85</t>
    <phoneticPr fontId="2" type="noConversion"/>
  </si>
  <si>
    <t>26-0030</t>
    <phoneticPr fontId="2" type="noConversion"/>
  </si>
  <si>
    <t>26-0031</t>
    <phoneticPr fontId="2" type="noConversion"/>
  </si>
  <si>
    <t>26-0573</t>
    <phoneticPr fontId="2" type="noConversion"/>
  </si>
  <si>
    <t xml:space="preserve">(주)대진글라스a 대우건설_산성역헤리스톤3BL현장 </t>
    <phoneticPr fontId="2" type="noConversion"/>
  </si>
  <si>
    <t>6CL+12A+6CL</t>
  </si>
  <si>
    <t>6조외39</t>
    <phoneticPr fontId="2" type="noConversion"/>
  </si>
  <si>
    <t>26-0574</t>
    <phoneticPr fontId="2" type="noConversion"/>
  </si>
  <si>
    <t>26-0575</t>
    <phoneticPr fontId="2" type="noConversion"/>
  </si>
  <si>
    <t>26-0577</t>
    <phoneticPr fontId="2" type="noConversion"/>
  </si>
  <si>
    <t>21조외54</t>
    <phoneticPr fontId="2" type="noConversion"/>
  </si>
  <si>
    <t>26-0699</t>
    <phoneticPr fontId="2" type="noConversion"/>
  </si>
  <si>
    <t>2조외57</t>
    <phoneticPr fontId="2" type="noConversion"/>
  </si>
  <si>
    <t>26-0766</t>
    <phoneticPr fontId="2" type="noConversion"/>
  </si>
  <si>
    <t>26-0790</t>
    <phoneticPr fontId="2" type="noConversion"/>
  </si>
  <si>
    <t>6PLTdura+14sws(Ar.)+6CL</t>
  </si>
  <si>
    <t>26-0702</t>
    <phoneticPr fontId="2" type="noConversion"/>
  </si>
  <si>
    <t>36조외208</t>
    <phoneticPr fontId="2" type="noConversion"/>
  </si>
  <si>
    <t>26-0703</t>
    <phoneticPr fontId="2" type="noConversion"/>
  </si>
  <si>
    <t>56조외110</t>
    <phoneticPr fontId="2" type="noConversion"/>
  </si>
  <si>
    <t>26-0783</t>
    <phoneticPr fontId="2" type="noConversion"/>
  </si>
  <si>
    <t>26-0573</t>
    <phoneticPr fontId="2" type="noConversion"/>
  </si>
  <si>
    <t>10.76투명접합+10A+6로이</t>
  </si>
  <si>
    <t>6조외15</t>
    <phoneticPr fontId="2" type="noConversion"/>
  </si>
  <si>
    <t>26-0574</t>
  </si>
  <si>
    <t>1조외113</t>
    <phoneticPr fontId="2" type="noConversion"/>
  </si>
  <si>
    <t>26-0575</t>
  </si>
  <si>
    <t>1조외3</t>
    <phoneticPr fontId="2" type="noConversion"/>
  </si>
  <si>
    <t>26-0577</t>
    <phoneticPr fontId="2" type="noConversion"/>
  </si>
  <si>
    <t>13조외60</t>
    <phoneticPr fontId="2" type="noConversion"/>
  </si>
  <si>
    <t>26조외42</t>
    <phoneticPr fontId="2" type="noConversion"/>
  </si>
  <si>
    <t>42조외42</t>
    <phoneticPr fontId="2" type="noConversion"/>
  </si>
  <si>
    <t>26-0598</t>
    <phoneticPr fontId="2" type="noConversion"/>
  </si>
  <si>
    <t>1조외1</t>
    <phoneticPr fontId="2" type="noConversion"/>
  </si>
  <si>
    <t>26-0771</t>
    <phoneticPr fontId="2" type="noConversion"/>
  </si>
  <si>
    <t>26-0391</t>
    <phoneticPr fontId="2" type="noConversion"/>
  </si>
  <si>
    <t>26-0392</t>
  </si>
  <si>
    <t>4조외80</t>
    <phoneticPr fontId="2" type="noConversion"/>
  </si>
  <si>
    <t>26-0393</t>
    <phoneticPr fontId="2" type="noConversion"/>
  </si>
  <si>
    <t>8조외48</t>
    <phoneticPr fontId="2" type="noConversion"/>
  </si>
  <si>
    <t>26-0450</t>
    <phoneticPr fontId="2" type="noConversion"/>
  </si>
  <si>
    <t>1조외2</t>
    <phoneticPr fontId="2" type="noConversion"/>
  </si>
  <si>
    <t>26-0451</t>
  </si>
  <si>
    <t>2조외4</t>
    <phoneticPr fontId="2" type="noConversion"/>
  </si>
  <si>
    <t>1조외167</t>
    <phoneticPr fontId="2" type="noConversion"/>
  </si>
  <si>
    <t>26-0718</t>
    <phoneticPr fontId="2" type="noConversion"/>
  </si>
  <si>
    <t>26-0719</t>
  </si>
  <si>
    <t>26-0750</t>
    <phoneticPr fontId="2" type="noConversion"/>
  </si>
  <si>
    <t>1조외4</t>
    <phoneticPr fontId="2" type="noConversion"/>
  </si>
  <si>
    <t>26-0031</t>
  </si>
  <si>
    <t>26-0031</t>
    <phoneticPr fontId="2" type="noConversion"/>
  </si>
  <si>
    <t>10조외90</t>
    <phoneticPr fontId="2" type="noConversion"/>
  </si>
  <si>
    <t>26-0587</t>
    <phoneticPr fontId="2" type="noConversion"/>
  </si>
  <si>
    <t>26-0589</t>
    <phoneticPr fontId="2" type="noConversion"/>
  </si>
  <si>
    <t>26-0591</t>
    <phoneticPr fontId="2" type="noConversion"/>
  </si>
  <si>
    <t>26-0633</t>
    <phoneticPr fontId="2" type="noConversion"/>
  </si>
  <si>
    <t>26-0678</t>
    <phoneticPr fontId="2" type="noConversion"/>
  </si>
  <si>
    <t>5MZT135h/s+14단열(Ar.)+5CLh/s</t>
  </si>
  <si>
    <t>6MZT135h/s+16단열+6CLh/s</t>
  </si>
  <si>
    <t>6MZT135h/s+16단열(Ar.)+6CLh/s</t>
  </si>
  <si>
    <t>6조외58</t>
    <phoneticPr fontId="2" type="noConversion"/>
  </si>
  <si>
    <t>12조외21</t>
    <phoneticPr fontId="2" type="noConversion"/>
  </si>
  <si>
    <t>26-0721</t>
    <phoneticPr fontId="2" type="noConversion"/>
  </si>
  <si>
    <t>2조외68</t>
    <phoneticPr fontId="2" type="noConversion"/>
  </si>
  <si>
    <t>26-0777</t>
    <phoneticPr fontId="2" type="noConversion"/>
  </si>
  <si>
    <t>1조외3</t>
    <phoneticPr fontId="2" type="noConversion"/>
  </si>
  <si>
    <t>26-0392</t>
    <phoneticPr fontId="2" type="noConversion"/>
  </si>
  <si>
    <t>4조외32</t>
    <phoneticPr fontId="2" type="noConversion"/>
  </si>
  <si>
    <t>4조외8</t>
    <phoneticPr fontId="2" type="noConversion"/>
  </si>
  <si>
    <t>26-0393</t>
    <phoneticPr fontId="2" type="noConversion"/>
  </si>
  <si>
    <t>16조외48</t>
    <phoneticPr fontId="2" type="noConversion"/>
  </si>
  <si>
    <t>24조외72</t>
    <phoneticPr fontId="2" type="noConversion"/>
  </si>
  <si>
    <t>26-0394</t>
    <phoneticPr fontId="2" type="noConversion"/>
  </si>
  <si>
    <t>8조외20</t>
    <phoneticPr fontId="2" type="noConversion"/>
  </si>
  <si>
    <t>8조외88</t>
    <phoneticPr fontId="2" type="noConversion"/>
  </si>
  <si>
    <t>26-0396</t>
    <phoneticPr fontId="2" type="noConversion"/>
  </si>
  <si>
    <t>4조외24</t>
    <phoneticPr fontId="2" type="noConversion"/>
  </si>
  <si>
    <t>26-0787</t>
    <phoneticPr fontId="2" type="noConversion"/>
  </si>
  <si>
    <t>8조외100</t>
    <phoneticPr fontId="2" type="noConversion"/>
  </si>
  <si>
    <t>26-0788</t>
    <phoneticPr fontId="2" type="noConversion"/>
  </si>
  <si>
    <t>한우창호㈜</t>
    <phoneticPr fontId="2" type="noConversion"/>
  </si>
  <si>
    <t>5ONEIIh/s+14단열(Ar.)+5CLh/s+14단열(Ar.)+5ONEIIh/s</t>
  </si>
  <si>
    <t>1조외25</t>
    <phoneticPr fontId="2" type="noConversion"/>
  </si>
  <si>
    <t>26-0590</t>
    <phoneticPr fontId="2" type="noConversion"/>
  </si>
  <si>
    <t>26-0592</t>
    <phoneticPr fontId="2" type="noConversion"/>
  </si>
  <si>
    <t>26-0643</t>
    <phoneticPr fontId="2" type="noConversion"/>
  </si>
  <si>
    <t>5조외30</t>
    <phoneticPr fontId="2" type="noConversion"/>
  </si>
  <si>
    <t>6MZT135h/s+16단열(Ar.)+6CL</t>
  </si>
  <si>
    <t>3조외55</t>
    <phoneticPr fontId="2" type="noConversion"/>
  </si>
  <si>
    <t>26-0679</t>
    <phoneticPr fontId="2" type="noConversion"/>
  </si>
  <si>
    <t>12조외68</t>
    <phoneticPr fontId="2" type="noConversion"/>
  </si>
  <si>
    <t>2조외7</t>
    <phoneticPr fontId="2" type="noConversion"/>
  </si>
  <si>
    <t>24조외14</t>
    <phoneticPr fontId="2" type="noConversion"/>
  </si>
  <si>
    <t>26-0030</t>
    <phoneticPr fontId="2" type="noConversion"/>
  </si>
  <si>
    <t>8조외8</t>
    <phoneticPr fontId="2" type="noConversion"/>
  </si>
  <si>
    <t>3조외4</t>
    <phoneticPr fontId="2" type="noConversion"/>
  </si>
  <si>
    <t>26-0638</t>
    <phoneticPr fontId="2" type="noConversion"/>
  </si>
  <si>
    <t>5조외70</t>
    <phoneticPr fontId="2" type="noConversion"/>
  </si>
  <si>
    <t>26-0639</t>
    <phoneticPr fontId="2" type="noConversion"/>
  </si>
  <si>
    <t>4조외56</t>
    <phoneticPr fontId="2" type="noConversion"/>
  </si>
  <si>
    <t>26-0640</t>
    <phoneticPr fontId="2" type="noConversion"/>
  </si>
  <si>
    <t>26-0702</t>
    <phoneticPr fontId="2" type="noConversion"/>
  </si>
  <si>
    <t>26-0718</t>
    <phoneticPr fontId="2" type="noConversion"/>
  </si>
  <si>
    <t>26-0751</t>
    <phoneticPr fontId="2" type="noConversion"/>
  </si>
  <si>
    <t>대화건설(주)d 충주 반다비체육센터 유리자재납품</t>
    <phoneticPr fontId="2" type="noConversion"/>
  </si>
  <si>
    <t>5SKN154IIh/s+12단열(Ar.)+5CLh/s+12단열(Ar.)+5SKN154IIh/s</t>
  </si>
  <si>
    <t>1조외53</t>
    <phoneticPr fontId="2" type="noConversion"/>
  </si>
  <si>
    <t>26-0768</t>
    <phoneticPr fontId="2" type="noConversion"/>
  </si>
  <si>
    <t>2조외39</t>
    <phoneticPr fontId="2" type="noConversion"/>
  </si>
  <si>
    <t>26-0784</t>
    <phoneticPr fontId="2" type="noConversion"/>
  </si>
  <si>
    <t>5MVT172h/s+14단열(Ar.)+5CLh/s</t>
  </si>
  <si>
    <t>5MVT172+14단열(Ar.)+5CL</t>
  </si>
  <si>
    <t>3조외16</t>
    <phoneticPr fontId="2" type="noConversion"/>
  </si>
  <si>
    <t>2조외110</t>
    <phoneticPr fontId="2" type="noConversion"/>
  </si>
  <si>
    <t>26-0789</t>
    <phoneticPr fontId="2" type="noConversion"/>
  </si>
  <si>
    <t>1조외17</t>
    <phoneticPr fontId="2" type="noConversion"/>
  </si>
  <si>
    <t>26-0703</t>
    <phoneticPr fontId="2" type="noConversion"/>
  </si>
  <si>
    <t>10조외30</t>
    <phoneticPr fontId="2" type="noConversion"/>
  </si>
  <si>
    <t>26-0716</t>
    <phoneticPr fontId="2" type="noConversion"/>
  </si>
  <si>
    <t>1조외1</t>
    <phoneticPr fontId="2" type="noConversion"/>
  </si>
  <si>
    <t>26-0717</t>
    <phoneticPr fontId="2" type="noConversion"/>
  </si>
  <si>
    <t>동양유리.샤시</t>
    <phoneticPr fontId="2" type="noConversion"/>
  </si>
  <si>
    <t>6블루반사jja+12단열+6CL</t>
  </si>
  <si>
    <t>26-0720</t>
    <phoneticPr fontId="2" type="noConversion"/>
  </si>
  <si>
    <t>26-0755</t>
    <phoneticPr fontId="2" type="noConversion"/>
  </si>
  <si>
    <t>5BLh/s+14단열(Ar.)+5로이 스텝</t>
  </si>
  <si>
    <t>1조외10</t>
    <phoneticPr fontId="2" type="noConversion"/>
  </si>
  <si>
    <t>26-0756</t>
    <phoneticPr fontId="2" type="noConversion"/>
  </si>
  <si>
    <t>5BLh/s+14단열(Ar.)+5로이h/s 스텝</t>
  </si>
  <si>
    <t>1조외6</t>
    <phoneticPr fontId="2" type="noConversion"/>
  </si>
  <si>
    <t>26-0859</t>
    <phoneticPr fontId="2" type="noConversion"/>
  </si>
  <si>
    <t>두두(DoDo)</t>
    <phoneticPr fontId="2" type="noConversion"/>
  </si>
  <si>
    <t>26-0830</t>
    <phoneticPr fontId="2" type="noConversion"/>
  </si>
  <si>
    <t>미도사</t>
    <phoneticPr fontId="2" type="noConversion"/>
  </si>
  <si>
    <t>26-0577</t>
    <phoneticPr fontId="2" type="noConversion"/>
  </si>
  <si>
    <t>26-0641</t>
    <phoneticPr fontId="2" type="noConversion"/>
  </si>
  <si>
    <t>26-0642</t>
    <phoneticPr fontId="2" type="noConversion"/>
  </si>
  <si>
    <t>5조외60</t>
    <phoneticPr fontId="2" type="noConversion"/>
  </si>
  <si>
    <t>10조외10</t>
    <phoneticPr fontId="2" type="noConversion"/>
  </si>
  <si>
    <t>26-0697</t>
    <phoneticPr fontId="2" type="noConversion"/>
  </si>
  <si>
    <t>10.76(5newGN+0.76+5CL)접합+12A+5CL</t>
  </si>
  <si>
    <t>1조외4</t>
    <phoneticPr fontId="2" type="noConversion"/>
  </si>
  <si>
    <t>26-0752</t>
    <phoneticPr fontId="2" type="noConversion"/>
  </si>
  <si>
    <t>2조외76</t>
    <phoneticPr fontId="2" type="noConversion"/>
  </si>
  <si>
    <t>26-0778</t>
    <phoneticPr fontId="2" type="noConversion"/>
  </si>
  <si>
    <t>8.76투명접합+10A+5CL</t>
  </si>
  <si>
    <t>26-0779</t>
  </si>
  <si>
    <t>5newGNh/s+12Ar.+5로이</t>
  </si>
  <si>
    <t>1조외11</t>
    <phoneticPr fontId="2" type="noConversion"/>
  </si>
  <si>
    <t>1조외4</t>
    <phoneticPr fontId="2" type="noConversion"/>
  </si>
  <si>
    <t>1조외22</t>
    <phoneticPr fontId="2" type="noConversion"/>
  </si>
  <si>
    <t>1조외2</t>
    <phoneticPr fontId="2" type="noConversion"/>
  </si>
  <si>
    <t>1조외1</t>
    <phoneticPr fontId="2" type="noConversion"/>
  </si>
  <si>
    <t>26-0780</t>
    <phoneticPr fontId="2" type="noConversion"/>
  </si>
  <si>
    <t>5newGNh/s+12Ar.+5로이h/s</t>
  </si>
  <si>
    <t>1조외7</t>
    <phoneticPr fontId="2" type="noConversion"/>
  </si>
  <si>
    <t>1조외8</t>
    <phoneticPr fontId="2" type="noConversion"/>
  </si>
  <si>
    <t>26-1804</t>
    <phoneticPr fontId="2" type="noConversion"/>
  </si>
  <si>
    <t>남영유리상사</t>
    <phoneticPr fontId="2" type="noConversion"/>
  </si>
  <si>
    <t>5SKN154+14단열(Ar.)+5CL+14단열(Ar.)+5CL</t>
  </si>
  <si>
    <t>26-0851</t>
    <phoneticPr fontId="2" type="noConversion"/>
  </si>
  <si>
    <t>5newGNh/s+12단열(S)+5로이</t>
  </si>
  <si>
    <t>1조외6</t>
    <phoneticPr fontId="2" type="noConversion"/>
  </si>
  <si>
    <t>26-0645</t>
    <phoneticPr fontId="2" type="noConversion"/>
  </si>
  <si>
    <t>5조외70</t>
    <phoneticPr fontId="2" type="noConversion"/>
  </si>
  <si>
    <t>10조외10</t>
    <phoneticPr fontId="2" type="noConversion"/>
  </si>
  <si>
    <t>26-0689</t>
    <phoneticPr fontId="2" type="noConversion"/>
  </si>
  <si>
    <t>10조외152</t>
    <phoneticPr fontId="2" type="noConversion"/>
  </si>
  <si>
    <t>10조외25</t>
    <phoneticPr fontId="2" type="noConversion"/>
  </si>
  <si>
    <t>26-0713</t>
    <phoneticPr fontId="2" type="noConversion"/>
  </si>
  <si>
    <t>6조외37</t>
    <phoneticPr fontId="2" type="noConversion"/>
  </si>
  <si>
    <t>12조외12</t>
    <phoneticPr fontId="2" type="noConversion"/>
  </si>
  <si>
    <t>26-0714</t>
    <phoneticPr fontId="2" type="noConversion"/>
  </si>
  <si>
    <t>26-0870</t>
    <phoneticPr fontId="2" type="noConversion"/>
  </si>
  <si>
    <t>미도사</t>
    <phoneticPr fontId="2" type="noConversion"/>
  </si>
  <si>
    <t>26-0642</t>
    <phoneticPr fontId="2" type="noConversion"/>
  </si>
  <si>
    <t>5조외60</t>
    <phoneticPr fontId="2" type="noConversion"/>
  </si>
  <si>
    <t>26-0687</t>
    <phoneticPr fontId="2" type="noConversion"/>
  </si>
  <si>
    <t>12조외193</t>
    <phoneticPr fontId="2" type="noConversion"/>
  </si>
  <si>
    <t>12조외192</t>
    <phoneticPr fontId="2" type="noConversion"/>
  </si>
  <si>
    <t>26-0688</t>
    <phoneticPr fontId="2" type="noConversion"/>
  </si>
  <si>
    <t>2조외75</t>
    <phoneticPr fontId="2" type="noConversion"/>
  </si>
  <si>
    <t>26-0694</t>
    <phoneticPr fontId="2" type="noConversion"/>
  </si>
  <si>
    <t>6조외34</t>
    <phoneticPr fontId="2" type="noConversion"/>
  </si>
  <si>
    <t>26-0776</t>
    <phoneticPr fontId="2" type="noConversion"/>
  </si>
  <si>
    <t>5CL+14단열(T)+5CL</t>
  </si>
  <si>
    <t>26-0803</t>
    <phoneticPr fontId="2" type="noConversion"/>
  </si>
  <si>
    <t>3조외3</t>
    <phoneticPr fontId="2" type="noConversion"/>
  </si>
  <si>
    <t>26-0806</t>
    <phoneticPr fontId="2" type="noConversion"/>
  </si>
  <si>
    <t>26-0850</t>
    <phoneticPr fontId="2" type="noConversion"/>
  </si>
  <si>
    <t>현대샷시유리공사</t>
    <phoneticPr fontId="2" type="noConversion"/>
  </si>
  <si>
    <t>5ML+14AR.+5dura MAX</t>
  </si>
  <si>
    <t>26-0871</t>
    <phoneticPr fontId="2" type="noConversion"/>
  </si>
  <si>
    <t>2조외4</t>
    <phoneticPr fontId="2" type="noConversion"/>
  </si>
  <si>
    <t>5조외122</t>
    <phoneticPr fontId="2" type="noConversion"/>
  </si>
  <si>
    <t>26-0689</t>
    <phoneticPr fontId="2" type="noConversion"/>
  </si>
  <si>
    <t>26-0692</t>
    <phoneticPr fontId="2" type="noConversion"/>
  </si>
  <si>
    <t>10조외141</t>
    <phoneticPr fontId="2" type="noConversion"/>
  </si>
  <si>
    <t>10조외140</t>
    <phoneticPr fontId="2" type="noConversion"/>
  </si>
  <si>
    <t>26-0713</t>
    <phoneticPr fontId="2" type="noConversion"/>
  </si>
  <si>
    <t>8조외7</t>
    <phoneticPr fontId="2" type="noConversion"/>
  </si>
  <si>
    <t>26-0714</t>
    <phoneticPr fontId="2" type="noConversion"/>
  </si>
  <si>
    <t>3조외23</t>
    <phoneticPr fontId="2" type="noConversion"/>
  </si>
  <si>
    <t>12조외24</t>
    <phoneticPr fontId="2" type="noConversion"/>
  </si>
  <si>
    <t>26-0644</t>
    <phoneticPr fontId="2" type="noConversion"/>
  </si>
  <si>
    <t>5조외70</t>
    <phoneticPr fontId="2" type="noConversion"/>
  </si>
  <si>
    <t>10조외10</t>
    <phoneticPr fontId="2" type="noConversion"/>
  </si>
  <si>
    <t>26-0694</t>
    <phoneticPr fontId="2" type="noConversion"/>
  </si>
  <si>
    <t>24조외172</t>
    <phoneticPr fontId="2" type="noConversion"/>
  </si>
  <si>
    <t>26-0723</t>
    <phoneticPr fontId="2" type="noConversion"/>
  </si>
  <si>
    <t>8조외11</t>
    <phoneticPr fontId="2" type="noConversion"/>
  </si>
  <si>
    <t>3조외84</t>
    <phoneticPr fontId="2" type="noConversion"/>
  </si>
  <si>
    <t>26-0724</t>
    <phoneticPr fontId="2" type="noConversion"/>
  </si>
  <si>
    <t>3조외48</t>
    <phoneticPr fontId="2" type="noConversion"/>
  </si>
  <si>
    <t>26-0647</t>
    <phoneticPr fontId="2" type="noConversion"/>
  </si>
  <si>
    <t>4조외48</t>
    <phoneticPr fontId="2" type="noConversion"/>
  </si>
  <si>
    <t>8조외8</t>
    <phoneticPr fontId="2" type="noConversion"/>
  </si>
  <si>
    <t>26-0648</t>
    <phoneticPr fontId="2" type="noConversion"/>
  </si>
  <si>
    <t>4조외56</t>
    <phoneticPr fontId="2" type="noConversion"/>
  </si>
  <si>
    <t>26-0649</t>
    <phoneticPr fontId="2" type="noConversion"/>
  </si>
  <si>
    <t>4조외24</t>
    <phoneticPr fontId="2" type="noConversion"/>
  </si>
  <si>
    <t>26-0693</t>
    <phoneticPr fontId="2" type="noConversion"/>
  </si>
  <si>
    <t>2조외19</t>
    <phoneticPr fontId="2" type="noConversion"/>
  </si>
  <si>
    <t>2조외20</t>
    <phoneticPr fontId="2" type="noConversion"/>
  </si>
  <si>
    <t>3조외44</t>
    <phoneticPr fontId="2" type="noConversion"/>
  </si>
  <si>
    <t>26-0695</t>
    <phoneticPr fontId="2" type="noConversion"/>
  </si>
  <si>
    <t>6조외90</t>
    <phoneticPr fontId="2" type="noConversion"/>
  </si>
  <si>
    <t>6조외13</t>
    <phoneticPr fontId="2" type="noConversion"/>
  </si>
  <si>
    <t>1조외1</t>
    <phoneticPr fontId="2" type="noConversion"/>
  </si>
  <si>
    <t>1조외37</t>
    <phoneticPr fontId="2" type="noConversion"/>
  </si>
  <si>
    <t>26-0831</t>
    <phoneticPr fontId="2" type="noConversion"/>
  </si>
  <si>
    <t>1조외21</t>
    <phoneticPr fontId="2" type="noConversion"/>
  </si>
  <si>
    <t>2조외4</t>
    <phoneticPr fontId="2" type="noConversion"/>
  </si>
  <si>
    <t>26-0832</t>
    <phoneticPr fontId="2" type="noConversion"/>
  </si>
  <si>
    <t>1조외6</t>
    <phoneticPr fontId="2" type="noConversion"/>
  </si>
  <si>
    <t>1조외16</t>
    <phoneticPr fontId="2" type="noConversion"/>
  </si>
  <si>
    <t>26-0833</t>
    <phoneticPr fontId="2" type="noConversion"/>
  </si>
  <si>
    <t>1조외27</t>
    <phoneticPr fontId="2" type="noConversion"/>
  </si>
  <si>
    <t>26-0834</t>
    <phoneticPr fontId="2" type="noConversion"/>
  </si>
  <si>
    <t>2조외73</t>
    <phoneticPr fontId="2" type="noConversion"/>
  </si>
  <si>
    <t>4조외2</t>
    <phoneticPr fontId="2" type="noConversion"/>
  </si>
  <si>
    <t>8조외24</t>
    <phoneticPr fontId="2" type="noConversion"/>
  </si>
  <si>
    <t>26-0650</t>
    <phoneticPr fontId="2" type="noConversion"/>
  </si>
  <si>
    <t>5조외10</t>
    <phoneticPr fontId="2" type="noConversion"/>
  </si>
  <si>
    <t>26-0759</t>
    <phoneticPr fontId="2" type="noConversion"/>
  </si>
  <si>
    <t>3조외74</t>
    <phoneticPr fontId="2" type="noConversion"/>
  </si>
  <si>
    <t>12조외29</t>
    <phoneticPr fontId="2" type="noConversion"/>
  </si>
  <si>
    <t>26-0785</t>
    <phoneticPr fontId="2" type="noConversion"/>
  </si>
  <si>
    <t>48조외47</t>
    <phoneticPr fontId="2" type="noConversion"/>
  </si>
  <si>
    <t>26-0646</t>
    <phoneticPr fontId="2" type="noConversion"/>
  </si>
  <si>
    <t>26-0651</t>
    <phoneticPr fontId="2" type="noConversion"/>
  </si>
  <si>
    <t>26-0652</t>
    <phoneticPr fontId="2" type="noConversion"/>
  </si>
  <si>
    <t>26-0653</t>
    <phoneticPr fontId="2" type="noConversion"/>
  </si>
  <si>
    <t>4조외14</t>
    <phoneticPr fontId="2" type="noConversion"/>
  </si>
  <si>
    <t>6조외73</t>
    <phoneticPr fontId="2" type="noConversion"/>
  </si>
  <si>
    <t>26-0696</t>
    <phoneticPr fontId="2" type="noConversion"/>
  </si>
  <si>
    <t>6조외85</t>
    <phoneticPr fontId="2" type="noConversion"/>
  </si>
  <si>
    <t>26-0650</t>
    <phoneticPr fontId="2" type="noConversion"/>
  </si>
  <si>
    <t>26-0656</t>
    <phoneticPr fontId="2" type="noConversion"/>
  </si>
  <si>
    <t>26-0657</t>
    <phoneticPr fontId="2" type="noConversion"/>
  </si>
  <si>
    <t>26-0658</t>
    <phoneticPr fontId="2" type="noConversion"/>
  </si>
  <si>
    <t>26-0885</t>
    <phoneticPr fontId="2" type="noConversion"/>
  </si>
  <si>
    <t>26-0910</t>
    <phoneticPr fontId="2" type="noConversion"/>
  </si>
  <si>
    <t>5CL+14A+5DURA MAX</t>
  </si>
  <si>
    <t>5newGN+14A+5CL</t>
  </si>
  <si>
    <t>26-0653</t>
    <phoneticPr fontId="2" type="noConversion"/>
  </si>
  <si>
    <t>10조외32</t>
    <phoneticPr fontId="2" type="noConversion"/>
  </si>
  <si>
    <t>26-0654</t>
    <phoneticPr fontId="2" type="noConversion"/>
  </si>
  <si>
    <t>26-0655</t>
    <phoneticPr fontId="2" type="noConversion"/>
  </si>
  <si>
    <t>26-0831</t>
    <phoneticPr fontId="2" type="noConversion"/>
  </si>
  <si>
    <t>5SKN154+14단열(Ar.)+5CLh/s에칭</t>
  </si>
  <si>
    <t>26-0847</t>
    <phoneticPr fontId="2" type="noConversion"/>
  </si>
  <si>
    <t>활림건설(주)k 아산시 배방읍 장재리 근린생활시설현장</t>
    <phoneticPr fontId="2" type="noConversion"/>
  </si>
  <si>
    <t>2조외55</t>
    <phoneticPr fontId="2" type="noConversion"/>
  </si>
  <si>
    <t>26-0848</t>
  </si>
  <si>
    <t>1조외37</t>
    <phoneticPr fontId="2" type="noConversion"/>
  </si>
  <si>
    <t>26-0922</t>
    <phoneticPr fontId="2" type="noConversion"/>
  </si>
  <si>
    <t>20조외10</t>
    <phoneticPr fontId="2" type="noConversion"/>
  </si>
  <si>
    <t>26-0772</t>
    <phoneticPr fontId="2" type="noConversion"/>
  </si>
  <si>
    <t xml:space="preserve">우미건설(주)f 세종6-3생활권 M3BL 공공지원민간임대주택현장 </t>
    <phoneticPr fontId="2" type="noConversion"/>
  </si>
  <si>
    <t>6newGN+12AR.+6로이</t>
  </si>
  <si>
    <t>6CL+12Ar.+6로이</t>
  </si>
  <si>
    <t>26-0773</t>
    <phoneticPr fontId="2" type="noConversion"/>
  </si>
  <si>
    <t>26-0774</t>
    <phoneticPr fontId="2" type="noConversion"/>
  </si>
  <si>
    <t>26-0775</t>
    <phoneticPr fontId="2" type="noConversion"/>
  </si>
  <si>
    <t>26-0844</t>
    <phoneticPr fontId="2" type="noConversion"/>
  </si>
  <si>
    <t>1조외55</t>
    <phoneticPr fontId="2" type="noConversion"/>
  </si>
  <si>
    <t>26-0845</t>
    <phoneticPr fontId="2" type="noConversion"/>
  </si>
  <si>
    <t>4조외68</t>
    <phoneticPr fontId="2" type="noConversion"/>
  </si>
  <si>
    <t>26-0895</t>
    <phoneticPr fontId="2" type="noConversion"/>
  </si>
  <si>
    <t>6SKN154IIh/s+16단열(Ar.)+6CL</t>
  </si>
  <si>
    <t>15조외2</t>
    <phoneticPr fontId="2" type="noConversion"/>
  </si>
  <si>
    <t>26-0397</t>
    <phoneticPr fontId="2" type="noConversion"/>
  </si>
  <si>
    <t>8조외160</t>
    <phoneticPr fontId="2" type="noConversion"/>
  </si>
  <si>
    <t>26-0398</t>
    <phoneticPr fontId="2" type="noConversion"/>
  </si>
  <si>
    <t>26-0399</t>
    <phoneticPr fontId="2" type="noConversion"/>
  </si>
  <si>
    <t>26-0400</t>
    <phoneticPr fontId="2" type="noConversion"/>
  </si>
  <si>
    <t>26-0848</t>
    <phoneticPr fontId="2" type="noConversion"/>
  </si>
  <si>
    <t>26-0849</t>
    <phoneticPr fontId="2" type="noConversion"/>
  </si>
  <si>
    <t>1조외41</t>
    <phoneticPr fontId="2" type="noConversion"/>
  </si>
  <si>
    <t>26-0929</t>
    <phoneticPr fontId="2" type="noConversion"/>
  </si>
  <si>
    <t>26-0506</t>
    <phoneticPr fontId="2" type="noConversion"/>
  </si>
  <si>
    <t>26-0846</t>
  </si>
  <si>
    <t>1조외31</t>
    <phoneticPr fontId="2" type="noConversion"/>
  </si>
  <si>
    <t>26-0852</t>
    <phoneticPr fontId="2" type="noConversion"/>
  </si>
  <si>
    <t>2조외35</t>
    <phoneticPr fontId="2" type="noConversion"/>
  </si>
  <si>
    <t>8조외64</t>
    <phoneticPr fontId="2" type="noConversion"/>
  </si>
  <si>
    <t>26-0507</t>
    <phoneticPr fontId="2" type="noConversion"/>
  </si>
  <si>
    <t>20조외200</t>
    <phoneticPr fontId="2" type="noConversion"/>
  </si>
  <si>
    <t>10조외20</t>
    <phoneticPr fontId="2" type="noConversion"/>
  </si>
  <si>
    <t>26-0835</t>
    <phoneticPr fontId="2" type="noConversion"/>
  </si>
  <si>
    <t>1조외2</t>
    <phoneticPr fontId="2" type="noConversion"/>
  </si>
  <si>
    <t>1조외6</t>
    <phoneticPr fontId="2" type="noConversion"/>
  </si>
  <si>
    <t>26-0891</t>
    <phoneticPr fontId="2" type="noConversion"/>
  </si>
  <si>
    <t>류진종합건축</t>
    <phoneticPr fontId="2" type="noConversion"/>
  </si>
  <si>
    <t>5ML+14A+5DURA MAX</t>
  </si>
  <si>
    <t>5newGN+14A+5DURA MAX</t>
  </si>
  <si>
    <t>6조외6</t>
    <phoneticPr fontId="2" type="noConversion"/>
  </si>
  <si>
    <t>6조외13</t>
    <phoneticPr fontId="2" type="noConversion"/>
  </si>
  <si>
    <t>26-0902</t>
    <phoneticPr fontId="2" type="noConversion"/>
  </si>
  <si>
    <t>26-0911</t>
    <phoneticPr fontId="2" type="noConversion"/>
  </si>
  <si>
    <t>㈜다솔산업</t>
    <phoneticPr fontId="2" type="noConversion"/>
  </si>
  <si>
    <t xml:space="preserve">8투명강화+14단열(Ar.)+5Dura max </t>
  </si>
  <si>
    <t>2조외17</t>
    <phoneticPr fontId="2" type="noConversion"/>
  </si>
  <si>
    <t>26-0506</t>
    <phoneticPr fontId="2" type="noConversion"/>
  </si>
  <si>
    <t>20조외60</t>
    <phoneticPr fontId="2" type="noConversion"/>
  </si>
  <si>
    <t>10조외10</t>
    <phoneticPr fontId="2" type="noConversion"/>
  </si>
  <si>
    <t>26-0510</t>
    <phoneticPr fontId="2" type="noConversion"/>
  </si>
  <si>
    <t>20조외200</t>
    <phoneticPr fontId="2" type="noConversion"/>
  </si>
  <si>
    <t>10조외20</t>
    <phoneticPr fontId="2" type="noConversion"/>
  </si>
  <si>
    <t>26-0593</t>
    <phoneticPr fontId="2" type="noConversion"/>
  </si>
  <si>
    <t>2조외2</t>
    <phoneticPr fontId="2" type="noConversion"/>
  </si>
  <si>
    <t>4조외28</t>
    <phoneticPr fontId="2" type="noConversion"/>
  </si>
  <si>
    <t>2조외34</t>
    <phoneticPr fontId="2" type="noConversion"/>
  </si>
  <si>
    <t>26-0594</t>
    <phoneticPr fontId="2" type="noConversion"/>
  </si>
  <si>
    <t>26-0892</t>
    <phoneticPr fontId="2" type="noConversion"/>
  </si>
  <si>
    <t>제일건설(주)h 청주장성지구 A1블럭 공동주택 신축공사</t>
    <phoneticPr fontId="2" type="noConversion"/>
  </si>
  <si>
    <t>2조외12</t>
    <phoneticPr fontId="2" type="noConversion"/>
  </si>
  <si>
    <t>1조외10</t>
    <phoneticPr fontId="2" type="noConversion"/>
  </si>
  <si>
    <t>26-0924</t>
    <phoneticPr fontId="2" type="noConversion"/>
  </si>
  <si>
    <t>5SKN154IIh/s+14Ar.+5CL</t>
  </si>
  <si>
    <t>32조외12</t>
    <phoneticPr fontId="2" type="noConversion"/>
  </si>
  <si>
    <t>26-0893</t>
    <phoneticPr fontId="2" type="noConversion"/>
  </si>
  <si>
    <t>2조외14</t>
    <phoneticPr fontId="2" type="noConversion"/>
  </si>
  <si>
    <t>1조외12</t>
    <phoneticPr fontId="2" type="noConversion"/>
  </si>
  <si>
    <t>26-0508</t>
    <phoneticPr fontId="2" type="noConversion"/>
  </si>
  <si>
    <t>20조외114</t>
    <phoneticPr fontId="2" type="noConversion"/>
  </si>
  <si>
    <t>26-0786</t>
    <phoneticPr fontId="2" type="noConversion"/>
  </si>
  <si>
    <t>118조외90</t>
    <phoneticPr fontId="2" type="noConversion"/>
  </si>
  <si>
    <t>26-0835</t>
    <phoneticPr fontId="2" type="noConversion"/>
  </si>
  <si>
    <t>1조외1</t>
    <phoneticPr fontId="2" type="noConversion"/>
  </si>
  <si>
    <t>26-0941</t>
    <phoneticPr fontId="2" type="noConversion"/>
  </si>
  <si>
    <t>6SKN154+16단열(Ar.)+6BL</t>
  </si>
  <si>
    <t>26-0946</t>
    <phoneticPr fontId="2" type="noConversion"/>
  </si>
  <si>
    <t>6SKN176IIh/s+16단열(Ar.)+9.52(4+1.52+4)투명배강도접합</t>
  </si>
  <si>
    <t>26-0509</t>
    <phoneticPr fontId="2" type="noConversion"/>
  </si>
  <si>
    <t>10조외135</t>
    <phoneticPr fontId="2" type="noConversion"/>
  </si>
  <si>
    <t>15조외110</t>
    <phoneticPr fontId="2" type="noConversion"/>
  </si>
  <si>
    <t>15조외125</t>
    <phoneticPr fontId="2" type="noConversion"/>
  </si>
  <si>
    <t>26-0930</t>
    <phoneticPr fontId="2" type="noConversion"/>
  </si>
  <si>
    <t>3조외2</t>
    <phoneticPr fontId="2" type="noConversion"/>
  </si>
  <si>
    <t>26-0931</t>
    <phoneticPr fontId="2" type="noConversion"/>
  </si>
  <si>
    <t>6조외120</t>
    <phoneticPr fontId="2" type="noConversion"/>
  </si>
  <si>
    <t>26-0553</t>
    <phoneticPr fontId="2" type="noConversion"/>
  </si>
  <si>
    <t>4조외80</t>
    <phoneticPr fontId="2" type="noConversion"/>
  </si>
  <si>
    <t>26-0554</t>
    <phoneticPr fontId="2" type="noConversion"/>
  </si>
  <si>
    <t>8조외80</t>
    <phoneticPr fontId="2" type="noConversion"/>
  </si>
  <si>
    <t>26-0843</t>
    <phoneticPr fontId="2" type="noConversion"/>
  </si>
  <si>
    <t>6SKG149T h/s+16단열(Ar.)+13.52(6+1.52PVB+6)투명강화접합</t>
  </si>
  <si>
    <t>26-0942</t>
    <phoneticPr fontId="2" type="noConversion"/>
  </si>
  <si>
    <t>한우창호㈜</t>
    <phoneticPr fontId="2" type="noConversion"/>
  </si>
  <si>
    <t>1조외20</t>
    <phoneticPr fontId="2" type="noConversion"/>
  </si>
  <si>
    <t>26-0943</t>
  </si>
  <si>
    <t>1조외22</t>
    <phoneticPr fontId="2" type="noConversion"/>
  </si>
  <si>
    <t>4조외16</t>
    <phoneticPr fontId="2" type="noConversion"/>
  </si>
  <si>
    <t>4조외8</t>
    <phoneticPr fontId="2" type="noConversion"/>
  </si>
  <si>
    <t>16조외54</t>
    <phoneticPr fontId="2" type="noConversion"/>
  </si>
  <si>
    <t>8조외8</t>
    <phoneticPr fontId="2" type="noConversion"/>
  </si>
  <si>
    <t>8조외64</t>
    <phoneticPr fontId="2" type="noConversion"/>
  </si>
  <si>
    <t>26-0555</t>
    <phoneticPr fontId="2" type="noConversion"/>
  </si>
  <si>
    <t>8조외24</t>
    <phoneticPr fontId="2" type="noConversion"/>
  </si>
  <si>
    <t>8조외16</t>
    <phoneticPr fontId="2" type="noConversion"/>
  </si>
  <si>
    <t>16조외192</t>
    <phoneticPr fontId="2" type="noConversion"/>
  </si>
  <si>
    <t>26-0556</t>
    <phoneticPr fontId="2" type="noConversion"/>
  </si>
  <si>
    <t>1조외32</t>
    <phoneticPr fontId="2" type="noConversion"/>
  </si>
  <si>
    <t>26-0943</t>
    <phoneticPr fontId="2" type="noConversion"/>
  </si>
  <si>
    <t>26-0498</t>
    <phoneticPr fontId="2" type="noConversion"/>
  </si>
  <si>
    <t>6조외264</t>
    <phoneticPr fontId="2" type="noConversion"/>
  </si>
  <si>
    <t>26-0511</t>
    <phoneticPr fontId="2" type="noConversion"/>
  </si>
  <si>
    <t>20조외240</t>
    <phoneticPr fontId="2" type="noConversion"/>
  </si>
  <si>
    <t>26-0938</t>
    <phoneticPr fontId="2" type="noConversion"/>
  </si>
  <si>
    <t>26-0956</t>
    <phoneticPr fontId="2" type="noConversion"/>
  </si>
  <si>
    <t>현대샷시유리공사</t>
    <phoneticPr fontId="2" type="noConversion"/>
  </si>
  <si>
    <t>5CL+14Ar.+5DURA MAX</t>
  </si>
  <si>
    <t>48조외307</t>
    <phoneticPr fontId="2" type="noConversion"/>
  </si>
  <si>
    <t>26-0538</t>
    <phoneticPr fontId="2" type="noConversion"/>
  </si>
  <si>
    <t>88조외60</t>
    <phoneticPr fontId="2" type="noConversion"/>
  </si>
  <si>
    <t>26-0957</t>
    <phoneticPr fontId="2" type="noConversion"/>
  </si>
  <si>
    <t>26-0958</t>
    <phoneticPr fontId="2" type="noConversion"/>
  </si>
  <si>
    <t>26-0965</t>
    <phoneticPr fontId="2" type="noConversion"/>
  </si>
  <si>
    <t>5Bz+6A+5CL</t>
  </si>
  <si>
    <t>26-0553</t>
    <phoneticPr fontId="2" type="noConversion"/>
  </si>
  <si>
    <t>26-0554</t>
    <phoneticPr fontId="2" type="noConversion"/>
  </si>
  <si>
    <t>26-0555</t>
    <phoneticPr fontId="2" type="noConversion"/>
  </si>
  <si>
    <t>26-0556</t>
    <phoneticPr fontId="2" type="noConversion"/>
  </si>
  <si>
    <t>26-0557</t>
    <phoneticPr fontId="2" type="noConversion"/>
  </si>
  <si>
    <t>26-0558</t>
    <phoneticPr fontId="2" type="noConversion"/>
  </si>
  <si>
    <t>26-0559</t>
  </si>
  <si>
    <t>26-0559</t>
    <phoneticPr fontId="2" type="noConversion"/>
  </si>
  <si>
    <t>8조외16</t>
    <phoneticPr fontId="2" type="noConversion"/>
  </si>
  <si>
    <t>16조외200</t>
    <phoneticPr fontId="2" type="noConversion"/>
  </si>
  <si>
    <t>36조외184</t>
    <phoneticPr fontId="2" type="noConversion"/>
  </si>
  <si>
    <t>26-0539</t>
    <phoneticPr fontId="2" type="noConversion"/>
  </si>
  <si>
    <t>88조외30</t>
    <phoneticPr fontId="2" type="noConversion"/>
  </si>
  <si>
    <t>26-0955</t>
    <phoneticPr fontId="2" type="noConversion"/>
  </si>
  <si>
    <t>5BLh/s+14단열(Ar.)+5로이h/s 이형</t>
  </si>
  <si>
    <t>26-0912</t>
    <phoneticPr fontId="2" type="noConversion"/>
  </si>
  <si>
    <t>3조외41</t>
    <phoneticPr fontId="2" type="noConversion"/>
  </si>
  <si>
    <t>26-0913</t>
  </si>
  <si>
    <t>26-0914</t>
    <phoneticPr fontId="2" type="noConversion"/>
  </si>
  <si>
    <t>8조외10</t>
    <phoneticPr fontId="2" type="noConversion"/>
  </si>
  <si>
    <t>26-0675</t>
    <phoneticPr fontId="2" type="noConversion"/>
  </si>
  <si>
    <t>6조외24</t>
    <phoneticPr fontId="2" type="noConversion"/>
  </si>
  <si>
    <t>26-0734</t>
    <phoneticPr fontId="2" type="noConversion"/>
  </si>
  <si>
    <t>26-0732</t>
    <phoneticPr fontId="2" type="noConversion"/>
  </si>
  <si>
    <t>26-0733</t>
    <phoneticPr fontId="2" type="noConversion"/>
  </si>
  <si>
    <t>26-0736</t>
    <phoneticPr fontId="2" type="noConversion"/>
  </si>
  <si>
    <t>26-0786</t>
    <phoneticPr fontId="2" type="noConversion"/>
  </si>
  <si>
    <t>26-0969</t>
    <phoneticPr fontId="2" type="noConversion"/>
  </si>
  <si>
    <t>26-0676</t>
    <phoneticPr fontId="2" type="noConversion"/>
  </si>
  <si>
    <t>4조외61</t>
    <phoneticPr fontId="2" type="noConversion"/>
  </si>
  <si>
    <t>4조외35</t>
    <phoneticPr fontId="2" type="noConversion"/>
  </si>
  <si>
    <t>66조외184</t>
    <phoneticPr fontId="2" type="noConversion"/>
  </si>
  <si>
    <t>26-0701</t>
    <phoneticPr fontId="2" type="noConversion"/>
  </si>
  <si>
    <t>5CL+12단열(T)(Ar.)+5Dura max</t>
  </si>
  <si>
    <t>26-0735</t>
    <phoneticPr fontId="2" type="noConversion"/>
  </si>
  <si>
    <t>5조외15</t>
    <phoneticPr fontId="2" type="noConversion"/>
  </si>
  <si>
    <t>26-0980</t>
    <phoneticPr fontId="2" type="noConversion"/>
  </si>
  <si>
    <t>남북공업사</t>
    <phoneticPr fontId="2" type="noConversion"/>
  </si>
  <si>
    <t>26-0706</t>
    <phoneticPr fontId="2" type="noConversion"/>
  </si>
  <si>
    <t xml:space="preserve">동부건설(주)b 삼성메디슨 홍천공장 증축 및 관리사무동 신축현장 </t>
    <phoneticPr fontId="2" type="noConversion"/>
  </si>
  <si>
    <t>5MZT128h/s+14단열(Ar.)+5CL</t>
  </si>
  <si>
    <t>26-0923</t>
    <phoneticPr fontId="2" type="noConversion"/>
  </si>
  <si>
    <t>5MZT128h/s+14단열(Ar.)+5CL(스텝)</t>
  </si>
  <si>
    <t>5MZT128h/s+14단열(Ar.)+5CLh/s(스텝)</t>
  </si>
  <si>
    <t>26-0944</t>
    <phoneticPr fontId="2" type="noConversion"/>
  </si>
  <si>
    <t>26-0945</t>
    <phoneticPr fontId="2" type="noConversion"/>
  </si>
  <si>
    <t>15조외60</t>
    <phoneticPr fontId="2" type="noConversion"/>
  </si>
  <si>
    <t>26-0971</t>
    <phoneticPr fontId="2" type="noConversion"/>
  </si>
  <si>
    <t>26-0972</t>
    <phoneticPr fontId="2" type="noConversion"/>
  </si>
  <si>
    <t>26-0979</t>
    <phoneticPr fontId="2" type="noConversion"/>
  </si>
  <si>
    <t>5SKN154+14단열(Ar.)+5CL 이형</t>
  </si>
  <si>
    <t>3조외1</t>
    <phoneticPr fontId="2" type="noConversion"/>
  </si>
  <si>
    <t>26-0995</t>
    <phoneticPr fontId="2" type="noConversion"/>
  </si>
  <si>
    <t>26-0705</t>
    <phoneticPr fontId="2" type="noConversion"/>
  </si>
  <si>
    <t>5MZT128h/s+14단열(Ar.)+5CLh/s</t>
  </si>
  <si>
    <t>263-0707</t>
    <phoneticPr fontId="2" type="noConversion"/>
  </si>
  <si>
    <t>15조외30</t>
    <phoneticPr fontId="2" type="noConversion"/>
  </si>
  <si>
    <t>26-0737</t>
    <phoneticPr fontId="2" type="noConversion"/>
  </si>
  <si>
    <t>5조외35</t>
    <phoneticPr fontId="2" type="noConversion"/>
  </si>
  <si>
    <t>26-0740</t>
    <phoneticPr fontId="2" type="noConversion"/>
  </si>
  <si>
    <t>5조외70</t>
    <phoneticPr fontId="2" type="noConversion"/>
  </si>
  <si>
    <t>10조외10</t>
    <phoneticPr fontId="2" type="noConversion"/>
  </si>
  <si>
    <t>26-0741</t>
    <phoneticPr fontId="2" type="noConversion"/>
  </si>
  <si>
    <t>5조외60</t>
    <phoneticPr fontId="2" type="noConversion"/>
  </si>
  <si>
    <t>26-0945</t>
  </si>
  <si>
    <t>26-0945</t>
    <phoneticPr fontId="2" type="noConversion"/>
  </si>
  <si>
    <t>10조외30</t>
    <phoneticPr fontId="2" type="noConversion"/>
  </si>
  <si>
    <t>15조외115</t>
    <phoneticPr fontId="2" type="noConversion"/>
  </si>
  <si>
    <t>26-0968</t>
    <phoneticPr fontId="2" type="noConversion"/>
  </si>
  <si>
    <t>26-0981</t>
    <phoneticPr fontId="2" type="noConversion"/>
  </si>
  <si>
    <t>1조외3</t>
    <phoneticPr fontId="2" type="noConversion"/>
  </si>
  <si>
    <t>26-0737</t>
    <phoneticPr fontId="2" type="noConversion"/>
  </si>
  <si>
    <t>10조외25</t>
    <phoneticPr fontId="2" type="noConversion"/>
  </si>
  <si>
    <t>26-0947</t>
    <phoneticPr fontId="2" type="noConversion"/>
  </si>
  <si>
    <t>금호건설(주)c 서울대방아파트건설공사1공구현장</t>
    <phoneticPr fontId="2" type="noConversion"/>
  </si>
  <si>
    <t>5newGN+12단열(Ar.)+5로이</t>
  </si>
  <si>
    <t>5newGN+12단열+5로이</t>
  </si>
  <si>
    <t>5조외45</t>
    <phoneticPr fontId="2" type="noConversion"/>
  </si>
  <si>
    <t>6조외10</t>
    <phoneticPr fontId="2" type="noConversion"/>
  </si>
  <si>
    <t>26-0948</t>
    <phoneticPr fontId="2" type="noConversion"/>
  </si>
  <si>
    <t>6조외54</t>
    <phoneticPr fontId="2" type="noConversion"/>
  </si>
  <si>
    <t>6조외12</t>
    <phoneticPr fontId="2" type="noConversion"/>
  </si>
  <si>
    <t>26-0970</t>
    <phoneticPr fontId="2" type="noConversion"/>
  </si>
  <si>
    <t>(주)에스티웍스 (ST WORKS Corp.)</t>
  </si>
  <si>
    <t>5라미+14A+5CL</t>
  </si>
  <si>
    <t>6(3PC+3CL)접합+14A+5CL</t>
  </si>
  <si>
    <t>5라미+14TPS+5CL</t>
  </si>
  <si>
    <t>6(3CL+3CL)접합+14TPS+5CL</t>
  </si>
  <si>
    <t>7.76태양광(4CL+0.76+3CL)접합+14A+6.76(3CL+0.76+3CL)접합</t>
  </si>
  <si>
    <t>26-0994</t>
    <phoneticPr fontId="2" type="noConversion"/>
  </si>
  <si>
    <t>7.76태양광(4CL+0.76+3CL)접합+14A+5라미</t>
  </si>
  <si>
    <t>26-0711</t>
    <phoneticPr fontId="2" type="noConversion"/>
  </si>
  <si>
    <t>10조외56</t>
    <phoneticPr fontId="2" type="noConversion"/>
  </si>
  <si>
    <t>1조외71</t>
    <phoneticPr fontId="2" type="noConversion"/>
  </si>
  <si>
    <t>17조외22</t>
    <phoneticPr fontId="2" type="noConversion"/>
  </si>
  <si>
    <t>26-0741</t>
    <phoneticPr fontId="2" type="noConversion"/>
  </si>
  <si>
    <t>26-0949</t>
    <phoneticPr fontId="2" type="noConversion"/>
  </si>
  <si>
    <t>26-0950</t>
    <phoneticPr fontId="2" type="noConversion"/>
  </si>
  <si>
    <t>26-1002</t>
    <phoneticPr fontId="2" type="noConversion"/>
  </si>
  <si>
    <t>26-1003</t>
    <phoneticPr fontId="2" type="noConversion"/>
  </si>
  <si>
    <t>6조외54</t>
    <phoneticPr fontId="2" type="noConversion"/>
  </si>
  <si>
    <t>26-0952</t>
    <phoneticPr fontId="2" type="noConversion"/>
  </si>
  <si>
    <t>(주)세지건설b 음성교육지원청 청사 증축 및 보수공사</t>
    <phoneticPr fontId="2" type="noConversion"/>
  </si>
  <si>
    <t>32조외178</t>
    <phoneticPr fontId="2" type="noConversion"/>
  </si>
  <si>
    <t>26-0983</t>
    <phoneticPr fontId="2" type="noConversion"/>
  </si>
  <si>
    <t>5newGNh/s+12TPS(Ar.)+5로이</t>
  </si>
  <si>
    <t>5newGN+12TPS(Ar.)+5로이</t>
  </si>
  <si>
    <t>5newGN+12TPS+5로이</t>
  </si>
  <si>
    <t>26-0712</t>
    <phoneticPr fontId="2" type="noConversion"/>
  </si>
  <si>
    <t>6조외65</t>
    <phoneticPr fontId="2" type="noConversion"/>
  </si>
  <si>
    <t>2조외48</t>
    <phoneticPr fontId="2" type="noConversion"/>
  </si>
  <si>
    <t>9조외26</t>
    <phoneticPr fontId="2" type="noConversion"/>
  </si>
  <si>
    <t>26-0842</t>
    <phoneticPr fontId="2" type="noConversion"/>
  </si>
  <si>
    <t>8조외114</t>
    <phoneticPr fontId="2" type="noConversion"/>
  </si>
  <si>
    <t>26-0841</t>
    <phoneticPr fontId="2" type="noConversion"/>
  </si>
  <si>
    <t>9조외30</t>
    <phoneticPr fontId="2" type="noConversion"/>
  </si>
  <si>
    <t>26-0951</t>
    <phoneticPr fontId="2" type="noConversion"/>
  </si>
  <si>
    <t>26-0982</t>
    <phoneticPr fontId="2" type="noConversion"/>
  </si>
  <si>
    <t>5SKN176IIh/s+14단열(Ar.)+5CLh/s+14단열(Ar.)+5ONEIIh/s</t>
  </si>
  <si>
    <t>26-1004</t>
    <phoneticPr fontId="2" type="noConversion"/>
  </si>
  <si>
    <t>26-1048</t>
    <phoneticPr fontId="2" type="noConversion"/>
  </si>
  <si>
    <t>26-1056</t>
    <phoneticPr fontId="2" type="noConversion"/>
  </si>
  <si>
    <t>16조외52</t>
    <phoneticPr fontId="2" type="noConversion"/>
  </si>
  <si>
    <t>26-0853</t>
    <phoneticPr fontId="2" type="noConversion"/>
  </si>
  <si>
    <t>26-0869</t>
    <phoneticPr fontId="2" type="noConversion"/>
  </si>
  <si>
    <t>4조외104</t>
    <phoneticPr fontId="2" type="noConversion"/>
  </si>
  <si>
    <t>26-0925</t>
    <phoneticPr fontId="2" type="noConversion"/>
  </si>
  <si>
    <t>5조외17</t>
    <phoneticPr fontId="2" type="noConversion"/>
  </si>
  <si>
    <t>1조외109</t>
    <phoneticPr fontId="2" type="noConversion"/>
  </si>
  <si>
    <t>26-1049</t>
    <phoneticPr fontId="2" type="noConversion"/>
  </si>
  <si>
    <t>26-0424</t>
    <phoneticPr fontId="2" type="noConversion"/>
  </si>
  <si>
    <t>26조외108</t>
    <phoneticPr fontId="2" type="noConversion"/>
  </si>
  <si>
    <t>36조외48</t>
    <phoneticPr fontId="2" type="noConversion"/>
  </si>
  <si>
    <t>26-0913</t>
    <phoneticPr fontId="2" type="noConversion"/>
  </si>
  <si>
    <t>26-0914</t>
  </si>
  <si>
    <t>26-0953</t>
    <phoneticPr fontId="2" type="noConversion"/>
  </si>
  <si>
    <t>4조외155</t>
    <phoneticPr fontId="2" type="noConversion"/>
  </si>
  <si>
    <t>26-1013</t>
    <phoneticPr fontId="2" type="noConversion"/>
  </si>
  <si>
    <t>한우창호(주)</t>
  </si>
  <si>
    <t>1조외23</t>
    <phoneticPr fontId="2" type="noConversion"/>
  </si>
  <si>
    <t>26-1047</t>
    <phoneticPr fontId="2" type="noConversion"/>
  </si>
  <si>
    <t>경동건설(주)a 부산대학교 시설개선 임대형 민자사업(BTL)현장</t>
    <phoneticPr fontId="2" type="noConversion"/>
  </si>
  <si>
    <t>5CL+14A+5ONE</t>
  </si>
  <si>
    <t>5newGN+14A+5ONE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</si>
</sst>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76" formatCode="[$-F800]dddd\,\ mmmm\ dd\,\ yyyy"/>
    <numFmt numFmtId="177" formatCode="0&quot;조&quot;"/>
    <numFmt numFmtId="178" formatCode="0.00_ "/>
    <numFmt numFmtId="179" formatCode="0&quot;조&quot;\ "/>
    <numFmt numFmtId="180" formatCode="&quot;24-&quot;####"/>
    <numFmt numFmtId="181" formatCode="&quot;25-&quot;####"/>
    <numFmt numFmtId="182" formatCode="0.0000"/>
  </numFmts>
  <fonts count="7" x14ac:knownFonts="1">
    <font>
      <sz val="11"/>
      <name val="돋움"/>
      <family val="3"/>
      <charset val="129"/>
    </font>
    <font>
      <b/>
      <sz val="20"/>
      <name val="굴림"/>
      <family val="3"/>
      <charset val="129"/>
    </font>
    <font>
      <sz val="8"/>
      <name val="돋움"/>
      <family val="3"/>
      <charset val="129"/>
    </font>
    <font>
      <sz val="10"/>
      <name val="돋움"/>
      <family val="3"/>
      <charset val="129"/>
    </font>
    <font>
      <sz val="9"/>
      <name val="돋움"/>
      <family val="3"/>
      <charset val="129"/>
    </font>
    <font>
      <b/>
      <sz val="9"/>
      <name val="돋움"/>
      <family val="3"/>
      <charset val="129"/>
    </font>
    <font>
      <sz val="9"/>
      <name val="맑은 고딕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EFC3DD"/>
        <bgColor indexed="64"/>
      </patternFill>
    </fill>
    <fill>
      <patternFill patternType="solid">
        <fgColor rgb="FFFFFF00"/>
        <bgColor indexed="64"/>
      </patternFill>
    </fill>
  </fills>
  <borders count="4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1">
    <xf numFmtId="0" fontId="0" fillId="0" borderId="0" xfId="0"/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7" xfId="0" applyBorder="1" applyAlignment="1">
      <alignment vertical="center"/>
    </xf>
    <xf numFmtId="0" fontId="0" fillId="0" borderId="0" xfId="0" applyBorder="1" applyAlignment="1">
      <alignment vertical="center"/>
    </xf>
    <xf numFmtId="0" fontId="0" fillId="0" borderId="7" xfId="0" applyBorder="1" applyAlignment="1">
      <alignment horizontal="center" vertical="center"/>
    </xf>
    <xf numFmtId="0" fontId="0" fillId="0" borderId="16" xfId="0" applyBorder="1" applyAlignment="1">
      <alignment vertical="center"/>
    </xf>
    <xf numFmtId="0" fontId="3" fillId="0" borderId="22" xfId="0" applyFont="1" applyBorder="1" applyAlignment="1">
      <alignment horizontal="center" vertical="center"/>
    </xf>
    <xf numFmtId="0" fontId="4" fillId="0" borderId="22" xfId="0" applyFont="1" applyFill="1" applyBorder="1" applyAlignment="1">
      <alignment horizontal="left" vertical="center" wrapText="1"/>
    </xf>
    <xf numFmtId="0" fontId="4" fillId="0" borderId="22" xfId="0" applyFont="1" applyFill="1" applyBorder="1" applyAlignment="1">
      <alignment horizontal="center" vertical="center"/>
    </xf>
    <xf numFmtId="0" fontId="4" fillId="0" borderId="22" xfId="0" applyFont="1" applyFill="1" applyBorder="1" applyAlignment="1">
      <alignment horizontal="center" vertical="center" wrapText="1"/>
    </xf>
    <xf numFmtId="3" fontId="4" fillId="0" borderId="22" xfId="0" applyNumberFormat="1" applyFont="1" applyFill="1" applyBorder="1" applyAlignment="1">
      <alignment horizontal="right" vertical="center"/>
    </xf>
    <xf numFmtId="0" fontId="4" fillId="0" borderId="22" xfId="0" applyFont="1" applyFill="1" applyBorder="1" applyAlignment="1">
      <alignment horizontal="right" vertical="center"/>
    </xf>
    <xf numFmtId="178" fontId="5" fillId="0" borderId="24" xfId="0" applyNumberFormat="1" applyFont="1" applyFill="1" applyBorder="1" applyAlignment="1">
      <alignment horizontal="center" vertical="center"/>
    </xf>
    <xf numFmtId="0" fontId="0" fillId="0" borderId="0" xfId="0" applyFill="1" applyAlignment="1">
      <alignment vertical="center"/>
    </xf>
    <xf numFmtId="3" fontId="4" fillId="0" borderId="10" xfId="0" applyNumberFormat="1" applyFont="1" applyFill="1" applyBorder="1" applyAlignment="1">
      <alignment vertical="center"/>
    </xf>
    <xf numFmtId="0" fontId="4" fillId="0" borderId="10" xfId="0" applyFont="1" applyFill="1" applyBorder="1" applyAlignment="1">
      <alignment horizontal="right" vertical="center"/>
    </xf>
    <xf numFmtId="177" fontId="4" fillId="0" borderId="10" xfId="0" applyNumberFormat="1" applyFont="1" applyFill="1" applyBorder="1" applyAlignment="1">
      <alignment horizontal="right" vertical="center"/>
    </xf>
    <xf numFmtId="178" fontId="4" fillId="0" borderId="10" xfId="0" applyNumberFormat="1" applyFont="1" applyFill="1" applyBorder="1" applyAlignment="1">
      <alignment horizontal="right" vertical="center"/>
    </xf>
    <xf numFmtId="178" fontId="5" fillId="0" borderId="11" xfId="0" applyNumberFormat="1" applyFont="1" applyFill="1" applyBorder="1" applyAlignment="1">
      <alignment horizontal="center" vertical="center"/>
    </xf>
    <xf numFmtId="0" fontId="2" fillId="2" borderId="26" xfId="0" applyFont="1" applyFill="1" applyBorder="1" applyAlignment="1">
      <alignment horizontal="left" vertical="center" wrapText="1"/>
    </xf>
    <xf numFmtId="0" fontId="4" fillId="0" borderId="26" xfId="0" applyFont="1" applyFill="1" applyBorder="1" applyAlignment="1">
      <alignment horizontal="left" vertical="center"/>
    </xf>
    <xf numFmtId="0" fontId="4" fillId="0" borderId="26" xfId="0" applyFont="1" applyFill="1" applyBorder="1" applyAlignment="1">
      <alignment vertical="center"/>
    </xf>
    <xf numFmtId="3" fontId="4" fillId="0" borderId="26" xfId="0" applyNumberFormat="1" applyFont="1" applyFill="1" applyBorder="1" applyAlignment="1">
      <alignment vertical="center"/>
    </xf>
    <xf numFmtId="0" fontId="4" fillId="0" borderId="26" xfId="0" applyFont="1" applyFill="1" applyBorder="1" applyAlignment="1">
      <alignment horizontal="right" vertical="center"/>
    </xf>
    <xf numFmtId="178" fontId="4" fillId="0" borderId="27" xfId="0" applyNumberFormat="1" applyFont="1" applyFill="1" applyBorder="1" applyAlignment="1">
      <alignment horizontal="center" vertical="center"/>
    </xf>
    <xf numFmtId="178" fontId="5" fillId="0" borderId="14" xfId="0" applyNumberFormat="1" applyFont="1" applyFill="1" applyBorder="1" applyAlignment="1">
      <alignment horizontal="center" vertical="center"/>
    </xf>
    <xf numFmtId="0" fontId="2" fillId="0" borderId="22" xfId="0" applyFont="1" applyFill="1" applyBorder="1" applyAlignment="1">
      <alignment vertical="center" wrapText="1"/>
    </xf>
    <xf numFmtId="178" fontId="4" fillId="0" borderId="22" xfId="0" applyNumberFormat="1" applyFont="1" applyFill="1" applyBorder="1" applyAlignment="1">
      <alignment vertical="center"/>
    </xf>
    <xf numFmtId="0" fontId="4" fillId="0" borderId="22" xfId="0" applyFont="1" applyFill="1" applyBorder="1" applyAlignment="1">
      <alignment vertical="center"/>
    </xf>
    <xf numFmtId="178" fontId="4" fillId="0" borderId="24" xfId="0" applyNumberFormat="1" applyFont="1" applyFill="1" applyBorder="1" applyAlignment="1">
      <alignment horizontal="center" vertical="center"/>
    </xf>
    <xf numFmtId="178" fontId="0" fillId="0" borderId="0" xfId="0" applyNumberFormat="1" applyAlignment="1">
      <alignment vertical="center"/>
    </xf>
    <xf numFmtId="0" fontId="4" fillId="0" borderId="28" xfId="0" applyFont="1" applyBorder="1" applyAlignment="1">
      <alignment horizontal="center" vertical="center"/>
    </xf>
    <xf numFmtId="179" fontId="4" fillId="0" borderId="28" xfId="0" applyNumberFormat="1" applyFont="1" applyBorder="1" applyAlignment="1">
      <alignment horizontal="right" vertical="center"/>
    </xf>
    <xf numFmtId="178" fontId="4" fillId="0" borderId="28" xfId="0" applyNumberFormat="1" applyFont="1" applyBorder="1" applyAlignment="1">
      <alignment horizontal="right" vertical="center"/>
    </xf>
    <xf numFmtId="0" fontId="0" fillId="0" borderId="29" xfId="0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0" borderId="31" xfId="0" applyFont="1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4" fillId="0" borderId="33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0" fillId="0" borderId="29" xfId="0" applyBorder="1" applyAlignment="1">
      <alignment vertical="center"/>
    </xf>
    <xf numFmtId="0" fontId="4" fillId="0" borderId="34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179" fontId="0" fillId="0" borderId="0" xfId="0" applyNumberFormat="1" applyAlignment="1">
      <alignment vertical="center"/>
    </xf>
    <xf numFmtId="177" fontId="4" fillId="3" borderId="26" xfId="0" applyNumberFormat="1" applyFont="1" applyFill="1" applyBorder="1" applyAlignment="1">
      <alignment horizontal="right" vertical="center"/>
    </xf>
    <xf numFmtId="178" fontId="4" fillId="3" borderId="26" xfId="0" applyNumberFormat="1" applyFont="1" applyFill="1" applyBorder="1" applyAlignment="1">
      <alignment horizontal="right" vertical="center"/>
    </xf>
    <xf numFmtId="177" fontId="4" fillId="4" borderId="22" xfId="0" applyNumberFormat="1" applyFont="1" applyFill="1" applyBorder="1" applyAlignment="1">
      <alignment horizontal="right" vertical="center"/>
    </xf>
    <xf numFmtId="178" fontId="4" fillId="4" borderId="22" xfId="0" applyNumberFormat="1" applyFont="1" applyFill="1" applyBorder="1" applyAlignment="1">
      <alignment horizontal="right" vertical="center"/>
    </xf>
    <xf numFmtId="3" fontId="4" fillId="0" borderId="10" xfId="0" applyNumberFormat="1" applyFont="1" applyFill="1" applyBorder="1" applyAlignment="1">
      <alignment horizontal="right" vertical="center"/>
    </xf>
    <xf numFmtId="0" fontId="4" fillId="2" borderId="10" xfId="0" applyFont="1" applyFill="1" applyBorder="1" applyAlignment="1">
      <alignment horizontal="right" vertical="center"/>
    </xf>
    <xf numFmtId="177" fontId="4" fillId="2" borderId="10" xfId="0" applyNumberFormat="1" applyFont="1" applyFill="1" applyBorder="1" applyAlignment="1">
      <alignment horizontal="right" vertical="center"/>
    </xf>
    <xf numFmtId="178" fontId="4" fillId="2" borderId="10" xfId="0" applyNumberFormat="1" applyFont="1" applyFill="1" applyBorder="1" applyAlignment="1">
      <alignment horizontal="right" vertical="center"/>
    </xf>
    <xf numFmtId="178" fontId="5" fillId="2" borderId="14" xfId="0" applyNumberFormat="1" applyFont="1" applyFill="1" applyBorder="1" applyAlignment="1">
      <alignment horizontal="center" vertical="center"/>
    </xf>
    <xf numFmtId="180" fontId="4" fillId="0" borderId="28" xfId="0" applyNumberFormat="1" applyFont="1" applyBorder="1" applyAlignment="1">
      <alignment horizontal="center" vertical="center"/>
    </xf>
    <xf numFmtId="180" fontId="4" fillId="2" borderId="25" xfId="0" applyNumberFormat="1" applyFont="1" applyFill="1" applyBorder="1" applyAlignment="1">
      <alignment horizontal="center" vertical="center"/>
    </xf>
    <xf numFmtId="180" fontId="4" fillId="0" borderId="23" xfId="0" applyNumberFormat="1" applyFont="1" applyFill="1" applyBorder="1" applyAlignment="1">
      <alignment horizontal="center" vertical="center"/>
    </xf>
    <xf numFmtId="0" fontId="4" fillId="0" borderId="22" xfId="0" applyNumberFormat="1" applyFont="1" applyFill="1" applyBorder="1" applyAlignment="1">
      <alignment horizontal="center" vertical="center"/>
    </xf>
    <xf numFmtId="0" fontId="4" fillId="0" borderId="26" xfId="0" applyNumberFormat="1" applyFont="1" applyFill="1" applyBorder="1" applyAlignment="1">
      <alignment horizontal="center" vertical="center"/>
    </xf>
    <xf numFmtId="181" fontId="4" fillId="0" borderId="17" xfId="0" applyNumberFormat="1" applyFont="1" applyFill="1" applyBorder="1" applyAlignment="1">
      <alignment horizontal="center" vertical="center"/>
    </xf>
    <xf numFmtId="181" fontId="4" fillId="2" borderId="17" xfId="0" applyNumberFormat="1" applyFont="1" applyFill="1" applyBorder="1" applyAlignment="1">
      <alignment horizontal="center" vertical="center"/>
    </xf>
    <xf numFmtId="0" fontId="0" fillId="5" borderId="0" xfId="0" applyFill="1"/>
    <xf numFmtId="0" fontId="0" fillId="0" borderId="0" xfId="0" applyFill="1"/>
    <xf numFmtId="0" fontId="0" fillId="6" borderId="0" xfId="0" applyFill="1"/>
    <xf numFmtId="182" fontId="0" fillId="0" borderId="0" xfId="0" applyNumberFormat="1" applyAlignment="1">
      <alignment vertical="center"/>
    </xf>
    <xf numFmtId="180" fontId="4" fillId="0" borderId="30" xfId="0" applyNumberFormat="1" applyFont="1" applyFill="1" applyBorder="1" applyAlignment="1">
      <alignment horizontal="center" vertical="center"/>
    </xf>
    <xf numFmtId="0" fontId="2" fillId="0" borderId="31" xfId="0" applyFont="1" applyFill="1" applyBorder="1" applyAlignment="1">
      <alignment vertical="center" wrapText="1"/>
    </xf>
    <xf numFmtId="0" fontId="4" fillId="0" borderId="31" xfId="0" applyFont="1" applyFill="1" applyBorder="1" applyAlignment="1">
      <alignment horizontal="center" vertical="center"/>
    </xf>
    <xf numFmtId="178" fontId="4" fillId="0" borderId="31" xfId="0" applyNumberFormat="1" applyFont="1" applyFill="1" applyBorder="1" applyAlignment="1">
      <alignment vertical="center"/>
    </xf>
    <xf numFmtId="0" fontId="4" fillId="0" borderId="31" xfId="0" applyFont="1" applyFill="1" applyBorder="1" applyAlignment="1">
      <alignment vertical="center"/>
    </xf>
    <xf numFmtId="0" fontId="4" fillId="0" borderId="31" xfId="0" applyFont="1" applyFill="1" applyBorder="1" applyAlignment="1">
      <alignment horizontal="right" vertical="center"/>
    </xf>
    <xf numFmtId="177" fontId="4" fillId="4" borderId="31" xfId="0" applyNumberFormat="1" applyFont="1" applyFill="1" applyBorder="1" applyAlignment="1">
      <alignment horizontal="right" vertical="center"/>
    </xf>
    <xf numFmtId="178" fontId="4" fillId="4" borderId="31" xfId="0" applyNumberFormat="1" applyFont="1" applyFill="1" applyBorder="1" applyAlignment="1">
      <alignment horizontal="right" vertical="center"/>
    </xf>
    <xf numFmtId="178" fontId="4" fillId="0" borderId="32" xfId="0" applyNumberFormat="1" applyFont="1" applyFill="1" applyBorder="1" applyAlignment="1">
      <alignment horizontal="center" vertical="center"/>
    </xf>
    <xf numFmtId="179" fontId="4" fillId="0" borderId="36" xfId="0" applyNumberFormat="1" applyFont="1" applyBorder="1" applyAlignment="1">
      <alignment horizontal="center" vertical="center"/>
    </xf>
    <xf numFmtId="179" fontId="4" fillId="0" borderId="37" xfId="0" applyNumberFormat="1" applyFont="1" applyBorder="1" applyAlignment="1">
      <alignment horizontal="center" vertical="center"/>
    </xf>
    <xf numFmtId="0" fontId="4" fillId="0" borderId="36" xfId="0" applyFont="1" applyBorder="1" applyAlignment="1">
      <alignment horizontal="center" vertical="center"/>
    </xf>
    <xf numFmtId="0" fontId="4" fillId="0" borderId="38" xfId="0" applyFont="1" applyBorder="1" applyAlignment="1">
      <alignment horizontal="center" vertical="center"/>
    </xf>
    <xf numFmtId="0" fontId="4" fillId="0" borderId="37" xfId="0" applyFont="1" applyBorder="1" applyAlignment="1">
      <alignment horizontal="center" vertical="center"/>
    </xf>
    <xf numFmtId="178" fontId="4" fillId="0" borderId="36" xfId="0" applyNumberFormat="1" applyFont="1" applyBorder="1" applyAlignment="1">
      <alignment horizontal="center" vertical="center"/>
    </xf>
    <xf numFmtId="178" fontId="4" fillId="0" borderId="38" xfId="0" applyNumberFormat="1" applyFont="1" applyBorder="1" applyAlignment="1">
      <alignment horizontal="center" vertical="center"/>
    </xf>
    <xf numFmtId="178" fontId="4" fillId="0" borderId="39" xfId="0" applyNumberFormat="1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176" fontId="0" fillId="0" borderId="15" xfId="0" applyNumberFormat="1" applyBorder="1" applyAlignment="1">
      <alignment horizontal="left" vertical="center"/>
    </xf>
    <xf numFmtId="0" fontId="0" fillId="0" borderId="15" xfId="0" applyBorder="1" applyAlignment="1">
      <alignment horizontal="left" vertical="center"/>
    </xf>
    <xf numFmtId="0" fontId="3" fillId="0" borderId="17" xfId="0" applyFont="1" applyBorder="1" applyAlignment="1">
      <alignment horizontal="center" vertical="center"/>
    </xf>
    <xf numFmtId="0" fontId="3" fillId="0" borderId="21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0" fontId="3" fillId="0" borderId="18" xfId="0" applyFont="1" applyBorder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3" fillId="0" borderId="20" xfId="0" applyFont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16" Type="http://schemas.openxmlformats.org/officeDocument/2006/relationships/worksheet" Target="worksheets/sheet16.xml"/><Relationship Id="rId107" Type="http://schemas.openxmlformats.org/officeDocument/2006/relationships/sharedStrings" Target="sharedStrings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worksheet" Target="worksheets/sheet103.xml"/><Relationship Id="rId108" Type="http://schemas.openxmlformats.org/officeDocument/2006/relationships/calcChain" Target="calcChain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6" Type="http://schemas.openxmlformats.org/officeDocument/2006/relationships/styles" Target="styles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theme" Target="theme/theme1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3" Type="http://schemas.openxmlformats.org/officeDocument/2006/relationships/worksheet" Target="worksheets/sheet3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0.bin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1.bin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2.bin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3.bin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4.bin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5.bin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6.bin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7.bin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8.bin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9.bin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0.bin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1.bin"/></Relationships>
</file>

<file path=xl/worksheets/_rels/sheet7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2.bin"/></Relationships>
</file>

<file path=xl/worksheets/_rels/sheet7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3.bin"/></Relationships>
</file>

<file path=xl/worksheets/_rels/sheet7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4.bin"/></Relationships>
</file>

<file path=xl/worksheets/_rels/sheet7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5.bin"/></Relationships>
</file>

<file path=xl/worksheets/_rels/sheet7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6.bin"/></Relationships>
</file>

<file path=xl/worksheets/_rels/sheet7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7.bin"/></Relationships>
</file>

<file path=xl/worksheets/_rels/sheet7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8.bin"/></Relationships>
</file>

<file path=xl/worksheets/_rels/sheet7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9.bin"/></Relationships>
</file>

<file path=xl/worksheets/_rels/sheet8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0.bin"/></Relationships>
</file>

<file path=xl/worksheets/_rels/sheet8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1.bin"/></Relationships>
</file>

<file path=xl/worksheets/_rels/sheet8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2.bin"/></Relationships>
</file>

<file path=xl/worksheets/_rels/sheet8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3.bin"/></Relationships>
</file>

<file path=xl/worksheets/_rels/sheet8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4.bin"/></Relationships>
</file>

<file path=xl/worksheets/_rels/sheet8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5.bin"/></Relationships>
</file>

<file path=xl/worksheets/_rels/sheet8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6.bin"/></Relationships>
</file>

<file path=xl/worksheets/_rels/sheet8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7.bin"/></Relationships>
</file>

<file path=xl/worksheets/_rels/sheet8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8.bin"/></Relationships>
</file>

<file path=xl/worksheets/_rels/sheet8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9.bin"/></Relationships>
</file>

<file path=xl/worksheets/_rels/sheet9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0.bin"/></Relationships>
</file>

<file path=xl/worksheets/_rels/sheet9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1.bin"/></Relationships>
</file>

<file path=xl/worksheets/_rels/sheet9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2.bin"/></Relationships>
</file>

<file path=xl/worksheets/_rels/sheet9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3.bin"/></Relationships>
</file>

<file path=xl/worksheets/_rels/sheet9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4.bin"/></Relationships>
</file>

<file path=xl/worksheets/_rels/sheet9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5.bin"/></Relationships>
</file>

<file path=xl/worksheets/_rels/sheet9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6.bin"/></Relationships>
</file>

<file path=xl/worksheets/_rels/sheet9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7.bin"/></Relationships>
</file>

<file path=xl/worksheets/_rels/sheet9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8.bin"/></Relationships>
</file>

<file path=xl/worksheets/_rels/sheet9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9.bin"/></Relationships>
</file>

<file path=xl/worksheets/_rels/sheet10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0.bin"/></Relationships>
</file>

<file path=xl/worksheets/_rels/sheet10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1.bin"/></Relationships>
</file>

<file path=xl/worksheets/_rels/sheet10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2.bin"/></Relationships>
</file>

<file path=xl/worksheets/_rels/sheet10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3"/>
  <sheetViews>
    <sheetView view="pageBreakPreview" zoomScaleSheetLayoutView="100" workbookViewId="0">
      <selection activeCell="D26" sqref="D26"/>
    </sheetView>
  </sheetViews>
  <sheetFormatPr defaultColWidth="8.88671875" defaultRowHeight="13.5" x14ac:dyDescent="0.15"/>
  <cols>
    <col min="1" max="1" width="8.44140625" style="3" customWidth="1"/>
    <col min="2" max="2" width="14.77734375" style="3" customWidth="1"/>
    <col min="3" max="3" width="4.109375" style="3" customWidth="1"/>
    <col min="4" max="4" width="15.21875" style="3" customWidth="1"/>
    <col min="5" max="5" width="4.44140625" style="3" customWidth="1"/>
    <col min="6" max="6" width="4" style="3" customWidth="1"/>
    <col min="7" max="7" width="5.5546875" style="3" customWidth="1"/>
    <col min="8" max="8" width="5.44140625" style="3" customWidth="1"/>
    <col min="9" max="9" width="7.88671875" style="3" customWidth="1"/>
    <col min="10" max="10" width="7.109375" style="3" customWidth="1"/>
    <col min="11" max="11" width="7.21875" style="3" customWidth="1"/>
    <col min="12" max="12" width="6.77734375" style="3" customWidth="1"/>
    <col min="13" max="16384" width="8.88671875" style="3"/>
  </cols>
  <sheetData>
    <row r="1" spans="1:14" ht="18.75" customHeight="1" x14ac:dyDescent="0.15">
      <c r="A1" s="101" t="s">
        <v>0</v>
      </c>
      <c r="B1" s="102"/>
      <c r="C1" s="102"/>
      <c r="D1" s="102"/>
      <c r="E1" s="102"/>
      <c r="F1" s="102"/>
      <c r="G1" s="103"/>
      <c r="H1" s="107" t="s">
        <v>1</v>
      </c>
      <c r="I1" s="1" t="s">
        <v>2</v>
      </c>
      <c r="J1" s="1" t="s">
        <v>2</v>
      </c>
      <c r="K1" s="1" t="s">
        <v>3</v>
      </c>
      <c r="L1" s="2" t="s">
        <v>4</v>
      </c>
    </row>
    <row r="2" spans="1:14" ht="13.5" customHeight="1" x14ac:dyDescent="0.15">
      <c r="A2" s="104"/>
      <c r="B2" s="105"/>
      <c r="C2" s="105"/>
      <c r="D2" s="105"/>
      <c r="E2" s="105"/>
      <c r="F2" s="105"/>
      <c r="G2" s="106"/>
      <c r="H2" s="108"/>
      <c r="I2" s="110"/>
      <c r="J2" s="110"/>
      <c r="K2" s="110"/>
      <c r="L2" s="98"/>
    </row>
    <row r="3" spans="1:14" ht="13.5" customHeight="1" x14ac:dyDescent="0.15">
      <c r="A3" s="104"/>
      <c r="B3" s="105"/>
      <c r="C3" s="105"/>
      <c r="D3" s="105"/>
      <c r="E3" s="105"/>
      <c r="F3" s="105"/>
      <c r="G3" s="106"/>
      <c r="H3" s="108"/>
      <c r="I3" s="108"/>
      <c r="J3" s="108"/>
      <c r="K3" s="108"/>
      <c r="L3" s="99"/>
    </row>
    <row r="4" spans="1:14" ht="33" customHeight="1" x14ac:dyDescent="0.15">
      <c r="A4" s="4"/>
      <c r="B4" s="5"/>
      <c r="C4" s="5"/>
      <c r="D4" s="5"/>
      <c r="E4" s="5"/>
      <c r="F4" s="5"/>
      <c r="G4" s="5"/>
      <c r="H4" s="109"/>
      <c r="I4" s="109"/>
      <c r="J4" s="109"/>
      <c r="K4" s="109"/>
      <c r="L4" s="100"/>
    </row>
    <row r="5" spans="1:14" ht="17.25" customHeight="1" x14ac:dyDescent="0.15">
      <c r="A5" s="6" t="s">
        <v>5</v>
      </c>
      <c r="B5" s="87">
        <v>46024</v>
      </c>
      <c r="C5" s="88"/>
      <c r="D5" s="88"/>
      <c r="E5" s="88"/>
      <c r="F5" s="88"/>
      <c r="G5" s="88"/>
      <c r="H5" s="5"/>
      <c r="I5" s="5"/>
      <c r="J5" s="5"/>
      <c r="K5" s="5"/>
      <c r="L5" s="7"/>
    </row>
    <row r="6" spans="1:14" ht="13.5" customHeight="1" x14ac:dyDescent="0.15">
      <c r="A6" s="89" t="s">
        <v>6</v>
      </c>
      <c r="B6" s="91" t="s">
        <v>7</v>
      </c>
      <c r="C6" s="91" t="s">
        <v>8</v>
      </c>
      <c r="D6" s="91" t="s">
        <v>9</v>
      </c>
      <c r="E6" s="93" t="s">
        <v>10</v>
      </c>
      <c r="F6" s="93" t="s">
        <v>11</v>
      </c>
      <c r="G6" s="95" t="s">
        <v>12</v>
      </c>
      <c r="H6" s="96"/>
      <c r="I6" s="96"/>
      <c r="J6" s="96"/>
      <c r="K6" s="97"/>
      <c r="L6" s="83" t="s">
        <v>13</v>
      </c>
    </row>
    <row r="7" spans="1:14" x14ac:dyDescent="0.15">
      <c r="A7" s="90"/>
      <c r="B7" s="92"/>
      <c r="C7" s="92"/>
      <c r="D7" s="92"/>
      <c r="E7" s="94"/>
      <c r="F7" s="94"/>
      <c r="G7" s="8" t="s">
        <v>14</v>
      </c>
      <c r="H7" s="8" t="s">
        <v>15</v>
      </c>
      <c r="I7" s="8" t="s">
        <v>16</v>
      </c>
      <c r="J7" s="8" t="s">
        <v>17</v>
      </c>
      <c r="K7" s="8" t="s">
        <v>18</v>
      </c>
      <c r="L7" s="84"/>
    </row>
    <row r="8" spans="1:14" s="15" customFormat="1" ht="20.25" customHeight="1" x14ac:dyDescent="0.15">
      <c r="A8" s="60" t="s">
        <v>154</v>
      </c>
      <c r="B8" s="9" t="s">
        <v>131</v>
      </c>
      <c r="C8" s="58" t="s">
        <v>29</v>
      </c>
      <c r="D8" s="11" t="s">
        <v>155</v>
      </c>
      <c r="E8" s="10">
        <v>22</v>
      </c>
      <c r="F8" s="58" t="s">
        <v>11</v>
      </c>
      <c r="G8" s="12">
        <v>1434</v>
      </c>
      <c r="H8" s="12">
        <v>1927</v>
      </c>
      <c r="I8" s="17" t="s">
        <v>157</v>
      </c>
      <c r="J8" s="18">
        <v>26</v>
      </c>
      <c r="K8" s="19">
        <f>+M8*N8</f>
        <v>240.4512</v>
      </c>
      <c r="L8" s="14"/>
      <c r="M8" s="15">
        <v>22.08</v>
      </c>
      <c r="N8" s="15">
        <v>10.89</v>
      </c>
    </row>
    <row r="9" spans="1:14" s="15" customFormat="1" ht="20.25" customHeight="1" x14ac:dyDescent="0.15">
      <c r="A9" s="60"/>
      <c r="B9" s="9"/>
      <c r="C9" s="58" t="s">
        <v>29</v>
      </c>
      <c r="D9" s="11" t="s">
        <v>156</v>
      </c>
      <c r="E9" s="10">
        <v>22</v>
      </c>
      <c r="F9" s="58" t="s">
        <v>11</v>
      </c>
      <c r="G9" s="12">
        <v>1434</v>
      </c>
      <c r="H9" s="12">
        <v>1927</v>
      </c>
      <c r="I9" s="17" t="s">
        <v>157</v>
      </c>
      <c r="J9" s="18">
        <v>26</v>
      </c>
      <c r="K9" s="19">
        <f t="shared" ref="K9:K29" si="0">+M9*N9</f>
        <v>240.4512</v>
      </c>
      <c r="L9" s="14"/>
      <c r="M9" s="15">
        <v>22.08</v>
      </c>
      <c r="N9" s="15">
        <v>10.89</v>
      </c>
    </row>
    <row r="10" spans="1:14" s="15" customFormat="1" ht="20.25" customHeight="1" x14ac:dyDescent="0.15">
      <c r="A10" s="60" t="s">
        <v>158</v>
      </c>
      <c r="B10" s="9" t="s">
        <v>131</v>
      </c>
      <c r="C10" s="58" t="s">
        <v>29</v>
      </c>
      <c r="D10" s="11" t="s">
        <v>155</v>
      </c>
      <c r="E10" s="10">
        <v>22</v>
      </c>
      <c r="F10" s="58" t="s">
        <v>11</v>
      </c>
      <c r="G10" s="12">
        <v>1434</v>
      </c>
      <c r="H10" s="12">
        <v>1927</v>
      </c>
      <c r="I10" s="17" t="s">
        <v>159</v>
      </c>
      <c r="J10" s="18">
        <v>19</v>
      </c>
      <c r="K10" s="19">
        <f t="shared" si="0"/>
        <v>175.54680000000002</v>
      </c>
      <c r="L10" s="14"/>
      <c r="M10" s="15">
        <v>16.12</v>
      </c>
      <c r="N10" s="15">
        <v>10.89</v>
      </c>
    </row>
    <row r="11" spans="1:14" s="15" customFormat="1" ht="20.25" customHeight="1" x14ac:dyDescent="0.15">
      <c r="A11" s="60"/>
      <c r="B11" s="9"/>
      <c r="C11" s="58" t="s">
        <v>29</v>
      </c>
      <c r="D11" s="11" t="s">
        <v>156</v>
      </c>
      <c r="E11" s="10">
        <v>22</v>
      </c>
      <c r="F11" s="58" t="s">
        <v>11</v>
      </c>
      <c r="G11" s="12">
        <v>1434</v>
      </c>
      <c r="H11" s="12">
        <v>1927</v>
      </c>
      <c r="I11" s="17" t="s">
        <v>159</v>
      </c>
      <c r="J11" s="18">
        <v>19</v>
      </c>
      <c r="K11" s="19">
        <f t="shared" si="0"/>
        <v>175.54680000000002</v>
      </c>
      <c r="L11" s="14"/>
      <c r="M11" s="15">
        <v>16.12</v>
      </c>
      <c r="N11" s="15">
        <v>10.89</v>
      </c>
    </row>
    <row r="12" spans="1:14" s="15" customFormat="1" ht="20.25" customHeight="1" x14ac:dyDescent="0.15">
      <c r="A12" s="60" t="s">
        <v>160</v>
      </c>
      <c r="B12" s="9" t="s">
        <v>131</v>
      </c>
      <c r="C12" s="58" t="s">
        <v>29</v>
      </c>
      <c r="D12" s="11" t="s">
        <v>155</v>
      </c>
      <c r="E12" s="10">
        <v>22</v>
      </c>
      <c r="F12" s="58" t="s">
        <v>11</v>
      </c>
      <c r="G12" s="12">
        <v>1421</v>
      </c>
      <c r="H12" s="12">
        <v>1763</v>
      </c>
      <c r="I12" s="17" t="s">
        <v>161</v>
      </c>
      <c r="J12" s="18">
        <v>57</v>
      </c>
      <c r="K12" s="19">
        <f t="shared" si="0"/>
        <v>472.73489999999998</v>
      </c>
      <c r="L12" s="14"/>
      <c r="M12" s="15">
        <v>43.41</v>
      </c>
      <c r="N12" s="15">
        <v>10.89</v>
      </c>
    </row>
    <row r="13" spans="1:14" s="15" customFormat="1" ht="20.25" customHeight="1" x14ac:dyDescent="0.15">
      <c r="A13" s="60"/>
      <c r="B13" s="9"/>
      <c r="C13" s="58" t="s">
        <v>29</v>
      </c>
      <c r="D13" s="11" t="s">
        <v>156</v>
      </c>
      <c r="E13" s="10">
        <v>22</v>
      </c>
      <c r="F13" s="58" t="s">
        <v>11</v>
      </c>
      <c r="G13" s="12">
        <v>1421</v>
      </c>
      <c r="H13" s="12">
        <v>1763</v>
      </c>
      <c r="I13" s="17" t="s">
        <v>161</v>
      </c>
      <c r="J13" s="18">
        <v>57</v>
      </c>
      <c r="K13" s="19">
        <f t="shared" si="0"/>
        <v>472.73489999999998</v>
      </c>
      <c r="L13" s="14"/>
      <c r="M13" s="15">
        <v>43.41</v>
      </c>
      <c r="N13" s="15">
        <v>10.89</v>
      </c>
    </row>
    <row r="14" spans="1:14" s="15" customFormat="1" ht="20.25" customHeight="1" x14ac:dyDescent="0.15">
      <c r="A14" s="60" t="s">
        <v>162</v>
      </c>
      <c r="B14" s="9" t="s">
        <v>131</v>
      </c>
      <c r="C14" s="58" t="s">
        <v>29</v>
      </c>
      <c r="D14" s="11" t="s">
        <v>155</v>
      </c>
      <c r="E14" s="10">
        <v>22</v>
      </c>
      <c r="F14" s="58" t="s">
        <v>11</v>
      </c>
      <c r="G14" s="12">
        <v>1434</v>
      </c>
      <c r="H14" s="12">
        <v>1927</v>
      </c>
      <c r="I14" s="17" t="s">
        <v>163</v>
      </c>
      <c r="J14" s="18">
        <v>22</v>
      </c>
      <c r="K14" s="19">
        <f t="shared" si="0"/>
        <v>222.59160000000003</v>
      </c>
      <c r="L14" s="20"/>
      <c r="M14" s="15">
        <v>20.440000000000001</v>
      </c>
      <c r="N14" s="15">
        <v>10.89</v>
      </c>
    </row>
    <row r="15" spans="1:14" s="15" customFormat="1" ht="20.25" customHeight="1" x14ac:dyDescent="0.15">
      <c r="A15" s="60"/>
      <c r="B15" s="9"/>
      <c r="C15" s="58" t="s">
        <v>29</v>
      </c>
      <c r="D15" s="11" t="s">
        <v>156</v>
      </c>
      <c r="E15" s="10">
        <v>22</v>
      </c>
      <c r="F15" s="58" t="s">
        <v>11</v>
      </c>
      <c r="G15" s="12">
        <v>1434</v>
      </c>
      <c r="H15" s="12">
        <v>1927</v>
      </c>
      <c r="I15" s="17" t="s">
        <v>163</v>
      </c>
      <c r="J15" s="18">
        <v>22</v>
      </c>
      <c r="K15" s="19">
        <f t="shared" si="0"/>
        <v>222.59160000000003</v>
      </c>
      <c r="L15" s="20"/>
      <c r="M15" s="15">
        <v>20.440000000000001</v>
      </c>
      <c r="N15" s="15">
        <v>10.89</v>
      </c>
    </row>
    <row r="16" spans="1:14" s="15" customFormat="1" ht="20.25" customHeight="1" x14ac:dyDescent="0.15">
      <c r="A16" s="60" t="s">
        <v>164</v>
      </c>
      <c r="B16" s="9" t="s">
        <v>131</v>
      </c>
      <c r="C16" s="58" t="s">
        <v>29</v>
      </c>
      <c r="D16" s="11" t="s">
        <v>155</v>
      </c>
      <c r="E16" s="10">
        <v>22</v>
      </c>
      <c r="F16" s="58" t="s">
        <v>11</v>
      </c>
      <c r="G16" s="12">
        <v>1421</v>
      </c>
      <c r="H16" s="12">
        <v>1763</v>
      </c>
      <c r="I16" s="17" t="s">
        <v>165</v>
      </c>
      <c r="J16" s="18">
        <v>33</v>
      </c>
      <c r="K16" s="19">
        <f t="shared" si="0"/>
        <v>300.89069999999998</v>
      </c>
      <c r="L16" s="20"/>
      <c r="M16" s="15">
        <v>27.63</v>
      </c>
      <c r="N16" s="15">
        <v>10.89</v>
      </c>
    </row>
    <row r="17" spans="1:14" s="15" customFormat="1" ht="20.25" customHeight="1" x14ac:dyDescent="0.15">
      <c r="A17" s="60"/>
      <c r="B17" s="9"/>
      <c r="C17" s="58" t="s">
        <v>29</v>
      </c>
      <c r="D17" s="11" t="s">
        <v>156</v>
      </c>
      <c r="E17" s="10">
        <v>22</v>
      </c>
      <c r="F17" s="58" t="s">
        <v>11</v>
      </c>
      <c r="G17" s="12">
        <v>1421</v>
      </c>
      <c r="H17" s="12">
        <v>1763</v>
      </c>
      <c r="I17" s="17" t="s">
        <v>165</v>
      </c>
      <c r="J17" s="18">
        <v>33</v>
      </c>
      <c r="K17" s="19">
        <f t="shared" si="0"/>
        <v>300.89069999999998</v>
      </c>
      <c r="L17" s="20"/>
      <c r="M17" s="15">
        <v>27.63</v>
      </c>
      <c r="N17" s="15">
        <v>10.89</v>
      </c>
    </row>
    <row r="18" spans="1:14" s="15" customFormat="1" ht="20.25" customHeight="1" x14ac:dyDescent="0.15">
      <c r="A18" s="60" t="s">
        <v>166</v>
      </c>
      <c r="B18" s="9" t="s">
        <v>131</v>
      </c>
      <c r="C18" s="58" t="s">
        <v>29</v>
      </c>
      <c r="D18" s="11" t="s">
        <v>155</v>
      </c>
      <c r="E18" s="10">
        <v>22</v>
      </c>
      <c r="F18" s="58" t="s">
        <v>11</v>
      </c>
      <c r="G18" s="12">
        <v>1721</v>
      </c>
      <c r="H18" s="12">
        <v>1763</v>
      </c>
      <c r="I18" s="17" t="s">
        <v>167</v>
      </c>
      <c r="J18" s="18">
        <v>40</v>
      </c>
      <c r="K18" s="19">
        <f t="shared" si="0"/>
        <v>335.41200000000003</v>
      </c>
      <c r="L18" s="20"/>
      <c r="M18" s="15">
        <v>30.8</v>
      </c>
      <c r="N18" s="15">
        <v>10.89</v>
      </c>
    </row>
    <row r="19" spans="1:14" s="15" customFormat="1" ht="20.25" customHeight="1" x14ac:dyDescent="0.15">
      <c r="A19" s="60"/>
      <c r="B19" s="9"/>
      <c r="C19" s="58" t="s">
        <v>29</v>
      </c>
      <c r="D19" s="11" t="s">
        <v>156</v>
      </c>
      <c r="E19" s="10">
        <v>22</v>
      </c>
      <c r="F19" s="58" t="s">
        <v>11</v>
      </c>
      <c r="G19" s="12">
        <v>1721</v>
      </c>
      <c r="H19" s="12">
        <v>1763</v>
      </c>
      <c r="I19" s="17" t="s">
        <v>167</v>
      </c>
      <c r="J19" s="18">
        <v>40</v>
      </c>
      <c r="K19" s="19">
        <f t="shared" si="0"/>
        <v>335.41200000000003</v>
      </c>
      <c r="L19" s="20"/>
      <c r="M19" s="15">
        <v>30.8</v>
      </c>
      <c r="N19" s="15">
        <v>10.89</v>
      </c>
    </row>
    <row r="20" spans="1:14" s="15" customFormat="1" ht="20.25" customHeight="1" x14ac:dyDescent="0.15">
      <c r="A20" s="60" t="s">
        <v>168</v>
      </c>
      <c r="B20" s="9" t="s">
        <v>131</v>
      </c>
      <c r="C20" s="58" t="s">
        <v>29</v>
      </c>
      <c r="D20" s="11" t="s">
        <v>155</v>
      </c>
      <c r="E20" s="10">
        <v>22</v>
      </c>
      <c r="F20" s="58" t="s">
        <v>11</v>
      </c>
      <c r="G20" s="12">
        <v>1721</v>
      </c>
      <c r="H20" s="12">
        <v>1763</v>
      </c>
      <c r="I20" s="17" t="s">
        <v>169</v>
      </c>
      <c r="J20" s="18">
        <v>34</v>
      </c>
      <c r="K20" s="19">
        <f t="shared" si="0"/>
        <v>286.40700000000004</v>
      </c>
      <c r="L20" s="20"/>
      <c r="M20" s="15">
        <v>26.3</v>
      </c>
      <c r="N20" s="15">
        <v>10.89</v>
      </c>
    </row>
    <row r="21" spans="1:14" s="15" customFormat="1" ht="20.25" customHeight="1" x14ac:dyDescent="0.15">
      <c r="A21" s="60"/>
      <c r="B21" s="9"/>
      <c r="C21" s="58" t="s">
        <v>29</v>
      </c>
      <c r="D21" s="11" t="s">
        <v>156</v>
      </c>
      <c r="E21" s="10">
        <v>22</v>
      </c>
      <c r="F21" s="58" t="s">
        <v>11</v>
      </c>
      <c r="G21" s="12">
        <v>1721</v>
      </c>
      <c r="H21" s="12">
        <v>1763</v>
      </c>
      <c r="I21" s="17" t="s">
        <v>170</v>
      </c>
      <c r="J21" s="18">
        <v>4</v>
      </c>
      <c r="K21" s="19">
        <f t="shared" si="0"/>
        <v>95.832000000000008</v>
      </c>
      <c r="L21" s="20"/>
      <c r="M21" s="15">
        <v>8.8000000000000007</v>
      </c>
      <c r="N21" s="15">
        <v>10.89</v>
      </c>
    </row>
    <row r="22" spans="1:14" s="15" customFormat="1" ht="20.25" customHeight="1" x14ac:dyDescent="0.15">
      <c r="A22" s="60" t="s">
        <v>171</v>
      </c>
      <c r="B22" s="9" t="s">
        <v>173</v>
      </c>
      <c r="C22" s="58" t="s">
        <v>29</v>
      </c>
      <c r="D22" s="11" t="s">
        <v>188</v>
      </c>
      <c r="E22" s="10">
        <v>22</v>
      </c>
      <c r="F22" s="58"/>
      <c r="G22" s="50">
        <v>1440</v>
      </c>
      <c r="H22" s="50">
        <v>1238</v>
      </c>
      <c r="I22" s="17" t="s">
        <v>189</v>
      </c>
      <c r="J22" s="18">
        <v>15</v>
      </c>
      <c r="K22" s="19">
        <f t="shared" ref="K22:K27" si="1">+M22*N22</f>
        <v>179.685</v>
      </c>
      <c r="L22" s="20"/>
      <c r="M22" s="15">
        <v>16.5</v>
      </c>
      <c r="N22" s="15">
        <v>10.89</v>
      </c>
    </row>
    <row r="23" spans="1:14" s="15" customFormat="1" ht="20.25" customHeight="1" x14ac:dyDescent="0.15">
      <c r="A23" s="60" t="s">
        <v>190</v>
      </c>
      <c r="B23" s="9" t="s">
        <v>173</v>
      </c>
      <c r="C23" s="58" t="s">
        <v>29</v>
      </c>
      <c r="D23" s="11" t="s">
        <v>188</v>
      </c>
      <c r="E23" s="10">
        <v>22</v>
      </c>
      <c r="F23" s="58"/>
      <c r="G23" s="50">
        <v>1967</v>
      </c>
      <c r="H23" s="50">
        <v>1238</v>
      </c>
      <c r="I23" s="17" t="s">
        <v>191</v>
      </c>
      <c r="J23" s="18">
        <v>10</v>
      </c>
      <c r="K23" s="19">
        <f t="shared" si="1"/>
        <v>174.24</v>
      </c>
      <c r="L23" s="20"/>
      <c r="M23" s="15">
        <v>16</v>
      </c>
      <c r="N23" s="15">
        <v>10.89</v>
      </c>
    </row>
    <row r="24" spans="1:14" s="15" customFormat="1" ht="20.25" customHeight="1" x14ac:dyDescent="0.15">
      <c r="A24" s="60" t="s">
        <v>192</v>
      </c>
      <c r="B24" s="9" t="s">
        <v>173</v>
      </c>
      <c r="C24" s="58" t="s">
        <v>29</v>
      </c>
      <c r="D24" s="11" t="s">
        <v>188</v>
      </c>
      <c r="E24" s="10">
        <v>22</v>
      </c>
      <c r="F24" s="58"/>
      <c r="G24" s="50">
        <v>1665</v>
      </c>
      <c r="H24" s="50">
        <v>1238</v>
      </c>
      <c r="I24" s="17" t="s">
        <v>191</v>
      </c>
      <c r="J24" s="18">
        <v>10</v>
      </c>
      <c r="K24" s="19">
        <f t="shared" si="1"/>
        <v>153.54900000000001</v>
      </c>
      <c r="L24" s="20"/>
      <c r="M24" s="15">
        <v>14.1</v>
      </c>
      <c r="N24" s="15">
        <v>10.89</v>
      </c>
    </row>
    <row r="25" spans="1:14" s="15" customFormat="1" ht="20.25" customHeight="1" x14ac:dyDescent="0.15">
      <c r="A25" s="60" t="s">
        <v>193</v>
      </c>
      <c r="B25" s="9" t="s">
        <v>173</v>
      </c>
      <c r="C25" s="58" t="s">
        <v>29</v>
      </c>
      <c r="D25" s="11" t="s">
        <v>188</v>
      </c>
      <c r="E25" s="10">
        <v>22</v>
      </c>
      <c r="F25" s="58"/>
      <c r="G25" s="50">
        <v>1440</v>
      </c>
      <c r="H25" s="50">
        <v>1238</v>
      </c>
      <c r="I25" s="17" t="s">
        <v>194</v>
      </c>
      <c r="J25" s="18">
        <v>30</v>
      </c>
      <c r="K25" s="19">
        <f t="shared" si="1"/>
        <v>359.37</v>
      </c>
      <c r="L25" s="20"/>
      <c r="M25" s="15">
        <v>33</v>
      </c>
      <c r="N25" s="15">
        <v>10.89</v>
      </c>
    </row>
    <row r="26" spans="1:14" s="15" customFormat="1" ht="20.25" customHeight="1" x14ac:dyDescent="0.15">
      <c r="A26" s="60"/>
      <c r="B26" s="9"/>
      <c r="C26" s="58" t="s">
        <v>29</v>
      </c>
      <c r="D26" s="11" t="s">
        <v>195</v>
      </c>
      <c r="E26" s="10">
        <v>22</v>
      </c>
      <c r="F26" s="58"/>
      <c r="G26" s="50">
        <v>559</v>
      </c>
      <c r="H26" s="50">
        <v>1217</v>
      </c>
      <c r="I26" s="17" t="s">
        <v>196</v>
      </c>
      <c r="J26" s="18">
        <v>90</v>
      </c>
      <c r="K26" s="19">
        <f t="shared" si="1"/>
        <v>326.70000000000005</v>
      </c>
      <c r="L26" s="20"/>
      <c r="M26" s="15">
        <v>30</v>
      </c>
      <c r="N26" s="15">
        <v>10.89</v>
      </c>
    </row>
    <row r="27" spans="1:14" s="15" customFormat="1" ht="20.25" customHeight="1" x14ac:dyDescent="0.15">
      <c r="A27" s="60"/>
      <c r="B27" s="9"/>
      <c r="C27" s="58"/>
      <c r="D27" s="11"/>
      <c r="E27" s="10"/>
      <c r="F27" s="58"/>
      <c r="G27" s="50"/>
      <c r="H27" s="50"/>
      <c r="I27" s="17"/>
      <c r="J27" s="18"/>
      <c r="K27" s="19">
        <f t="shared" si="1"/>
        <v>0</v>
      </c>
      <c r="L27" s="20"/>
      <c r="N27" s="15">
        <v>10.89</v>
      </c>
    </row>
    <row r="28" spans="1:14" s="15" customFormat="1" ht="20.25" customHeight="1" x14ac:dyDescent="0.15">
      <c r="A28" s="60"/>
      <c r="B28" s="9"/>
      <c r="C28" s="58"/>
      <c r="D28" s="11"/>
      <c r="E28" s="10"/>
      <c r="F28" s="58"/>
      <c r="G28" s="50"/>
      <c r="H28" s="50"/>
      <c r="I28" s="17"/>
      <c r="J28" s="18"/>
      <c r="K28" s="19">
        <f t="shared" si="0"/>
        <v>0</v>
      </c>
      <c r="L28" s="20"/>
      <c r="N28" s="15">
        <v>10.89</v>
      </c>
    </row>
    <row r="29" spans="1:14" ht="20.25" customHeight="1" x14ac:dyDescent="0.15">
      <c r="A29" s="60"/>
      <c r="B29" s="9"/>
      <c r="C29" s="58"/>
      <c r="D29" s="11"/>
      <c r="E29" s="10"/>
      <c r="F29" s="58"/>
      <c r="G29" s="16"/>
      <c r="H29" s="16"/>
      <c r="I29" s="17"/>
      <c r="J29" s="18"/>
      <c r="K29" s="19">
        <f t="shared" si="0"/>
        <v>0</v>
      </c>
      <c r="L29" s="20"/>
      <c r="N29" s="15">
        <v>10.89</v>
      </c>
    </row>
    <row r="30" spans="1:14" ht="20.25" customHeight="1" thickBot="1" x14ac:dyDescent="0.2">
      <c r="A30" s="56"/>
      <c r="B30" s="21"/>
      <c r="C30" s="59"/>
      <c r="D30" s="22"/>
      <c r="E30" s="23"/>
      <c r="F30" s="23"/>
      <c r="G30" s="24"/>
      <c r="H30" s="24"/>
      <c r="I30" s="25"/>
      <c r="J30" s="46">
        <f>SUM(J8:J29)</f>
        <v>587</v>
      </c>
      <c r="K30" s="47">
        <f>SUM(K8:K29)</f>
        <v>5071.0373999999993</v>
      </c>
      <c r="L30" s="26"/>
    </row>
    <row r="31" spans="1:14" ht="20.25" customHeight="1" thickTop="1" x14ac:dyDescent="0.15">
      <c r="A31" s="60" t="s">
        <v>197</v>
      </c>
      <c r="B31" s="9" t="s">
        <v>57</v>
      </c>
      <c r="C31" s="58" t="s">
        <v>29</v>
      </c>
      <c r="D31" s="11" t="s">
        <v>198</v>
      </c>
      <c r="E31" s="10">
        <v>22</v>
      </c>
      <c r="F31" s="10" t="s">
        <v>11</v>
      </c>
      <c r="G31" s="12">
        <v>665</v>
      </c>
      <c r="H31" s="12">
        <v>1003</v>
      </c>
      <c r="I31" s="17">
        <v>66</v>
      </c>
      <c r="J31" s="18">
        <v>66</v>
      </c>
      <c r="K31" s="19">
        <f t="shared" ref="K31:K46" si="2">+M31*N31</f>
        <v>481.55580000000003</v>
      </c>
      <c r="L31" s="54"/>
      <c r="M31" s="3">
        <v>44.22</v>
      </c>
      <c r="N31" s="15">
        <v>10.89</v>
      </c>
    </row>
    <row r="32" spans="1:14" ht="20.25" customHeight="1" x14ac:dyDescent="0.15">
      <c r="A32" s="60" t="s">
        <v>199</v>
      </c>
      <c r="B32" s="9" t="s">
        <v>184</v>
      </c>
      <c r="C32" s="58" t="s">
        <v>29</v>
      </c>
      <c r="D32" s="11" t="s">
        <v>200</v>
      </c>
      <c r="E32" s="10">
        <v>22</v>
      </c>
      <c r="F32" s="10"/>
      <c r="G32" s="12">
        <v>1716</v>
      </c>
      <c r="H32" s="12">
        <v>1817</v>
      </c>
      <c r="I32" s="17" t="s">
        <v>202</v>
      </c>
      <c r="J32" s="18">
        <v>18</v>
      </c>
      <c r="K32" s="19">
        <f t="shared" si="2"/>
        <v>611.58240000000001</v>
      </c>
      <c r="L32" s="54"/>
      <c r="M32" s="3">
        <v>56.16</v>
      </c>
      <c r="N32" s="15">
        <v>10.89</v>
      </c>
    </row>
    <row r="33" spans="1:14" ht="20.25" customHeight="1" x14ac:dyDescent="0.15">
      <c r="A33" s="61"/>
      <c r="B33" s="9"/>
      <c r="C33" s="58" t="s">
        <v>29</v>
      </c>
      <c r="D33" s="11" t="s">
        <v>201</v>
      </c>
      <c r="E33" s="10">
        <v>22</v>
      </c>
      <c r="F33" s="10"/>
      <c r="G33" s="12">
        <v>451</v>
      </c>
      <c r="H33" s="12">
        <v>1307</v>
      </c>
      <c r="I33" s="17" t="s">
        <v>203</v>
      </c>
      <c r="J33" s="18">
        <v>208</v>
      </c>
      <c r="K33" s="19">
        <f t="shared" si="2"/>
        <v>1065.2598</v>
      </c>
      <c r="L33" s="54"/>
      <c r="M33" s="3">
        <v>97.82</v>
      </c>
      <c r="N33" s="15">
        <v>10.89</v>
      </c>
    </row>
    <row r="34" spans="1:14" ht="20.25" customHeight="1" x14ac:dyDescent="0.15">
      <c r="A34" s="61" t="s">
        <v>204</v>
      </c>
      <c r="B34" s="9" t="s">
        <v>184</v>
      </c>
      <c r="C34" s="58" t="s">
        <v>29</v>
      </c>
      <c r="D34" s="11" t="s">
        <v>200</v>
      </c>
      <c r="E34" s="10">
        <v>22</v>
      </c>
      <c r="F34" s="10"/>
      <c r="G34" s="12">
        <v>1716</v>
      </c>
      <c r="H34" s="12">
        <v>1817</v>
      </c>
      <c r="I34" s="17" t="s">
        <v>205</v>
      </c>
      <c r="J34" s="18">
        <v>20</v>
      </c>
      <c r="K34" s="19">
        <f t="shared" si="2"/>
        <v>679.53600000000006</v>
      </c>
      <c r="L34" s="54"/>
      <c r="M34" s="3">
        <v>62.4</v>
      </c>
      <c r="N34" s="15">
        <v>10.89</v>
      </c>
    </row>
    <row r="35" spans="1:14" ht="20.25" customHeight="1" x14ac:dyDescent="0.15">
      <c r="A35" s="61"/>
      <c r="B35" s="9"/>
      <c r="C35" s="58" t="s">
        <v>29</v>
      </c>
      <c r="D35" s="11" t="s">
        <v>201</v>
      </c>
      <c r="E35" s="10">
        <v>22</v>
      </c>
      <c r="F35" s="10"/>
      <c r="G35" s="12">
        <v>1043</v>
      </c>
      <c r="H35" s="12">
        <v>1817</v>
      </c>
      <c r="I35" s="17" t="s">
        <v>206</v>
      </c>
      <c r="J35" s="18">
        <v>340</v>
      </c>
      <c r="K35" s="19">
        <f t="shared" si="2"/>
        <v>2484.009</v>
      </c>
      <c r="L35" s="54"/>
      <c r="M35" s="3">
        <v>228.1</v>
      </c>
      <c r="N35" s="15">
        <v>10.89</v>
      </c>
    </row>
    <row r="36" spans="1:14" ht="20.25" hidden="1" customHeight="1" x14ac:dyDescent="0.15">
      <c r="A36" s="61"/>
      <c r="B36" s="9"/>
      <c r="C36" s="58"/>
      <c r="D36" s="11"/>
      <c r="E36" s="10"/>
      <c r="F36" s="10"/>
      <c r="G36" s="12"/>
      <c r="H36" s="12"/>
      <c r="I36" s="51"/>
      <c r="J36" s="52"/>
      <c r="K36" s="53">
        <f t="shared" si="2"/>
        <v>0</v>
      </c>
      <c r="L36" s="54"/>
      <c r="N36" s="15">
        <v>10.89</v>
      </c>
    </row>
    <row r="37" spans="1:14" ht="20.25" hidden="1" customHeight="1" x14ac:dyDescent="0.15">
      <c r="A37" s="61"/>
      <c r="B37" s="9"/>
      <c r="C37" s="58"/>
      <c r="D37" s="11"/>
      <c r="E37" s="10"/>
      <c r="F37" s="10"/>
      <c r="G37" s="12"/>
      <c r="H37" s="12"/>
      <c r="I37" s="51"/>
      <c r="J37" s="52"/>
      <c r="K37" s="53">
        <f t="shared" si="2"/>
        <v>0</v>
      </c>
      <c r="L37" s="54"/>
      <c r="N37" s="15">
        <v>10.89</v>
      </c>
    </row>
    <row r="38" spans="1:14" ht="20.25" hidden="1" customHeight="1" x14ac:dyDescent="0.15">
      <c r="A38" s="60"/>
      <c r="B38" s="9"/>
      <c r="C38" s="58"/>
      <c r="D38" s="11"/>
      <c r="E38" s="10"/>
      <c r="F38" s="10"/>
      <c r="G38" s="12"/>
      <c r="H38" s="12"/>
      <c r="I38" s="17"/>
      <c r="J38" s="18"/>
      <c r="K38" s="19">
        <f t="shared" si="2"/>
        <v>0</v>
      </c>
      <c r="L38" s="27"/>
      <c r="N38" s="15">
        <v>10.89</v>
      </c>
    </row>
    <row r="39" spans="1:14" ht="20.25" hidden="1" customHeight="1" x14ac:dyDescent="0.15">
      <c r="A39" s="60"/>
      <c r="B39" s="9"/>
      <c r="C39" s="58"/>
      <c r="D39" s="11"/>
      <c r="E39" s="10"/>
      <c r="F39" s="10"/>
      <c r="G39" s="12"/>
      <c r="H39" s="12"/>
      <c r="I39" s="17"/>
      <c r="J39" s="18"/>
      <c r="K39" s="19">
        <f t="shared" si="2"/>
        <v>0</v>
      </c>
      <c r="L39" s="27"/>
      <c r="N39" s="15">
        <v>10.89</v>
      </c>
    </row>
    <row r="40" spans="1:14" ht="20.25" hidden="1" customHeight="1" x14ac:dyDescent="0.15">
      <c r="A40" s="60"/>
      <c r="B40" s="9"/>
      <c r="C40" s="58"/>
      <c r="D40" s="11"/>
      <c r="E40" s="10"/>
      <c r="F40" s="10"/>
      <c r="G40" s="12"/>
      <c r="H40" s="12"/>
      <c r="I40" s="17"/>
      <c r="J40" s="18"/>
      <c r="K40" s="19">
        <f t="shared" si="2"/>
        <v>0</v>
      </c>
      <c r="L40" s="27"/>
      <c r="N40" s="15">
        <v>10.89</v>
      </c>
    </row>
    <row r="41" spans="1:14" ht="20.25" customHeight="1" x14ac:dyDescent="0.15">
      <c r="A41" s="60"/>
      <c r="B41" s="9"/>
      <c r="C41" s="58"/>
      <c r="D41" s="11"/>
      <c r="E41" s="10"/>
      <c r="F41" s="10"/>
      <c r="G41" s="12"/>
      <c r="H41" s="12"/>
      <c r="I41" s="17"/>
      <c r="J41" s="18"/>
      <c r="K41" s="19">
        <f t="shared" si="2"/>
        <v>0</v>
      </c>
      <c r="L41" s="27"/>
      <c r="N41" s="15">
        <v>10.89</v>
      </c>
    </row>
    <row r="42" spans="1:14" ht="20.25" customHeight="1" x14ac:dyDescent="0.15">
      <c r="A42" s="60"/>
      <c r="B42" s="9"/>
      <c r="C42" s="58"/>
      <c r="D42" s="11"/>
      <c r="E42" s="10"/>
      <c r="F42" s="10"/>
      <c r="G42" s="12"/>
      <c r="H42" s="12"/>
      <c r="I42" s="17"/>
      <c r="J42" s="18"/>
      <c r="K42" s="19">
        <f t="shared" si="2"/>
        <v>0</v>
      </c>
      <c r="L42" s="27"/>
      <c r="N42" s="15">
        <v>10.89</v>
      </c>
    </row>
    <row r="43" spans="1:14" ht="20.25" customHeight="1" x14ac:dyDescent="0.15">
      <c r="A43" s="60"/>
      <c r="B43" s="9"/>
      <c r="C43" s="58"/>
      <c r="D43" s="11"/>
      <c r="E43" s="10"/>
      <c r="F43" s="10"/>
      <c r="G43" s="12"/>
      <c r="H43" s="12"/>
      <c r="I43" s="17"/>
      <c r="J43" s="18"/>
      <c r="K43" s="19">
        <f t="shared" si="2"/>
        <v>0</v>
      </c>
      <c r="L43" s="27"/>
      <c r="N43" s="15">
        <v>10.89</v>
      </c>
    </row>
    <row r="44" spans="1:14" ht="20.25" customHeight="1" x14ac:dyDescent="0.15">
      <c r="A44" s="60"/>
      <c r="B44" s="9"/>
      <c r="C44" s="58"/>
      <c r="D44" s="11"/>
      <c r="E44" s="10"/>
      <c r="F44" s="10"/>
      <c r="G44" s="12"/>
      <c r="H44" s="12"/>
      <c r="I44" s="17"/>
      <c r="J44" s="18"/>
      <c r="K44" s="19">
        <f t="shared" si="2"/>
        <v>0</v>
      </c>
      <c r="L44" s="27"/>
      <c r="N44" s="15">
        <v>10.89</v>
      </c>
    </row>
    <row r="45" spans="1:14" ht="20.25" customHeight="1" x14ac:dyDescent="0.15">
      <c r="A45" s="60"/>
      <c r="B45" s="9"/>
      <c r="C45" s="58"/>
      <c r="D45" s="11"/>
      <c r="E45" s="10"/>
      <c r="F45" s="10"/>
      <c r="G45" s="12"/>
      <c r="H45" s="12"/>
      <c r="I45" s="17"/>
      <c r="J45" s="18"/>
      <c r="K45" s="19">
        <f t="shared" si="2"/>
        <v>0</v>
      </c>
      <c r="L45" s="27"/>
      <c r="N45" s="15">
        <v>10.89</v>
      </c>
    </row>
    <row r="46" spans="1:14" ht="20.25" customHeight="1" x14ac:dyDescent="0.15">
      <c r="A46" s="60"/>
      <c r="B46" s="9"/>
      <c r="C46" s="58"/>
      <c r="D46" s="11"/>
      <c r="E46" s="10"/>
      <c r="F46" s="10"/>
      <c r="G46" s="12"/>
      <c r="H46" s="12"/>
      <c r="I46" s="17"/>
      <c r="J46" s="18"/>
      <c r="K46" s="19">
        <f t="shared" si="2"/>
        <v>0</v>
      </c>
      <c r="L46" s="27"/>
      <c r="N46" s="15">
        <v>10.89</v>
      </c>
    </row>
    <row r="47" spans="1:14" ht="20.25" customHeight="1" x14ac:dyDescent="0.15">
      <c r="A47" s="57"/>
      <c r="B47" s="28"/>
      <c r="C47" s="10"/>
      <c r="D47" s="29"/>
      <c r="E47" s="30"/>
      <c r="F47" s="30"/>
      <c r="G47" s="30"/>
      <c r="H47" s="30"/>
      <c r="I47" s="13"/>
      <c r="J47" s="48">
        <f>SUM(J31:J46)</f>
        <v>652</v>
      </c>
      <c r="K47" s="49">
        <f>SUM(K31:K46)</f>
        <v>5321.9430000000002</v>
      </c>
      <c r="L47" s="31"/>
      <c r="N47" s="32"/>
    </row>
    <row r="48" spans="1:14" ht="20.25" customHeight="1" thickBot="1" x14ac:dyDescent="0.2">
      <c r="A48" s="55"/>
      <c r="B48" s="33"/>
      <c r="C48" s="33"/>
      <c r="D48" s="33"/>
      <c r="E48" s="33"/>
      <c r="F48" s="33"/>
      <c r="G48" s="33"/>
      <c r="H48" s="33"/>
      <c r="I48" s="33"/>
      <c r="J48" s="34"/>
      <c r="K48" s="35"/>
      <c r="L48" s="36"/>
    </row>
    <row r="49" spans="1:12" ht="20.25" customHeight="1" thickBot="1" x14ac:dyDescent="0.2">
      <c r="A49" s="37" t="s">
        <v>19</v>
      </c>
      <c r="B49" s="38" t="s">
        <v>20</v>
      </c>
      <c r="C49" s="77" t="s">
        <v>21</v>
      </c>
      <c r="D49" s="79"/>
      <c r="E49" s="77" t="s">
        <v>22</v>
      </c>
      <c r="F49" s="78"/>
      <c r="G49" s="79"/>
      <c r="H49" s="85" t="s">
        <v>23</v>
      </c>
      <c r="I49" s="86"/>
      <c r="J49" s="77" t="s">
        <v>24</v>
      </c>
      <c r="K49" s="79"/>
      <c r="L49" s="39" t="s">
        <v>13</v>
      </c>
    </row>
    <row r="50" spans="1:12" ht="20.25" customHeight="1" thickBot="1" x14ac:dyDescent="0.2">
      <c r="A50" s="40">
        <f>SUMIF($C$8:$C$48,"U1",$J$8:$J$48)</f>
        <v>0</v>
      </c>
      <c r="B50" s="41">
        <f>SUMIF($C$8:$C$48,"U2",$J$8:$J$48)</f>
        <v>0</v>
      </c>
      <c r="C50" s="77">
        <f>SUMIF($C$8:$C$48,"U3-1",$J$8:$J$48)</f>
        <v>0</v>
      </c>
      <c r="D50" s="79"/>
      <c r="E50" s="77">
        <f>SUMIF($C$8:$C$48,"U3",$J$8:$J$48)</f>
        <v>1239</v>
      </c>
      <c r="F50" s="78"/>
      <c r="G50" s="79"/>
      <c r="H50" s="77">
        <f>SUMIF($C$8:$C$48,"E5",$J$8:$J$48)</f>
        <v>0</v>
      </c>
      <c r="I50" s="79"/>
      <c r="J50" s="77">
        <f>SUM(A50:I50)</f>
        <v>1239</v>
      </c>
      <c r="K50" s="79"/>
      <c r="L50" s="42"/>
    </row>
    <row r="51" spans="1:12" ht="20.25" customHeight="1" thickBot="1" x14ac:dyDescent="0.2">
      <c r="A51" s="43" t="s">
        <v>25</v>
      </c>
      <c r="B51" s="44" t="s">
        <v>26</v>
      </c>
      <c r="C51" s="75">
        <v>13876</v>
      </c>
      <c r="D51" s="76"/>
      <c r="E51" s="77" t="s">
        <v>27</v>
      </c>
      <c r="F51" s="78"/>
      <c r="G51" s="78"/>
      <c r="H51" s="78"/>
      <c r="I51" s="79"/>
      <c r="J51" s="80">
        <v>146744.37</v>
      </c>
      <c r="K51" s="81"/>
      <c r="L51" s="82"/>
    </row>
    <row r="53" spans="1:12" x14ac:dyDescent="0.15">
      <c r="D53" s="45"/>
    </row>
  </sheetData>
  <mergeCells count="26">
    <mergeCell ref="L2:L4"/>
    <mergeCell ref="A1:G3"/>
    <mergeCell ref="H1:H4"/>
    <mergeCell ref="I2:I4"/>
    <mergeCell ref="J2:J4"/>
    <mergeCell ref="K2:K4"/>
    <mergeCell ref="B5:G5"/>
    <mergeCell ref="A6:A7"/>
    <mergeCell ref="B6:B7"/>
    <mergeCell ref="C6:C7"/>
    <mergeCell ref="D6:D7"/>
    <mergeCell ref="E6:E7"/>
    <mergeCell ref="F6:F7"/>
    <mergeCell ref="G6:K6"/>
    <mergeCell ref="C51:D51"/>
    <mergeCell ref="E51:I51"/>
    <mergeCell ref="J51:L51"/>
    <mergeCell ref="L6:L7"/>
    <mergeCell ref="C49:D49"/>
    <mergeCell ref="E49:G49"/>
    <mergeCell ref="H49:I49"/>
    <mergeCell ref="J49:K49"/>
    <mergeCell ref="C50:D50"/>
    <mergeCell ref="E50:G50"/>
    <mergeCell ref="H50:I50"/>
    <mergeCell ref="J50:K50"/>
  </mergeCells>
  <phoneticPr fontId="2" type="noConversion"/>
  <printOptions horizontalCentered="1"/>
  <pageMargins left="0.39370078740157483" right="0.39370078740157483" top="0.74803149606299213" bottom="0.19685039370078741" header="0.31496062992125984" footer="0.15748031496062992"/>
  <pageSetup paperSize="9" scale="84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47"/>
  <sheetViews>
    <sheetView view="pageBreakPreview" topLeftCell="A4" zoomScaleSheetLayoutView="100" workbookViewId="0">
      <selection activeCell="D27" sqref="D27"/>
    </sheetView>
  </sheetViews>
  <sheetFormatPr defaultColWidth="8.88671875" defaultRowHeight="13.5" x14ac:dyDescent="0.15"/>
  <cols>
    <col min="1" max="1" width="8.44140625" style="3" customWidth="1"/>
    <col min="2" max="2" width="14.77734375" style="3" customWidth="1"/>
    <col min="3" max="3" width="4.109375" style="3" customWidth="1"/>
    <col min="4" max="4" width="15.21875" style="3" customWidth="1"/>
    <col min="5" max="5" width="4.44140625" style="3" customWidth="1"/>
    <col min="6" max="6" width="4" style="3" customWidth="1"/>
    <col min="7" max="7" width="5.5546875" style="3" customWidth="1"/>
    <col min="8" max="8" width="5.44140625" style="3" customWidth="1"/>
    <col min="9" max="9" width="7.88671875" style="3" customWidth="1"/>
    <col min="10" max="10" width="7.109375" style="3" customWidth="1"/>
    <col min="11" max="11" width="7.21875" style="3" customWidth="1"/>
    <col min="12" max="12" width="6.77734375" style="3" customWidth="1"/>
    <col min="13" max="16384" width="8.88671875" style="3"/>
  </cols>
  <sheetData>
    <row r="1" spans="1:14" ht="18.75" customHeight="1" x14ac:dyDescent="0.15">
      <c r="A1" s="101" t="s">
        <v>0</v>
      </c>
      <c r="B1" s="102"/>
      <c r="C1" s="102"/>
      <c r="D1" s="102"/>
      <c r="E1" s="102"/>
      <c r="F1" s="102"/>
      <c r="G1" s="103"/>
      <c r="H1" s="107" t="s">
        <v>1</v>
      </c>
      <c r="I1" s="1" t="s">
        <v>2</v>
      </c>
      <c r="J1" s="1" t="s">
        <v>2</v>
      </c>
      <c r="K1" s="1" t="s">
        <v>3</v>
      </c>
      <c r="L1" s="2" t="s">
        <v>4</v>
      </c>
    </row>
    <row r="2" spans="1:14" ht="13.5" customHeight="1" x14ac:dyDescent="0.15">
      <c r="A2" s="104"/>
      <c r="B2" s="105"/>
      <c r="C2" s="105"/>
      <c r="D2" s="105"/>
      <c r="E2" s="105"/>
      <c r="F2" s="105"/>
      <c r="G2" s="106"/>
      <c r="H2" s="108"/>
      <c r="I2" s="110"/>
      <c r="J2" s="110"/>
      <c r="K2" s="110"/>
      <c r="L2" s="98"/>
    </row>
    <row r="3" spans="1:14" ht="13.5" customHeight="1" x14ac:dyDescent="0.15">
      <c r="A3" s="104"/>
      <c r="B3" s="105"/>
      <c r="C3" s="105"/>
      <c r="D3" s="105"/>
      <c r="E3" s="105"/>
      <c r="F3" s="105"/>
      <c r="G3" s="106"/>
      <c r="H3" s="108"/>
      <c r="I3" s="108"/>
      <c r="J3" s="108"/>
      <c r="K3" s="108"/>
      <c r="L3" s="99"/>
    </row>
    <row r="4" spans="1:14" ht="33" customHeight="1" x14ac:dyDescent="0.15">
      <c r="A4" s="4"/>
      <c r="B4" s="5"/>
      <c r="C4" s="5"/>
      <c r="D4" s="5"/>
      <c r="E4" s="5"/>
      <c r="F4" s="5"/>
      <c r="G4" s="5"/>
      <c r="H4" s="109"/>
      <c r="I4" s="109"/>
      <c r="J4" s="109"/>
      <c r="K4" s="109"/>
      <c r="L4" s="100"/>
    </row>
    <row r="5" spans="1:14" ht="17.25" customHeight="1" x14ac:dyDescent="0.15">
      <c r="A5" s="6" t="s">
        <v>5</v>
      </c>
      <c r="B5" s="87">
        <v>46025</v>
      </c>
      <c r="C5" s="88"/>
      <c r="D5" s="88"/>
      <c r="E5" s="88"/>
      <c r="F5" s="88"/>
      <c r="G5" s="88"/>
      <c r="H5" s="5"/>
      <c r="I5" s="5"/>
      <c r="J5" s="5"/>
      <c r="K5" s="5"/>
      <c r="L5" s="7"/>
    </row>
    <row r="6" spans="1:14" ht="13.5" customHeight="1" x14ac:dyDescent="0.15">
      <c r="A6" s="89" t="s">
        <v>6</v>
      </c>
      <c r="B6" s="91" t="s">
        <v>7</v>
      </c>
      <c r="C6" s="91" t="s">
        <v>8</v>
      </c>
      <c r="D6" s="91" t="s">
        <v>9</v>
      </c>
      <c r="E6" s="93" t="s">
        <v>10</v>
      </c>
      <c r="F6" s="93" t="s">
        <v>11</v>
      </c>
      <c r="G6" s="95" t="s">
        <v>12</v>
      </c>
      <c r="H6" s="96"/>
      <c r="I6" s="96"/>
      <c r="J6" s="96"/>
      <c r="K6" s="97"/>
      <c r="L6" s="83" t="s">
        <v>13</v>
      </c>
    </row>
    <row r="7" spans="1:14" x14ac:dyDescent="0.15">
      <c r="A7" s="90"/>
      <c r="B7" s="92"/>
      <c r="C7" s="92"/>
      <c r="D7" s="92"/>
      <c r="E7" s="94"/>
      <c r="F7" s="94"/>
      <c r="G7" s="8" t="s">
        <v>14</v>
      </c>
      <c r="H7" s="8" t="s">
        <v>15</v>
      </c>
      <c r="I7" s="8" t="s">
        <v>16</v>
      </c>
      <c r="J7" s="8" t="s">
        <v>17</v>
      </c>
      <c r="K7" s="8" t="s">
        <v>18</v>
      </c>
      <c r="L7" s="84"/>
    </row>
    <row r="8" spans="1:14" s="15" customFormat="1" ht="20.25" customHeight="1" x14ac:dyDescent="0.15">
      <c r="A8" s="60" t="s">
        <v>207</v>
      </c>
      <c r="B8" s="9" t="s">
        <v>131</v>
      </c>
      <c r="C8" s="58" t="s">
        <v>29</v>
      </c>
      <c r="D8" s="11" t="s">
        <v>155</v>
      </c>
      <c r="E8" s="10">
        <v>22</v>
      </c>
      <c r="F8" s="58" t="s">
        <v>11</v>
      </c>
      <c r="G8" s="12">
        <v>1421</v>
      </c>
      <c r="H8" s="12">
        <v>1763</v>
      </c>
      <c r="I8" s="17" t="s">
        <v>208</v>
      </c>
      <c r="J8" s="18">
        <v>39</v>
      </c>
      <c r="K8" s="19">
        <f>+M8*N8</f>
        <v>323.10630000000003</v>
      </c>
      <c r="L8" s="14"/>
      <c r="M8" s="15">
        <v>29.67</v>
      </c>
      <c r="N8" s="15">
        <v>10.89</v>
      </c>
    </row>
    <row r="9" spans="1:14" s="15" customFormat="1" ht="20.25" customHeight="1" x14ac:dyDescent="0.15">
      <c r="A9" s="60"/>
      <c r="B9" s="9"/>
      <c r="C9" s="58" t="s">
        <v>29</v>
      </c>
      <c r="D9" s="11" t="s">
        <v>156</v>
      </c>
      <c r="E9" s="10">
        <v>22</v>
      </c>
      <c r="F9" s="58" t="s">
        <v>11</v>
      </c>
      <c r="G9" s="12">
        <v>1421</v>
      </c>
      <c r="H9" s="12">
        <v>1763</v>
      </c>
      <c r="I9" s="17" t="s">
        <v>208</v>
      </c>
      <c r="J9" s="18">
        <v>39</v>
      </c>
      <c r="K9" s="19">
        <f t="shared" ref="K9:K23" si="0">+M9*N9</f>
        <v>323.10630000000003</v>
      </c>
      <c r="L9" s="14"/>
      <c r="M9" s="15">
        <v>29.67</v>
      </c>
      <c r="N9" s="15">
        <v>10.89</v>
      </c>
    </row>
    <row r="10" spans="1:14" s="15" customFormat="1" ht="20.25" customHeight="1" x14ac:dyDescent="0.15">
      <c r="A10" s="60" t="s">
        <v>209</v>
      </c>
      <c r="B10" s="9" t="s">
        <v>131</v>
      </c>
      <c r="C10" s="58" t="s">
        <v>29</v>
      </c>
      <c r="D10" s="11" t="s">
        <v>156</v>
      </c>
      <c r="E10" s="10">
        <v>22</v>
      </c>
      <c r="F10" s="58" t="s">
        <v>11</v>
      </c>
      <c r="G10" s="12">
        <v>776</v>
      </c>
      <c r="H10" s="12">
        <v>1763</v>
      </c>
      <c r="I10" s="17" t="s">
        <v>210</v>
      </c>
      <c r="J10" s="18">
        <v>30</v>
      </c>
      <c r="K10" s="19">
        <f t="shared" si="0"/>
        <v>190.57500000000002</v>
      </c>
      <c r="L10" s="14"/>
      <c r="M10" s="15">
        <v>17.5</v>
      </c>
      <c r="N10" s="15">
        <v>10.89</v>
      </c>
    </row>
    <row r="11" spans="1:14" s="15" customFormat="1" ht="20.25" customHeight="1" x14ac:dyDescent="0.15">
      <c r="A11" s="60" t="s">
        <v>211</v>
      </c>
      <c r="B11" s="9" t="s">
        <v>173</v>
      </c>
      <c r="C11" s="58" t="s">
        <v>29</v>
      </c>
      <c r="D11" s="11" t="s">
        <v>195</v>
      </c>
      <c r="E11" s="10">
        <v>22</v>
      </c>
      <c r="F11" s="58"/>
      <c r="G11" s="12">
        <v>304</v>
      </c>
      <c r="H11" s="12">
        <v>967</v>
      </c>
      <c r="I11" s="17" t="s">
        <v>212</v>
      </c>
      <c r="J11" s="18">
        <v>60</v>
      </c>
      <c r="K11" s="19">
        <f t="shared" si="0"/>
        <v>189.48599999999999</v>
      </c>
      <c r="L11" s="14"/>
      <c r="M11" s="15">
        <v>17.399999999999999</v>
      </c>
      <c r="N11" s="15">
        <v>10.89</v>
      </c>
    </row>
    <row r="12" spans="1:14" s="15" customFormat="1" ht="20.25" customHeight="1" x14ac:dyDescent="0.15">
      <c r="A12" s="60" t="s">
        <v>213</v>
      </c>
      <c r="B12" s="9" t="s">
        <v>184</v>
      </c>
      <c r="C12" s="58" t="s">
        <v>29</v>
      </c>
      <c r="D12" s="11" t="s">
        <v>201</v>
      </c>
      <c r="E12" s="10">
        <v>22</v>
      </c>
      <c r="F12" s="58"/>
      <c r="G12" s="12">
        <v>760</v>
      </c>
      <c r="H12" s="12">
        <v>1817</v>
      </c>
      <c r="I12" s="17" t="s">
        <v>214</v>
      </c>
      <c r="J12" s="18">
        <v>130</v>
      </c>
      <c r="K12" s="19">
        <f t="shared" si="0"/>
        <v>1087.9110000000001</v>
      </c>
      <c r="L12" s="14"/>
      <c r="M12" s="15">
        <v>99.9</v>
      </c>
      <c r="N12" s="15">
        <v>10.89</v>
      </c>
    </row>
    <row r="13" spans="1:14" s="15" customFormat="1" ht="20.25" customHeight="1" x14ac:dyDescent="0.15">
      <c r="A13" s="60"/>
      <c r="B13" s="9"/>
      <c r="C13" s="58" t="s">
        <v>29</v>
      </c>
      <c r="D13" s="11" t="s">
        <v>195</v>
      </c>
      <c r="E13" s="10">
        <v>22</v>
      </c>
      <c r="F13" s="58"/>
      <c r="G13" s="12">
        <v>1716</v>
      </c>
      <c r="H13" s="12">
        <v>1817</v>
      </c>
      <c r="I13" s="17" t="s">
        <v>215</v>
      </c>
      <c r="J13" s="18">
        <v>150</v>
      </c>
      <c r="K13" s="19">
        <f t="shared" si="0"/>
        <v>1363.4280000000001</v>
      </c>
      <c r="L13" s="14"/>
      <c r="M13" s="15">
        <v>125.2</v>
      </c>
      <c r="N13" s="15">
        <v>10.89</v>
      </c>
    </row>
    <row r="14" spans="1:14" s="15" customFormat="1" ht="20.25" customHeight="1" x14ac:dyDescent="0.15">
      <c r="A14" s="60" t="s">
        <v>216</v>
      </c>
      <c r="B14" s="9" t="s">
        <v>28</v>
      </c>
      <c r="C14" s="58" t="s">
        <v>29</v>
      </c>
      <c r="D14" s="11" t="s">
        <v>217</v>
      </c>
      <c r="E14" s="10">
        <v>22</v>
      </c>
      <c r="F14" s="58" t="s">
        <v>11</v>
      </c>
      <c r="G14" s="12">
        <v>762</v>
      </c>
      <c r="H14" s="12">
        <v>1870</v>
      </c>
      <c r="I14" s="17" t="s">
        <v>218</v>
      </c>
      <c r="J14" s="18">
        <v>3</v>
      </c>
      <c r="K14" s="19">
        <f t="shared" si="0"/>
        <v>26.135999999999999</v>
      </c>
      <c r="L14" s="20"/>
      <c r="M14" s="15">
        <v>2.4</v>
      </c>
      <c r="N14" s="15">
        <v>10.89</v>
      </c>
    </row>
    <row r="15" spans="1:14" s="15" customFormat="1" ht="20.25" customHeight="1" x14ac:dyDescent="0.15">
      <c r="A15" s="60" t="s">
        <v>219</v>
      </c>
      <c r="B15" s="9" t="s">
        <v>220</v>
      </c>
      <c r="C15" s="58" t="s">
        <v>29</v>
      </c>
      <c r="D15" s="11" t="s">
        <v>195</v>
      </c>
      <c r="E15" s="10">
        <v>22</v>
      </c>
      <c r="F15" s="58"/>
      <c r="G15" s="12">
        <v>1650</v>
      </c>
      <c r="H15" s="12">
        <v>1865</v>
      </c>
      <c r="I15" s="17">
        <v>1</v>
      </c>
      <c r="J15" s="18">
        <v>1</v>
      </c>
      <c r="K15" s="19">
        <f t="shared" si="0"/>
        <v>33.541200000000003</v>
      </c>
      <c r="L15" s="20"/>
      <c r="M15" s="15">
        <v>3.08</v>
      </c>
      <c r="N15" s="15">
        <v>10.89</v>
      </c>
    </row>
    <row r="16" spans="1:14" s="15" customFormat="1" ht="20.25" customHeight="1" x14ac:dyDescent="0.15">
      <c r="A16" s="60" t="s">
        <v>221</v>
      </c>
      <c r="B16" s="9" t="s">
        <v>45</v>
      </c>
      <c r="C16" s="58" t="s">
        <v>29</v>
      </c>
      <c r="D16" s="11" t="s">
        <v>222</v>
      </c>
      <c r="E16" s="10">
        <v>28</v>
      </c>
      <c r="F16" s="58" t="s">
        <v>11</v>
      </c>
      <c r="G16" s="12">
        <v>1940</v>
      </c>
      <c r="H16" s="12">
        <v>2065</v>
      </c>
      <c r="I16" s="17">
        <v>1</v>
      </c>
      <c r="J16" s="18">
        <v>1</v>
      </c>
      <c r="K16" s="19">
        <f t="shared" si="0"/>
        <v>43.668900000000001</v>
      </c>
      <c r="L16" s="20"/>
      <c r="M16" s="15">
        <v>4.01</v>
      </c>
      <c r="N16" s="15">
        <v>10.89</v>
      </c>
    </row>
    <row r="17" spans="1:14" s="15" customFormat="1" ht="20.25" customHeight="1" x14ac:dyDescent="0.15">
      <c r="A17" s="60" t="s">
        <v>223</v>
      </c>
      <c r="B17" s="9" t="s">
        <v>66</v>
      </c>
      <c r="C17" s="58" t="s">
        <v>29</v>
      </c>
      <c r="D17" s="11" t="s">
        <v>217</v>
      </c>
      <c r="E17" s="10">
        <v>22</v>
      </c>
      <c r="F17" s="58" t="s">
        <v>11</v>
      </c>
      <c r="G17" s="12">
        <v>1643</v>
      </c>
      <c r="H17" s="12">
        <v>1962</v>
      </c>
      <c r="I17" s="17" t="s">
        <v>218</v>
      </c>
      <c r="J17" s="18">
        <v>3</v>
      </c>
      <c r="K17" s="19">
        <f t="shared" si="0"/>
        <v>57.825899999999997</v>
      </c>
      <c r="L17" s="20"/>
      <c r="M17" s="15">
        <v>5.31</v>
      </c>
      <c r="N17" s="15">
        <v>10.89</v>
      </c>
    </row>
    <row r="18" spans="1:14" s="15" customFormat="1" ht="20.25" customHeight="1" x14ac:dyDescent="0.15">
      <c r="A18" s="60"/>
      <c r="B18" s="9"/>
      <c r="C18" s="58" t="s">
        <v>29</v>
      </c>
      <c r="D18" s="11" t="s">
        <v>224</v>
      </c>
      <c r="E18" s="10">
        <v>22</v>
      </c>
      <c r="F18" s="58" t="s">
        <v>11</v>
      </c>
      <c r="G18" s="12">
        <v>771</v>
      </c>
      <c r="H18" s="12">
        <v>1962</v>
      </c>
      <c r="I18" s="17">
        <v>1</v>
      </c>
      <c r="J18" s="18">
        <v>1</v>
      </c>
      <c r="K18" s="19">
        <f t="shared" si="0"/>
        <v>6.3162000000000003</v>
      </c>
      <c r="L18" s="20"/>
      <c r="M18" s="15">
        <v>0.57999999999999996</v>
      </c>
      <c r="N18" s="15">
        <v>10.89</v>
      </c>
    </row>
    <row r="19" spans="1:14" s="15" customFormat="1" ht="20.25" customHeight="1" x14ac:dyDescent="0.15">
      <c r="A19" s="60" t="s">
        <v>225</v>
      </c>
      <c r="B19" s="9" t="s">
        <v>176</v>
      </c>
      <c r="C19" s="58" t="s">
        <v>29</v>
      </c>
      <c r="D19" s="11" t="s">
        <v>226</v>
      </c>
      <c r="E19" s="10">
        <v>24</v>
      </c>
      <c r="F19" s="58" t="s">
        <v>11</v>
      </c>
      <c r="G19" s="12">
        <v>830</v>
      </c>
      <c r="H19" s="12">
        <v>480</v>
      </c>
      <c r="I19" s="17">
        <v>1</v>
      </c>
      <c r="J19" s="18">
        <v>1</v>
      </c>
      <c r="K19" s="19">
        <f t="shared" si="0"/>
        <v>4.3560000000000008</v>
      </c>
      <c r="L19" s="20"/>
      <c r="M19" s="15">
        <v>0.4</v>
      </c>
      <c r="N19" s="15">
        <v>10.89</v>
      </c>
    </row>
    <row r="20" spans="1:14" s="15" customFormat="1" ht="20.25" customHeight="1" x14ac:dyDescent="0.15">
      <c r="A20" s="60" t="s">
        <v>227</v>
      </c>
      <c r="B20" s="9" t="s">
        <v>228</v>
      </c>
      <c r="C20" s="58" t="s">
        <v>29</v>
      </c>
      <c r="D20" s="11" t="s">
        <v>229</v>
      </c>
      <c r="E20" s="10">
        <v>24</v>
      </c>
      <c r="F20" s="58" t="s">
        <v>11</v>
      </c>
      <c r="G20" s="12">
        <v>812</v>
      </c>
      <c r="H20" s="12">
        <v>1602</v>
      </c>
      <c r="I20" s="17">
        <v>2</v>
      </c>
      <c r="J20" s="18">
        <v>2</v>
      </c>
      <c r="K20" s="19">
        <f t="shared" si="0"/>
        <v>28.314000000000004</v>
      </c>
      <c r="L20" s="20"/>
      <c r="M20" s="15">
        <v>2.6</v>
      </c>
      <c r="N20" s="15">
        <v>10.89</v>
      </c>
    </row>
    <row r="21" spans="1:14" s="15" customFormat="1" ht="20.25" customHeight="1" x14ac:dyDescent="0.15">
      <c r="A21" s="60"/>
      <c r="B21" s="9"/>
      <c r="C21" s="58" t="s">
        <v>231</v>
      </c>
      <c r="D21" s="11" t="s">
        <v>230</v>
      </c>
      <c r="E21" s="10">
        <v>24</v>
      </c>
      <c r="F21" s="58" t="s">
        <v>11</v>
      </c>
      <c r="G21" s="50">
        <v>812</v>
      </c>
      <c r="H21" s="50">
        <v>1602</v>
      </c>
      <c r="I21" s="17">
        <v>2</v>
      </c>
      <c r="J21" s="18">
        <v>2</v>
      </c>
      <c r="K21" s="19">
        <f t="shared" si="0"/>
        <v>28.314000000000004</v>
      </c>
      <c r="L21" s="20"/>
      <c r="M21" s="15">
        <v>2.6</v>
      </c>
      <c r="N21" s="15">
        <v>10.89</v>
      </c>
    </row>
    <row r="22" spans="1:14" s="15" customFormat="1" ht="20.25" customHeight="1" x14ac:dyDescent="0.15">
      <c r="A22" s="60"/>
      <c r="B22" s="9"/>
      <c r="C22" s="58"/>
      <c r="D22" s="11"/>
      <c r="E22" s="10"/>
      <c r="F22" s="58"/>
      <c r="G22" s="50"/>
      <c r="H22" s="50"/>
      <c r="I22" s="17"/>
      <c r="J22" s="18"/>
      <c r="K22" s="19">
        <f t="shared" si="0"/>
        <v>0</v>
      </c>
      <c r="L22" s="20"/>
      <c r="N22" s="15">
        <v>10.89</v>
      </c>
    </row>
    <row r="23" spans="1:14" ht="20.25" customHeight="1" x14ac:dyDescent="0.15">
      <c r="A23" s="60"/>
      <c r="B23" s="9"/>
      <c r="C23" s="58"/>
      <c r="D23" s="11"/>
      <c r="E23" s="10"/>
      <c r="F23" s="58"/>
      <c r="G23" s="16"/>
      <c r="H23" s="16"/>
      <c r="I23" s="17"/>
      <c r="J23" s="18"/>
      <c r="K23" s="19">
        <f t="shared" si="0"/>
        <v>0</v>
      </c>
      <c r="L23" s="20"/>
      <c r="N23" s="15">
        <v>10.89</v>
      </c>
    </row>
    <row r="24" spans="1:14" ht="20.25" customHeight="1" thickBot="1" x14ac:dyDescent="0.2">
      <c r="A24" s="56"/>
      <c r="B24" s="21"/>
      <c r="C24" s="59"/>
      <c r="D24" s="22"/>
      <c r="E24" s="23"/>
      <c r="F24" s="23"/>
      <c r="G24" s="24"/>
      <c r="H24" s="24"/>
      <c r="I24" s="25"/>
      <c r="J24" s="46">
        <f>SUM(J8:J23)</f>
        <v>462</v>
      </c>
      <c r="K24" s="47">
        <f>SUM(K8:K23)</f>
        <v>3706.0848000000005</v>
      </c>
      <c r="L24" s="26"/>
    </row>
    <row r="25" spans="1:14" ht="20.25" customHeight="1" thickTop="1" x14ac:dyDescent="0.15">
      <c r="A25" s="60" t="s">
        <v>232</v>
      </c>
      <c r="B25" s="9" t="s">
        <v>57</v>
      </c>
      <c r="C25" s="58" t="s">
        <v>29</v>
      </c>
      <c r="D25" s="11" t="s">
        <v>233</v>
      </c>
      <c r="E25" s="10">
        <v>27.76</v>
      </c>
      <c r="F25" s="10" t="s">
        <v>11</v>
      </c>
      <c r="G25" s="12">
        <v>685</v>
      </c>
      <c r="H25" s="12">
        <v>700</v>
      </c>
      <c r="I25" s="17" t="s">
        <v>234</v>
      </c>
      <c r="J25" s="18">
        <v>244</v>
      </c>
      <c r="K25" s="19">
        <f t="shared" ref="K25:K40" si="1">+M25*N25</f>
        <v>1275.4368000000002</v>
      </c>
      <c r="L25" s="54"/>
      <c r="M25" s="3">
        <v>117.12</v>
      </c>
      <c r="N25" s="15">
        <v>10.89</v>
      </c>
    </row>
    <row r="26" spans="1:14" ht="20.25" customHeight="1" x14ac:dyDescent="0.15">
      <c r="A26" s="60"/>
      <c r="B26" s="9"/>
      <c r="C26" s="58" t="s">
        <v>29</v>
      </c>
      <c r="D26" s="11" t="s">
        <v>198</v>
      </c>
      <c r="E26" s="10">
        <v>22</v>
      </c>
      <c r="F26" s="10" t="s">
        <v>11</v>
      </c>
      <c r="G26" s="12">
        <v>665</v>
      </c>
      <c r="H26" s="12">
        <v>1003</v>
      </c>
      <c r="I26" s="17" t="s">
        <v>235</v>
      </c>
      <c r="J26" s="18">
        <v>178</v>
      </c>
      <c r="K26" s="19">
        <f t="shared" si="1"/>
        <v>1298.7414000000001</v>
      </c>
      <c r="L26" s="54"/>
      <c r="M26" s="3">
        <v>119.26</v>
      </c>
      <c r="N26" s="15">
        <v>10.89</v>
      </c>
    </row>
    <row r="27" spans="1:14" ht="20.25" customHeight="1" x14ac:dyDescent="0.15">
      <c r="A27" s="61" t="s">
        <v>236</v>
      </c>
      <c r="B27" s="9" t="s">
        <v>184</v>
      </c>
      <c r="C27" s="58" t="s">
        <v>29</v>
      </c>
      <c r="D27" s="11" t="s">
        <v>195</v>
      </c>
      <c r="E27" s="10">
        <v>22</v>
      </c>
      <c r="F27" s="10"/>
      <c r="G27" s="12">
        <v>1716</v>
      </c>
      <c r="H27" s="12">
        <v>1817</v>
      </c>
      <c r="I27" s="17" t="s">
        <v>237</v>
      </c>
      <c r="J27" s="18">
        <v>125</v>
      </c>
      <c r="K27" s="19">
        <f t="shared" si="1"/>
        <v>1188.7524000000001</v>
      </c>
      <c r="L27" s="54"/>
      <c r="M27" s="3">
        <v>109.16</v>
      </c>
      <c r="N27" s="15">
        <v>10.89</v>
      </c>
    </row>
    <row r="28" spans="1:14" ht="20.25" customHeight="1" x14ac:dyDescent="0.15">
      <c r="A28" s="61"/>
      <c r="B28" s="9"/>
      <c r="C28" s="58"/>
      <c r="D28" s="11"/>
      <c r="E28" s="10"/>
      <c r="F28" s="10"/>
      <c r="G28" s="12"/>
      <c r="H28" s="12"/>
      <c r="I28" s="17"/>
      <c r="J28" s="18"/>
      <c r="K28" s="19">
        <f t="shared" si="1"/>
        <v>0</v>
      </c>
      <c r="L28" s="54"/>
      <c r="N28" s="15">
        <v>10.89</v>
      </c>
    </row>
    <row r="29" spans="1:14" ht="20.25" customHeight="1" x14ac:dyDescent="0.15">
      <c r="A29" s="61"/>
      <c r="B29" s="9"/>
      <c r="C29" s="58"/>
      <c r="D29" s="11"/>
      <c r="E29" s="10"/>
      <c r="F29" s="10"/>
      <c r="G29" s="12"/>
      <c r="H29" s="12"/>
      <c r="I29" s="17"/>
      <c r="J29" s="18"/>
      <c r="K29" s="19">
        <f t="shared" si="1"/>
        <v>0</v>
      </c>
      <c r="L29" s="54"/>
      <c r="N29" s="15">
        <v>10.89</v>
      </c>
    </row>
    <row r="30" spans="1:14" ht="20.25" customHeight="1" x14ac:dyDescent="0.15">
      <c r="A30" s="61"/>
      <c r="B30" s="9"/>
      <c r="C30" s="58"/>
      <c r="D30" s="11"/>
      <c r="E30" s="10"/>
      <c r="F30" s="10"/>
      <c r="G30" s="12"/>
      <c r="H30" s="12"/>
      <c r="I30" s="51"/>
      <c r="J30" s="52"/>
      <c r="K30" s="53">
        <f t="shared" si="1"/>
        <v>0</v>
      </c>
      <c r="L30" s="54"/>
      <c r="N30" s="15">
        <v>10.89</v>
      </c>
    </row>
    <row r="31" spans="1:14" ht="20.25" customHeight="1" x14ac:dyDescent="0.15">
      <c r="A31" s="61"/>
      <c r="B31" s="9"/>
      <c r="C31" s="58"/>
      <c r="D31" s="11"/>
      <c r="E31" s="10"/>
      <c r="F31" s="10"/>
      <c r="G31" s="12"/>
      <c r="H31" s="12"/>
      <c r="I31" s="51"/>
      <c r="J31" s="52"/>
      <c r="K31" s="53">
        <f t="shared" si="1"/>
        <v>0</v>
      </c>
      <c r="L31" s="54"/>
      <c r="N31" s="15">
        <v>10.89</v>
      </c>
    </row>
    <row r="32" spans="1:14" ht="20.25" customHeight="1" x14ac:dyDescent="0.15">
      <c r="A32" s="60"/>
      <c r="B32" s="9"/>
      <c r="C32" s="58"/>
      <c r="D32" s="11"/>
      <c r="E32" s="10"/>
      <c r="F32" s="10"/>
      <c r="G32" s="12"/>
      <c r="H32" s="12"/>
      <c r="I32" s="17"/>
      <c r="J32" s="18"/>
      <c r="K32" s="19">
        <f t="shared" si="1"/>
        <v>0</v>
      </c>
      <c r="L32" s="27"/>
      <c r="N32" s="15">
        <v>10.89</v>
      </c>
    </row>
    <row r="33" spans="1:14" ht="20.25" customHeight="1" x14ac:dyDescent="0.15">
      <c r="A33" s="60"/>
      <c r="B33" s="9"/>
      <c r="C33" s="58"/>
      <c r="D33" s="11"/>
      <c r="E33" s="10"/>
      <c r="F33" s="10"/>
      <c r="G33" s="12"/>
      <c r="H33" s="12"/>
      <c r="I33" s="17"/>
      <c r="J33" s="18"/>
      <c r="K33" s="19">
        <f t="shared" si="1"/>
        <v>0</v>
      </c>
      <c r="L33" s="27"/>
      <c r="N33" s="15">
        <v>10.89</v>
      </c>
    </row>
    <row r="34" spans="1:14" ht="20.25" customHeight="1" x14ac:dyDescent="0.15">
      <c r="A34" s="60"/>
      <c r="B34" s="9"/>
      <c r="C34" s="58"/>
      <c r="D34" s="11"/>
      <c r="E34" s="10"/>
      <c r="F34" s="10"/>
      <c r="G34" s="12"/>
      <c r="H34" s="12"/>
      <c r="I34" s="17"/>
      <c r="J34" s="18"/>
      <c r="K34" s="19">
        <f t="shared" si="1"/>
        <v>0</v>
      </c>
      <c r="L34" s="27"/>
      <c r="N34" s="15">
        <v>10.89</v>
      </c>
    </row>
    <row r="35" spans="1:14" ht="20.25" customHeight="1" x14ac:dyDescent="0.15">
      <c r="A35" s="60"/>
      <c r="B35" s="9"/>
      <c r="C35" s="58"/>
      <c r="D35" s="11"/>
      <c r="E35" s="10"/>
      <c r="F35" s="10"/>
      <c r="G35" s="12"/>
      <c r="H35" s="12"/>
      <c r="I35" s="17"/>
      <c r="J35" s="18"/>
      <c r="K35" s="19">
        <f t="shared" si="1"/>
        <v>0</v>
      </c>
      <c r="L35" s="27"/>
      <c r="N35" s="15">
        <v>10.89</v>
      </c>
    </row>
    <row r="36" spans="1:14" ht="20.25" customHeight="1" x14ac:dyDescent="0.15">
      <c r="A36" s="60"/>
      <c r="B36" s="9"/>
      <c r="C36" s="58"/>
      <c r="D36" s="11"/>
      <c r="E36" s="10"/>
      <c r="F36" s="10"/>
      <c r="G36" s="12"/>
      <c r="H36" s="12"/>
      <c r="I36" s="17"/>
      <c r="J36" s="18"/>
      <c r="K36" s="19">
        <f t="shared" si="1"/>
        <v>0</v>
      </c>
      <c r="L36" s="27"/>
      <c r="N36" s="15">
        <v>10.89</v>
      </c>
    </row>
    <row r="37" spans="1:14" ht="20.25" customHeight="1" x14ac:dyDescent="0.15">
      <c r="A37" s="60"/>
      <c r="B37" s="9"/>
      <c r="C37" s="58"/>
      <c r="D37" s="11"/>
      <c r="E37" s="10"/>
      <c r="F37" s="10"/>
      <c r="G37" s="12"/>
      <c r="H37" s="12"/>
      <c r="I37" s="17"/>
      <c r="J37" s="18"/>
      <c r="K37" s="19">
        <f t="shared" si="1"/>
        <v>0</v>
      </c>
      <c r="L37" s="27"/>
      <c r="N37" s="15">
        <v>10.89</v>
      </c>
    </row>
    <row r="38" spans="1:14" ht="20.25" customHeight="1" x14ac:dyDescent="0.15">
      <c r="A38" s="60"/>
      <c r="B38" s="9"/>
      <c r="C38" s="58"/>
      <c r="D38" s="11"/>
      <c r="E38" s="10"/>
      <c r="F38" s="10"/>
      <c r="G38" s="12"/>
      <c r="H38" s="12"/>
      <c r="I38" s="17"/>
      <c r="J38" s="18"/>
      <c r="K38" s="19">
        <f t="shared" si="1"/>
        <v>0</v>
      </c>
      <c r="L38" s="27"/>
      <c r="N38" s="15">
        <v>10.89</v>
      </c>
    </row>
    <row r="39" spans="1:14" ht="20.25" customHeight="1" x14ac:dyDescent="0.15">
      <c r="A39" s="60"/>
      <c r="B39" s="9"/>
      <c r="C39" s="58"/>
      <c r="D39" s="11"/>
      <c r="E39" s="10"/>
      <c r="F39" s="10"/>
      <c r="G39" s="12"/>
      <c r="H39" s="12"/>
      <c r="I39" s="17"/>
      <c r="J39" s="18"/>
      <c r="K39" s="19">
        <f t="shared" si="1"/>
        <v>0</v>
      </c>
      <c r="L39" s="27"/>
      <c r="N39" s="15">
        <v>10.89</v>
      </c>
    </row>
    <row r="40" spans="1:14" ht="20.25" customHeight="1" x14ac:dyDescent="0.15">
      <c r="A40" s="60"/>
      <c r="B40" s="9"/>
      <c r="C40" s="58"/>
      <c r="D40" s="11"/>
      <c r="E40" s="10"/>
      <c r="F40" s="10"/>
      <c r="G40" s="12"/>
      <c r="H40" s="12"/>
      <c r="I40" s="17"/>
      <c r="J40" s="18"/>
      <c r="K40" s="19">
        <f t="shared" si="1"/>
        <v>0</v>
      </c>
      <c r="L40" s="27"/>
      <c r="N40" s="15">
        <v>10.89</v>
      </c>
    </row>
    <row r="41" spans="1:14" ht="20.25" customHeight="1" x14ac:dyDescent="0.15">
      <c r="A41" s="57"/>
      <c r="B41" s="28"/>
      <c r="C41" s="10"/>
      <c r="D41" s="29"/>
      <c r="E41" s="30"/>
      <c r="F41" s="30"/>
      <c r="G41" s="30"/>
      <c r="H41" s="30"/>
      <c r="I41" s="13"/>
      <c r="J41" s="48">
        <f>SUM(J25:J40)</f>
        <v>547</v>
      </c>
      <c r="K41" s="49">
        <f>SUM(K25:K40)</f>
        <v>3762.9306000000006</v>
      </c>
      <c r="L41" s="31"/>
      <c r="N41" s="32"/>
    </row>
    <row r="42" spans="1:14" ht="20.25" customHeight="1" thickBot="1" x14ac:dyDescent="0.2">
      <c r="A42" s="55"/>
      <c r="B42" s="33"/>
      <c r="C42" s="33"/>
      <c r="D42" s="33"/>
      <c r="E42" s="33"/>
      <c r="F42" s="33"/>
      <c r="G42" s="33"/>
      <c r="H42" s="33"/>
      <c r="I42" s="33"/>
      <c r="J42" s="34"/>
      <c r="K42" s="35"/>
      <c r="L42" s="36"/>
    </row>
    <row r="43" spans="1:14" ht="20.25" customHeight="1" thickBot="1" x14ac:dyDescent="0.2">
      <c r="A43" s="37" t="s">
        <v>19</v>
      </c>
      <c r="B43" s="38" t="s">
        <v>20</v>
      </c>
      <c r="C43" s="77" t="s">
        <v>21</v>
      </c>
      <c r="D43" s="79"/>
      <c r="E43" s="77" t="s">
        <v>22</v>
      </c>
      <c r="F43" s="78"/>
      <c r="G43" s="79"/>
      <c r="H43" s="85" t="s">
        <v>23</v>
      </c>
      <c r="I43" s="86"/>
      <c r="J43" s="77" t="s">
        <v>24</v>
      </c>
      <c r="K43" s="79"/>
      <c r="L43" s="39" t="s">
        <v>13</v>
      </c>
    </row>
    <row r="44" spans="1:14" ht="20.25" customHeight="1" thickBot="1" x14ac:dyDescent="0.2">
      <c r="A44" s="40">
        <f>SUMIF($C$8:$C$42,"U1",$J$8:$J$42)</f>
        <v>0</v>
      </c>
      <c r="B44" s="41">
        <f>SUMIF($C$8:$C$42,"U2",$J$8:$J$42)</f>
        <v>2</v>
      </c>
      <c r="C44" s="77">
        <f>SUMIF($C$8:$C$42,"U3-1",$J$8:$J$42)</f>
        <v>0</v>
      </c>
      <c r="D44" s="79"/>
      <c r="E44" s="77">
        <f>SUMIF($C$8:$C$42,"U3",$J$8:$J$42)</f>
        <v>1007</v>
      </c>
      <c r="F44" s="78"/>
      <c r="G44" s="79"/>
      <c r="H44" s="77">
        <f>SUMIF($C$8:$C$42,"E5",$J$8:$J$42)</f>
        <v>0</v>
      </c>
      <c r="I44" s="79"/>
      <c r="J44" s="77">
        <f>SUM(A44:I44)</f>
        <v>1009</v>
      </c>
      <c r="K44" s="79"/>
      <c r="L44" s="42"/>
    </row>
    <row r="45" spans="1:14" ht="20.25" customHeight="1" thickBot="1" x14ac:dyDescent="0.2">
      <c r="A45" s="43" t="s">
        <v>25</v>
      </c>
      <c r="B45" s="44" t="s">
        <v>26</v>
      </c>
      <c r="C45" s="75">
        <v>13876</v>
      </c>
      <c r="D45" s="76"/>
      <c r="E45" s="77" t="s">
        <v>27</v>
      </c>
      <c r="F45" s="78"/>
      <c r="G45" s="78"/>
      <c r="H45" s="78"/>
      <c r="I45" s="79"/>
      <c r="J45" s="80">
        <v>146744.37</v>
      </c>
      <c r="K45" s="81"/>
      <c r="L45" s="82"/>
    </row>
    <row r="47" spans="1:14" x14ac:dyDescent="0.15">
      <c r="D47" s="45"/>
    </row>
  </sheetData>
  <mergeCells count="26">
    <mergeCell ref="L2:L4"/>
    <mergeCell ref="A1:G3"/>
    <mergeCell ref="H1:H4"/>
    <mergeCell ref="I2:I4"/>
    <mergeCell ref="J2:J4"/>
    <mergeCell ref="K2:K4"/>
    <mergeCell ref="B5:G5"/>
    <mergeCell ref="A6:A7"/>
    <mergeCell ref="B6:B7"/>
    <mergeCell ref="C6:C7"/>
    <mergeCell ref="D6:D7"/>
    <mergeCell ref="E6:E7"/>
    <mergeCell ref="F6:F7"/>
    <mergeCell ref="G6:K6"/>
    <mergeCell ref="C45:D45"/>
    <mergeCell ref="E45:I45"/>
    <mergeCell ref="J45:L45"/>
    <mergeCell ref="L6:L7"/>
    <mergeCell ref="C43:D43"/>
    <mergeCell ref="E43:G43"/>
    <mergeCell ref="H43:I43"/>
    <mergeCell ref="J43:K43"/>
    <mergeCell ref="C44:D44"/>
    <mergeCell ref="E44:G44"/>
    <mergeCell ref="H44:I44"/>
    <mergeCell ref="J44:K44"/>
  </mergeCells>
  <phoneticPr fontId="2" type="noConversion"/>
  <printOptions horizontalCentered="1"/>
  <pageMargins left="0.39370078740157483" right="0.39370078740157483" top="0.74803149606299213" bottom="0.19685039370078741" header="0.31496062992125984" footer="0.15748031496062992"/>
  <pageSetup paperSize="9" scale="84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47"/>
  <sheetViews>
    <sheetView view="pageBreakPreview" topLeftCell="A4" zoomScaleSheetLayoutView="100" workbookViewId="0">
      <selection activeCell="A33" sqref="A33"/>
    </sheetView>
  </sheetViews>
  <sheetFormatPr defaultColWidth="8.88671875" defaultRowHeight="13.5" x14ac:dyDescent="0.15"/>
  <cols>
    <col min="1" max="1" width="8.44140625" style="3" customWidth="1"/>
    <col min="2" max="2" width="14.77734375" style="3" customWidth="1"/>
    <col min="3" max="3" width="4.109375" style="3" customWidth="1"/>
    <col min="4" max="4" width="15.21875" style="3" customWidth="1"/>
    <col min="5" max="5" width="4.44140625" style="3" customWidth="1"/>
    <col min="6" max="6" width="4" style="3" customWidth="1"/>
    <col min="7" max="7" width="5.5546875" style="3" customWidth="1"/>
    <col min="8" max="8" width="5.44140625" style="3" customWidth="1"/>
    <col min="9" max="9" width="7.88671875" style="3" customWidth="1"/>
    <col min="10" max="10" width="7.109375" style="3" customWidth="1"/>
    <col min="11" max="11" width="7.21875" style="3" customWidth="1"/>
    <col min="12" max="12" width="6.77734375" style="3" customWidth="1"/>
    <col min="13" max="16384" width="8.88671875" style="3"/>
  </cols>
  <sheetData>
    <row r="1" spans="1:14" ht="18.75" customHeight="1" x14ac:dyDescent="0.15">
      <c r="A1" s="101" t="s">
        <v>0</v>
      </c>
      <c r="B1" s="102"/>
      <c r="C1" s="102"/>
      <c r="D1" s="102"/>
      <c r="E1" s="102"/>
      <c r="F1" s="102"/>
      <c r="G1" s="103"/>
      <c r="H1" s="107" t="s">
        <v>1</v>
      </c>
      <c r="I1" s="1" t="s">
        <v>2</v>
      </c>
      <c r="J1" s="1" t="s">
        <v>2</v>
      </c>
      <c r="K1" s="1" t="s">
        <v>3</v>
      </c>
      <c r="L1" s="2" t="s">
        <v>4</v>
      </c>
    </row>
    <row r="2" spans="1:14" ht="13.5" customHeight="1" x14ac:dyDescent="0.15">
      <c r="A2" s="104"/>
      <c r="B2" s="105"/>
      <c r="C2" s="105"/>
      <c r="D2" s="105"/>
      <c r="E2" s="105"/>
      <c r="F2" s="105"/>
      <c r="G2" s="106"/>
      <c r="H2" s="108"/>
      <c r="I2" s="110"/>
      <c r="J2" s="110"/>
      <c r="K2" s="110"/>
      <c r="L2" s="98"/>
    </row>
    <row r="3" spans="1:14" ht="13.5" customHeight="1" x14ac:dyDescent="0.15">
      <c r="A3" s="104"/>
      <c r="B3" s="105"/>
      <c r="C3" s="105"/>
      <c r="D3" s="105"/>
      <c r="E3" s="105"/>
      <c r="F3" s="105"/>
      <c r="G3" s="106"/>
      <c r="H3" s="108"/>
      <c r="I3" s="108"/>
      <c r="J3" s="108"/>
      <c r="K3" s="108"/>
      <c r="L3" s="99"/>
    </row>
    <row r="4" spans="1:14" ht="33" customHeight="1" x14ac:dyDescent="0.15">
      <c r="A4" s="4"/>
      <c r="B4" s="5"/>
      <c r="C4" s="5"/>
      <c r="D4" s="5"/>
      <c r="E4" s="5"/>
      <c r="F4" s="5"/>
      <c r="G4" s="5"/>
      <c r="H4" s="109"/>
      <c r="I4" s="109"/>
      <c r="J4" s="109"/>
      <c r="K4" s="109"/>
      <c r="L4" s="100"/>
    </row>
    <row r="5" spans="1:14" ht="17.25" customHeight="1" x14ac:dyDescent="0.15">
      <c r="A5" s="6" t="s">
        <v>5</v>
      </c>
      <c r="B5" s="87">
        <v>46027</v>
      </c>
      <c r="C5" s="88"/>
      <c r="D5" s="88"/>
      <c r="E5" s="88"/>
      <c r="F5" s="88"/>
      <c r="G5" s="88"/>
      <c r="H5" s="5"/>
      <c r="I5" s="5"/>
      <c r="J5" s="5"/>
      <c r="K5" s="5"/>
      <c r="L5" s="7"/>
    </row>
    <row r="6" spans="1:14" ht="13.5" customHeight="1" x14ac:dyDescent="0.15">
      <c r="A6" s="89" t="s">
        <v>6</v>
      </c>
      <c r="B6" s="91" t="s">
        <v>7</v>
      </c>
      <c r="C6" s="91" t="s">
        <v>8</v>
      </c>
      <c r="D6" s="91" t="s">
        <v>9</v>
      </c>
      <c r="E6" s="93" t="s">
        <v>10</v>
      </c>
      <c r="F6" s="93" t="s">
        <v>11</v>
      </c>
      <c r="G6" s="95" t="s">
        <v>12</v>
      </c>
      <c r="H6" s="96"/>
      <c r="I6" s="96"/>
      <c r="J6" s="96"/>
      <c r="K6" s="97"/>
      <c r="L6" s="83" t="s">
        <v>13</v>
      </c>
    </row>
    <row r="7" spans="1:14" x14ac:dyDescent="0.15">
      <c r="A7" s="90"/>
      <c r="B7" s="92"/>
      <c r="C7" s="92"/>
      <c r="D7" s="92"/>
      <c r="E7" s="94"/>
      <c r="F7" s="94"/>
      <c r="G7" s="8" t="s">
        <v>14</v>
      </c>
      <c r="H7" s="8" t="s">
        <v>15</v>
      </c>
      <c r="I7" s="8" t="s">
        <v>16</v>
      </c>
      <c r="J7" s="8" t="s">
        <v>17</v>
      </c>
      <c r="K7" s="8" t="s">
        <v>18</v>
      </c>
      <c r="L7" s="84"/>
    </row>
    <row r="8" spans="1:14" s="15" customFormat="1" ht="20.25" customHeight="1" x14ac:dyDescent="0.15">
      <c r="A8" s="60" t="s">
        <v>213</v>
      </c>
      <c r="B8" s="9" t="s">
        <v>184</v>
      </c>
      <c r="C8" s="58" t="s">
        <v>29</v>
      </c>
      <c r="D8" s="11" t="s">
        <v>200</v>
      </c>
      <c r="E8" s="10">
        <v>22</v>
      </c>
      <c r="F8" s="10"/>
      <c r="G8" s="12">
        <v>1716</v>
      </c>
      <c r="H8" s="12">
        <v>1817</v>
      </c>
      <c r="I8" s="17" t="s">
        <v>238</v>
      </c>
      <c r="J8" s="18">
        <v>10</v>
      </c>
      <c r="K8" s="19">
        <f>+M8*N8</f>
        <v>339.76800000000003</v>
      </c>
      <c r="L8" s="14"/>
      <c r="M8" s="15">
        <v>31.2</v>
      </c>
      <c r="N8" s="15">
        <v>10.89</v>
      </c>
    </row>
    <row r="9" spans="1:14" s="15" customFormat="1" ht="20.25" customHeight="1" x14ac:dyDescent="0.15">
      <c r="A9" s="60"/>
      <c r="B9" s="9"/>
      <c r="C9" s="58" t="s">
        <v>29</v>
      </c>
      <c r="D9" s="11" t="s">
        <v>201</v>
      </c>
      <c r="E9" s="10">
        <v>22</v>
      </c>
      <c r="F9" s="10"/>
      <c r="G9" s="12">
        <v>351</v>
      </c>
      <c r="H9" s="12">
        <v>947</v>
      </c>
      <c r="I9" s="17" t="s">
        <v>239</v>
      </c>
      <c r="J9" s="18">
        <v>40</v>
      </c>
      <c r="K9" s="19">
        <f t="shared" ref="K9:K23" si="0">+M9*N9</f>
        <v>145.92600000000002</v>
      </c>
      <c r="L9" s="14"/>
      <c r="M9" s="15">
        <v>13.4</v>
      </c>
      <c r="N9" s="15">
        <v>10.89</v>
      </c>
    </row>
    <row r="10" spans="1:14" s="15" customFormat="1" ht="20.25" customHeight="1" x14ac:dyDescent="0.15">
      <c r="A10" s="60" t="s">
        <v>240</v>
      </c>
      <c r="B10" s="9" t="s">
        <v>184</v>
      </c>
      <c r="C10" s="58" t="s">
        <v>29</v>
      </c>
      <c r="D10" s="11" t="s">
        <v>200</v>
      </c>
      <c r="E10" s="10">
        <v>22</v>
      </c>
      <c r="F10" s="10"/>
      <c r="G10" s="12">
        <v>1716</v>
      </c>
      <c r="H10" s="12">
        <v>1817</v>
      </c>
      <c r="I10" s="17" t="s">
        <v>238</v>
      </c>
      <c r="J10" s="18">
        <v>10</v>
      </c>
      <c r="K10" s="19">
        <f t="shared" si="0"/>
        <v>339.76800000000003</v>
      </c>
      <c r="L10" s="14"/>
      <c r="M10" s="15">
        <v>31.2</v>
      </c>
      <c r="N10" s="15">
        <v>10.89</v>
      </c>
    </row>
    <row r="11" spans="1:14" s="15" customFormat="1" ht="20.25" customHeight="1" x14ac:dyDescent="0.15">
      <c r="A11" s="60"/>
      <c r="B11" s="9"/>
      <c r="C11" s="58" t="s">
        <v>29</v>
      </c>
      <c r="D11" s="11" t="s">
        <v>201</v>
      </c>
      <c r="E11" s="10">
        <v>22</v>
      </c>
      <c r="F11" s="10"/>
      <c r="G11" s="12">
        <v>1043</v>
      </c>
      <c r="H11" s="12">
        <v>1817</v>
      </c>
      <c r="I11" s="17" t="s">
        <v>241</v>
      </c>
      <c r="J11" s="18">
        <v>170</v>
      </c>
      <c r="K11" s="19">
        <f t="shared" si="0"/>
        <v>1242.0045</v>
      </c>
      <c r="L11" s="14"/>
      <c r="M11" s="15">
        <v>114.05</v>
      </c>
      <c r="N11" s="15">
        <v>10.89</v>
      </c>
    </row>
    <row r="12" spans="1:14" s="15" customFormat="1" ht="20.25" customHeight="1" x14ac:dyDescent="0.15">
      <c r="A12" s="60"/>
      <c r="B12" s="9"/>
      <c r="C12" s="58" t="s">
        <v>29</v>
      </c>
      <c r="D12" s="11" t="s">
        <v>195</v>
      </c>
      <c r="E12" s="10">
        <v>22</v>
      </c>
      <c r="F12" s="58"/>
      <c r="G12" s="12">
        <v>1716</v>
      </c>
      <c r="H12" s="12">
        <v>1817</v>
      </c>
      <c r="I12" s="17" t="s">
        <v>215</v>
      </c>
      <c r="J12" s="18">
        <v>150</v>
      </c>
      <c r="K12" s="19">
        <f t="shared" si="0"/>
        <v>1331.3025</v>
      </c>
      <c r="L12" s="14"/>
      <c r="M12" s="15">
        <v>122.25</v>
      </c>
      <c r="N12" s="15">
        <v>10.89</v>
      </c>
    </row>
    <row r="13" spans="1:14" s="15" customFormat="1" ht="20.25" customHeight="1" x14ac:dyDescent="0.15">
      <c r="A13" s="60" t="s">
        <v>242</v>
      </c>
      <c r="B13" s="9" t="s">
        <v>80</v>
      </c>
      <c r="C13" s="58" t="s">
        <v>29</v>
      </c>
      <c r="D13" s="11" t="s">
        <v>243</v>
      </c>
      <c r="E13" s="10">
        <v>24</v>
      </c>
      <c r="F13" s="58" t="s">
        <v>11</v>
      </c>
      <c r="G13" s="12">
        <v>1460</v>
      </c>
      <c r="H13" s="12">
        <v>1815</v>
      </c>
      <c r="I13" s="17" t="s">
        <v>244</v>
      </c>
      <c r="J13" s="18">
        <v>60</v>
      </c>
      <c r="K13" s="19">
        <f t="shared" si="0"/>
        <v>819.58140000000014</v>
      </c>
      <c r="L13" s="14"/>
      <c r="M13" s="15">
        <v>75.260000000000005</v>
      </c>
      <c r="N13" s="15">
        <v>10.89</v>
      </c>
    </row>
    <row r="14" spans="1:14" s="15" customFormat="1" ht="20.25" customHeight="1" x14ac:dyDescent="0.15">
      <c r="A14" s="60" t="s">
        <v>245</v>
      </c>
      <c r="B14" s="9" t="s">
        <v>246</v>
      </c>
      <c r="C14" s="58" t="s">
        <v>29</v>
      </c>
      <c r="D14" s="11" t="s">
        <v>247</v>
      </c>
      <c r="E14" s="10">
        <v>24</v>
      </c>
      <c r="F14" s="58" t="s">
        <v>11</v>
      </c>
      <c r="G14" s="12">
        <v>476</v>
      </c>
      <c r="H14" s="12">
        <v>768</v>
      </c>
      <c r="I14" s="17" t="s">
        <v>248</v>
      </c>
      <c r="J14" s="18">
        <v>36</v>
      </c>
      <c r="K14" s="19">
        <f t="shared" si="0"/>
        <v>199.28700000000001</v>
      </c>
      <c r="L14" s="20"/>
      <c r="M14" s="15">
        <v>18.3</v>
      </c>
      <c r="N14" s="15">
        <v>10.89</v>
      </c>
    </row>
    <row r="15" spans="1:14" s="15" customFormat="1" ht="20.25" customHeight="1" x14ac:dyDescent="0.15">
      <c r="A15" s="60"/>
      <c r="B15" s="9"/>
      <c r="C15" s="58"/>
      <c r="D15" s="11"/>
      <c r="E15" s="10"/>
      <c r="F15" s="58"/>
      <c r="G15" s="12"/>
      <c r="H15" s="12"/>
      <c r="I15" s="17"/>
      <c r="J15" s="18"/>
      <c r="K15" s="19">
        <f t="shared" si="0"/>
        <v>0</v>
      </c>
      <c r="L15" s="20"/>
      <c r="N15" s="15">
        <v>10.89</v>
      </c>
    </row>
    <row r="16" spans="1:14" s="15" customFormat="1" ht="20.25" customHeight="1" x14ac:dyDescent="0.15">
      <c r="A16" s="60"/>
      <c r="B16" s="9"/>
      <c r="C16" s="58"/>
      <c r="D16" s="11"/>
      <c r="E16" s="10"/>
      <c r="F16" s="58"/>
      <c r="G16" s="12"/>
      <c r="H16" s="12"/>
      <c r="I16" s="17"/>
      <c r="J16" s="18"/>
      <c r="K16" s="19">
        <f t="shared" si="0"/>
        <v>0</v>
      </c>
      <c r="L16" s="20"/>
      <c r="N16" s="15">
        <v>10.89</v>
      </c>
    </row>
    <row r="17" spans="1:14" s="15" customFormat="1" ht="20.25" customHeight="1" x14ac:dyDescent="0.15">
      <c r="A17" s="60"/>
      <c r="B17" s="9"/>
      <c r="C17" s="58"/>
      <c r="D17" s="11"/>
      <c r="E17" s="10"/>
      <c r="F17" s="58"/>
      <c r="G17" s="12"/>
      <c r="H17" s="12"/>
      <c r="I17" s="17"/>
      <c r="J17" s="18"/>
      <c r="K17" s="19">
        <f t="shared" si="0"/>
        <v>0</v>
      </c>
      <c r="L17" s="20"/>
      <c r="N17" s="15">
        <v>10.89</v>
      </c>
    </row>
    <row r="18" spans="1:14" s="15" customFormat="1" ht="20.25" customHeight="1" x14ac:dyDescent="0.15">
      <c r="A18" s="60"/>
      <c r="B18" s="9"/>
      <c r="C18" s="58"/>
      <c r="D18" s="11"/>
      <c r="E18" s="10"/>
      <c r="F18" s="58"/>
      <c r="G18" s="12"/>
      <c r="H18" s="12"/>
      <c r="I18" s="17"/>
      <c r="J18" s="18"/>
      <c r="K18" s="19">
        <f t="shared" si="0"/>
        <v>0</v>
      </c>
      <c r="L18" s="20"/>
      <c r="N18" s="15">
        <v>10.89</v>
      </c>
    </row>
    <row r="19" spans="1:14" s="15" customFormat="1" ht="20.25" customHeight="1" x14ac:dyDescent="0.15">
      <c r="A19" s="60"/>
      <c r="B19" s="9"/>
      <c r="C19" s="58"/>
      <c r="D19" s="11"/>
      <c r="E19" s="10"/>
      <c r="F19" s="58"/>
      <c r="G19" s="12"/>
      <c r="H19" s="12"/>
      <c r="I19" s="17"/>
      <c r="J19" s="18"/>
      <c r="K19" s="19">
        <f t="shared" si="0"/>
        <v>0</v>
      </c>
      <c r="L19" s="20"/>
      <c r="N19" s="15">
        <v>10.89</v>
      </c>
    </row>
    <row r="20" spans="1:14" s="15" customFormat="1" ht="20.25" customHeight="1" x14ac:dyDescent="0.15">
      <c r="A20" s="60"/>
      <c r="B20" s="9"/>
      <c r="C20" s="58"/>
      <c r="D20" s="11"/>
      <c r="E20" s="10"/>
      <c r="F20" s="58"/>
      <c r="G20" s="12"/>
      <c r="H20" s="12"/>
      <c r="I20" s="17"/>
      <c r="J20" s="18"/>
      <c r="K20" s="19">
        <f t="shared" si="0"/>
        <v>0</v>
      </c>
      <c r="L20" s="20"/>
      <c r="N20" s="15">
        <v>10.89</v>
      </c>
    </row>
    <row r="21" spans="1:14" s="15" customFormat="1" ht="20.25" customHeight="1" x14ac:dyDescent="0.15">
      <c r="A21" s="60"/>
      <c r="B21" s="9"/>
      <c r="C21" s="58"/>
      <c r="D21" s="11"/>
      <c r="E21" s="10"/>
      <c r="F21" s="58"/>
      <c r="G21" s="50"/>
      <c r="H21" s="50"/>
      <c r="I21" s="17"/>
      <c r="J21" s="18"/>
      <c r="K21" s="19">
        <f t="shared" si="0"/>
        <v>0</v>
      </c>
      <c r="L21" s="20"/>
      <c r="N21" s="15">
        <v>10.89</v>
      </c>
    </row>
    <row r="22" spans="1:14" s="15" customFormat="1" ht="20.25" customHeight="1" x14ac:dyDescent="0.15">
      <c r="A22" s="60"/>
      <c r="B22" s="9"/>
      <c r="C22" s="58"/>
      <c r="D22" s="11"/>
      <c r="E22" s="10"/>
      <c r="F22" s="58"/>
      <c r="G22" s="50"/>
      <c r="H22" s="50"/>
      <c r="I22" s="17"/>
      <c r="J22" s="18"/>
      <c r="K22" s="19">
        <f t="shared" si="0"/>
        <v>0</v>
      </c>
      <c r="L22" s="20"/>
      <c r="N22" s="15">
        <v>10.89</v>
      </c>
    </row>
    <row r="23" spans="1:14" ht="20.25" customHeight="1" x14ac:dyDescent="0.15">
      <c r="A23" s="60"/>
      <c r="B23" s="9"/>
      <c r="C23" s="58"/>
      <c r="D23" s="11"/>
      <c r="E23" s="10"/>
      <c r="F23" s="58"/>
      <c r="G23" s="16"/>
      <c r="H23" s="16"/>
      <c r="I23" s="17"/>
      <c r="J23" s="18"/>
      <c r="K23" s="19">
        <f t="shared" si="0"/>
        <v>0</v>
      </c>
      <c r="L23" s="20"/>
      <c r="N23" s="15">
        <v>10.89</v>
      </c>
    </row>
    <row r="24" spans="1:14" ht="20.25" customHeight="1" thickBot="1" x14ac:dyDescent="0.2">
      <c r="A24" s="56"/>
      <c r="B24" s="21"/>
      <c r="C24" s="59"/>
      <c r="D24" s="22"/>
      <c r="E24" s="23"/>
      <c r="F24" s="23"/>
      <c r="G24" s="24"/>
      <c r="H24" s="24"/>
      <c r="I24" s="25"/>
      <c r="J24" s="46">
        <f>SUM(J8:J23)</f>
        <v>476</v>
      </c>
      <c r="K24" s="47">
        <f>SUM(K8:K23)</f>
        <v>4417.6374000000005</v>
      </c>
      <c r="L24" s="26"/>
    </row>
    <row r="25" spans="1:14" ht="20.25" customHeight="1" thickTop="1" x14ac:dyDescent="0.15">
      <c r="A25" s="60" t="s">
        <v>236</v>
      </c>
      <c r="B25" s="9" t="s">
        <v>184</v>
      </c>
      <c r="C25" s="58" t="s">
        <v>29</v>
      </c>
      <c r="D25" s="11" t="s">
        <v>200</v>
      </c>
      <c r="E25" s="10">
        <v>22</v>
      </c>
      <c r="F25" s="10"/>
      <c r="G25" s="12">
        <v>1716</v>
      </c>
      <c r="H25" s="12">
        <v>1817</v>
      </c>
      <c r="I25" s="17" t="s">
        <v>249</v>
      </c>
      <c r="J25" s="18">
        <v>9</v>
      </c>
      <c r="K25" s="19">
        <f t="shared" ref="K25:K40" si="1">+M25*N25</f>
        <v>305.7912</v>
      </c>
      <c r="L25" s="54"/>
      <c r="M25" s="3">
        <v>28.08</v>
      </c>
      <c r="N25" s="15">
        <v>10.89</v>
      </c>
    </row>
    <row r="26" spans="1:14" ht="20.25" customHeight="1" x14ac:dyDescent="0.15">
      <c r="A26" s="60"/>
      <c r="B26" s="9"/>
      <c r="C26" s="58" t="s">
        <v>29</v>
      </c>
      <c r="D26" s="11" t="s">
        <v>201</v>
      </c>
      <c r="E26" s="10">
        <v>22</v>
      </c>
      <c r="F26" s="10"/>
      <c r="G26" s="12">
        <v>760</v>
      </c>
      <c r="H26" s="12">
        <v>1817</v>
      </c>
      <c r="I26" s="17" t="s">
        <v>250</v>
      </c>
      <c r="J26" s="18">
        <v>154</v>
      </c>
      <c r="K26" s="19">
        <f t="shared" si="1"/>
        <v>1116.4428</v>
      </c>
      <c r="L26" s="54"/>
      <c r="M26" s="3">
        <v>102.52</v>
      </c>
      <c r="N26" s="15">
        <v>10.89</v>
      </c>
    </row>
    <row r="27" spans="1:14" ht="20.25" customHeight="1" x14ac:dyDescent="0.15">
      <c r="A27" s="61"/>
      <c r="B27" s="9"/>
      <c r="C27" s="58" t="s">
        <v>29</v>
      </c>
      <c r="D27" s="11" t="s">
        <v>195</v>
      </c>
      <c r="E27" s="10">
        <v>22</v>
      </c>
      <c r="F27" s="58"/>
      <c r="G27" s="12">
        <v>301</v>
      </c>
      <c r="H27" s="12">
        <v>947</v>
      </c>
      <c r="I27" s="17">
        <v>10</v>
      </c>
      <c r="J27" s="18">
        <v>10</v>
      </c>
      <c r="K27" s="19">
        <f t="shared" si="1"/>
        <v>30.492000000000001</v>
      </c>
      <c r="L27" s="54"/>
      <c r="M27" s="3">
        <v>2.8</v>
      </c>
      <c r="N27" s="15">
        <v>10.89</v>
      </c>
    </row>
    <row r="28" spans="1:14" ht="20.25" customHeight="1" x14ac:dyDescent="0.15">
      <c r="A28" s="61" t="s">
        <v>251</v>
      </c>
      <c r="B28" s="9" t="s">
        <v>184</v>
      </c>
      <c r="C28" s="58" t="s">
        <v>29</v>
      </c>
      <c r="D28" s="11" t="s">
        <v>200</v>
      </c>
      <c r="E28" s="10">
        <v>22</v>
      </c>
      <c r="F28" s="10"/>
      <c r="G28" s="12">
        <v>1716</v>
      </c>
      <c r="H28" s="12">
        <v>1817</v>
      </c>
      <c r="I28" s="17" t="s">
        <v>252</v>
      </c>
      <c r="J28" s="18">
        <v>8</v>
      </c>
      <c r="K28" s="19">
        <f t="shared" si="1"/>
        <v>271.81440000000003</v>
      </c>
      <c r="L28" s="54"/>
      <c r="M28" s="3">
        <v>24.96</v>
      </c>
      <c r="N28" s="15">
        <v>10.89</v>
      </c>
    </row>
    <row r="29" spans="1:14" ht="20.25" customHeight="1" x14ac:dyDescent="0.15">
      <c r="A29" s="61"/>
      <c r="B29" s="9"/>
      <c r="C29" s="58" t="s">
        <v>29</v>
      </c>
      <c r="D29" s="11" t="s">
        <v>201</v>
      </c>
      <c r="E29" s="10">
        <v>22</v>
      </c>
      <c r="F29" s="10"/>
      <c r="G29" s="12">
        <v>1043</v>
      </c>
      <c r="H29" s="12">
        <v>1817</v>
      </c>
      <c r="I29" s="17" t="s">
        <v>253</v>
      </c>
      <c r="J29" s="18">
        <v>136</v>
      </c>
      <c r="K29" s="19">
        <f t="shared" si="1"/>
        <v>993.60360000000003</v>
      </c>
      <c r="L29" s="54"/>
      <c r="M29" s="3">
        <v>91.24</v>
      </c>
      <c r="N29" s="15">
        <v>10.89</v>
      </c>
    </row>
    <row r="30" spans="1:14" ht="20.25" customHeight="1" x14ac:dyDescent="0.15">
      <c r="A30" s="61"/>
      <c r="B30" s="9"/>
      <c r="C30" s="58" t="s">
        <v>29</v>
      </c>
      <c r="D30" s="11" t="s">
        <v>195</v>
      </c>
      <c r="E30" s="10">
        <v>22</v>
      </c>
      <c r="F30" s="58"/>
      <c r="G30" s="12">
        <v>1716</v>
      </c>
      <c r="H30" s="12">
        <v>1817</v>
      </c>
      <c r="I30" s="51" t="s">
        <v>254</v>
      </c>
      <c r="J30" s="52">
        <v>120</v>
      </c>
      <c r="K30" s="53">
        <f t="shared" si="1"/>
        <v>1065.0419999999999</v>
      </c>
      <c r="L30" s="54"/>
      <c r="M30" s="3">
        <v>97.8</v>
      </c>
      <c r="N30" s="15">
        <v>10.89</v>
      </c>
    </row>
    <row r="31" spans="1:14" ht="20.25" customHeight="1" x14ac:dyDescent="0.15">
      <c r="A31" s="61" t="s">
        <v>255</v>
      </c>
      <c r="B31" s="9" t="s">
        <v>184</v>
      </c>
      <c r="C31" s="58" t="s">
        <v>29</v>
      </c>
      <c r="D31" s="11" t="s">
        <v>200</v>
      </c>
      <c r="E31" s="10">
        <v>22</v>
      </c>
      <c r="F31" s="10"/>
      <c r="G31" s="12">
        <v>1716</v>
      </c>
      <c r="H31" s="12">
        <v>1817</v>
      </c>
      <c r="I31" s="51" t="s">
        <v>256</v>
      </c>
      <c r="J31" s="52">
        <v>14</v>
      </c>
      <c r="K31" s="53">
        <f t="shared" si="1"/>
        <v>475.67520000000002</v>
      </c>
      <c r="L31" s="54"/>
      <c r="M31" s="3">
        <v>43.68</v>
      </c>
      <c r="N31" s="15">
        <v>10.89</v>
      </c>
    </row>
    <row r="32" spans="1:14" ht="20.25" customHeight="1" x14ac:dyDescent="0.15">
      <c r="A32" s="60"/>
      <c r="B32" s="9"/>
      <c r="C32" s="58" t="s">
        <v>29</v>
      </c>
      <c r="D32" s="11" t="s">
        <v>195</v>
      </c>
      <c r="E32" s="10">
        <v>22</v>
      </c>
      <c r="F32" s="58"/>
      <c r="G32" s="12">
        <v>1716</v>
      </c>
      <c r="H32" s="12">
        <v>1817</v>
      </c>
      <c r="I32" s="17" t="s">
        <v>257</v>
      </c>
      <c r="J32" s="18">
        <v>63</v>
      </c>
      <c r="K32" s="19">
        <f t="shared" si="1"/>
        <v>1078.6545000000001</v>
      </c>
      <c r="L32" s="27"/>
      <c r="M32" s="3">
        <v>99.05</v>
      </c>
      <c r="N32" s="15">
        <v>10.89</v>
      </c>
    </row>
    <row r="33" spans="1:14" ht="20.25" customHeight="1" x14ac:dyDescent="0.15">
      <c r="A33" s="60"/>
      <c r="B33" s="9"/>
      <c r="C33" s="58"/>
      <c r="D33" s="11"/>
      <c r="E33" s="10"/>
      <c r="F33" s="10"/>
      <c r="G33" s="12"/>
      <c r="H33" s="12"/>
      <c r="I33" s="17"/>
      <c r="J33" s="18"/>
      <c r="K33" s="19">
        <f t="shared" si="1"/>
        <v>0</v>
      </c>
      <c r="L33" s="27"/>
      <c r="N33" s="15">
        <v>10.89</v>
      </c>
    </row>
    <row r="34" spans="1:14" ht="20.25" customHeight="1" x14ac:dyDescent="0.15">
      <c r="A34" s="60"/>
      <c r="B34" s="9"/>
      <c r="C34" s="58"/>
      <c r="D34" s="11"/>
      <c r="E34" s="10"/>
      <c r="F34" s="10"/>
      <c r="G34" s="12"/>
      <c r="H34" s="12"/>
      <c r="I34" s="17"/>
      <c r="J34" s="18"/>
      <c r="K34" s="19">
        <f t="shared" si="1"/>
        <v>0</v>
      </c>
      <c r="L34" s="27"/>
      <c r="N34" s="15">
        <v>10.89</v>
      </c>
    </row>
    <row r="35" spans="1:14" ht="20.25" customHeight="1" x14ac:dyDescent="0.15">
      <c r="A35" s="60"/>
      <c r="B35" s="9"/>
      <c r="C35" s="58"/>
      <c r="D35" s="11"/>
      <c r="E35" s="10"/>
      <c r="F35" s="10"/>
      <c r="G35" s="12"/>
      <c r="H35" s="12"/>
      <c r="I35" s="17"/>
      <c r="J35" s="18"/>
      <c r="K35" s="19">
        <f t="shared" si="1"/>
        <v>0</v>
      </c>
      <c r="L35" s="27"/>
      <c r="N35" s="15">
        <v>10.89</v>
      </c>
    </row>
    <row r="36" spans="1:14" ht="20.25" customHeight="1" x14ac:dyDescent="0.15">
      <c r="A36" s="60"/>
      <c r="B36" s="9"/>
      <c r="C36" s="58"/>
      <c r="D36" s="11"/>
      <c r="E36" s="10"/>
      <c r="F36" s="10"/>
      <c r="G36" s="12"/>
      <c r="H36" s="12"/>
      <c r="I36" s="17"/>
      <c r="J36" s="18"/>
      <c r="K36" s="19">
        <f t="shared" si="1"/>
        <v>0</v>
      </c>
      <c r="L36" s="27"/>
      <c r="N36" s="15">
        <v>10.89</v>
      </c>
    </row>
    <row r="37" spans="1:14" ht="20.25" customHeight="1" x14ac:dyDescent="0.15">
      <c r="A37" s="60"/>
      <c r="B37" s="9"/>
      <c r="C37" s="58"/>
      <c r="D37" s="11"/>
      <c r="E37" s="10"/>
      <c r="F37" s="10"/>
      <c r="G37" s="12"/>
      <c r="H37" s="12"/>
      <c r="I37" s="17"/>
      <c r="J37" s="18"/>
      <c r="K37" s="19">
        <f t="shared" si="1"/>
        <v>0</v>
      </c>
      <c r="L37" s="27"/>
      <c r="N37" s="15">
        <v>10.89</v>
      </c>
    </row>
    <row r="38" spans="1:14" ht="20.25" customHeight="1" x14ac:dyDescent="0.15">
      <c r="A38" s="60"/>
      <c r="B38" s="9"/>
      <c r="C38" s="58"/>
      <c r="D38" s="11"/>
      <c r="E38" s="10"/>
      <c r="F38" s="10"/>
      <c r="G38" s="12"/>
      <c r="H38" s="12"/>
      <c r="I38" s="17"/>
      <c r="J38" s="18"/>
      <c r="K38" s="19">
        <f t="shared" si="1"/>
        <v>0</v>
      </c>
      <c r="L38" s="27"/>
      <c r="N38" s="15">
        <v>10.89</v>
      </c>
    </row>
    <row r="39" spans="1:14" ht="20.25" customHeight="1" x14ac:dyDescent="0.15">
      <c r="A39" s="60"/>
      <c r="B39" s="9"/>
      <c r="C39" s="58"/>
      <c r="D39" s="11"/>
      <c r="E39" s="10"/>
      <c r="F39" s="10"/>
      <c r="G39" s="12"/>
      <c r="H39" s="12"/>
      <c r="I39" s="17"/>
      <c r="J39" s="18"/>
      <c r="K39" s="19">
        <f t="shared" si="1"/>
        <v>0</v>
      </c>
      <c r="L39" s="27"/>
      <c r="N39" s="15">
        <v>10.89</v>
      </c>
    </row>
    <row r="40" spans="1:14" ht="20.25" customHeight="1" x14ac:dyDescent="0.15">
      <c r="A40" s="60"/>
      <c r="B40" s="9"/>
      <c r="C40" s="58"/>
      <c r="D40" s="11"/>
      <c r="E40" s="10"/>
      <c r="F40" s="10"/>
      <c r="G40" s="12"/>
      <c r="H40" s="12"/>
      <c r="I40" s="17"/>
      <c r="J40" s="18"/>
      <c r="K40" s="19">
        <f t="shared" si="1"/>
        <v>0</v>
      </c>
      <c r="L40" s="27"/>
      <c r="N40" s="15">
        <v>10.89</v>
      </c>
    </row>
    <row r="41" spans="1:14" ht="20.25" customHeight="1" x14ac:dyDescent="0.15">
      <c r="A41" s="57"/>
      <c r="B41" s="28"/>
      <c r="C41" s="10"/>
      <c r="D41" s="29"/>
      <c r="E41" s="30"/>
      <c r="F41" s="30"/>
      <c r="G41" s="30"/>
      <c r="H41" s="30"/>
      <c r="I41" s="13"/>
      <c r="J41" s="48">
        <f>SUM(J25:J40)</f>
        <v>514</v>
      </c>
      <c r="K41" s="49">
        <f>SUM(K25:K40)</f>
        <v>5337.5156999999999</v>
      </c>
      <c r="L41" s="31"/>
      <c r="N41" s="32"/>
    </row>
    <row r="42" spans="1:14" ht="20.25" customHeight="1" thickBot="1" x14ac:dyDescent="0.2">
      <c r="A42" s="55"/>
      <c r="B42" s="33"/>
      <c r="C42" s="33"/>
      <c r="D42" s="33"/>
      <c r="E42" s="33"/>
      <c r="F42" s="33"/>
      <c r="G42" s="33"/>
      <c r="H42" s="33"/>
      <c r="I42" s="33"/>
      <c r="J42" s="34"/>
      <c r="K42" s="35"/>
      <c r="L42" s="36"/>
    </row>
    <row r="43" spans="1:14" ht="20.25" customHeight="1" thickBot="1" x14ac:dyDescent="0.2">
      <c r="A43" s="37" t="s">
        <v>19</v>
      </c>
      <c r="B43" s="38" t="s">
        <v>20</v>
      </c>
      <c r="C43" s="77" t="s">
        <v>21</v>
      </c>
      <c r="D43" s="79"/>
      <c r="E43" s="77" t="s">
        <v>22</v>
      </c>
      <c r="F43" s="78"/>
      <c r="G43" s="79"/>
      <c r="H43" s="85" t="s">
        <v>23</v>
      </c>
      <c r="I43" s="86"/>
      <c r="J43" s="77" t="s">
        <v>24</v>
      </c>
      <c r="K43" s="79"/>
      <c r="L43" s="39" t="s">
        <v>13</v>
      </c>
    </row>
    <row r="44" spans="1:14" ht="20.25" customHeight="1" thickBot="1" x14ac:dyDescent="0.2">
      <c r="A44" s="40">
        <f>SUMIF($C$8:$C$42,"U1",$J$8:$J$42)</f>
        <v>0</v>
      </c>
      <c r="B44" s="41">
        <f>SUMIF($C$8:$C$42,"U2",$J$8:$J$42)</f>
        <v>0</v>
      </c>
      <c r="C44" s="77">
        <f>SUMIF($C$8:$C$42,"U3-1",$J$8:$J$42)</f>
        <v>0</v>
      </c>
      <c r="D44" s="79"/>
      <c r="E44" s="77">
        <f>SUMIF($C$8:$C$42,"U3",$J$8:$J$42)</f>
        <v>990</v>
      </c>
      <c r="F44" s="78"/>
      <c r="G44" s="79"/>
      <c r="H44" s="77">
        <f>SUMIF($C$8:$C$42,"E5",$J$8:$J$42)</f>
        <v>0</v>
      </c>
      <c r="I44" s="79"/>
      <c r="J44" s="77">
        <f>SUM(A44:I44)</f>
        <v>990</v>
      </c>
      <c r="K44" s="79"/>
      <c r="L44" s="42"/>
    </row>
    <row r="45" spans="1:14" ht="20.25" customHeight="1" thickBot="1" x14ac:dyDescent="0.2">
      <c r="A45" s="43" t="s">
        <v>25</v>
      </c>
      <c r="B45" s="44" t="s">
        <v>26</v>
      </c>
      <c r="C45" s="75">
        <v>13876</v>
      </c>
      <c r="D45" s="76"/>
      <c r="E45" s="77" t="s">
        <v>27</v>
      </c>
      <c r="F45" s="78"/>
      <c r="G45" s="78"/>
      <c r="H45" s="78"/>
      <c r="I45" s="79"/>
      <c r="J45" s="80">
        <v>146744.37</v>
      </c>
      <c r="K45" s="81"/>
      <c r="L45" s="82"/>
    </row>
    <row r="47" spans="1:14" x14ac:dyDescent="0.15">
      <c r="D47" s="45"/>
    </row>
  </sheetData>
  <mergeCells count="26">
    <mergeCell ref="L2:L4"/>
    <mergeCell ref="A1:G3"/>
    <mergeCell ref="H1:H4"/>
    <mergeCell ref="I2:I4"/>
    <mergeCell ref="J2:J4"/>
    <mergeCell ref="K2:K4"/>
    <mergeCell ref="B5:G5"/>
    <mergeCell ref="A6:A7"/>
    <mergeCell ref="B6:B7"/>
    <mergeCell ref="C6:C7"/>
    <mergeCell ref="D6:D7"/>
    <mergeCell ref="E6:E7"/>
    <mergeCell ref="F6:F7"/>
    <mergeCell ref="G6:K6"/>
    <mergeCell ref="C45:D45"/>
    <mergeCell ref="E45:I45"/>
    <mergeCell ref="J45:L45"/>
    <mergeCell ref="L6:L7"/>
    <mergeCell ref="C43:D43"/>
    <mergeCell ref="E43:G43"/>
    <mergeCell ref="H43:I43"/>
    <mergeCell ref="J43:K43"/>
    <mergeCell ref="C44:D44"/>
    <mergeCell ref="E44:G44"/>
    <mergeCell ref="H44:I44"/>
    <mergeCell ref="J44:K44"/>
  </mergeCells>
  <phoneticPr fontId="2" type="noConversion"/>
  <printOptions horizontalCentered="1"/>
  <pageMargins left="0.39370078740157483" right="0.39370078740157483" top="0.74803149606299213" bottom="0.19685039370078741" header="0.31496062992125984" footer="0.15748031496062992"/>
  <pageSetup paperSize="9" scale="84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47"/>
  <sheetViews>
    <sheetView view="pageBreakPreview" topLeftCell="A10" zoomScaleSheetLayoutView="100" workbookViewId="0">
      <selection activeCell="D31" sqref="D31"/>
    </sheetView>
  </sheetViews>
  <sheetFormatPr defaultColWidth="8.88671875" defaultRowHeight="13.5" x14ac:dyDescent="0.15"/>
  <cols>
    <col min="1" max="1" width="8.44140625" style="3" customWidth="1"/>
    <col min="2" max="2" width="14.77734375" style="3" customWidth="1"/>
    <col min="3" max="3" width="4.109375" style="3" customWidth="1"/>
    <col min="4" max="4" width="15.21875" style="3" customWidth="1"/>
    <col min="5" max="5" width="4.44140625" style="3" customWidth="1"/>
    <col min="6" max="6" width="4" style="3" customWidth="1"/>
    <col min="7" max="7" width="5.5546875" style="3" customWidth="1"/>
    <col min="8" max="8" width="5.44140625" style="3" customWidth="1"/>
    <col min="9" max="9" width="7.88671875" style="3" customWidth="1"/>
    <col min="10" max="10" width="7.109375" style="3" customWidth="1"/>
    <col min="11" max="11" width="7.21875" style="3" customWidth="1"/>
    <col min="12" max="12" width="6.77734375" style="3" customWidth="1"/>
    <col min="13" max="16384" width="8.88671875" style="3"/>
  </cols>
  <sheetData>
    <row r="1" spans="1:14" ht="18.75" customHeight="1" x14ac:dyDescent="0.15">
      <c r="A1" s="101" t="s">
        <v>0</v>
      </c>
      <c r="B1" s="102"/>
      <c r="C1" s="102"/>
      <c r="D1" s="102"/>
      <c r="E1" s="102"/>
      <c r="F1" s="102"/>
      <c r="G1" s="103"/>
      <c r="H1" s="107" t="s">
        <v>1</v>
      </c>
      <c r="I1" s="1" t="s">
        <v>2</v>
      </c>
      <c r="J1" s="1" t="s">
        <v>2</v>
      </c>
      <c r="K1" s="1" t="s">
        <v>3</v>
      </c>
      <c r="L1" s="2" t="s">
        <v>4</v>
      </c>
    </row>
    <row r="2" spans="1:14" ht="13.5" customHeight="1" x14ac:dyDescent="0.15">
      <c r="A2" s="104"/>
      <c r="B2" s="105"/>
      <c r="C2" s="105"/>
      <c r="D2" s="105"/>
      <c r="E2" s="105"/>
      <c r="F2" s="105"/>
      <c r="G2" s="106"/>
      <c r="H2" s="108"/>
      <c r="I2" s="110"/>
      <c r="J2" s="110"/>
      <c r="K2" s="110"/>
      <c r="L2" s="98"/>
    </row>
    <row r="3" spans="1:14" ht="13.5" customHeight="1" x14ac:dyDescent="0.15">
      <c r="A3" s="104"/>
      <c r="B3" s="105"/>
      <c r="C3" s="105"/>
      <c r="D3" s="105"/>
      <c r="E3" s="105"/>
      <c r="F3" s="105"/>
      <c r="G3" s="106"/>
      <c r="H3" s="108"/>
      <c r="I3" s="108"/>
      <c r="J3" s="108"/>
      <c r="K3" s="108"/>
      <c r="L3" s="99"/>
    </row>
    <row r="4" spans="1:14" ht="33" customHeight="1" x14ac:dyDescent="0.15">
      <c r="A4" s="4"/>
      <c r="B4" s="5"/>
      <c r="C4" s="5"/>
      <c r="D4" s="5"/>
      <c r="E4" s="5"/>
      <c r="F4" s="5"/>
      <c r="G4" s="5"/>
      <c r="H4" s="109"/>
      <c r="I4" s="109"/>
      <c r="J4" s="109"/>
      <c r="K4" s="109"/>
      <c r="L4" s="100"/>
    </row>
    <row r="5" spans="1:14" ht="17.25" customHeight="1" x14ac:dyDescent="0.15">
      <c r="A5" s="6" t="s">
        <v>5</v>
      </c>
      <c r="B5" s="87">
        <v>46028</v>
      </c>
      <c r="C5" s="88"/>
      <c r="D5" s="88"/>
      <c r="E5" s="88"/>
      <c r="F5" s="88"/>
      <c r="G5" s="88"/>
      <c r="H5" s="5"/>
      <c r="I5" s="5"/>
      <c r="J5" s="5"/>
      <c r="K5" s="5"/>
      <c r="L5" s="7"/>
    </row>
    <row r="6" spans="1:14" ht="13.5" customHeight="1" x14ac:dyDescent="0.15">
      <c r="A6" s="89" t="s">
        <v>6</v>
      </c>
      <c r="B6" s="91" t="s">
        <v>7</v>
      </c>
      <c r="C6" s="91" t="s">
        <v>8</v>
      </c>
      <c r="D6" s="91" t="s">
        <v>9</v>
      </c>
      <c r="E6" s="93" t="s">
        <v>10</v>
      </c>
      <c r="F6" s="93" t="s">
        <v>11</v>
      </c>
      <c r="G6" s="95" t="s">
        <v>12</v>
      </c>
      <c r="H6" s="96"/>
      <c r="I6" s="96"/>
      <c r="J6" s="96"/>
      <c r="K6" s="97"/>
      <c r="L6" s="83" t="s">
        <v>13</v>
      </c>
    </row>
    <row r="7" spans="1:14" x14ac:dyDescent="0.15">
      <c r="A7" s="90"/>
      <c r="B7" s="92"/>
      <c r="C7" s="92"/>
      <c r="D7" s="92"/>
      <c r="E7" s="94"/>
      <c r="F7" s="94"/>
      <c r="G7" s="8" t="s">
        <v>14</v>
      </c>
      <c r="H7" s="8" t="s">
        <v>15</v>
      </c>
      <c r="I7" s="8" t="s">
        <v>16</v>
      </c>
      <c r="J7" s="8" t="s">
        <v>17</v>
      </c>
      <c r="K7" s="8" t="s">
        <v>18</v>
      </c>
      <c r="L7" s="84"/>
    </row>
    <row r="8" spans="1:14" s="15" customFormat="1" ht="20.25" customHeight="1" x14ac:dyDescent="0.15">
      <c r="A8" s="60" t="s">
        <v>258</v>
      </c>
      <c r="B8" s="9" t="s">
        <v>178</v>
      </c>
      <c r="C8" s="58" t="s">
        <v>29</v>
      </c>
      <c r="D8" s="11" t="s">
        <v>247</v>
      </c>
      <c r="E8" s="10">
        <v>24</v>
      </c>
      <c r="F8" s="58" t="s">
        <v>11</v>
      </c>
      <c r="G8" s="12">
        <v>1053</v>
      </c>
      <c r="H8" s="12">
        <v>1913</v>
      </c>
      <c r="I8" s="17" t="s">
        <v>259</v>
      </c>
      <c r="J8" s="18">
        <v>128</v>
      </c>
      <c r="K8" s="19">
        <f>+M8*N8</f>
        <v>2522.9952000000003</v>
      </c>
      <c r="L8" s="14"/>
      <c r="M8" s="15">
        <v>231.68</v>
      </c>
      <c r="N8" s="15">
        <v>10.89</v>
      </c>
    </row>
    <row r="9" spans="1:14" s="15" customFormat="1" ht="20.25" customHeight="1" x14ac:dyDescent="0.15">
      <c r="A9" s="60" t="s">
        <v>260</v>
      </c>
      <c r="B9" s="9" t="s">
        <v>178</v>
      </c>
      <c r="C9" s="58" t="s">
        <v>29</v>
      </c>
      <c r="D9" s="11" t="s">
        <v>247</v>
      </c>
      <c r="E9" s="10">
        <v>24</v>
      </c>
      <c r="F9" s="58" t="s">
        <v>11</v>
      </c>
      <c r="G9" s="12">
        <v>1053</v>
      </c>
      <c r="H9" s="12">
        <v>1913</v>
      </c>
      <c r="I9" s="17" t="s">
        <v>261</v>
      </c>
      <c r="J9" s="18">
        <v>137</v>
      </c>
      <c r="K9" s="19">
        <f t="shared" ref="K9:K23" si="0">+M9*N9</f>
        <v>2575.8117000000002</v>
      </c>
      <c r="L9" s="14"/>
      <c r="M9" s="15">
        <v>236.53</v>
      </c>
      <c r="N9" s="15">
        <v>10.89</v>
      </c>
    </row>
    <row r="10" spans="1:14" s="15" customFormat="1" ht="20.25" customHeight="1" x14ac:dyDescent="0.15">
      <c r="A10" s="60" t="s">
        <v>262</v>
      </c>
      <c r="B10" s="9" t="s">
        <v>178</v>
      </c>
      <c r="C10" s="58" t="s">
        <v>29</v>
      </c>
      <c r="D10" s="11" t="s">
        <v>247</v>
      </c>
      <c r="E10" s="10">
        <v>24</v>
      </c>
      <c r="F10" s="58" t="s">
        <v>11</v>
      </c>
      <c r="G10" s="12">
        <v>948</v>
      </c>
      <c r="H10" s="12">
        <v>1943</v>
      </c>
      <c r="I10" s="17" t="s">
        <v>264</v>
      </c>
      <c r="J10" s="18">
        <v>72</v>
      </c>
      <c r="K10" s="19">
        <f t="shared" si="0"/>
        <v>1312.0272000000002</v>
      </c>
      <c r="L10" s="14"/>
      <c r="M10" s="15">
        <v>120.48</v>
      </c>
      <c r="N10" s="15">
        <v>10.89</v>
      </c>
    </row>
    <row r="11" spans="1:14" s="15" customFormat="1" ht="20.25" customHeight="1" x14ac:dyDescent="0.15">
      <c r="A11" s="60" t="s">
        <v>263</v>
      </c>
      <c r="B11" s="9" t="s">
        <v>178</v>
      </c>
      <c r="C11" s="58" t="s">
        <v>29</v>
      </c>
      <c r="D11" s="11" t="s">
        <v>247</v>
      </c>
      <c r="E11" s="10">
        <v>24</v>
      </c>
      <c r="F11" s="58" t="s">
        <v>11</v>
      </c>
      <c r="G11" s="12">
        <v>1053</v>
      </c>
      <c r="H11" s="12">
        <v>1983</v>
      </c>
      <c r="I11" s="17" t="s">
        <v>277</v>
      </c>
      <c r="J11" s="18">
        <v>142</v>
      </c>
      <c r="K11" s="19">
        <f t="shared" si="0"/>
        <v>2378.1581999999999</v>
      </c>
      <c r="L11" s="14"/>
      <c r="M11" s="15">
        <v>218.38</v>
      </c>
      <c r="N11" s="15">
        <v>10.89</v>
      </c>
    </row>
    <row r="12" spans="1:14" s="15" customFormat="1" ht="20.25" customHeight="1" x14ac:dyDescent="0.15">
      <c r="A12" s="60" t="s">
        <v>265</v>
      </c>
      <c r="B12" s="9" t="s">
        <v>36</v>
      </c>
      <c r="C12" s="58" t="s">
        <v>29</v>
      </c>
      <c r="D12" s="11" t="s">
        <v>195</v>
      </c>
      <c r="E12" s="10">
        <v>22</v>
      </c>
      <c r="F12" s="58"/>
      <c r="G12" s="12">
        <v>625</v>
      </c>
      <c r="H12" s="12">
        <v>2253</v>
      </c>
      <c r="I12" s="17">
        <v>1</v>
      </c>
      <c r="J12" s="18">
        <v>1</v>
      </c>
      <c r="K12" s="19">
        <f t="shared" si="0"/>
        <v>15.354900000000001</v>
      </c>
      <c r="L12" s="14"/>
      <c r="M12" s="15">
        <v>1.41</v>
      </c>
      <c r="N12" s="15">
        <v>10.89</v>
      </c>
    </row>
    <row r="13" spans="1:14" s="15" customFormat="1" ht="20.25" customHeight="1" x14ac:dyDescent="0.15">
      <c r="A13" s="60" t="s">
        <v>266</v>
      </c>
      <c r="B13" s="9" t="s">
        <v>176</v>
      </c>
      <c r="C13" s="58" t="s">
        <v>29</v>
      </c>
      <c r="D13" s="11" t="s">
        <v>226</v>
      </c>
      <c r="E13" s="10">
        <v>24</v>
      </c>
      <c r="F13" s="58" t="s">
        <v>11</v>
      </c>
      <c r="G13" s="12">
        <v>830</v>
      </c>
      <c r="H13" s="12">
        <v>480</v>
      </c>
      <c r="I13" s="17">
        <v>1</v>
      </c>
      <c r="J13" s="18">
        <v>1</v>
      </c>
      <c r="K13" s="19">
        <f t="shared" si="0"/>
        <v>4.3560000000000008</v>
      </c>
      <c r="L13" s="14"/>
      <c r="M13" s="15">
        <v>0.4</v>
      </c>
      <c r="N13" s="15">
        <v>10.89</v>
      </c>
    </row>
    <row r="14" spans="1:14" s="15" customFormat="1" ht="20.25" customHeight="1" x14ac:dyDescent="0.15">
      <c r="A14" s="60" t="s">
        <v>267</v>
      </c>
      <c r="B14" s="9" t="s">
        <v>268</v>
      </c>
      <c r="C14" s="58" t="s">
        <v>273</v>
      </c>
      <c r="D14" s="11" t="s">
        <v>269</v>
      </c>
      <c r="E14" s="10">
        <v>17</v>
      </c>
      <c r="F14" s="58"/>
      <c r="G14" s="12">
        <v>2090</v>
      </c>
      <c r="H14" s="12">
        <v>2045</v>
      </c>
      <c r="I14" s="17">
        <v>1</v>
      </c>
      <c r="J14" s="18">
        <v>1</v>
      </c>
      <c r="K14" s="19">
        <f t="shared" si="0"/>
        <v>46.500299999999996</v>
      </c>
      <c r="L14" s="20"/>
      <c r="M14" s="15">
        <v>4.2699999999999996</v>
      </c>
      <c r="N14" s="15">
        <v>10.89</v>
      </c>
    </row>
    <row r="15" spans="1:14" s="15" customFormat="1" ht="20.25" customHeight="1" x14ac:dyDescent="0.15">
      <c r="A15" s="60" t="s">
        <v>270</v>
      </c>
      <c r="B15" s="9" t="s">
        <v>271</v>
      </c>
      <c r="C15" s="58" t="s">
        <v>29</v>
      </c>
      <c r="D15" s="11" t="s">
        <v>272</v>
      </c>
      <c r="E15" s="10">
        <v>22</v>
      </c>
      <c r="F15" s="58"/>
      <c r="G15" s="12">
        <v>1027</v>
      </c>
      <c r="H15" s="12">
        <v>453</v>
      </c>
      <c r="I15" s="17">
        <v>1</v>
      </c>
      <c r="J15" s="18">
        <v>1</v>
      </c>
      <c r="K15" s="19">
        <f t="shared" si="0"/>
        <v>5.1182999999999996</v>
      </c>
      <c r="L15" s="20"/>
      <c r="M15" s="15">
        <v>0.47</v>
      </c>
      <c r="N15" s="15">
        <v>10.89</v>
      </c>
    </row>
    <row r="16" spans="1:14" s="15" customFormat="1" ht="20.25" customHeight="1" x14ac:dyDescent="0.15">
      <c r="A16" s="60" t="s">
        <v>274</v>
      </c>
      <c r="B16" s="9" t="s">
        <v>275</v>
      </c>
      <c r="C16" s="58" t="s">
        <v>29</v>
      </c>
      <c r="D16" s="11" t="s">
        <v>276</v>
      </c>
      <c r="E16" s="10">
        <v>24</v>
      </c>
      <c r="F16" s="58" t="s">
        <v>11</v>
      </c>
      <c r="G16" s="12">
        <v>1076</v>
      </c>
      <c r="H16" s="12">
        <v>2055</v>
      </c>
      <c r="I16" s="17">
        <v>2</v>
      </c>
      <c r="J16" s="18">
        <v>2</v>
      </c>
      <c r="K16" s="19">
        <f t="shared" si="0"/>
        <v>48.133800000000001</v>
      </c>
      <c r="L16" s="20"/>
      <c r="M16" s="15">
        <v>4.42</v>
      </c>
      <c r="N16" s="15">
        <v>10.89</v>
      </c>
    </row>
    <row r="17" spans="1:14" s="15" customFormat="1" ht="20.25" customHeight="1" x14ac:dyDescent="0.15">
      <c r="A17" s="60"/>
      <c r="B17" s="9"/>
      <c r="C17" s="58"/>
      <c r="D17" s="11"/>
      <c r="E17" s="10"/>
      <c r="F17" s="58"/>
      <c r="G17" s="12"/>
      <c r="H17" s="12"/>
      <c r="I17" s="17"/>
      <c r="J17" s="18"/>
      <c r="K17" s="19">
        <f t="shared" si="0"/>
        <v>0</v>
      </c>
      <c r="L17" s="20"/>
      <c r="N17" s="15">
        <v>10.89</v>
      </c>
    </row>
    <row r="18" spans="1:14" s="15" customFormat="1" ht="20.25" customHeight="1" x14ac:dyDescent="0.15">
      <c r="A18" s="60"/>
      <c r="B18" s="9"/>
      <c r="C18" s="58"/>
      <c r="D18" s="11"/>
      <c r="E18" s="10"/>
      <c r="F18" s="58"/>
      <c r="G18" s="12"/>
      <c r="H18" s="12"/>
      <c r="I18" s="17"/>
      <c r="J18" s="18"/>
      <c r="K18" s="19">
        <f t="shared" si="0"/>
        <v>0</v>
      </c>
      <c r="L18" s="20"/>
      <c r="N18" s="15">
        <v>10.89</v>
      </c>
    </row>
    <row r="19" spans="1:14" s="15" customFormat="1" ht="20.25" customHeight="1" x14ac:dyDescent="0.15">
      <c r="A19" s="60"/>
      <c r="B19" s="9"/>
      <c r="C19" s="58"/>
      <c r="D19" s="11"/>
      <c r="E19" s="10"/>
      <c r="F19" s="58"/>
      <c r="G19" s="12"/>
      <c r="H19" s="12"/>
      <c r="I19" s="17"/>
      <c r="J19" s="18"/>
      <c r="K19" s="19">
        <f t="shared" si="0"/>
        <v>0</v>
      </c>
      <c r="L19" s="20"/>
      <c r="N19" s="15">
        <v>10.89</v>
      </c>
    </row>
    <row r="20" spans="1:14" s="15" customFormat="1" ht="20.25" customHeight="1" x14ac:dyDescent="0.15">
      <c r="A20" s="60"/>
      <c r="B20" s="9"/>
      <c r="C20" s="58"/>
      <c r="D20" s="11"/>
      <c r="E20" s="10"/>
      <c r="F20" s="58"/>
      <c r="G20" s="12"/>
      <c r="H20" s="12"/>
      <c r="I20" s="17"/>
      <c r="J20" s="18"/>
      <c r="K20" s="19">
        <f t="shared" si="0"/>
        <v>0</v>
      </c>
      <c r="L20" s="20"/>
      <c r="N20" s="15">
        <v>10.89</v>
      </c>
    </row>
    <row r="21" spans="1:14" s="15" customFormat="1" ht="20.25" customHeight="1" x14ac:dyDescent="0.15">
      <c r="A21" s="60"/>
      <c r="B21" s="9"/>
      <c r="C21" s="58"/>
      <c r="D21" s="11"/>
      <c r="E21" s="10"/>
      <c r="F21" s="58"/>
      <c r="G21" s="50"/>
      <c r="H21" s="50"/>
      <c r="I21" s="17"/>
      <c r="J21" s="18"/>
      <c r="K21" s="19">
        <f t="shared" si="0"/>
        <v>0</v>
      </c>
      <c r="L21" s="20"/>
      <c r="N21" s="15">
        <v>10.89</v>
      </c>
    </row>
    <row r="22" spans="1:14" s="15" customFormat="1" ht="20.25" customHeight="1" x14ac:dyDescent="0.15">
      <c r="A22" s="60"/>
      <c r="B22" s="9"/>
      <c r="C22" s="58"/>
      <c r="D22" s="11"/>
      <c r="E22" s="10"/>
      <c r="F22" s="58"/>
      <c r="G22" s="50"/>
      <c r="H22" s="50"/>
      <c r="I22" s="17"/>
      <c r="J22" s="18"/>
      <c r="K22" s="19">
        <f t="shared" si="0"/>
        <v>0</v>
      </c>
      <c r="L22" s="20"/>
      <c r="N22" s="15">
        <v>10.89</v>
      </c>
    </row>
    <row r="23" spans="1:14" ht="20.25" customHeight="1" x14ac:dyDescent="0.15">
      <c r="A23" s="60"/>
      <c r="B23" s="9"/>
      <c r="C23" s="58"/>
      <c r="D23" s="11"/>
      <c r="E23" s="10"/>
      <c r="F23" s="58"/>
      <c r="G23" s="16"/>
      <c r="H23" s="16"/>
      <c r="I23" s="17"/>
      <c r="J23" s="18"/>
      <c r="K23" s="19">
        <f t="shared" si="0"/>
        <v>0</v>
      </c>
      <c r="L23" s="20"/>
      <c r="N23" s="15">
        <v>10.89</v>
      </c>
    </row>
    <row r="24" spans="1:14" ht="20.25" customHeight="1" thickBot="1" x14ac:dyDescent="0.2">
      <c r="A24" s="56"/>
      <c r="B24" s="21"/>
      <c r="C24" s="59"/>
      <c r="D24" s="22"/>
      <c r="E24" s="23"/>
      <c r="F24" s="23"/>
      <c r="G24" s="24"/>
      <c r="H24" s="24"/>
      <c r="I24" s="25"/>
      <c r="J24" s="46">
        <f>SUM(J8:J23)</f>
        <v>485</v>
      </c>
      <c r="K24" s="47">
        <f>SUM(K8:K23)</f>
        <v>8908.4556000000011</v>
      </c>
      <c r="L24" s="26"/>
    </row>
    <row r="25" spans="1:14" ht="20.25" customHeight="1" thickTop="1" x14ac:dyDescent="0.15">
      <c r="A25" s="60" t="s">
        <v>278</v>
      </c>
      <c r="B25" s="9" t="s">
        <v>173</v>
      </c>
      <c r="C25" s="58" t="s">
        <v>29</v>
      </c>
      <c r="D25" s="11" t="s">
        <v>279</v>
      </c>
      <c r="E25" s="10">
        <v>25.76</v>
      </c>
      <c r="F25" s="10"/>
      <c r="G25" s="12">
        <v>1445</v>
      </c>
      <c r="H25" s="12">
        <v>690</v>
      </c>
      <c r="I25" s="17" t="s">
        <v>281</v>
      </c>
      <c r="J25" s="18">
        <v>45</v>
      </c>
      <c r="K25" s="19">
        <f t="shared" ref="K25:K40" si="1">+M25*N25</f>
        <v>284.22900000000004</v>
      </c>
      <c r="L25" s="54"/>
      <c r="M25" s="3">
        <v>26.1</v>
      </c>
      <c r="N25" s="15">
        <v>10.89</v>
      </c>
    </row>
    <row r="26" spans="1:14" ht="20.25" customHeight="1" x14ac:dyDescent="0.15">
      <c r="A26" s="60"/>
      <c r="B26" s="9"/>
      <c r="C26" s="58" t="s">
        <v>29</v>
      </c>
      <c r="D26" s="11" t="s">
        <v>280</v>
      </c>
      <c r="E26" s="10">
        <v>46.76</v>
      </c>
      <c r="F26" s="10" t="s">
        <v>11</v>
      </c>
      <c r="G26" s="12">
        <v>886</v>
      </c>
      <c r="H26" s="12">
        <v>508</v>
      </c>
      <c r="I26" s="17">
        <v>5</v>
      </c>
      <c r="J26" s="18">
        <v>5</v>
      </c>
      <c r="K26" s="19">
        <f t="shared" si="1"/>
        <v>24.502500000000001</v>
      </c>
      <c r="L26" s="54"/>
      <c r="M26" s="3">
        <v>2.25</v>
      </c>
      <c r="N26" s="15">
        <v>10.89</v>
      </c>
    </row>
    <row r="27" spans="1:14" ht="20.25" customHeight="1" x14ac:dyDescent="0.15">
      <c r="A27" s="61" t="s">
        <v>282</v>
      </c>
      <c r="B27" s="9" t="s">
        <v>173</v>
      </c>
      <c r="C27" s="58" t="s">
        <v>29</v>
      </c>
      <c r="D27" s="11" t="s">
        <v>279</v>
      </c>
      <c r="E27" s="10">
        <v>25.76</v>
      </c>
      <c r="F27" s="10"/>
      <c r="G27" s="12">
        <v>640</v>
      </c>
      <c r="H27" s="12">
        <v>670</v>
      </c>
      <c r="I27" s="17" t="s">
        <v>283</v>
      </c>
      <c r="J27" s="18">
        <v>45</v>
      </c>
      <c r="K27" s="19">
        <f t="shared" si="1"/>
        <v>251.55900000000003</v>
      </c>
      <c r="L27" s="54"/>
      <c r="M27" s="3">
        <v>23.1</v>
      </c>
      <c r="N27" s="15">
        <v>10.89</v>
      </c>
    </row>
    <row r="28" spans="1:14" ht="20.25" customHeight="1" x14ac:dyDescent="0.15">
      <c r="A28" s="61"/>
      <c r="B28" s="9"/>
      <c r="C28" s="58" t="s">
        <v>29</v>
      </c>
      <c r="D28" s="11" t="s">
        <v>280</v>
      </c>
      <c r="E28" s="10">
        <v>46.76</v>
      </c>
      <c r="F28" s="10" t="s">
        <v>11</v>
      </c>
      <c r="G28" s="12">
        <v>786</v>
      </c>
      <c r="H28" s="12">
        <v>508</v>
      </c>
      <c r="I28" s="17">
        <v>5</v>
      </c>
      <c r="J28" s="18">
        <v>5</v>
      </c>
      <c r="K28" s="19">
        <f t="shared" si="1"/>
        <v>21.78</v>
      </c>
      <c r="L28" s="54"/>
      <c r="M28" s="3">
        <v>2</v>
      </c>
      <c r="N28" s="15">
        <v>10.89</v>
      </c>
    </row>
    <row r="29" spans="1:14" ht="20.25" customHeight="1" x14ac:dyDescent="0.15">
      <c r="A29" s="61" t="s">
        <v>284</v>
      </c>
      <c r="B29" s="9" t="s">
        <v>173</v>
      </c>
      <c r="C29" s="58" t="s">
        <v>29</v>
      </c>
      <c r="D29" s="11" t="s">
        <v>279</v>
      </c>
      <c r="E29" s="10">
        <v>25.76</v>
      </c>
      <c r="F29" s="10"/>
      <c r="G29" s="12">
        <v>800</v>
      </c>
      <c r="H29" s="12">
        <v>690</v>
      </c>
      <c r="I29" s="17" t="s">
        <v>285</v>
      </c>
      <c r="J29" s="18">
        <f>29+9</f>
        <v>38</v>
      </c>
      <c r="K29" s="19">
        <f t="shared" si="1"/>
        <v>193.29750000000001</v>
      </c>
      <c r="L29" s="54"/>
      <c r="M29" s="3">
        <v>17.75</v>
      </c>
      <c r="N29" s="15">
        <v>10.89</v>
      </c>
    </row>
    <row r="30" spans="1:14" ht="20.25" customHeight="1" x14ac:dyDescent="0.15">
      <c r="A30" s="61"/>
      <c r="B30" s="9"/>
      <c r="C30" s="58" t="s">
        <v>29</v>
      </c>
      <c r="D30" s="11" t="s">
        <v>280</v>
      </c>
      <c r="E30" s="10">
        <v>46.76</v>
      </c>
      <c r="F30" s="10" t="s">
        <v>11</v>
      </c>
      <c r="G30" s="12">
        <v>786</v>
      </c>
      <c r="H30" s="12">
        <v>508</v>
      </c>
      <c r="I30" s="51">
        <v>5</v>
      </c>
      <c r="J30" s="52">
        <v>5</v>
      </c>
      <c r="K30" s="53">
        <f t="shared" si="1"/>
        <v>21.78</v>
      </c>
      <c r="L30" s="54"/>
      <c r="M30" s="3">
        <v>2</v>
      </c>
      <c r="N30" s="15">
        <v>10.89</v>
      </c>
    </row>
    <row r="31" spans="1:14" ht="20.25" customHeight="1" x14ac:dyDescent="0.15">
      <c r="A31" s="61" t="s">
        <v>286</v>
      </c>
      <c r="B31" s="9" t="s">
        <v>173</v>
      </c>
      <c r="C31" s="58" t="s">
        <v>29</v>
      </c>
      <c r="D31" s="11" t="s">
        <v>279</v>
      </c>
      <c r="E31" s="10">
        <v>25.76</v>
      </c>
      <c r="F31" s="10"/>
      <c r="G31" s="12">
        <v>1445</v>
      </c>
      <c r="H31" s="12">
        <v>690</v>
      </c>
      <c r="I31" s="51" t="s">
        <v>287</v>
      </c>
      <c r="J31" s="52">
        <v>64</v>
      </c>
      <c r="K31" s="53">
        <f t="shared" si="1"/>
        <v>412.94880000000006</v>
      </c>
      <c r="L31" s="54"/>
      <c r="M31" s="3">
        <v>37.92</v>
      </c>
      <c r="N31" s="15">
        <v>10.89</v>
      </c>
    </row>
    <row r="32" spans="1:14" ht="20.25" customHeight="1" x14ac:dyDescent="0.15">
      <c r="A32" s="60"/>
      <c r="B32" s="9"/>
      <c r="C32" s="58" t="s">
        <v>29</v>
      </c>
      <c r="D32" s="11" t="s">
        <v>280</v>
      </c>
      <c r="E32" s="10">
        <v>46.76</v>
      </c>
      <c r="F32" s="10" t="s">
        <v>11</v>
      </c>
      <c r="G32" s="12">
        <v>886</v>
      </c>
      <c r="H32" s="12">
        <v>508</v>
      </c>
      <c r="I32" s="17">
        <v>10</v>
      </c>
      <c r="J32" s="18">
        <v>10</v>
      </c>
      <c r="K32" s="19">
        <f t="shared" si="1"/>
        <v>49.005000000000003</v>
      </c>
      <c r="L32" s="27"/>
      <c r="M32" s="3">
        <v>4.5</v>
      </c>
      <c r="N32" s="15">
        <v>10.89</v>
      </c>
    </row>
    <row r="33" spans="1:14" ht="20.25" customHeight="1" x14ac:dyDescent="0.15">
      <c r="A33" s="60" t="s">
        <v>288</v>
      </c>
      <c r="B33" s="9" t="s">
        <v>184</v>
      </c>
      <c r="C33" s="58" t="s">
        <v>29</v>
      </c>
      <c r="D33" s="11" t="s">
        <v>201</v>
      </c>
      <c r="E33" s="10">
        <v>22</v>
      </c>
      <c r="F33" s="10"/>
      <c r="G33" s="12">
        <v>760</v>
      </c>
      <c r="H33" s="12">
        <v>1817</v>
      </c>
      <c r="I33" s="17" t="s">
        <v>289</v>
      </c>
      <c r="J33" s="18">
        <v>238</v>
      </c>
      <c r="K33" s="19">
        <f t="shared" si="1"/>
        <v>1727.3718000000001</v>
      </c>
      <c r="L33" s="27"/>
      <c r="M33" s="3">
        <v>158.62</v>
      </c>
      <c r="N33" s="15">
        <v>10.89</v>
      </c>
    </row>
    <row r="34" spans="1:14" ht="20.25" customHeight="1" x14ac:dyDescent="0.15">
      <c r="A34" s="60"/>
      <c r="B34" s="9"/>
      <c r="C34" s="58" t="s">
        <v>29</v>
      </c>
      <c r="D34" s="11" t="s">
        <v>195</v>
      </c>
      <c r="E34" s="10">
        <v>22</v>
      </c>
      <c r="F34" s="10"/>
      <c r="G34" s="12">
        <v>451</v>
      </c>
      <c r="H34" s="12">
        <v>1307</v>
      </c>
      <c r="I34" s="17" t="s">
        <v>290</v>
      </c>
      <c r="J34" s="18">
        <v>147</v>
      </c>
      <c r="K34" s="19">
        <f t="shared" si="1"/>
        <v>830.14470000000006</v>
      </c>
      <c r="L34" s="27"/>
      <c r="M34" s="3">
        <v>76.23</v>
      </c>
      <c r="N34" s="15">
        <v>10.89</v>
      </c>
    </row>
    <row r="35" spans="1:14" ht="20.25" customHeight="1" x14ac:dyDescent="0.15">
      <c r="A35" s="60" t="s">
        <v>291</v>
      </c>
      <c r="B35" s="9" t="s">
        <v>184</v>
      </c>
      <c r="C35" s="58" t="s">
        <v>29</v>
      </c>
      <c r="D35" s="11" t="s">
        <v>195</v>
      </c>
      <c r="E35" s="10">
        <v>22</v>
      </c>
      <c r="F35" s="10"/>
      <c r="G35" s="12">
        <v>1716</v>
      </c>
      <c r="H35" s="12">
        <v>1817</v>
      </c>
      <c r="I35" s="17" t="s">
        <v>292</v>
      </c>
      <c r="J35" s="18">
        <v>95</v>
      </c>
      <c r="K35" s="19">
        <f t="shared" si="1"/>
        <v>1582.8615</v>
      </c>
      <c r="L35" s="27"/>
      <c r="M35" s="3">
        <v>145.35</v>
      </c>
      <c r="N35" s="15">
        <v>10.89</v>
      </c>
    </row>
    <row r="36" spans="1:14" ht="20.25" customHeight="1" x14ac:dyDescent="0.15">
      <c r="A36" s="60"/>
      <c r="B36" s="9"/>
      <c r="C36" s="58"/>
      <c r="D36" s="11"/>
      <c r="E36" s="10"/>
      <c r="F36" s="10"/>
      <c r="G36" s="12"/>
      <c r="H36" s="12"/>
      <c r="I36" s="17"/>
      <c r="J36" s="18"/>
      <c r="K36" s="19">
        <f t="shared" si="1"/>
        <v>0</v>
      </c>
      <c r="L36" s="27"/>
      <c r="N36" s="15">
        <v>10.89</v>
      </c>
    </row>
    <row r="37" spans="1:14" ht="20.25" customHeight="1" x14ac:dyDescent="0.15">
      <c r="A37" s="60"/>
      <c r="B37" s="9"/>
      <c r="C37" s="58"/>
      <c r="D37" s="11"/>
      <c r="E37" s="10"/>
      <c r="F37" s="10"/>
      <c r="G37" s="12"/>
      <c r="H37" s="12"/>
      <c r="I37" s="17"/>
      <c r="J37" s="18"/>
      <c r="K37" s="19">
        <f t="shared" si="1"/>
        <v>0</v>
      </c>
      <c r="L37" s="27"/>
      <c r="N37" s="15">
        <v>10.89</v>
      </c>
    </row>
    <row r="38" spans="1:14" ht="20.25" customHeight="1" x14ac:dyDescent="0.15">
      <c r="A38" s="60"/>
      <c r="B38" s="9"/>
      <c r="C38" s="58"/>
      <c r="D38" s="11"/>
      <c r="E38" s="10"/>
      <c r="F38" s="10"/>
      <c r="G38" s="12"/>
      <c r="H38" s="12"/>
      <c r="I38" s="17"/>
      <c r="J38" s="18"/>
      <c r="K38" s="19">
        <f t="shared" si="1"/>
        <v>0</v>
      </c>
      <c r="L38" s="27"/>
      <c r="N38" s="15">
        <v>10.89</v>
      </c>
    </row>
    <row r="39" spans="1:14" ht="20.25" customHeight="1" x14ac:dyDescent="0.15">
      <c r="A39" s="60"/>
      <c r="B39" s="9"/>
      <c r="C39" s="58"/>
      <c r="D39" s="11"/>
      <c r="E39" s="10"/>
      <c r="F39" s="10"/>
      <c r="G39" s="12"/>
      <c r="H39" s="12"/>
      <c r="I39" s="17"/>
      <c r="J39" s="18"/>
      <c r="K39" s="19">
        <f t="shared" si="1"/>
        <v>0</v>
      </c>
      <c r="L39" s="27"/>
      <c r="N39" s="15">
        <v>10.89</v>
      </c>
    </row>
    <row r="40" spans="1:14" ht="20.25" customHeight="1" x14ac:dyDescent="0.15">
      <c r="A40" s="60"/>
      <c r="B40" s="9"/>
      <c r="C40" s="58"/>
      <c r="D40" s="11"/>
      <c r="E40" s="10"/>
      <c r="F40" s="10"/>
      <c r="G40" s="12"/>
      <c r="H40" s="12"/>
      <c r="I40" s="17"/>
      <c r="J40" s="18"/>
      <c r="K40" s="19">
        <f t="shared" si="1"/>
        <v>0</v>
      </c>
      <c r="L40" s="27"/>
      <c r="N40" s="15">
        <v>10.89</v>
      </c>
    </row>
    <row r="41" spans="1:14" ht="20.25" customHeight="1" x14ac:dyDescent="0.15">
      <c r="A41" s="57"/>
      <c r="B41" s="28"/>
      <c r="C41" s="10"/>
      <c r="D41" s="29"/>
      <c r="E41" s="30"/>
      <c r="F41" s="30"/>
      <c r="G41" s="30"/>
      <c r="H41" s="30"/>
      <c r="I41" s="13"/>
      <c r="J41" s="48">
        <f>SUM(J25:J40)</f>
        <v>697</v>
      </c>
      <c r="K41" s="49">
        <f>SUM(K25:K40)</f>
        <v>5399.4798000000001</v>
      </c>
      <c r="L41" s="31"/>
      <c r="N41" s="32"/>
    </row>
    <row r="42" spans="1:14" ht="20.25" customHeight="1" thickBot="1" x14ac:dyDescent="0.2">
      <c r="A42" s="55"/>
      <c r="B42" s="33"/>
      <c r="C42" s="33"/>
      <c r="D42" s="33"/>
      <c r="E42" s="33"/>
      <c r="F42" s="33"/>
      <c r="G42" s="33"/>
      <c r="H42" s="33"/>
      <c r="I42" s="33"/>
      <c r="J42" s="34"/>
      <c r="K42" s="35"/>
      <c r="L42" s="36"/>
    </row>
    <row r="43" spans="1:14" ht="20.25" customHeight="1" thickBot="1" x14ac:dyDescent="0.2">
      <c r="A43" s="37" t="s">
        <v>19</v>
      </c>
      <c r="B43" s="38" t="s">
        <v>20</v>
      </c>
      <c r="C43" s="77" t="s">
        <v>21</v>
      </c>
      <c r="D43" s="79"/>
      <c r="E43" s="77" t="s">
        <v>22</v>
      </c>
      <c r="F43" s="78"/>
      <c r="G43" s="79"/>
      <c r="H43" s="85" t="s">
        <v>23</v>
      </c>
      <c r="I43" s="86"/>
      <c r="J43" s="77" t="s">
        <v>24</v>
      </c>
      <c r="K43" s="79"/>
      <c r="L43" s="39" t="s">
        <v>13</v>
      </c>
    </row>
    <row r="44" spans="1:14" ht="20.25" customHeight="1" thickBot="1" x14ac:dyDescent="0.2">
      <c r="A44" s="40">
        <f>SUMIF($C$8:$C$42,"U1",$J$8:$J$42)</f>
        <v>1</v>
      </c>
      <c r="B44" s="41">
        <f>SUMIF($C$8:$C$42,"U2",$J$8:$J$42)</f>
        <v>0</v>
      </c>
      <c r="C44" s="77">
        <f>SUMIF($C$8:$C$42,"U3-1",$J$8:$J$42)</f>
        <v>0</v>
      </c>
      <c r="D44" s="79"/>
      <c r="E44" s="77">
        <f>SUMIF($C$8:$C$42,"U3",$J$8:$J$42)</f>
        <v>1181</v>
      </c>
      <c r="F44" s="78"/>
      <c r="G44" s="79"/>
      <c r="H44" s="77">
        <f>SUMIF($C$8:$C$42,"E5",$J$8:$J$42)</f>
        <v>0</v>
      </c>
      <c r="I44" s="79"/>
      <c r="J44" s="77">
        <f>SUM(A44:I44)</f>
        <v>1182</v>
      </c>
      <c r="K44" s="79"/>
      <c r="L44" s="42"/>
    </row>
    <row r="45" spans="1:14" ht="20.25" customHeight="1" thickBot="1" x14ac:dyDescent="0.2">
      <c r="A45" s="43" t="s">
        <v>25</v>
      </c>
      <c r="B45" s="44" t="s">
        <v>26</v>
      </c>
      <c r="C45" s="75">
        <v>13876</v>
      </c>
      <c r="D45" s="76"/>
      <c r="E45" s="77" t="s">
        <v>27</v>
      </c>
      <c r="F45" s="78"/>
      <c r="G45" s="78"/>
      <c r="H45" s="78"/>
      <c r="I45" s="79"/>
      <c r="J45" s="80">
        <v>146744.37</v>
      </c>
      <c r="K45" s="81"/>
      <c r="L45" s="82"/>
    </row>
    <row r="47" spans="1:14" x14ac:dyDescent="0.15">
      <c r="D47" s="45"/>
    </row>
  </sheetData>
  <mergeCells count="26">
    <mergeCell ref="L2:L4"/>
    <mergeCell ref="A1:G3"/>
    <mergeCell ref="H1:H4"/>
    <mergeCell ref="I2:I4"/>
    <mergeCell ref="J2:J4"/>
    <mergeCell ref="K2:K4"/>
    <mergeCell ref="B5:G5"/>
    <mergeCell ref="A6:A7"/>
    <mergeCell ref="B6:B7"/>
    <mergeCell ref="C6:C7"/>
    <mergeCell ref="D6:D7"/>
    <mergeCell ref="E6:E7"/>
    <mergeCell ref="F6:F7"/>
    <mergeCell ref="G6:K6"/>
    <mergeCell ref="C45:D45"/>
    <mergeCell ref="E45:I45"/>
    <mergeCell ref="J45:L45"/>
    <mergeCell ref="L6:L7"/>
    <mergeCell ref="C43:D43"/>
    <mergeCell ref="E43:G43"/>
    <mergeCell ref="H43:I43"/>
    <mergeCell ref="J43:K43"/>
    <mergeCell ref="C44:D44"/>
    <mergeCell ref="E44:G44"/>
    <mergeCell ref="H44:I44"/>
    <mergeCell ref="J44:K44"/>
  </mergeCells>
  <phoneticPr fontId="2" type="noConversion"/>
  <printOptions horizontalCentered="1"/>
  <pageMargins left="0.39370078740157483" right="0.39370078740157483" top="0.74803149606299213" bottom="0.19685039370078741" header="0.31496062992125984" footer="0.15748031496062992"/>
  <pageSetup paperSize="9" scale="84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47"/>
  <sheetViews>
    <sheetView view="pageBreakPreview" topLeftCell="A22" zoomScaleSheetLayoutView="100" workbookViewId="0">
      <selection activeCell="B27" sqref="B27"/>
    </sheetView>
  </sheetViews>
  <sheetFormatPr defaultColWidth="8.88671875" defaultRowHeight="13.5" x14ac:dyDescent="0.15"/>
  <cols>
    <col min="1" max="1" width="8.44140625" style="3" customWidth="1"/>
    <col min="2" max="2" width="14.77734375" style="3" customWidth="1"/>
    <col min="3" max="3" width="4.109375" style="3" customWidth="1"/>
    <col min="4" max="4" width="15.21875" style="3" customWidth="1"/>
    <col min="5" max="5" width="4.44140625" style="3" customWidth="1"/>
    <col min="6" max="6" width="4" style="3" customWidth="1"/>
    <col min="7" max="7" width="5.5546875" style="3" customWidth="1"/>
    <col min="8" max="8" width="5.44140625" style="3" customWidth="1"/>
    <col min="9" max="9" width="7.88671875" style="3" customWidth="1"/>
    <col min="10" max="10" width="7.109375" style="3" customWidth="1"/>
    <col min="11" max="11" width="7.21875" style="3" customWidth="1"/>
    <col min="12" max="12" width="6.77734375" style="3" customWidth="1"/>
    <col min="13" max="16384" width="8.88671875" style="3"/>
  </cols>
  <sheetData>
    <row r="1" spans="1:14" ht="18.75" customHeight="1" x14ac:dyDescent="0.15">
      <c r="A1" s="101" t="s">
        <v>0</v>
      </c>
      <c r="B1" s="102"/>
      <c r="C1" s="102"/>
      <c r="D1" s="102"/>
      <c r="E1" s="102"/>
      <c r="F1" s="102"/>
      <c r="G1" s="103"/>
      <c r="H1" s="107" t="s">
        <v>1</v>
      </c>
      <c r="I1" s="1" t="s">
        <v>2</v>
      </c>
      <c r="J1" s="1" t="s">
        <v>2</v>
      </c>
      <c r="K1" s="1" t="s">
        <v>3</v>
      </c>
      <c r="L1" s="2" t="s">
        <v>4</v>
      </c>
    </row>
    <row r="2" spans="1:14" ht="13.5" customHeight="1" x14ac:dyDescent="0.15">
      <c r="A2" s="104"/>
      <c r="B2" s="105"/>
      <c r="C2" s="105"/>
      <c r="D2" s="105"/>
      <c r="E2" s="105"/>
      <c r="F2" s="105"/>
      <c r="G2" s="106"/>
      <c r="H2" s="108"/>
      <c r="I2" s="110"/>
      <c r="J2" s="110"/>
      <c r="K2" s="110"/>
      <c r="L2" s="98"/>
    </row>
    <row r="3" spans="1:14" ht="13.5" customHeight="1" x14ac:dyDescent="0.15">
      <c r="A3" s="104"/>
      <c r="B3" s="105"/>
      <c r="C3" s="105"/>
      <c r="D3" s="105"/>
      <c r="E3" s="105"/>
      <c r="F3" s="105"/>
      <c r="G3" s="106"/>
      <c r="H3" s="108"/>
      <c r="I3" s="108"/>
      <c r="J3" s="108"/>
      <c r="K3" s="108"/>
      <c r="L3" s="99"/>
    </row>
    <row r="4" spans="1:14" ht="33" customHeight="1" x14ac:dyDescent="0.15">
      <c r="A4" s="4"/>
      <c r="B4" s="5"/>
      <c r="C4" s="5"/>
      <c r="D4" s="5"/>
      <c r="E4" s="5"/>
      <c r="F4" s="5"/>
      <c r="G4" s="5"/>
      <c r="H4" s="109"/>
      <c r="I4" s="109"/>
      <c r="J4" s="109"/>
      <c r="K4" s="109"/>
      <c r="L4" s="100"/>
    </row>
    <row r="5" spans="1:14" ht="17.25" customHeight="1" x14ac:dyDescent="0.15">
      <c r="A5" s="6" t="s">
        <v>5</v>
      </c>
      <c r="B5" s="87">
        <v>46029</v>
      </c>
      <c r="C5" s="88"/>
      <c r="D5" s="88"/>
      <c r="E5" s="88"/>
      <c r="F5" s="88"/>
      <c r="G5" s="88"/>
      <c r="H5" s="5"/>
      <c r="I5" s="5"/>
      <c r="J5" s="5"/>
      <c r="K5" s="5"/>
      <c r="L5" s="7"/>
    </row>
    <row r="6" spans="1:14" ht="13.5" customHeight="1" x14ac:dyDescent="0.15">
      <c r="A6" s="89" t="s">
        <v>6</v>
      </c>
      <c r="B6" s="91" t="s">
        <v>7</v>
      </c>
      <c r="C6" s="91" t="s">
        <v>8</v>
      </c>
      <c r="D6" s="91" t="s">
        <v>9</v>
      </c>
      <c r="E6" s="93" t="s">
        <v>10</v>
      </c>
      <c r="F6" s="93" t="s">
        <v>11</v>
      </c>
      <c r="G6" s="95" t="s">
        <v>12</v>
      </c>
      <c r="H6" s="96"/>
      <c r="I6" s="96"/>
      <c r="J6" s="96"/>
      <c r="K6" s="97"/>
      <c r="L6" s="83" t="s">
        <v>13</v>
      </c>
    </row>
    <row r="7" spans="1:14" x14ac:dyDescent="0.15">
      <c r="A7" s="90"/>
      <c r="B7" s="92"/>
      <c r="C7" s="92"/>
      <c r="D7" s="92"/>
      <c r="E7" s="94"/>
      <c r="F7" s="94"/>
      <c r="G7" s="8" t="s">
        <v>14</v>
      </c>
      <c r="H7" s="8" t="s">
        <v>15</v>
      </c>
      <c r="I7" s="8" t="s">
        <v>16</v>
      </c>
      <c r="J7" s="8" t="s">
        <v>17</v>
      </c>
      <c r="K7" s="8" t="s">
        <v>18</v>
      </c>
      <c r="L7" s="84"/>
    </row>
    <row r="8" spans="1:14" s="15" customFormat="1" ht="20.25" customHeight="1" x14ac:dyDescent="0.15">
      <c r="A8" s="60" t="s">
        <v>293</v>
      </c>
      <c r="B8" s="9" t="s">
        <v>187</v>
      </c>
      <c r="C8" s="58" t="s">
        <v>29</v>
      </c>
      <c r="D8" s="11" t="s">
        <v>294</v>
      </c>
      <c r="E8" s="10">
        <v>24</v>
      </c>
      <c r="F8" s="58" t="s">
        <v>11</v>
      </c>
      <c r="G8" s="12">
        <v>875</v>
      </c>
      <c r="H8" s="12">
        <v>475</v>
      </c>
      <c r="I8" s="17" t="s">
        <v>295</v>
      </c>
      <c r="J8" s="18">
        <v>14</v>
      </c>
      <c r="K8" s="19">
        <f>+M8*N8</f>
        <v>220.63140000000004</v>
      </c>
      <c r="L8" s="14"/>
      <c r="M8" s="15">
        <v>20.260000000000002</v>
      </c>
      <c r="N8" s="15">
        <v>10.89</v>
      </c>
    </row>
    <row r="9" spans="1:14" s="15" customFormat="1" ht="20.25" customHeight="1" x14ac:dyDescent="0.15">
      <c r="A9" s="60" t="s">
        <v>296</v>
      </c>
      <c r="B9" s="9" t="s">
        <v>187</v>
      </c>
      <c r="C9" s="58" t="s">
        <v>29</v>
      </c>
      <c r="D9" s="11" t="s">
        <v>297</v>
      </c>
      <c r="E9" s="10">
        <v>24</v>
      </c>
      <c r="F9" s="58" t="s">
        <v>11</v>
      </c>
      <c r="G9" s="12">
        <v>1210</v>
      </c>
      <c r="H9" s="12">
        <v>2335</v>
      </c>
      <c r="I9" s="17" t="s">
        <v>298</v>
      </c>
      <c r="J9" s="18">
        <v>116</v>
      </c>
      <c r="K9" s="19">
        <f t="shared" ref="K9:K25" si="0">+M9*N9</f>
        <v>1781.604</v>
      </c>
      <c r="L9" s="14"/>
      <c r="M9" s="15">
        <v>163.6</v>
      </c>
      <c r="N9" s="15">
        <v>10.89</v>
      </c>
    </row>
    <row r="10" spans="1:14" s="15" customFormat="1" ht="20.25" customHeight="1" x14ac:dyDescent="0.15">
      <c r="A10" s="60" t="s">
        <v>299</v>
      </c>
      <c r="B10" s="9" t="s">
        <v>187</v>
      </c>
      <c r="C10" s="58" t="s">
        <v>29</v>
      </c>
      <c r="D10" s="11" t="s">
        <v>297</v>
      </c>
      <c r="E10" s="10">
        <v>24</v>
      </c>
      <c r="F10" s="58" t="s">
        <v>11</v>
      </c>
      <c r="G10" s="12">
        <v>1275</v>
      </c>
      <c r="H10" s="12">
        <v>2335</v>
      </c>
      <c r="I10" s="17" t="s">
        <v>300</v>
      </c>
      <c r="J10" s="18">
        <v>7</v>
      </c>
      <c r="K10" s="19">
        <f t="shared" si="0"/>
        <v>217.36440000000002</v>
      </c>
      <c r="L10" s="14"/>
      <c r="M10" s="15">
        <v>19.96</v>
      </c>
      <c r="N10" s="15">
        <v>10.89</v>
      </c>
    </row>
    <row r="11" spans="1:14" s="15" customFormat="1" ht="20.25" customHeight="1" x14ac:dyDescent="0.15">
      <c r="A11" s="60" t="s">
        <v>301</v>
      </c>
      <c r="B11" s="9" t="s">
        <v>178</v>
      </c>
      <c r="C11" s="58" t="s">
        <v>29</v>
      </c>
      <c r="D11" s="11" t="s">
        <v>247</v>
      </c>
      <c r="E11" s="10">
        <v>24</v>
      </c>
      <c r="F11" s="58" t="s">
        <v>11</v>
      </c>
      <c r="G11" s="12">
        <v>948</v>
      </c>
      <c r="H11" s="12">
        <v>1913</v>
      </c>
      <c r="I11" s="17">
        <v>2</v>
      </c>
      <c r="J11" s="18">
        <v>2</v>
      </c>
      <c r="K11" s="19">
        <f t="shared" si="0"/>
        <v>39.421800000000005</v>
      </c>
      <c r="L11" s="14"/>
      <c r="M11" s="15">
        <v>3.62</v>
      </c>
      <c r="N11" s="15">
        <v>10.89</v>
      </c>
    </row>
    <row r="12" spans="1:14" s="15" customFormat="1" ht="20.25" customHeight="1" x14ac:dyDescent="0.15">
      <c r="A12" s="60" t="s">
        <v>260</v>
      </c>
      <c r="B12" s="9" t="s">
        <v>178</v>
      </c>
      <c r="C12" s="58" t="s">
        <v>29</v>
      </c>
      <c r="D12" s="11" t="s">
        <v>247</v>
      </c>
      <c r="E12" s="10">
        <v>24</v>
      </c>
      <c r="F12" s="58" t="s">
        <v>11</v>
      </c>
      <c r="G12" s="12">
        <v>948</v>
      </c>
      <c r="H12" s="12">
        <v>1913</v>
      </c>
      <c r="I12" s="17">
        <v>1</v>
      </c>
      <c r="J12" s="18">
        <v>1</v>
      </c>
      <c r="K12" s="19">
        <f t="shared" si="0"/>
        <v>19.710900000000002</v>
      </c>
      <c r="L12" s="14"/>
      <c r="M12" s="15">
        <v>1.81</v>
      </c>
      <c r="N12" s="15">
        <v>10.89</v>
      </c>
    </row>
    <row r="13" spans="1:14" s="15" customFormat="1" ht="20.25" customHeight="1" x14ac:dyDescent="0.15">
      <c r="A13" s="60" t="s">
        <v>302</v>
      </c>
      <c r="B13" s="9" t="s">
        <v>178</v>
      </c>
      <c r="C13" s="58" t="s">
        <v>29</v>
      </c>
      <c r="D13" s="11" t="s">
        <v>247</v>
      </c>
      <c r="E13" s="10">
        <v>24</v>
      </c>
      <c r="F13" s="58" t="s">
        <v>11</v>
      </c>
      <c r="G13" s="12">
        <v>948</v>
      </c>
      <c r="H13" s="12">
        <v>1913</v>
      </c>
      <c r="I13" s="17">
        <v>2</v>
      </c>
      <c r="J13" s="18">
        <v>2</v>
      </c>
      <c r="K13" s="19">
        <f t="shared" si="0"/>
        <v>39.421800000000005</v>
      </c>
      <c r="L13" s="14"/>
      <c r="M13" s="15">
        <v>3.62</v>
      </c>
      <c r="N13" s="15">
        <v>10.89</v>
      </c>
    </row>
    <row r="14" spans="1:14" s="15" customFormat="1" ht="20.25" customHeight="1" x14ac:dyDescent="0.15">
      <c r="A14" s="60" t="s">
        <v>303</v>
      </c>
      <c r="B14" s="9" t="s">
        <v>183</v>
      </c>
      <c r="C14" s="58" t="s">
        <v>29</v>
      </c>
      <c r="D14" s="11" t="s">
        <v>304</v>
      </c>
      <c r="E14" s="10">
        <v>28</v>
      </c>
      <c r="F14" s="58" t="s">
        <v>11</v>
      </c>
      <c r="G14" s="12">
        <v>1845</v>
      </c>
      <c r="H14" s="12">
        <v>3305</v>
      </c>
      <c r="I14" s="17" t="s">
        <v>305</v>
      </c>
      <c r="J14" s="18">
        <v>9</v>
      </c>
      <c r="K14" s="19">
        <f t="shared" si="0"/>
        <v>328.22460000000001</v>
      </c>
      <c r="L14" s="20"/>
      <c r="M14" s="15">
        <v>30.14</v>
      </c>
      <c r="N14" s="15">
        <v>10.89</v>
      </c>
    </row>
    <row r="15" spans="1:14" s="15" customFormat="1" ht="20.25" customHeight="1" x14ac:dyDescent="0.15">
      <c r="A15" s="60" t="s">
        <v>306</v>
      </c>
      <c r="B15" s="9" t="s">
        <v>53</v>
      </c>
      <c r="C15" s="58" t="s">
        <v>29</v>
      </c>
      <c r="D15" s="11" t="s">
        <v>307</v>
      </c>
      <c r="E15" s="10">
        <v>24</v>
      </c>
      <c r="F15" s="58" t="s">
        <v>11</v>
      </c>
      <c r="G15" s="12">
        <v>511</v>
      </c>
      <c r="H15" s="12">
        <v>1761</v>
      </c>
      <c r="I15" s="17" t="s">
        <v>308</v>
      </c>
      <c r="J15" s="18">
        <v>17</v>
      </c>
      <c r="K15" s="19">
        <f t="shared" si="0"/>
        <v>164.98350000000002</v>
      </c>
      <c r="L15" s="20"/>
      <c r="M15" s="15">
        <v>15.15</v>
      </c>
      <c r="N15" s="15">
        <v>10.89</v>
      </c>
    </row>
    <row r="16" spans="1:14" s="15" customFormat="1" ht="20.25" customHeight="1" x14ac:dyDescent="0.15">
      <c r="A16" s="60" t="s">
        <v>309</v>
      </c>
      <c r="B16" s="9" t="s">
        <v>186</v>
      </c>
      <c r="C16" s="58" t="s">
        <v>29</v>
      </c>
      <c r="D16" s="11" t="s">
        <v>310</v>
      </c>
      <c r="E16" s="10">
        <v>24</v>
      </c>
      <c r="F16" s="58" t="s">
        <v>11</v>
      </c>
      <c r="G16" s="12">
        <v>1135</v>
      </c>
      <c r="H16" s="12">
        <v>2860</v>
      </c>
      <c r="I16" s="17" t="s">
        <v>159</v>
      </c>
      <c r="J16" s="18">
        <v>19</v>
      </c>
      <c r="K16" s="19">
        <f t="shared" si="0"/>
        <v>327.24450000000002</v>
      </c>
      <c r="L16" s="20"/>
      <c r="M16" s="15">
        <v>30.05</v>
      </c>
      <c r="N16" s="15">
        <v>10.89</v>
      </c>
    </row>
    <row r="17" spans="1:14" s="15" customFormat="1" ht="20.25" customHeight="1" x14ac:dyDescent="0.15">
      <c r="A17" s="60" t="s">
        <v>311</v>
      </c>
      <c r="B17" s="9" t="s">
        <v>36</v>
      </c>
      <c r="C17" s="58" t="s">
        <v>29</v>
      </c>
      <c r="D17" s="11" t="s">
        <v>195</v>
      </c>
      <c r="E17" s="10">
        <v>22</v>
      </c>
      <c r="F17" s="58"/>
      <c r="G17" s="12">
        <v>625</v>
      </c>
      <c r="H17" s="12">
        <v>2253</v>
      </c>
      <c r="I17" s="17">
        <v>1</v>
      </c>
      <c r="J17" s="18">
        <v>1</v>
      </c>
      <c r="K17" s="19">
        <f t="shared" si="0"/>
        <v>15.354900000000001</v>
      </c>
      <c r="L17" s="20"/>
      <c r="M17" s="15">
        <v>1.41</v>
      </c>
      <c r="N17" s="15">
        <v>10.89</v>
      </c>
    </row>
    <row r="18" spans="1:14" s="15" customFormat="1" ht="20.25" customHeight="1" x14ac:dyDescent="0.15">
      <c r="A18" s="60"/>
      <c r="B18" s="9"/>
      <c r="C18" s="58" t="s">
        <v>29</v>
      </c>
      <c r="D18" s="11" t="s">
        <v>312</v>
      </c>
      <c r="E18" s="10">
        <v>22</v>
      </c>
      <c r="F18" s="58"/>
      <c r="G18" s="12">
        <v>1640</v>
      </c>
      <c r="H18" s="12">
        <v>1963</v>
      </c>
      <c r="I18" s="17">
        <v>1</v>
      </c>
      <c r="J18" s="18">
        <v>1</v>
      </c>
      <c r="K18" s="19">
        <f t="shared" si="0"/>
        <v>35.065800000000003</v>
      </c>
      <c r="L18" s="20"/>
      <c r="M18" s="15">
        <v>3.22</v>
      </c>
      <c r="N18" s="15">
        <v>10.89</v>
      </c>
    </row>
    <row r="19" spans="1:14" s="15" customFormat="1" ht="20.25" customHeight="1" x14ac:dyDescent="0.15">
      <c r="A19" s="60"/>
      <c r="B19" s="9"/>
      <c r="C19" s="58" t="s">
        <v>29</v>
      </c>
      <c r="D19" s="11" t="s">
        <v>313</v>
      </c>
      <c r="E19" s="10">
        <v>25.76</v>
      </c>
      <c r="F19" s="58"/>
      <c r="G19" s="12">
        <v>1669</v>
      </c>
      <c r="H19" s="12">
        <v>884</v>
      </c>
      <c r="I19" s="17">
        <v>1</v>
      </c>
      <c r="J19" s="18">
        <v>1</v>
      </c>
      <c r="K19" s="19">
        <f t="shared" si="0"/>
        <v>16.1172</v>
      </c>
      <c r="L19" s="20"/>
      <c r="M19" s="15">
        <v>1.48</v>
      </c>
      <c r="N19" s="15">
        <v>10.89</v>
      </c>
    </row>
    <row r="20" spans="1:14" s="15" customFormat="1" ht="20.25" customHeight="1" x14ac:dyDescent="0.15">
      <c r="A20" s="60" t="s">
        <v>314</v>
      </c>
      <c r="B20" s="9" t="s">
        <v>31</v>
      </c>
      <c r="C20" s="58" t="s">
        <v>29</v>
      </c>
      <c r="D20" s="11" t="s">
        <v>247</v>
      </c>
      <c r="E20" s="10">
        <v>24</v>
      </c>
      <c r="F20" s="58" t="s">
        <v>11</v>
      </c>
      <c r="G20" s="12">
        <v>1775</v>
      </c>
      <c r="H20" s="12">
        <v>1055</v>
      </c>
      <c r="I20" s="17" t="s">
        <v>315</v>
      </c>
      <c r="J20" s="18">
        <v>19</v>
      </c>
      <c r="K20" s="19">
        <f t="shared" si="0"/>
        <v>351.09360000000004</v>
      </c>
      <c r="L20" s="14"/>
      <c r="M20" s="15">
        <v>32.24</v>
      </c>
      <c r="N20" s="15">
        <v>10.89</v>
      </c>
    </row>
    <row r="21" spans="1:14" ht="20.25" customHeight="1" x14ac:dyDescent="0.15">
      <c r="A21" s="61" t="s">
        <v>316</v>
      </c>
      <c r="B21" s="9" t="s">
        <v>31</v>
      </c>
      <c r="C21" s="58" t="s">
        <v>29</v>
      </c>
      <c r="D21" s="11" t="s">
        <v>247</v>
      </c>
      <c r="E21" s="10">
        <v>24</v>
      </c>
      <c r="F21" s="10" t="s">
        <v>11</v>
      </c>
      <c r="G21" s="12">
        <v>995</v>
      </c>
      <c r="H21" s="12">
        <v>2055</v>
      </c>
      <c r="I21" s="51" t="s">
        <v>317</v>
      </c>
      <c r="J21" s="52">
        <v>36</v>
      </c>
      <c r="K21" s="53">
        <f>+M21*N21</f>
        <v>441.69840000000005</v>
      </c>
      <c r="L21" s="54"/>
      <c r="M21" s="3">
        <v>40.56</v>
      </c>
      <c r="N21" s="15">
        <v>10.89</v>
      </c>
    </row>
    <row r="22" spans="1:14" ht="20.25" customHeight="1" x14ac:dyDescent="0.15">
      <c r="A22" s="61" t="s">
        <v>318</v>
      </c>
      <c r="B22" s="9" t="s">
        <v>178</v>
      </c>
      <c r="C22" s="58" t="s">
        <v>29</v>
      </c>
      <c r="D22" s="11" t="s">
        <v>247</v>
      </c>
      <c r="E22" s="10">
        <v>24</v>
      </c>
      <c r="F22" s="10" t="s">
        <v>11</v>
      </c>
      <c r="G22" s="12">
        <v>913</v>
      </c>
      <c r="H22" s="12">
        <v>460</v>
      </c>
      <c r="I22" s="17" t="s">
        <v>319</v>
      </c>
      <c r="J22" s="18">
        <v>78</v>
      </c>
      <c r="K22" s="19">
        <f>+M22*N22</f>
        <v>356.75639999999999</v>
      </c>
      <c r="L22" s="54"/>
      <c r="M22" s="3">
        <v>32.76</v>
      </c>
      <c r="N22" s="15">
        <v>10.89</v>
      </c>
    </row>
    <row r="23" spans="1:14" s="15" customFormat="1" ht="20.25" customHeight="1" x14ac:dyDescent="0.15">
      <c r="A23" s="60" t="s">
        <v>320</v>
      </c>
      <c r="B23" s="9" t="s">
        <v>178</v>
      </c>
      <c r="C23" s="58" t="s">
        <v>29</v>
      </c>
      <c r="D23" s="11" t="s">
        <v>247</v>
      </c>
      <c r="E23" s="10">
        <v>24</v>
      </c>
      <c r="F23" s="58" t="s">
        <v>11</v>
      </c>
      <c r="G23" s="50">
        <v>935</v>
      </c>
      <c r="H23" s="50">
        <v>805</v>
      </c>
      <c r="I23" s="17">
        <v>2</v>
      </c>
      <c r="J23" s="18">
        <v>2</v>
      </c>
      <c r="K23" s="19">
        <f t="shared" si="0"/>
        <v>16.335000000000001</v>
      </c>
      <c r="L23" s="20"/>
      <c r="M23" s="15">
        <v>1.5</v>
      </c>
      <c r="N23" s="15">
        <v>10.89</v>
      </c>
    </row>
    <row r="24" spans="1:14" s="15" customFormat="1" ht="20.25" customHeight="1" x14ac:dyDescent="0.15">
      <c r="A24" s="60" t="s">
        <v>321</v>
      </c>
      <c r="B24" s="9" t="s">
        <v>322</v>
      </c>
      <c r="C24" s="58" t="s">
        <v>29</v>
      </c>
      <c r="D24" s="11" t="s">
        <v>323</v>
      </c>
      <c r="E24" s="10">
        <v>22</v>
      </c>
      <c r="F24" s="58"/>
      <c r="G24" s="50">
        <v>731</v>
      </c>
      <c r="H24" s="50">
        <v>2082</v>
      </c>
      <c r="I24" s="17" t="s">
        <v>324</v>
      </c>
      <c r="J24" s="18">
        <v>8</v>
      </c>
      <c r="K24" s="19">
        <f t="shared" si="0"/>
        <v>175.7646</v>
      </c>
      <c r="L24" s="20"/>
      <c r="M24" s="15">
        <v>16.14</v>
      </c>
      <c r="N24" s="15">
        <v>10.89</v>
      </c>
    </row>
    <row r="25" spans="1:14" ht="20.25" customHeight="1" x14ac:dyDescent="0.15">
      <c r="A25" s="60"/>
      <c r="B25" s="9"/>
      <c r="C25" s="58"/>
      <c r="D25" s="11"/>
      <c r="E25" s="10"/>
      <c r="F25" s="58"/>
      <c r="G25" s="16"/>
      <c r="H25" s="16"/>
      <c r="I25" s="17"/>
      <c r="J25" s="18"/>
      <c r="K25" s="19">
        <f t="shared" si="0"/>
        <v>0</v>
      </c>
      <c r="L25" s="20"/>
      <c r="N25" s="15">
        <v>10.89</v>
      </c>
    </row>
    <row r="26" spans="1:14" ht="20.25" customHeight="1" thickBot="1" x14ac:dyDescent="0.2">
      <c r="A26" s="56"/>
      <c r="B26" s="21"/>
      <c r="C26" s="59"/>
      <c r="D26" s="22"/>
      <c r="E26" s="23"/>
      <c r="F26" s="23"/>
      <c r="G26" s="24"/>
      <c r="H26" s="24"/>
      <c r="I26" s="25"/>
      <c r="J26" s="46">
        <f>SUM(J8:J25)</f>
        <v>333</v>
      </c>
      <c r="K26" s="47">
        <f>SUM(K8:K25)</f>
        <v>4546.7928000000002</v>
      </c>
      <c r="L26" s="26"/>
    </row>
    <row r="27" spans="1:14" ht="20.25" customHeight="1" thickTop="1" x14ac:dyDescent="0.15">
      <c r="A27" s="60" t="s">
        <v>325</v>
      </c>
      <c r="B27" s="9" t="s">
        <v>184</v>
      </c>
      <c r="C27" s="58" t="s">
        <v>29</v>
      </c>
      <c r="D27" s="11" t="s">
        <v>201</v>
      </c>
      <c r="E27" s="10">
        <v>22</v>
      </c>
      <c r="F27" s="10"/>
      <c r="G27" s="12">
        <v>1043</v>
      </c>
      <c r="H27" s="12">
        <v>1817</v>
      </c>
      <c r="I27" s="17" t="s">
        <v>326</v>
      </c>
      <c r="J27" s="18">
        <v>260</v>
      </c>
      <c r="K27" s="19">
        <f t="shared" ref="K27:K40" si="1">+M27*N27</f>
        <v>2218.2930000000001</v>
      </c>
      <c r="L27" s="54"/>
      <c r="M27" s="3">
        <v>203.7</v>
      </c>
      <c r="N27" s="15">
        <v>10.89</v>
      </c>
    </row>
    <row r="28" spans="1:14" ht="20.25" customHeight="1" x14ac:dyDescent="0.15">
      <c r="A28" s="60"/>
      <c r="B28" s="9"/>
      <c r="C28" s="58" t="s">
        <v>29</v>
      </c>
      <c r="D28" s="11" t="s">
        <v>195</v>
      </c>
      <c r="E28" s="10">
        <v>22</v>
      </c>
      <c r="F28" s="10"/>
      <c r="G28" s="12">
        <v>751</v>
      </c>
      <c r="H28" s="12">
        <v>947</v>
      </c>
      <c r="I28" s="17" t="s">
        <v>327</v>
      </c>
      <c r="J28" s="18">
        <v>205</v>
      </c>
      <c r="K28" s="19">
        <f t="shared" si="1"/>
        <v>1079.7435</v>
      </c>
      <c r="L28" s="54"/>
      <c r="M28" s="3">
        <v>99.15</v>
      </c>
      <c r="N28" s="15">
        <v>10.89</v>
      </c>
    </row>
    <row r="29" spans="1:14" ht="20.25" customHeight="1" x14ac:dyDescent="0.15">
      <c r="A29" s="61" t="s">
        <v>328</v>
      </c>
      <c r="B29" s="9" t="s">
        <v>30</v>
      </c>
      <c r="C29" s="58" t="s">
        <v>29</v>
      </c>
      <c r="D29" s="11" t="s">
        <v>329</v>
      </c>
      <c r="E29" s="10">
        <v>27.76</v>
      </c>
      <c r="F29" s="10"/>
      <c r="G29" s="12">
        <v>2031</v>
      </c>
      <c r="H29" s="12">
        <v>2202</v>
      </c>
      <c r="I29" s="17">
        <v>1</v>
      </c>
      <c r="J29" s="18">
        <v>1</v>
      </c>
      <c r="K29" s="19">
        <f t="shared" si="1"/>
        <v>48.6783</v>
      </c>
      <c r="L29" s="54"/>
      <c r="M29" s="3">
        <v>4.47</v>
      </c>
      <c r="N29" s="15">
        <v>10.89</v>
      </c>
    </row>
    <row r="30" spans="1:14" ht="20.25" customHeight="1" x14ac:dyDescent="0.15">
      <c r="A30" s="61" t="s">
        <v>330</v>
      </c>
      <c r="B30" s="9" t="s">
        <v>101</v>
      </c>
      <c r="C30" s="58" t="s">
        <v>29</v>
      </c>
      <c r="D30" s="11" t="s">
        <v>331</v>
      </c>
      <c r="E30" s="10">
        <v>22</v>
      </c>
      <c r="F30" s="10" t="s">
        <v>11</v>
      </c>
      <c r="G30" s="12">
        <v>1524</v>
      </c>
      <c r="H30" s="12">
        <v>1764</v>
      </c>
      <c r="I30" s="17" t="s">
        <v>333</v>
      </c>
      <c r="J30" s="18">
        <v>26</v>
      </c>
      <c r="K30" s="19">
        <f t="shared" si="1"/>
        <v>305.57339999999999</v>
      </c>
      <c r="L30" s="54"/>
      <c r="M30" s="3">
        <v>28.06</v>
      </c>
      <c r="N30" s="15">
        <v>10.89</v>
      </c>
    </row>
    <row r="31" spans="1:14" ht="20.25" customHeight="1" x14ac:dyDescent="0.15">
      <c r="A31" s="61"/>
      <c r="B31" s="9"/>
      <c r="C31" s="58" t="s">
        <v>29</v>
      </c>
      <c r="D31" s="11" t="s">
        <v>332</v>
      </c>
      <c r="E31" s="10">
        <v>22</v>
      </c>
      <c r="F31" s="10" t="s">
        <v>11</v>
      </c>
      <c r="G31" s="12">
        <v>1639</v>
      </c>
      <c r="H31" s="12">
        <v>805</v>
      </c>
      <c r="I31" s="51" t="s">
        <v>163</v>
      </c>
      <c r="J31" s="52">
        <v>22</v>
      </c>
      <c r="K31" s="53">
        <f t="shared" si="1"/>
        <v>147.7773</v>
      </c>
      <c r="L31" s="54"/>
      <c r="M31" s="3">
        <v>13.57</v>
      </c>
      <c r="N31" s="15">
        <v>10.89</v>
      </c>
    </row>
    <row r="32" spans="1:14" ht="20.25" customHeight="1" x14ac:dyDescent="0.15">
      <c r="A32" s="60" t="s">
        <v>334</v>
      </c>
      <c r="B32" s="9" t="s">
        <v>30</v>
      </c>
      <c r="C32" s="58" t="s">
        <v>29</v>
      </c>
      <c r="D32" s="11" t="s">
        <v>335</v>
      </c>
      <c r="E32" s="10">
        <v>24</v>
      </c>
      <c r="F32" s="10" t="s">
        <v>11</v>
      </c>
      <c r="G32" s="12">
        <v>740</v>
      </c>
      <c r="H32" s="12">
        <v>1940</v>
      </c>
      <c r="I32" s="17">
        <v>1</v>
      </c>
      <c r="J32" s="18">
        <v>1</v>
      </c>
      <c r="K32" s="19">
        <f t="shared" si="1"/>
        <v>15.6816</v>
      </c>
      <c r="L32" s="27"/>
      <c r="M32" s="3">
        <v>1.44</v>
      </c>
      <c r="N32" s="15">
        <v>10.89</v>
      </c>
    </row>
    <row r="33" spans="1:14" ht="20.25" customHeight="1" x14ac:dyDescent="0.15">
      <c r="A33" s="60"/>
      <c r="B33" s="9"/>
      <c r="C33" s="58" t="s">
        <v>29</v>
      </c>
      <c r="D33" s="11" t="s">
        <v>336</v>
      </c>
      <c r="E33" s="10">
        <v>24</v>
      </c>
      <c r="F33" s="10"/>
      <c r="G33" s="12">
        <v>745</v>
      </c>
      <c r="H33" s="12">
        <v>2053</v>
      </c>
      <c r="I33" s="17" t="s">
        <v>337</v>
      </c>
      <c r="J33" s="18">
        <v>2</v>
      </c>
      <c r="K33" s="19">
        <f t="shared" si="1"/>
        <v>29.947500000000002</v>
      </c>
      <c r="L33" s="27"/>
      <c r="M33" s="3">
        <v>2.75</v>
      </c>
      <c r="N33" s="15">
        <v>10.89</v>
      </c>
    </row>
    <row r="34" spans="1:14" ht="20.25" customHeight="1" x14ac:dyDescent="0.15">
      <c r="A34" s="60"/>
      <c r="B34" s="9"/>
      <c r="C34" s="58" t="s">
        <v>29</v>
      </c>
      <c r="D34" s="11" t="s">
        <v>329</v>
      </c>
      <c r="E34" s="10">
        <v>27.76</v>
      </c>
      <c r="F34" s="10"/>
      <c r="G34" s="12">
        <v>2031</v>
      </c>
      <c r="H34" s="12">
        <v>2202</v>
      </c>
      <c r="I34" s="17">
        <v>2</v>
      </c>
      <c r="J34" s="18">
        <v>2</v>
      </c>
      <c r="K34" s="19">
        <f t="shared" si="1"/>
        <v>97.3566</v>
      </c>
      <c r="L34" s="27"/>
      <c r="M34" s="3">
        <v>8.94</v>
      </c>
      <c r="N34" s="15">
        <v>10.89</v>
      </c>
    </row>
    <row r="35" spans="1:14" ht="20.25" customHeight="1" x14ac:dyDescent="0.15">
      <c r="A35" s="60" t="s">
        <v>338</v>
      </c>
      <c r="B35" s="9" t="s">
        <v>172</v>
      </c>
      <c r="C35" s="58" t="s">
        <v>231</v>
      </c>
      <c r="D35" s="11" t="s">
        <v>339</v>
      </c>
      <c r="E35" s="10">
        <v>22</v>
      </c>
      <c r="F35" s="10"/>
      <c r="G35" s="12">
        <v>880</v>
      </c>
      <c r="H35" s="12">
        <v>790</v>
      </c>
      <c r="I35" s="17" t="s">
        <v>341</v>
      </c>
      <c r="J35" s="18">
        <v>14</v>
      </c>
      <c r="K35" s="19">
        <f t="shared" si="1"/>
        <v>70.131600000000006</v>
      </c>
      <c r="L35" s="27"/>
      <c r="M35" s="3">
        <v>6.44</v>
      </c>
      <c r="N35" s="15">
        <v>10.89</v>
      </c>
    </row>
    <row r="36" spans="1:14" ht="20.25" customHeight="1" x14ac:dyDescent="0.15">
      <c r="A36" s="60"/>
      <c r="B36" s="9"/>
      <c r="C36" s="58" t="s">
        <v>231</v>
      </c>
      <c r="D36" s="11" t="s">
        <v>340</v>
      </c>
      <c r="E36" s="10">
        <v>22</v>
      </c>
      <c r="F36" s="10"/>
      <c r="G36" s="12">
        <v>880</v>
      </c>
      <c r="H36" s="12">
        <v>790</v>
      </c>
      <c r="I36" s="17" t="s">
        <v>341</v>
      </c>
      <c r="J36" s="18">
        <v>14</v>
      </c>
      <c r="K36" s="19">
        <f t="shared" si="1"/>
        <v>70.131600000000006</v>
      </c>
      <c r="L36" s="27"/>
      <c r="M36" s="3">
        <v>6.44</v>
      </c>
      <c r="N36" s="15">
        <v>10.89</v>
      </c>
    </row>
    <row r="37" spans="1:14" ht="20.25" customHeight="1" x14ac:dyDescent="0.15">
      <c r="A37" s="60"/>
      <c r="B37" s="9"/>
      <c r="C37" s="58"/>
      <c r="D37" s="11"/>
      <c r="E37" s="10"/>
      <c r="F37" s="10"/>
      <c r="G37" s="12"/>
      <c r="H37" s="12"/>
      <c r="I37" s="17"/>
      <c r="J37" s="18"/>
      <c r="K37" s="19">
        <f t="shared" si="1"/>
        <v>0</v>
      </c>
      <c r="L37" s="27"/>
      <c r="N37" s="15">
        <v>10.89</v>
      </c>
    </row>
    <row r="38" spans="1:14" ht="20.25" customHeight="1" x14ac:dyDescent="0.15">
      <c r="A38" s="60"/>
      <c r="B38" s="9"/>
      <c r="C38" s="58"/>
      <c r="D38" s="11"/>
      <c r="E38" s="10"/>
      <c r="F38" s="10"/>
      <c r="G38" s="12"/>
      <c r="H38" s="12"/>
      <c r="I38" s="17"/>
      <c r="J38" s="18"/>
      <c r="K38" s="19">
        <f t="shared" si="1"/>
        <v>0</v>
      </c>
      <c r="L38" s="27"/>
      <c r="N38" s="15">
        <v>10.89</v>
      </c>
    </row>
    <row r="39" spans="1:14" ht="20.25" customHeight="1" x14ac:dyDescent="0.15">
      <c r="A39" s="60"/>
      <c r="B39" s="9"/>
      <c r="C39" s="58"/>
      <c r="D39" s="11"/>
      <c r="E39" s="10"/>
      <c r="F39" s="10"/>
      <c r="G39" s="12"/>
      <c r="H39" s="12"/>
      <c r="I39" s="17"/>
      <c r="J39" s="18"/>
      <c r="K39" s="19">
        <f t="shared" si="1"/>
        <v>0</v>
      </c>
      <c r="L39" s="27"/>
      <c r="N39" s="15">
        <v>10.89</v>
      </c>
    </row>
    <row r="40" spans="1:14" ht="20.25" customHeight="1" x14ac:dyDescent="0.15">
      <c r="A40" s="60"/>
      <c r="B40" s="9"/>
      <c r="C40" s="58"/>
      <c r="D40" s="11"/>
      <c r="E40" s="10"/>
      <c r="F40" s="10"/>
      <c r="G40" s="12"/>
      <c r="H40" s="12"/>
      <c r="I40" s="17"/>
      <c r="J40" s="18"/>
      <c r="K40" s="19">
        <f t="shared" si="1"/>
        <v>0</v>
      </c>
      <c r="L40" s="27"/>
      <c r="N40" s="15">
        <v>10.89</v>
      </c>
    </row>
    <row r="41" spans="1:14" ht="20.25" customHeight="1" x14ac:dyDescent="0.15">
      <c r="A41" s="57"/>
      <c r="B41" s="28"/>
      <c r="C41" s="10"/>
      <c r="D41" s="29"/>
      <c r="E41" s="30"/>
      <c r="F41" s="30"/>
      <c r="G41" s="30"/>
      <c r="H41" s="30"/>
      <c r="I41" s="13"/>
      <c r="J41" s="48">
        <f>SUM(J27:J40)</f>
        <v>547</v>
      </c>
      <c r="K41" s="49">
        <f>SUM(K27:K40)</f>
        <v>4083.3144000000007</v>
      </c>
      <c r="L41" s="31"/>
      <c r="N41" s="32"/>
    </row>
    <row r="42" spans="1:14" ht="20.25" customHeight="1" thickBot="1" x14ac:dyDescent="0.2">
      <c r="A42" s="55"/>
      <c r="B42" s="33"/>
      <c r="C42" s="33"/>
      <c r="D42" s="33"/>
      <c r="E42" s="33"/>
      <c r="F42" s="33"/>
      <c r="G42" s="33"/>
      <c r="H42" s="33"/>
      <c r="I42" s="33"/>
      <c r="J42" s="34"/>
      <c r="K42" s="35"/>
      <c r="L42" s="36"/>
    </row>
    <row r="43" spans="1:14" ht="20.25" customHeight="1" thickBot="1" x14ac:dyDescent="0.2">
      <c r="A43" s="37" t="s">
        <v>19</v>
      </c>
      <c r="B43" s="38" t="s">
        <v>20</v>
      </c>
      <c r="C43" s="77" t="s">
        <v>21</v>
      </c>
      <c r="D43" s="79"/>
      <c r="E43" s="77" t="s">
        <v>22</v>
      </c>
      <c r="F43" s="78"/>
      <c r="G43" s="79"/>
      <c r="H43" s="85" t="s">
        <v>23</v>
      </c>
      <c r="I43" s="86"/>
      <c r="J43" s="77" t="s">
        <v>24</v>
      </c>
      <c r="K43" s="79"/>
      <c r="L43" s="39" t="s">
        <v>13</v>
      </c>
    </row>
    <row r="44" spans="1:14" ht="20.25" customHeight="1" thickBot="1" x14ac:dyDescent="0.2">
      <c r="A44" s="40">
        <f>SUMIF($C$8:$C$42,"U1",$J$8:$J$42)</f>
        <v>0</v>
      </c>
      <c r="B44" s="41">
        <f>SUMIF($C$8:$C$42,"U2",$J$8:$J$42)</f>
        <v>28</v>
      </c>
      <c r="C44" s="77">
        <f>SUMIF($C$8:$C$42,"U3-1",$J$8:$J$42)</f>
        <v>0</v>
      </c>
      <c r="D44" s="79"/>
      <c r="E44" s="77">
        <f>SUMIF($C$8:$C$42,"U3",$J$8:$J$42)</f>
        <v>852</v>
      </c>
      <c r="F44" s="78"/>
      <c r="G44" s="79"/>
      <c r="H44" s="77">
        <f>SUMIF($C$8:$C$42,"E5",$J$8:$J$42)</f>
        <v>0</v>
      </c>
      <c r="I44" s="79"/>
      <c r="J44" s="77">
        <f>SUM(A44:I44)</f>
        <v>880</v>
      </c>
      <c r="K44" s="79"/>
      <c r="L44" s="42"/>
    </row>
    <row r="45" spans="1:14" ht="20.25" customHeight="1" thickBot="1" x14ac:dyDescent="0.2">
      <c r="A45" s="43" t="s">
        <v>25</v>
      </c>
      <c r="B45" s="44" t="s">
        <v>26</v>
      </c>
      <c r="C45" s="75">
        <v>13876</v>
      </c>
      <c r="D45" s="76"/>
      <c r="E45" s="77" t="s">
        <v>27</v>
      </c>
      <c r="F45" s="78"/>
      <c r="G45" s="78"/>
      <c r="H45" s="78"/>
      <c r="I45" s="79"/>
      <c r="J45" s="80">
        <v>146744.37</v>
      </c>
      <c r="K45" s="81"/>
      <c r="L45" s="82"/>
    </row>
    <row r="47" spans="1:14" x14ac:dyDescent="0.15">
      <c r="D47" s="45"/>
    </row>
  </sheetData>
  <mergeCells count="26">
    <mergeCell ref="C45:D45"/>
    <mergeCell ref="E45:I45"/>
    <mergeCell ref="J45:L45"/>
    <mergeCell ref="L6:L7"/>
    <mergeCell ref="C43:D43"/>
    <mergeCell ref="E43:G43"/>
    <mergeCell ref="H43:I43"/>
    <mergeCell ref="J43:K43"/>
    <mergeCell ref="C44:D44"/>
    <mergeCell ref="E44:G44"/>
    <mergeCell ref="H44:I44"/>
    <mergeCell ref="J44:K44"/>
    <mergeCell ref="B5:G5"/>
    <mergeCell ref="A6:A7"/>
    <mergeCell ref="B6:B7"/>
    <mergeCell ref="C6:C7"/>
    <mergeCell ref="D6:D7"/>
    <mergeCell ref="E6:E7"/>
    <mergeCell ref="F6:F7"/>
    <mergeCell ref="G6:K6"/>
    <mergeCell ref="L2:L4"/>
    <mergeCell ref="A1:G3"/>
    <mergeCell ref="H1:H4"/>
    <mergeCell ref="I2:I4"/>
    <mergeCell ref="J2:J4"/>
    <mergeCell ref="K2:K4"/>
  </mergeCells>
  <phoneticPr fontId="2" type="noConversion"/>
  <printOptions horizontalCentered="1"/>
  <pageMargins left="0.39370078740157483" right="0.39370078740157483" top="0.74803149606299213" bottom="0.19685039370078741" header="0.31496062992125984" footer="0.15748031496062992"/>
  <pageSetup paperSize="9" scale="84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N47"/>
  <sheetViews>
    <sheetView view="pageBreakPreview" topLeftCell="A4" zoomScaleSheetLayoutView="100" workbookViewId="0">
      <selection activeCell="B29" sqref="B29:H30"/>
    </sheetView>
  </sheetViews>
  <sheetFormatPr defaultColWidth="8.88671875" defaultRowHeight="13.5" x14ac:dyDescent="0.15"/>
  <cols>
    <col min="1" max="1" width="8.44140625" style="3" customWidth="1"/>
    <col min="2" max="2" width="14.77734375" style="3" customWidth="1"/>
    <col min="3" max="3" width="4.109375" style="3" customWidth="1"/>
    <col min="4" max="4" width="15.21875" style="3" customWidth="1"/>
    <col min="5" max="5" width="4.44140625" style="3" customWidth="1"/>
    <col min="6" max="6" width="4" style="3" customWidth="1"/>
    <col min="7" max="7" width="5.5546875" style="3" customWidth="1"/>
    <col min="8" max="8" width="5.44140625" style="3" customWidth="1"/>
    <col min="9" max="9" width="7.88671875" style="3" customWidth="1"/>
    <col min="10" max="10" width="7.109375" style="3" customWidth="1"/>
    <col min="11" max="11" width="7.21875" style="3" customWidth="1"/>
    <col min="12" max="12" width="6.77734375" style="3" customWidth="1"/>
    <col min="13" max="16384" width="8.88671875" style="3"/>
  </cols>
  <sheetData>
    <row r="1" spans="1:14" ht="18.75" customHeight="1" x14ac:dyDescent="0.15">
      <c r="A1" s="101" t="s">
        <v>0</v>
      </c>
      <c r="B1" s="102"/>
      <c r="C1" s="102"/>
      <c r="D1" s="102"/>
      <c r="E1" s="102"/>
      <c r="F1" s="102"/>
      <c r="G1" s="103"/>
      <c r="H1" s="107" t="s">
        <v>1</v>
      </c>
      <c r="I1" s="1" t="s">
        <v>2</v>
      </c>
      <c r="J1" s="1" t="s">
        <v>2</v>
      </c>
      <c r="K1" s="1" t="s">
        <v>3</v>
      </c>
      <c r="L1" s="2" t="s">
        <v>4</v>
      </c>
    </row>
    <row r="2" spans="1:14" ht="13.5" customHeight="1" x14ac:dyDescent="0.15">
      <c r="A2" s="104"/>
      <c r="B2" s="105"/>
      <c r="C2" s="105"/>
      <c r="D2" s="105"/>
      <c r="E2" s="105"/>
      <c r="F2" s="105"/>
      <c r="G2" s="106"/>
      <c r="H2" s="108"/>
      <c r="I2" s="110"/>
      <c r="J2" s="110"/>
      <c r="K2" s="110"/>
      <c r="L2" s="98"/>
    </row>
    <row r="3" spans="1:14" ht="13.5" customHeight="1" x14ac:dyDescent="0.15">
      <c r="A3" s="104"/>
      <c r="B3" s="105"/>
      <c r="C3" s="105"/>
      <c r="D3" s="105"/>
      <c r="E3" s="105"/>
      <c r="F3" s="105"/>
      <c r="G3" s="106"/>
      <c r="H3" s="108"/>
      <c r="I3" s="108"/>
      <c r="J3" s="108"/>
      <c r="K3" s="108"/>
      <c r="L3" s="99"/>
    </row>
    <row r="4" spans="1:14" ht="33" customHeight="1" x14ac:dyDescent="0.15">
      <c r="A4" s="4"/>
      <c r="B4" s="5"/>
      <c r="C4" s="5"/>
      <c r="D4" s="5"/>
      <c r="E4" s="5"/>
      <c r="F4" s="5"/>
      <c r="G4" s="5"/>
      <c r="H4" s="109"/>
      <c r="I4" s="109"/>
      <c r="J4" s="109"/>
      <c r="K4" s="109"/>
      <c r="L4" s="100"/>
    </row>
    <row r="5" spans="1:14" ht="17.25" customHeight="1" x14ac:dyDescent="0.15">
      <c r="A5" s="6" t="s">
        <v>5</v>
      </c>
      <c r="B5" s="87">
        <v>46030</v>
      </c>
      <c r="C5" s="88"/>
      <c r="D5" s="88"/>
      <c r="E5" s="88"/>
      <c r="F5" s="88"/>
      <c r="G5" s="88"/>
      <c r="H5" s="5"/>
      <c r="I5" s="5"/>
      <c r="J5" s="5"/>
      <c r="K5" s="5"/>
      <c r="L5" s="7"/>
    </row>
    <row r="6" spans="1:14" ht="13.5" customHeight="1" x14ac:dyDescent="0.15">
      <c r="A6" s="89" t="s">
        <v>6</v>
      </c>
      <c r="B6" s="91" t="s">
        <v>7</v>
      </c>
      <c r="C6" s="91" t="s">
        <v>8</v>
      </c>
      <c r="D6" s="91" t="s">
        <v>9</v>
      </c>
      <c r="E6" s="93" t="s">
        <v>10</v>
      </c>
      <c r="F6" s="93" t="s">
        <v>11</v>
      </c>
      <c r="G6" s="95" t="s">
        <v>12</v>
      </c>
      <c r="H6" s="96"/>
      <c r="I6" s="96"/>
      <c r="J6" s="96"/>
      <c r="K6" s="97"/>
      <c r="L6" s="83" t="s">
        <v>13</v>
      </c>
    </row>
    <row r="7" spans="1:14" x14ac:dyDescent="0.15">
      <c r="A7" s="90"/>
      <c r="B7" s="92"/>
      <c r="C7" s="92"/>
      <c r="D7" s="92"/>
      <c r="E7" s="94"/>
      <c r="F7" s="94"/>
      <c r="G7" s="8" t="s">
        <v>14</v>
      </c>
      <c r="H7" s="8" t="s">
        <v>15</v>
      </c>
      <c r="I7" s="8" t="s">
        <v>16</v>
      </c>
      <c r="J7" s="8" t="s">
        <v>17</v>
      </c>
      <c r="K7" s="8" t="s">
        <v>18</v>
      </c>
      <c r="L7" s="84"/>
    </row>
    <row r="8" spans="1:14" s="15" customFormat="1" ht="20.25" customHeight="1" x14ac:dyDescent="0.15">
      <c r="A8" s="60" t="s">
        <v>342</v>
      </c>
      <c r="B8" s="9" t="s">
        <v>187</v>
      </c>
      <c r="C8" s="58" t="s">
        <v>29</v>
      </c>
      <c r="D8" s="11" t="s">
        <v>297</v>
      </c>
      <c r="E8" s="10">
        <v>24</v>
      </c>
      <c r="F8" s="58" t="s">
        <v>11</v>
      </c>
      <c r="G8" s="12">
        <v>1275</v>
      </c>
      <c r="H8" s="12">
        <v>2335</v>
      </c>
      <c r="I8" s="17" t="s">
        <v>343</v>
      </c>
      <c r="J8" s="18">
        <v>189</v>
      </c>
      <c r="K8" s="19">
        <f>+M8*N8</f>
        <v>2494.3545000000004</v>
      </c>
      <c r="L8" s="14"/>
      <c r="M8" s="15">
        <v>229.05</v>
      </c>
      <c r="N8" s="15">
        <v>10.89</v>
      </c>
    </row>
    <row r="9" spans="1:14" s="15" customFormat="1" ht="20.25" customHeight="1" x14ac:dyDescent="0.15">
      <c r="A9" s="60" t="s">
        <v>344</v>
      </c>
      <c r="B9" s="9" t="s">
        <v>152</v>
      </c>
      <c r="C9" s="58" t="s">
        <v>29</v>
      </c>
      <c r="D9" s="11" t="s">
        <v>345</v>
      </c>
      <c r="E9" s="10">
        <v>24</v>
      </c>
      <c r="F9" s="58" t="s">
        <v>11</v>
      </c>
      <c r="G9" s="12">
        <v>1765</v>
      </c>
      <c r="H9" s="12">
        <v>2105</v>
      </c>
      <c r="I9" s="17" t="s">
        <v>346</v>
      </c>
      <c r="J9" s="18">
        <v>11</v>
      </c>
      <c r="K9" s="19">
        <f t="shared" ref="K9:K23" si="0">+M9*N9</f>
        <v>218.12670000000003</v>
      </c>
      <c r="L9" s="14"/>
      <c r="M9" s="15">
        <v>20.03</v>
      </c>
      <c r="N9" s="15">
        <v>10.89</v>
      </c>
    </row>
    <row r="10" spans="1:14" s="15" customFormat="1" ht="20.25" customHeight="1" x14ac:dyDescent="0.15">
      <c r="A10" s="60" t="s">
        <v>347</v>
      </c>
      <c r="B10" s="9" t="s">
        <v>152</v>
      </c>
      <c r="C10" s="58" t="s">
        <v>29</v>
      </c>
      <c r="D10" s="11" t="s">
        <v>345</v>
      </c>
      <c r="E10" s="10">
        <v>24</v>
      </c>
      <c r="F10" s="58" t="s">
        <v>11</v>
      </c>
      <c r="G10" s="12">
        <v>1205</v>
      </c>
      <c r="H10" s="12">
        <v>1695</v>
      </c>
      <c r="I10" s="17" t="s">
        <v>348</v>
      </c>
      <c r="J10" s="18">
        <v>7</v>
      </c>
      <c r="K10" s="19">
        <f t="shared" si="0"/>
        <v>116.0874</v>
      </c>
      <c r="L10" s="14"/>
      <c r="M10" s="15">
        <v>10.66</v>
      </c>
      <c r="N10" s="15">
        <v>10.89</v>
      </c>
    </row>
    <row r="11" spans="1:14" s="15" customFormat="1" ht="20.25" customHeight="1" x14ac:dyDescent="0.15">
      <c r="A11" s="60" t="s">
        <v>349</v>
      </c>
      <c r="B11" s="9" t="s">
        <v>152</v>
      </c>
      <c r="C11" s="58" t="s">
        <v>29</v>
      </c>
      <c r="D11" s="11" t="s">
        <v>345</v>
      </c>
      <c r="E11" s="10">
        <v>24</v>
      </c>
      <c r="F11" s="58" t="s">
        <v>11</v>
      </c>
      <c r="G11" s="12">
        <v>1335</v>
      </c>
      <c r="H11" s="12">
        <v>2095</v>
      </c>
      <c r="I11" s="17" t="s">
        <v>350</v>
      </c>
      <c r="J11" s="18">
        <v>25</v>
      </c>
      <c r="K11" s="19">
        <f t="shared" si="0"/>
        <v>382.23900000000003</v>
      </c>
      <c r="L11" s="14"/>
      <c r="M11" s="15">
        <v>35.1</v>
      </c>
      <c r="N11" s="15">
        <v>10.89</v>
      </c>
    </row>
    <row r="12" spans="1:14" s="15" customFormat="1" ht="20.25" customHeight="1" x14ac:dyDescent="0.15">
      <c r="A12" s="60" t="s">
        <v>351</v>
      </c>
      <c r="B12" s="9" t="s">
        <v>70</v>
      </c>
      <c r="C12" s="58" t="s">
        <v>29</v>
      </c>
      <c r="D12" s="11" t="s">
        <v>352</v>
      </c>
      <c r="E12" s="10">
        <v>22</v>
      </c>
      <c r="F12" s="58"/>
      <c r="G12" s="12">
        <v>757</v>
      </c>
      <c r="H12" s="12">
        <v>952</v>
      </c>
      <c r="I12" s="17">
        <v>1</v>
      </c>
      <c r="J12" s="18">
        <v>1</v>
      </c>
      <c r="K12" s="19">
        <f t="shared" si="0"/>
        <v>7.8407999999999998</v>
      </c>
      <c r="L12" s="14"/>
      <c r="M12" s="15">
        <v>0.72</v>
      </c>
      <c r="N12" s="15">
        <v>10.89</v>
      </c>
    </row>
    <row r="13" spans="1:14" s="15" customFormat="1" ht="20.25" customHeight="1" x14ac:dyDescent="0.15">
      <c r="A13" s="60" t="s">
        <v>353</v>
      </c>
      <c r="B13" s="9" t="s">
        <v>68</v>
      </c>
      <c r="C13" s="58" t="s">
        <v>29</v>
      </c>
      <c r="D13" s="11" t="s">
        <v>354</v>
      </c>
      <c r="E13" s="10">
        <v>24</v>
      </c>
      <c r="F13" s="58" t="s">
        <v>11</v>
      </c>
      <c r="G13" s="12">
        <v>980</v>
      </c>
      <c r="H13" s="12">
        <v>830</v>
      </c>
      <c r="I13" s="17">
        <v>1</v>
      </c>
      <c r="J13" s="18">
        <v>1</v>
      </c>
      <c r="K13" s="19">
        <f t="shared" si="0"/>
        <v>8.8209000000000017</v>
      </c>
      <c r="L13" s="14"/>
      <c r="M13" s="15">
        <v>0.81</v>
      </c>
      <c r="N13" s="15">
        <v>10.89</v>
      </c>
    </row>
    <row r="14" spans="1:14" s="15" customFormat="1" ht="20.25" customHeight="1" x14ac:dyDescent="0.15">
      <c r="A14" s="60"/>
      <c r="B14" s="9"/>
      <c r="C14" s="58"/>
      <c r="D14" s="11"/>
      <c r="E14" s="10"/>
      <c r="F14" s="58"/>
      <c r="G14" s="12"/>
      <c r="H14" s="12"/>
      <c r="I14" s="17"/>
      <c r="J14" s="18"/>
      <c r="K14" s="19">
        <f t="shared" si="0"/>
        <v>0</v>
      </c>
      <c r="L14" s="20"/>
      <c r="N14" s="15">
        <v>10.89</v>
      </c>
    </row>
    <row r="15" spans="1:14" s="15" customFormat="1" ht="20.25" customHeight="1" x14ac:dyDescent="0.15">
      <c r="A15" s="60"/>
      <c r="B15" s="9"/>
      <c r="C15" s="58"/>
      <c r="D15" s="11"/>
      <c r="E15" s="10"/>
      <c r="F15" s="58"/>
      <c r="G15" s="12"/>
      <c r="H15" s="12"/>
      <c r="I15" s="17"/>
      <c r="J15" s="18"/>
      <c r="K15" s="19">
        <f t="shared" si="0"/>
        <v>0</v>
      </c>
      <c r="L15" s="20"/>
      <c r="N15" s="15">
        <v>10.89</v>
      </c>
    </row>
    <row r="16" spans="1:14" s="15" customFormat="1" ht="20.25" customHeight="1" x14ac:dyDescent="0.15">
      <c r="A16" s="60"/>
      <c r="B16" s="9"/>
      <c r="C16" s="58"/>
      <c r="D16" s="11"/>
      <c r="E16" s="10"/>
      <c r="F16" s="58"/>
      <c r="G16" s="12"/>
      <c r="H16" s="12"/>
      <c r="I16" s="17"/>
      <c r="J16" s="18"/>
      <c r="K16" s="19">
        <f t="shared" si="0"/>
        <v>0</v>
      </c>
      <c r="L16" s="20"/>
      <c r="N16" s="15">
        <v>10.89</v>
      </c>
    </row>
    <row r="17" spans="1:14" s="15" customFormat="1" ht="20.25" customHeight="1" x14ac:dyDescent="0.15">
      <c r="A17" s="60"/>
      <c r="B17" s="9"/>
      <c r="C17" s="58"/>
      <c r="D17" s="11"/>
      <c r="E17" s="10"/>
      <c r="F17" s="58"/>
      <c r="G17" s="12"/>
      <c r="H17" s="12"/>
      <c r="I17" s="17"/>
      <c r="J17" s="18"/>
      <c r="K17" s="19">
        <f t="shared" si="0"/>
        <v>0</v>
      </c>
      <c r="L17" s="20"/>
      <c r="N17" s="15">
        <v>10.89</v>
      </c>
    </row>
    <row r="18" spans="1:14" s="15" customFormat="1" ht="20.25" customHeight="1" x14ac:dyDescent="0.15">
      <c r="A18" s="60"/>
      <c r="B18" s="9"/>
      <c r="C18" s="58"/>
      <c r="D18" s="11"/>
      <c r="E18" s="10"/>
      <c r="F18" s="58"/>
      <c r="G18" s="12"/>
      <c r="H18" s="12"/>
      <c r="I18" s="17"/>
      <c r="J18" s="18"/>
      <c r="K18" s="19">
        <f t="shared" si="0"/>
        <v>0</v>
      </c>
      <c r="L18" s="20"/>
      <c r="N18" s="15">
        <v>10.89</v>
      </c>
    </row>
    <row r="19" spans="1:14" s="15" customFormat="1" ht="20.25" customHeight="1" x14ac:dyDescent="0.15">
      <c r="A19" s="60"/>
      <c r="B19" s="9"/>
      <c r="C19" s="58"/>
      <c r="D19" s="11"/>
      <c r="E19" s="10"/>
      <c r="F19" s="58"/>
      <c r="G19" s="12"/>
      <c r="H19" s="12"/>
      <c r="I19" s="17"/>
      <c r="J19" s="18"/>
      <c r="K19" s="19">
        <f t="shared" si="0"/>
        <v>0</v>
      </c>
      <c r="L19" s="20"/>
      <c r="N19" s="15">
        <v>10.89</v>
      </c>
    </row>
    <row r="20" spans="1:14" s="15" customFormat="1" ht="20.25" customHeight="1" x14ac:dyDescent="0.15">
      <c r="A20" s="60"/>
      <c r="B20" s="9"/>
      <c r="C20" s="58"/>
      <c r="D20" s="11"/>
      <c r="E20" s="10"/>
      <c r="F20" s="58"/>
      <c r="G20" s="12"/>
      <c r="H20" s="12"/>
      <c r="I20" s="17"/>
      <c r="J20" s="18"/>
      <c r="K20" s="19">
        <f t="shared" si="0"/>
        <v>0</v>
      </c>
      <c r="L20" s="20"/>
      <c r="N20" s="15">
        <v>10.89</v>
      </c>
    </row>
    <row r="21" spans="1:14" s="15" customFormat="1" ht="20.25" customHeight="1" x14ac:dyDescent="0.15">
      <c r="A21" s="60"/>
      <c r="B21" s="9"/>
      <c r="C21" s="58"/>
      <c r="D21" s="11"/>
      <c r="E21" s="10"/>
      <c r="F21" s="58"/>
      <c r="G21" s="50"/>
      <c r="H21" s="50"/>
      <c r="I21" s="17"/>
      <c r="J21" s="18"/>
      <c r="K21" s="19">
        <f t="shared" si="0"/>
        <v>0</v>
      </c>
      <c r="L21" s="20"/>
      <c r="N21" s="15">
        <v>10.89</v>
      </c>
    </row>
    <row r="22" spans="1:14" s="15" customFormat="1" ht="20.25" customHeight="1" x14ac:dyDescent="0.15">
      <c r="A22" s="60"/>
      <c r="B22" s="9"/>
      <c r="C22" s="58"/>
      <c r="D22" s="11"/>
      <c r="E22" s="10"/>
      <c r="F22" s="58"/>
      <c r="G22" s="50"/>
      <c r="H22" s="50"/>
      <c r="I22" s="17"/>
      <c r="J22" s="18"/>
      <c r="K22" s="19">
        <f t="shared" si="0"/>
        <v>0</v>
      </c>
      <c r="L22" s="20"/>
      <c r="N22" s="15">
        <v>10.89</v>
      </c>
    </row>
    <row r="23" spans="1:14" ht="20.25" customHeight="1" x14ac:dyDescent="0.15">
      <c r="A23" s="60"/>
      <c r="B23" s="9"/>
      <c r="C23" s="58"/>
      <c r="D23" s="11"/>
      <c r="E23" s="10"/>
      <c r="F23" s="58"/>
      <c r="G23" s="16"/>
      <c r="H23" s="16"/>
      <c r="I23" s="17"/>
      <c r="J23" s="18"/>
      <c r="K23" s="19">
        <f t="shared" si="0"/>
        <v>0</v>
      </c>
      <c r="L23" s="20"/>
      <c r="N23" s="15">
        <v>10.89</v>
      </c>
    </row>
    <row r="24" spans="1:14" ht="20.25" customHeight="1" thickBot="1" x14ac:dyDescent="0.2">
      <c r="A24" s="56"/>
      <c r="B24" s="21"/>
      <c r="C24" s="59"/>
      <c r="D24" s="22"/>
      <c r="E24" s="23"/>
      <c r="F24" s="23"/>
      <c r="G24" s="24"/>
      <c r="H24" s="24"/>
      <c r="I24" s="25"/>
      <c r="J24" s="46">
        <f>SUM(J8:J23)</f>
        <v>234</v>
      </c>
      <c r="K24" s="47">
        <f>SUM(K8:K23)</f>
        <v>3227.4693000000002</v>
      </c>
      <c r="L24" s="26"/>
    </row>
    <row r="25" spans="1:14" ht="20.25" customHeight="1" thickTop="1" x14ac:dyDescent="0.15">
      <c r="A25" s="60" t="s">
        <v>355</v>
      </c>
      <c r="B25" s="9" t="s">
        <v>184</v>
      </c>
      <c r="C25" s="58" t="s">
        <v>29</v>
      </c>
      <c r="D25" s="11" t="s">
        <v>200</v>
      </c>
      <c r="E25" s="10">
        <v>22</v>
      </c>
      <c r="F25" s="10"/>
      <c r="G25" s="12">
        <v>1716</v>
      </c>
      <c r="H25" s="12">
        <v>1817</v>
      </c>
      <c r="I25" s="17">
        <v>10</v>
      </c>
      <c r="J25" s="18">
        <v>10</v>
      </c>
      <c r="K25" s="19">
        <f t="shared" ref="K25:K40" si="1">+M25*N25</f>
        <v>339.76800000000003</v>
      </c>
      <c r="L25" s="54"/>
      <c r="M25" s="3">
        <v>31.2</v>
      </c>
      <c r="N25" s="15">
        <v>10.89</v>
      </c>
    </row>
    <row r="26" spans="1:14" ht="20.25" customHeight="1" x14ac:dyDescent="0.15">
      <c r="A26" s="60"/>
      <c r="B26" s="9"/>
      <c r="C26" s="58" t="s">
        <v>29</v>
      </c>
      <c r="D26" s="11" t="s">
        <v>201</v>
      </c>
      <c r="E26" s="10">
        <v>22</v>
      </c>
      <c r="F26" s="10"/>
      <c r="G26" s="12">
        <v>351</v>
      </c>
      <c r="H26" s="12">
        <v>947</v>
      </c>
      <c r="I26" s="17" t="s">
        <v>356</v>
      </c>
      <c r="J26" s="18">
        <v>80</v>
      </c>
      <c r="K26" s="19">
        <f t="shared" si="1"/>
        <v>265.71600000000001</v>
      </c>
      <c r="L26" s="54"/>
      <c r="M26" s="3">
        <v>24.4</v>
      </c>
      <c r="N26" s="15">
        <v>10.89</v>
      </c>
    </row>
    <row r="27" spans="1:14" ht="20.25" customHeight="1" x14ac:dyDescent="0.15">
      <c r="A27" s="61" t="s">
        <v>357</v>
      </c>
      <c r="B27" s="9" t="s">
        <v>184</v>
      </c>
      <c r="C27" s="58" t="s">
        <v>29</v>
      </c>
      <c r="D27" s="11" t="s">
        <v>201</v>
      </c>
      <c r="E27" s="10">
        <v>22</v>
      </c>
      <c r="F27" s="10"/>
      <c r="G27" s="12">
        <v>1716</v>
      </c>
      <c r="H27" s="12">
        <v>1817</v>
      </c>
      <c r="I27" s="17" t="s">
        <v>358</v>
      </c>
      <c r="J27" s="18">
        <v>190</v>
      </c>
      <c r="K27" s="19">
        <f t="shared" si="1"/>
        <v>1633.5</v>
      </c>
      <c r="L27" s="54"/>
      <c r="M27" s="3">
        <v>150</v>
      </c>
      <c r="N27" s="15">
        <v>10.89</v>
      </c>
    </row>
    <row r="28" spans="1:14" ht="20.25" customHeight="1" x14ac:dyDescent="0.15">
      <c r="A28" s="61"/>
      <c r="B28" s="9"/>
      <c r="C28" s="58" t="s">
        <v>29</v>
      </c>
      <c r="D28" s="11" t="s">
        <v>195</v>
      </c>
      <c r="E28" s="10">
        <v>22</v>
      </c>
      <c r="F28" s="10"/>
      <c r="G28" s="12">
        <v>1716</v>
      </c>
      <c r="H28" s="12">
        <v>1817</v>
      </c>
      <c r="I28" s="17" t="s">
        <v>359</v>
      </c>
      <c r="J28" s="18">
        <v>150</v>
      </c>
      <c r="K28" s="19">
        <f t="shared" si="1"/>
        <v>1285.02</v>
      </c>
      <c r="L28" s="54"/>
      <c r="M28" s="3">
        <v>118</v>
      </c>
      <c r="N28" s="15">
        <v>10.89</v>
      </c>
    </row>
    <row r="29" spans="1:14" ht="20.25" customHeight="1" x14ac:dyDescent="0.15">
      <c r="A29" s="61" t="s">
        <v>360</v>
      </c>
      <c r="B29" s="9" t="s">
        <v>184</v>
      </c>
      <c r="C29" s="58" t="s">
        <v>29</v>
      </c>
      <c r="D29" s="11" t="s">
        <v>201</v>
      </c>
      <c r="E29" s="10">
        <v>22</v>
      </c>
      <c r="F29" s="10"/>
      <c r="G29" s="12">
        <v>1716</v>
      </c>
      <c r="H29" s="12">
        <v>1817</v>
      </c>
      <c r="I29" s="17" t="s">
        <v>361</v>
      </c>
      <c r="J29" s="18">
        <v>171</v>
      </c>
      <c r="K29" s="19">
        <f t="shared" si="1"/>
        <v>1470.15</v>
      </c>
      <c r="L29" s="54"/>
      <c r="M29" s="3">
        <v>135</v>
      </c>
      <c r="N29" s="15">
        <v>10.89</v>
      </c>
    </row>
    <row r="30" spans="1:14" ht="20.25" customHeight="1" x14ac:dyDescent="0.15">
      <c r="A30" s="61"/>
      <c r="B30" s="9"/>
      <c r="C30" s="58" t="s">
        <v>29</v>
      </c>
      <c r="D30" s="11" t="s">
        <v>195</v>
      </c>
      <c r="E30" s="10">
        <v>22</v>
      </c>
      <c r="F30" s="10"/>
      <c r="G30" s="12">
        <v>1716</v>
      </c>
      <c r="H30" s="12">
        <v>1817</v>
      </c>
      <c r="I30" s="51" t="s">
        <v>362</v>
      </c>
      <c r="J30" s="52">
        <v>117</v>
      </c>
      <c r="K30" s="53">
        <f t="shared" si="1"/>
        <v>1101.6324</v>
      </c>
      <c r="L30" s="54"/>
      <c r="M30" s="3">
        <v>101.16</v>
      </c>
      <c r="N30" s="15">
        <v>10.89</v>
      </c>
    </row>
    <row r="31" spans="1:14" ht="20.25" customHeight="1" x14ac:dyDescent="0.15">
      <c r="A31" s="61" t="s">
        <v>363</v>
      </c>
      <c r="B31" s="9" t="s">
        <v>70</v>
      </c>
      <c r="C31" s="58" t="s">
        <v>29</v>
      </c>
      <c r="D31" s="11" t="s">
        <v>352</v>
      </c>
      <c r="E31" s="10">
        <v>22</v>
      </c>
      <c r="F31" s="10"/>
      <c r="G31" s="12">
        <v>846</v>
      </c>
      <c r="H31" s="12">
        <v>1845</v>
      </c>
      <c r="I31" s="51" t="s">
        <v>366</v>
      </c>
      <c r="J31" s="52">
        <v>4</v>
      </c>
      <c r="K31" s="53">
        <f t="shared" si="1"/>
        <v>40.510800000000003</v>
      </c>
      <c r="L31" s="54"/>
      <c r="M31" s="3">
        <v>3.72</v>
      </c>
      <c r="N31" s="15">
        <v>10.89</v>
      </c>
    </row>
    <row r="32" spans="1:14" ht="20.25" customHeight="1" x14ac:dyDescent="0.15">
      <c r="A32" s="60"/>
      <c r="B32" s="9"/>
      <c r="C32" s="58" t="s">
        <v>29</v>
      </c>
      <c r="D32" s="11" t="s">
        <v>364</v>
      </c>
      <c r="E32" s="10">
        <v>22</v>
      </c>
      <c r="F32" s="10"/>
      <c r="G32" s="12">
        <v>2135</v>
      </c>
      <c r="H32" s="12">
        <v>1845</v>
      </c>
      <c r="I32" s="17" t="s">
        <v>367</v>
      </c>
      <c r="J32" s="18">
        <v>3</v>
      </c>
      <c r="K32" s="19">
        <f t="shared" si="1"/>
        <v>122.7303</v>
      </c>
      <c r="L32" s="27"/>
      <c r="M32" s="3">
        <v>11.27</v>
      </c>
      <c r="N32" s="15">
        <v>10.89</v>
      </c>
    </row>
    <row r="33" spans="1:14" ht="20.25" customHeight="1" x14ac:dyDescent="0.15">
      <c r="A33" s="60"/>
      <c r="B33" s="9"/>
      <c r="C33" s="58" t="s">
        <v>29</v>
      </c>
      <c r="D33" s="11" t="s">
        <v>195</v>
      </c>
      <c r="E33" s="10">
        <v>22</v>
      </c>
      <c r="F33" s="10"/>
      <c r="G33" s="12">
        <v>752</v>
      </c>
      <c r="H33" s="12">
        <v>940</v>
      </c>
      <c r="I33" s="17">
        <v>1</v>
      </c>
      <c r="J33" s="18">
        <v>1</v>
      </c>
      <c r="K33" s="19">
        <f t="shared" si="1"/>
        <v>7.7319000000000004</v>
      </c>
      <c r="L33" s="27"/>
      <c r="M33" s="3">
        <v>0.71</v>
      </c>
      <c r="N33" s="15">
        <v>10.89</v>
      </c>
    </row>
    <row r="34" spans="1:14" ht="20.25" customHeight="1" x14ac:dyDescent="0.15">
      <c r="A34" s="60"/>
      <c r="B34" s="9"/>
      <c r="C34" s="58" t="s">
        <v>29</v>
      </c>
      <c r="D34" s="11" t="s">
        <v>365</v>
      </c>
      <c r="E34" s="10">
        <v>47</v>
      </c>
      <c r="F34" s="10" t="s">
        <v>11</v>
      </c>
      <c r="G34" s="12">
        <v>888</v>
      </c>
      <c r="H34" s="12">
        <v>1090</v>
      </c>
      <c r="I34" s="17">
        <v>1</v>
      </c>
      <c r="J34" s="18">
        <v>1</v>
      </c>
      <c r="K34" s="19">
        <f t="shared" si="1"/>
        <v>10.5633</v>
      </c>
      <c r="L34" s="27"/>
      <c r="M34" s="3">
        <v>0.97</v>
      </c>
      <c r="N34" s="15">
        <v>10.89</v>
      </c>
    </row>
    <row r="35" spans="1:14" ht="20.25" customHeight="1" x14ac:dyDescent="0.15">
      <c r="A35" s="60" t="s">
        <v>368</v>
      </c>
      <c r="B35" s="9" t="s">
        <v>369</v>
      </c>
      <c r="C35" s="58" t="s">
        <v>29</v>
      </c>
      <c r="D35" s="11" t="s">
        <v>370</v>
      </c>
      <c r="E35" s="10">
        <v>43</v>
      </c>
      <c r="F35" s="10" t="s">
        <v>11</v>
      </c>
      <c r="G35" s="12">
        <v>387</v>
      </c>
      <c r="H35" s="12">
        <v>1315</v>
      </c>
      <c r="I35" s="17">
        <v>1</v>
      </c>
      <c r="J35" s="18">
        <v>1</v>
      </c>
      <c r="K35" s="19">
        <f t="shared" si="1"/>
        <v>5.5539000000000005</v>
      </c>
      <c r="L35" s="27"/>
      <c r="M35" s="3">
        <v>0.51</v>
      </c>
      <c r="N35" s="15">
        <v>10.89</v>
      </c>
    </row>
    <row r="36" spans="1:14" ht="20.25" customHeight="1" x14ac:dyDescent="0.15">
      <c r="A36" s="60"/>
      <c r="B36" s="9"/>
      <c r="C36" s="58"/>
      <c r="D36" s="11"/>
      <c r="E36" s="10"/>
      <c r="F36" s="10"/>
      <c r="G36" s="12"/>
      <c r="H36" s="12"/>
      <c r="I36" s="17"/>
      <c r="J36" s="18"/>
      <c r="K36" s="19">
        <f t="shared" si="1"/>
        <v>0</v>
      </c>
      <c r="L36" s="27"/>
      <c r="N36" s="15">
        <v>10.89</v>
      </c>
    </row>
    <row r="37" spans="1:14" ht="20.25" customHeight="1" x14ac:dyDescent="0.15">
      <c r="A37" s="60"/>
      <c r="B37" s="9"/>
      <c r="C37" s="58"/>
      <c r="D37" s="11"/>
      <c r="E37" s="10"/>
      <c r="F37" s="10"/>
      <c r="G37" s="12"/>
      <c r="H37" s="12"/>
      <c r="I37" s="17"/>
      <c r="J37" s="18"/>
      <c r="K37" s="19">
        <f t="shared" si="1"/>
        <v>0</v>
      </c>
      <c r="L37" s="27"/>
      <c r="N37" s="15">
        <v>10.89</v>
      </c>
    </row>
    <row r="38" spans="1:14" ht="20.25" customHeight="1" x14ac:dyDescent="0.15">
      <c r="A38" s="60"/>
      <c r="B38" s="9"/>
      <c r="C38" s="58"/>
      <c r="D38" s="11"/>
      <c r="E38" s="10"/>
      <c r="F38" s="10"/>
      <c r="G38" s="12"/>
      <c r="H38" s="12"/>
      <c r="I38" s="17"/>
      <c r="J38" s="18"/>
      <c r="K38" s="19">
        <f t="shared" si="1"/>
        <v>0</v>
      </c>
      <c r="L38" s="27"/>
      <c r="N38" s="15">
        <v>10.89</v>
      </c>
    </row>
    <row r="39" spans="1:14" ht="20.25" customHeight="1" x14ac:dyDescent="0.15">
      <c r="A39" s="60"/>
      <c r="B39" s="9"/>
      <c r="C39" s="58"/>
      <c r="D39" s="11"/>
      <c r="E39" s="10"/>
      <c r="F39" s="10"/>
      <c r="G39" s="12"/>
      <c r="H39" s="12"/>
      <c r="I39" s="17"/>
      <c r="J39" s="18"/>
      <c r="K39" s="19">
        <f t="shared" si="1"/>
        <v>0</v>
      </c>
      <c r="L39" s="27"/>
      <c r="N39" s="15">
        <v>10.89</v>
      </c>
    </row>
    <row r="40" spans="1:14" ht="20.25" customHeight="1" x14ac:dyDescent="0.15">
      <c r="A40" s="60"/>
      <c r="B40" s="9"/>
      <c r="C40" s="58"/>
      <c r="D40" s="11"/>
      <c r="E40" s="10"/>
      <c r="F40" s="10"/>
      <c r="G40" s="12"/>
      <c r="H40" s="12"/>
      <c r="I40" s="17"/>
      <c r="J40" s="18"/>
      <c r="K40" s="19">
        <f t="shared" si="1"/>
        <v>0</v>
      </c>
      <c r="L40" s="27"/>
      <c r="N40" s="15">
        <v>10.89</v>
      </c>
    </row>
    <row r="41" spans="1:14" ht="20.25" customHeight="1" x14ac:dyDescent="0.15">
      <c r="A41" s="57"/>
      <c r="B41" s="28"/>
      <c r="C41" s="10"/>
      <c r="D41" s="29"/>
      <c r="E41" s="30"/>
      <c r="F41" s="30"/>
      <c r="G41" s="30"/>
      <c r="H41" s="30"/>
      <c r="I41" s="13"/>
      <c r="J41" s="48">
        <f>SUM(J25:J40)</f>
        <v>728</v>
      </c>
      <c r="K41" s="49">
        <f>SUM(K25:K40)</f>
        <v>6282.8766000000005</v>
      </c>
      <c r="L41" s="31"/>
      <c r="N41" s="32"/>
    </row>
    <row r="42" spans="1:14" ht="20.25" customHeight="1" thickBot="1" x14ac:dyDescent="0.2">
      <c r="A42" s="55"/>
      <c r="B42" s="33"/>
      <c r="C42" s="33"/>
      <c r="D42" s="33"/>
      <c r="E42" s="33"/>
      <c r="F42" s="33"/>
      <c r="G42" s="33"/>
      <c r="H42" s="33"/>
      <c r="I42" s="33"/>
      <c r="J42" s="34"/>
      <c r="K42" s="35"/>
      <c r="L42" s="36"/>
    </row>
    <row r="43" spans="1:14" ht="20.25" customHeight="1" thickBot="1" x14ac:dyDescent="0.2">
      <c r="A43" s="37" t="s">
        <v>19</v>
      </c>
      <c r="B43" s="38" t="s">
        <v>20</v>
      </c>
      <c r="C43" s="77" t="s">
        <v>21</v>
      </c>
      <c r="D43" s="79"/>
      <c r="E43" s="77" t="s">
        <v>22</v>
      </c>
      <c r="F43" s="78"/>
      <c r="G43" s="79"/>
      <c r="H43" s="85" t="s">
        <v>23</v>
      </c>
      <c r="I43" s="86"/>
      <c r="J43" s="77" t="s">
        <v>24</v>
      </c>
      <c r="K43" s="79"/>
      <c r="L43" s="39" t="s">
        <v>13</v>
      </c>
    </row>
    <row r="44" spans="1:14" ht="20.25" customHeight="1" thickBot="1" x14ac:dyDescent="0.2">
      <c r="A44" s="40">
        <f>SUMIF($C$8:$C$42,"U1",$J$8:$J$42)</f>
        <v>0</v>
      </c>
      <c r="B44" s="41">
        <f>SUMIF($C$8:$C$42,"U2",$J$8:$J$42)</f>
        <v>0</v>
      </c>
      <c r="C44" s="77">
        <f>SUMIF($C$8:$C$42,"U3-1",$J$8:$J$42)</f>
        <v>0</v>
      </c>
      <c r="D44" s="79"/>
      <c r="E44" s="77">
        <f>SUMIF($C$8:$C$42,"U3",$J$8:$J$42)</f>
        <v>962</v>
      </c>
      <c r="F44" s="78"/>
      <c r="G44" s="79"/>
      <c r="H44" s="77">
        <f>SUMIF($C$8:$C$42,"E5",$J$8:$J$42)</f>
        <v>0</v>
      </c>
      <c r="I44" s="79"/>
      <c r="J44" s="77">
        <f>SUM(A44:I44)</f>
        <v>962</v>
      </c>
      <c r="K44" s="79"/>
      <c r="L44" s="42"/>
    </row>
    <row r="45" spans="1:14" ht="20.25" customHeight="1" thickBot="1" x14ac:dyDescent="0.2">
      <c r="A45" s="43" t="s">
        <v>25</v>
      </c>
      <c r="B45" s="44" t="s">
        <v>26</v>
      </c>
      <c r="C45" s="75">
        <v>13876</v>
      </c>
      <c r="D45" s="76"/>
      <c r="E45" s="77" t="s">
        <v>27</v>
      </c>
      <c r="F45" s="78"/>
      <c r="G45" s="78"/>
      <c r="H45" s="78"/>
      <c r="I45" s="79"/>
      <c r="J45" s="80">
        <v>146744.37</v>
      </c>
      <c r="K45" s="81"/>
      <c r="L45" s="82"/>
    </row>
    <row r="47" spans="1:14" x14ac:dyDescent="0.15">
      <c r="D47" s="45"/>
    </row>
  </sheetData>
  <mergeCells count="26">
    <mergeCell ref="C45:D45"/>
    <mergeCell ref="E45:I45"/>
    <mergeCell ref="J45:L45"/>
    <mergeCell ref="L6:L7"/>
    <mergeCell ref="C43:D43"/>
    <mergeCell ref="E43:G43"/>
    <mergeCell ref="H43:I43"/>
    <mergeCell ref="J43:K43"/>
    <mergeCell ref="C44:D44"/>
    <mergeCell ref="E44:G44"/>
    <mergeCell ref="H44:I44"/>
    <mergeCell ref="J44:K44"/>
    <mergeCell ref="B5:G5"/>
    <mergeCell ref="A6:A7"/>
    <mergeCell ref="B6:B7"/>
    <mergeCell ref="C6:C7"/>
    <mergeCell ref="D6:D7"/>
    <mergeCell ref="E6:E7"/>
    <mergeCell ref="F6:F7"/>
    <mergeCell ref="G6:K6"/>
    <mergeCell ref="L2:L4"/>
    <mergeCell ref="A1:G3"/>
    <mergeCell ref="H1:H4"/>
    <mergeCell ref="I2:I4"/>
    <mergeCell ref="J2:J4"/>
    <mergeCell ref="K2:K4"/>
  </mergeCells>
  <phoneticPr fontId="2" type="noConversion"/>
  <printOptions horizontalCentered="1"/>
  <pageMargins left="0.39370078740157483" right="0.39370078740157483" top="0.74803149606299213" bottom="0.19685039370078741" header="0.31496062992125984" footer="0.15748031496062992"/>
  <pageSetup paperSize="9" scale="84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N47"/>
  <sheetViews>
    <sheetView view="pageBreakPreview" topLeftCell="A8" zoomScaleSheetLayoutView="100" workbookViewId="0">
      <selection activeCell="B8" sqref="B8"/>
    </sheetView>
  </sheetViews>
  <sheetFormatPr defaultColWidth="8.88671875" defaultRowHeight="13.5" x14ac:dyDescent="0.15"/>
  <cols>
    <col min="1" max="1" width="8.44140625" style="3" customWidth="1"/>
    <col min="2" max="2" width="14.77734375" style="3" customWidth="1"/>
    <col min="3" max="3" width="4.109375" style="3" customWidth="1"/>
    <col min="4" max="4" width="15.21875" style="3" customWidth="1"/>
    <col min="5" max="5" width="4.44140625" style="3" customWidth="1"/>
    <col min="6" max="6" width="4" style="3" customWidth="1"/>
    <col min="7" max="7" width="5.5546875" style="3" customWidth="1"/>
    <col min="8" max="8" width="5.44140625" style="3" customWidth="1"/>
    <col min="9" max="9" width="7.88671875" style="3" customWidth="1"/>
    <col min="10" max="10" width="7.109375" style="3" customWidth="1"/>
    <col min="11" max="11" width="7.21875" style="3" customWidth="1"/>
    <col min="12" max="12" width="6.77734375" style="3" customWidth="1"/>
    <col min="13" max="16384" width="8.88671875" style="3"/>
  </cols>
  <sheetData>
    <row r="1" spans="1:14" ht="18.75" customHeight="1" x14ac:dyDescent="0.15">
      <c r="A1" s="101" t="s">
        <v>0</v>
      </c>
      <c r="B1" s="102"/>
      <c r="C1" s="102"/>
      <c r="D1" s="102"/>
      <c r="E1" s="102"/>
      <c r="F1" s="102"/>
      <c r="G1" s="103"/>
      <c r="H1" s="107" t="s">
        <v>1</v>
      </c>
      <c r="I1" s="1" t="s">
        <v>2</v>
      </c>
      <c r="J1" s="1" t="s">
        <v>2</v>
      </c>
      <c r="K1" s="1" t="s">
        <v>3</v>
      </c>
      <c r="L1" s="2" t="s">
        <v>4</v>
      </c>
    </row>
    <row r="2" spans="1:14" ht="13.5" customHeight="1" x14ac:dyDescent="0.15">
      <c r="A2" s="104"/>
      <c r="B2" s="105"/>
      <c r="C2" s="105"/>
      <c r="D2" s="105"/>
      <c r="E2" s="105"/>
      <c r="F2" s="105"/>
      <c r="G2" s="106"/>
      <c r="H2" s="108"/>
      <c r="I2" s="110"/>
      <c r="J2" s="110"/>
      <c r="K2" s="110"/>
      <c r="L2" s="98"/>
    </row>
    <row r="3" spans="1:14" ht="13.5" customHeight="1" x14ac:dyDescent="0.15">
      <c r="A3" s="104"/>
      <c r="B3" s="105"/>
      <c r="C3" s="105"/>
      <c r="D3" s="105"/>
      <c r="E3" s="105"/>
      <c r="F3" s="105"/>
      <c r="G3" s="106"/>
      <c r="H3" s="108"/>
      <c r="I3" s="108"/>
      <c r="J3" s="108"/>
      <c r="K3" s="108"/>
      <c r="L3" s="99"/>
    </row>
    <row r="4" spans="1:14" ht="33" customHeight="1" x14ac:dyDescent="0.15">
      <c r="A4" s="4"/>
      <c r="B4" s="5"/>
      <c r="C4" s="5"/>
      <c r="D4" s="5"/>
      <c r="E4" s="5"/>
      <c r="F4" s="5"/>
      <c r="G4" s="5"/>
      <c r="H4" s="109"/>
      <c r="I4" s="109"/>
      <c r="J4" s="109"/>
      <c r="K4" s="109"/>
      <c r="L4" s="100"/>
    </row>
    <row r="5" spans="1:14" ht="17.25" customHeight="1" x14ac:dyDescent="0.15">
      <c r="A5" s="6" t="s">
        <v>5</v>
      </c>
      <c r="B5" s="87">
        <v>46031</v>
      </c>
      <c r="C5" s="88"/>
      <c r="D5" s="88"/>
      <c r="E5" s="88"/>
      <c r="F5" s="88"/>
      <c r="G5" s="88"/>
      <c r="H5" s="5"/>
      <c r="I5" s="5"/>
      <c r="J5" s="5"/>
      <c r="K5" s="5"/>
      <c r="L5" s="7"/>
    </row>
    <row r="6" spans="1:14" ht="13.5" customHeight="1" x14ac:dyDescent="0.15">
      <c r="A6" s="89" t="s">
        <v>6</v>
      </c>
      <c r="B6" s="91" t="s">
        <v>7</v>
      </c>
      <c r="C6" s="91" t="s">
        <v>8</v>
      </c>
      <c r="D6" s="91" t="s">
        <v>9</v>
      </c>
      <c r="E6" s="93" t="s">
        <v>10</v>
      </c>
      <c r="F6" s="93" t="s">
        <v>11</v>
      </c>
      <c r="G6" s="95" t="s">
        <v>12</v>
      </c>
      <c r="H6" s="96"/>
      <c r="I6" s="96"/>
      <c r="J6" s="96"/>
      <c r="K6" s="97"/>
      <c r="L6" s="83" t="s">
        <v>13</v>
      </c>
    </row>
    <row r="7" spans="1:14" x14ac:dyDescent="0.15">
      <c r="A7" s="90"/>
      <c r="B7" s="92"/>
      <c r="C7" s="92"/>
      <c r="D7" s="92"/>
      <c r="E7" s="94"/>
      <c r="F7" s="94"/>
      <c r="G7" s="8" t="s">
        <v>14</v>
      </c>
      <c r="H7" s="8" t="s">
        <v>15</v>
      </c>
      <c r="I7" s="8" t="s">
        <v>16</v>
      </c>
      <c r="J7" s="8" t="s">
        <v>17</v>
      </c>
      <c r="K7" s="8" t="s">
        <v>18</v>
      </c>
      <c r="L7" s="84"/>
    </row>
    <row r="8" spans="1:14" s="15" customFormat="1" ht="20.25" customHeight="1" x14ac:dyDescent="0.15">
      <c r="A8" s="60" t="s">
        <v>371</v>
      </c>
      <c r="B8" s="9" t="s">
        <v>138</v>
      </c>
      <c r="C8" s="58" t="s">
        <v>29</v>
      </c>
      <c r="D8" s="11" t="s">
        <v>372</v>
      </c>
      <c r="E8" s="10">
        <v>24</v>
      </c>
      <c r="F8" s="58"/>
      <c r="G8" s="12">
        <v>775</v>
      </c>
      <c r="H8" s="12">
        <v>1890</v>
      </c>
      <c r="I8" s="17" t="s">
        <v>373</v>
      </c>
      <c r="J8" s="18">
        <v>120</v>
      </c>
      <c r="K8" s="19">
        <f>+M8*N8</f>
        <v>1292.8608000000002</v>
      </c>
      <c r="L8" s="14"/>
      <c r="M8" s="15">
        <v>118.72</v>
      </c>
      <c r="N8" s="15">
        <v>10.89</v>
      </c>
    </row>
    <row r="9" spans="1:14" s="15" customFormat="1" ht="20.25" customHeight="1" x14ac:dyDescent="0.15">
      <c r="A9" s="60"/>
      <c r="B9" s="9"/>
      <c r="C9" s="58" t="s">
        <v>29</v>
      </c>
      <c r="D9" s="11" t="s">
        <v>336</v>
      </c>
      <c r="E9" s="10">
        <v>24</v>
      </c>
      <c r="F9" s="58"/>
      <c r="G9" s="12">
        <v>1762</v>
      </c>
      <c r="H9" s="12">
        <v>1890</v>
      </c>
      <c r="I9" s="17">
        <v>8</v>
      </c>
      <c r="J9" s="18">
        <v>8</v>
      </c>
      <c r="K9" s="19">
        <f t="shared" ref="K9:K23" si="0">+M9*N9</f>
        <v>290.1096</v>
      </c>
      <c r="L9" s="14"/>
      <c r="M9" s="15">
        <v>26.64</v>
      </c>
      <c r="N9" s="15">
        <v>10.89</v>
      </c>
    </row>
    <row r="10" spans="1:14" s="15" customFormat="1" ht="20.25" customHeight="1" x14ac:dyDescent="0.15">
      <c r="A10" s="60"/>
      <c r="B10" s="9"/>
      <c r="C10" s="58" t="s">
        <v>29</v>
      </c>
      <c r="D10" s="11" t="s">
        <v>224</v>
      </c>
      <c r="E10" s="10">
        <v>22</v>
      </c>
      <c r="F10" s="58"/>
      <c r="G10" s="12">
        <v>618</v>
      </c>
      <c r="H10" s="12">
        <v>1890</v>
      </c>
      <c r="I10" s="17" t="s">
        <v>374</v>
      </c>
      <c r="J10" s="18">
        <v>32</v>
      </c>
      <c r="K10" s="19">
        <f t="shared" si="0"/>
        <v>400.75200000000001</v>
      </c>
      <c r="L10" s="14"/>
      <c r="M10" s="15">
        <v>36.799999999999997</v>
      </c>
      <c r="N10" s="15">
        <v>10.89</v>
      </c>
    </row>
    <row r="11" spans="1:14" s="15" customFormat="1" ht="20.25" customHeight="1" x14ac:dyDescent="0.15">
      <c r="A11" s="60" t="s">
        <v>375</v>
      </c>
      <c r="B11" s="9" t="s">
        <v>152</v>
      </c>
      <c r="C11" s="58" t="s">
        <v>29</v>
      </c>
      <c r="D11" s="11" t="s">
        <v>345</v>
      </c>
      <c r="E11" s="10">
        <v>24</v>
      </c>
      <c r="F11" s="58" t="s">
        <v>11</v>
      </c>
      <c r="G11" s="12">
        <v>1435</v>
      </c>
      <c r="H11" s="12">
        <v>2095</v>
      </c>
      <c r="I11" s="17" t="s">
        <v>376</v>
      </c>
      <c r="J11" s="18">
        <v>21</v>
      </c>
      <c r="K11" s="19">
        <f t="shared" si="0"/>
        <v>287.38710000000003</v>
      </c>
      <c r="L11" s="14"/>
      <c r="M11" s="15">
        <v>26.39</v>
      </c>
      <c r="N11" s="15">
        <v>10.89</v>
      </c>
    </row>
    <row r="12" spans="1:14" s="15" customFormat="1" ht="20.25" customHeight="1" x14ac:dyDescent="0.15">
      <c r="A12" s="60" t="s">
        <v>377</v>
      </c>
      <c r="B12" s="9" t="s">
        <v>127</v>
      </c>
      <c r="C12" s="58" t="s">
        <v>29</v>
      </c>
      <c r="D12" s="11" t="s">
        <v>378</v>
      </c>
      <c r="E12" s="10">
        <v>28</v>
      </c>
      <c r="F12" s="58" t="s">
        <v>11</v>
      </c>
      <c r="G12" s="12">
        <v>985</v>
      </c>
      <c r="H12" s="12">
        <v>3285</v>
      </c>
      <c r="I12" s="17" t="s">
        <v>379</v>
      </c>
      <c r="J12" s="18">
        <v>191</v>
      </c>
      <c r="K12" s="19">
        <f t="shared" si="0"/>
        <v>2789.8002000000001</v>
      </c>
      <c r="L12" s="14"/>
      <c r="M12" s="15">
        <v>256.18</v>
      </c>
      <c r="N12" s="15">
        <v>10.89</v>
      </c>
    </row>
    <row r="13" spans="1:14" s="15" customFormat="1" ht="20.25" customHeight="1" x14ac:dyDescent="0.15">
      <c r="A13" s="60" t="s">
        <v>380</v>
      </c>
      <c r="B13" s="9" t="s">
        <v>369</v>
      </c>
      <c r="C13" s="58" t="s">
        <v>29</v>
      </c>
      <c r="D13" s="11" t="s">
        <v>276</v>
      </c>
      <c r="E13" s="10">
        <v>24</v>
      </c>
      <c r="F13" s="58" t="s">
        <v>11</v>
      </c>
      <c r="G13" s="12">
        <v>1076</v>
      </c>
      <c r="H13" s="12">
        <v>2055</v>
      </c>
      <c r="I13" s="17">
        <v>2</v>
      </c>
      <c r="J13" s="18">
        <v>2</v>
      </c>
      <c r="K13" s="19">
        <f t="shared" si="0"/>
        <v>48.133800000000001</v>
      </c>
      <c r="L13" s="14"/>
      <c r="M13" s="15">
        <v>4.42</v>
      </c>
      <c r="N13" s="15">
        <v>10.89</v>
      </c>
    </row>
    <row r="14" spans="1:14" s="15" customFormat="1" ht="20.25" customHeight="1" x14ac:dyDescent="0.15">
      <c r="A14" s="60" t="s">
        <v>381</v>
      </c>
      <c r="B14" s="9" t="s">
        <v>382</v>
      </c>
      <c r="C14" s="58" t="s">
        <v>273</v>
      </c>
      <c r="D14" s="11" t="s">
        <v>383</v>
      </c>
      <c r="E14" s="10">
        <v>16</v>
      </c>
      <c r="F14" s="58"/>
      <c r="G14" s="12">
        <v>892</v>
      </c>
      <c r="H14" s="12">
        <v>1915</v>
      </c>
      <c r="I14" s="17">
        <v>1</v>
      </c>
      <c r="J14" s="18">
        <v>1</v>
      </c>
      <c r="K14" s="19">
        <f t="shared" si="0"/>
        <v>18.6219</v>
      </c>
      <c r="L14" s="20"/>
      <c r="M14" s="15">
        <v>1.71</v>
      </c>
      <c r="N14" s="15">
        <v>10.89</v>
      </c>
    </row>
    <row r="15" spans="1:14" s="15" customFormat="1" ht="20.25" customHeight="1" x14ac:dyDescent="0.15">
      <c r="A15" s="60" t="s">
        <v>384</v>
      </c>
      <c r="B15" s="9" t="s">
        <v>187</v>
      </c>
      <c r="C15" s="58" t="s">
        <v>29</v>
      </c>
      <c r="D15" s="11" t="s">
        <v>297</v>
      </c>
      <c r="E15" s="10">
        <v>24</v>
      </c>
      <c r="F15" s="58" t="s">
        <v>11</v>
      </c>
      <c r="G15" s="12">
        <v>785</v>
      </c>
      <c r="H15" s="12">
        <v>2330</v>
      </c>
      <c r="I15" s="17" t="s">
        <v>385</v>
      </c>
      <c r="J15" s="18">
        <v>6</v>
      </c>
      <c r="K15" s="19">
        <f t="shared" si="0"/>
        <v>50.856300000000005</v>
      </c>
      <c r="L15" s="20"/>
      <c r="M15" s="15">
        <v>4.67</v>
      </c>
      <c r="N15" s="15">
        <v>10.89</v>
      </c>
    </row>
    <row r="16" spans="1:14" s="15" customFormat="1" ht="20.25" customHeight="1" x14ac:dyDescent="0.15">
      <c r="A16" s="60"/>
      <c r="B16" s="9"/>
      <c r="C16" s="58"/>
      <c r="D16" s="11"/>
      <c r="E16" s="10"/>
      <c r="F16" s="58"/>
      <c r="G16" s="12"/>
      <c r="H16" s="12"/>
      <c r="I16" s="17"/>
      <c r="J16" s="18"/>
      <c r="K16" s="19">
        <f t="shared" si="0"/>
        <v>0</v>
      </c>
      <c r="L16" s="20"/>
      <c r="N16" s="15">
        <v>10.89</v>
      </c>
    </row>
    <row r="17" spans="1:14" s="15" customFormat="1" ht="20.25" customHeight="1" x14ac:dyDescent="0.15">
      <c r="A17" s="60"/>
      <c r="B17" s="9"/>
      <c r="C17" s="58"/>
      <c r="D17" s="11"/>
      <c r="E17" s="10"/>
      <c r="F17" s="58"/>
      <c r="G17" s="12"/>
      <c r="H17" s="12"/>
      <c r="I17" s="17"/>
      <c r="J17" s="18"/>
      <c r="K17" s="19">
        <f t="shared" si="0"/>
        <v>0</v>
      </c>
      <c r="L17" s="20"/>
      <c r="N17" s="15">
        <v>10.89</v>
      </c>
    </row>
    <row r="18" spans="1:14" s="15" customFormat="1" ht="20.25" customHeight="1" x14ac:dyDescent="0.15">
      <c r="A18" s="60"/>
      <c r="B18" s="9"/>
      <c r="C18" s="58"/>
      <c r="D18" s="11"/>
      <c r="E18" s="10"/>
      <c r="F18" s="58"/>
      <c r="G18" s="12"/>
      <c r="H18" s="12"/>
      <c r="I18" s="17"/>
      <c r="J18" s="18"/>
      <c r="K18" s="19">
        <f t="shared" si="0"/>
        <v>0</v>
      </c>
      <c r="L18" s="20"/>
      <c r="N18" s="15">
        <v>10.89</v>
      </c>
    </row>
    <row r="19" spans="1:14" s="15" customFormat="1" ht="20.25" customHeight="1" x14ac:dyDescent="0.15">
      <c r="A19" s="60"/>
      <c r="B19" s="9"/>
      <c r="C19" s="58"/>
      <c r="D19" s="11"/>
      <c r="E19" s="10"/>
      <c r="F19" s="58"/>
      <c r="G19" s="12"/>
      <c r="H19" s="12"/>
      <c r="I19" s="17"/>
      <c r="J19" s="18"/>
      <c r="K19" s="19">
        <f t="shared" si="0"/>
        <v>0</v>
      </c>
      <c r="L19" s="20"/>
      <c r="N19" s="15">
        <v>10.89</v>
      </c>
    </row>
    <row r="20" spans="1:14" s="15" customFormat="1" ht="20.25" customHeight="1" x14ac:dyDescent="0.15">
      <c r="A20" s="60"/>
      <c r="B20" s="9"/>
      <c r="C20" s="58"/>
      <c r="D20" s="11"/>
      <c r="E20" s="10"/>
      <c r="F20" s="58"/>
      <c r="G20" s="12"/>
      <c r="H20" s="12"/>
      <c r="I20" s="17"/>
      <c r="J20" s="18"/>
      <c r="K20" s="19">
        <f t="shared" si="0"/>
        <v>0</v>
      </c>
      <c r="L20" s="20"/>
      <c r="N20" s="15">
        <v>10.89</v>
      </c>
    </row>
    <row r="21" spans="1:14" s="15" customFormat="1" ht="20.25" customHeight="1" x14ac:dyDescent="0.15">
      <c r="A21" s="60"/>
      <c r="B21" s="9"/>
      <c r="C21" s="58"/>
      <c r="D21" s="11"/>
      <c r="E21" s="10"/>
      <c r="F21" s="58"/>
      <c r="G21" s="50"/>
      <c r="H21" s="50"/>
      <c r="I21" s="17"/>
      <c r="J21" s="18"/>
      <c r="K21" s="19">
        <f t="shared" si="0"/>
        <v>0</v>
      </c>
      <c r="L21" s="20"/>
      <c r="N21" s="15">
        <v>10.89</v>
      </c>
    </row>
    <row r="22" spans="1:14" s="15" customFormat="1" ht="20.25" customHeight="1" x14ac:dyDescent="0.15">
      <c r="A22" s="60"/>
      <c r="B22" s="9"/>
      <c r="C22" s="58"/>
      <c r="D22" s="11"/>
      <c r="E22" s="10"/>
      <c r="F22" s="58"/>
      <c r="G22" s="50"/>
      <c r="H22" s="50"/>
      <c r="I22" s="17"/>
      <c r="J22" s="18"/>
      <c r="K22" s="19">
        <f t="shared" si="0"/>
        <v>0</v>
      </c>
      <c r="L22" s="20"/>
      <c r="N22" s="15">
        <v>10.89</v>
      </c>
    </row>
    <row r="23" spans="1:14" ht="20.25" customHeight="1" x14ac:dyDescent="0.15">
      <c r="A23" s="60"/>
      <c r="B23" s="9"/>
      <c r="C23" s="58"/>
      <c r="D23" s="11"/>
      <c r="E23" s="10"/>
      <c r="F23" s="58"/>
      <c r="G23" s="16"/>
      <c r="H23" s="16"/>
      <c r="I23" s="17"/>
      <c r="J23" s="18"/>
      <c r="K23" s="19">
        <f t="shared" si="0"/>
        <v>0</v>
      </c>
      <c r="L23" s="20"/>
      <c r="N23" s="15">
        <v>10.89</v>
      </c>
    </row>
    <row r="24" spans="1:14" ht="20.25" customHeight="1" thickBot="1" x14ac:dyDescent="0.2">
      <c r="A24" s="56"/>
      <c r="B24" s="21"/>
      <c r="C24" s="59"/>
      <c r="D24" s="22"/>
      <c r="E24" s="23"/>
      <c r="F24" s="23"/>
      <c r="G24" s="24"/>
      <c r="H24" s="24"/>
      <c r="I24" s="25"/>
      <c r="J24" s="46">
        <f>SUM(J8:J23)</f>
        <v>381</v>
      </c>
      <c r="K24" s="47">
        <f>SUM(K8:K23)</f>
        <v>5178.5217000000002</v>
      </c>
      <c r="L24" s="26"/>
    </row>
    <row r="25" spans="1:14" ht="20.25" customHeight="1" thickTop="1" x14ac:dyDescent="0.15">
      <c r="A25" s="60" t="s">
        <v>386</v>
      </c>
      <c r="B25" s="9" t="s">
        <v>173</v>
      </c>
      <c r="C25" s="58" t="s">
        <v>29</v>
      </c>
      <c r="D25" s="11" t="s">
        <v>279</v>
      </c>
      <c r="E25" s="10">
        <v>25.76</v>
      </c>
      <c r="F25" s="10"/>
      <c r="G25" s="12">
        <v>800</v>
      </c>
      <c r="H25" s="12">
        <v>690</v>
      </c>
      <c r="I25" s="17" t="s">
        <v>387</v>
      </c>
      <c r="J25" s="18">
        <v>7</v>
      </c>
      <c r="K25" s="19">
        <f t="shared" ref="K25:K40" si="1">+M25*N25</f>
        <v>46.282499999999999</v>
      </c>
      <c r="L25" s="54"/>
      <c r="M25" s="3">
        <v>4.25</v>
      </c>
      <c r="N25" s="15">
        <v>10.89</v>
      </c>
    </row>
    <row r="26" spans="1:14" ht="20.25" customHeight="1" x14ac:dyDescent="0.15">
      <c r="A26" s="60" t="s">
        <v>388</v>
      </c>
      <c r="B26" s="9" t="s">
        <v>173</v>
      </c>
      <c r="C26" s="58" t="s">
        <v>29</v>
      </c>
      <c r="D26" s="11" t="s">
        <v>279</v>
      </c>
      <c r="E26" s="10">
        <v>25.76</v>
      </c>
      <c r="F26" s="10"/>
      <c r="G26" s="12">
        <v>760</v>
      </c>
      <c r="H26" s="12">
        <v>690</v>
      </c>
      <c r="I26" s="17" t="s">
        <v>389</v>
      </c>
      <c r="J26" s="18">
        <v>6</v>
      </c>
      <c r="K26" s="19">
        <f t="shared" si="1"/>
        <v>40.075200000000002</v>
      </c>
      <c r="L26" s="54"/>
      <c r="M26" s="3">
        <v>3.68</v>
      </c>
      <c r="N26" s="15">
        <v>10.89</v>
      </c>
    </row>
    <row r="27" spans="1:14" ht="20.25" customHeight="1" x14ac:dyDescent="0.15">
      <c r="A27" s="61" t="s">
        <v>390</v>
      </c>
      <c r="B27" s="9" t="s">
        <v>173</v>
      </c>
      <c r="C27" s="58" t="s">
        <v>29</v>
      </c>
      <c r="D27" s="11" t="s">
        <v>279</v>
      </c>
      <c r="E27" s="10">
        <v>25.76</v>
      </c>
      <c r="F27" s="10"/>
      <c r="G27" s="12">
        <v>1445</v>
      </c>
      <c r="H27" s="12">
        <v>690</v>
      </c>
      <c r="I27" s="17" t="s">
        <v>391</v>
      </c>
      <c r="J27" s="18">
        <v>44</v>
      </c>
      <c r="K27" s="19">
        <f t="shared" si="1"/>
        <v>278.45730000000003</v>
      </c>
      <c r="L27" s="54"/>
      <c r="M27" s="3">
        <v>25.57</v>
      </c>
      <c r="N27" s="15">
        <v>10.89</v>
      </c>
    </row>
    <row r="28" spans="1:14" ht="20.25" customHeight="1" x14ac:dyDescent="0.15">
      <c r="A28" s="61"/>
      <c r="B28" s="9"/>
      <c r="C28" s="58" t="s">
        <v>29</v>
      </c>
      <c r="D28" s="11" t="s">
        <v>195</v>
      </c>
      <c r="E28" s="10">
        <v>22</v>
      </c>
      <c r="F28" s="10"/>
      <c r="G28" s="12">
        <v>954</v>
      </c>
      <c r="H28" s="12">
        <v>1967</v>
      </c>
      <c r="I28" s="17" t="s">
        <v>392</v>
      </c>
      <c r="J28" s="18">
        <v>35</v>
      </c>
      <c r="K28" s="19">
        <f t="shared" si="1"/>
        <v>615.82950000000005</v>
      </c>
      <c r="L28" s="54"/>
      <c r="M28" s="3">
        <v>56.55</v>
      </c>
      <c r="N28" s="15">
        <v>10.89</v>
      </c>
    </row>
    <row r="29" spans="1:14" ht="20.25" customHeight="1" x14ac:dyDescent="0.15">
      <c r="A29" s="61" t="s">
        <v>393</v>
      </c>
      <c r="B29" s="9" t="s">
        <v>173</v>
      </c>
      <c r="C29" s="58" t="s">
        <v>29</v>
      </c>
      <c r="D29" s="11" t="s">
        <v>279</v>
      </c>
      <c r="E29" s="10">
        <v>25.76</v>
      </c>
      <c r="F29" s="10"/>
      <c r="G29" s="12">
        <v>800</v>
      </c>
      <c r="H29" s="12">
        <v>690</v>
      </c>
      <c r="I29" s="17" t="s">
        <v>394</v>
      </c>
      <c r="J29" s="18">
        <v>90</v>
      </c>
      <c r="K29" s="19">
        <f t="shared" si="1"/>
        <v>479.16</v>
      </c>
      <c r="L29" s="54"/>
      <c r="M29" s="3">
        <v>44</v>
      </c>
      <c r="N29" s="15">
        <v>10.89</v>
      </c>
    </row>
    <row r="30" spans="1:14" ht="20.25" customHeight="1" x14ac:dyDescent="0.15">
      <c r="A30" s="61" t="s">
        <v>395</v>
      </c>
      <c r="B30" s="9" t="s">
        <v>173</v>
      </c>
      <c r="C30" s="58" t="s">
        <v>29</v>
      </c>
      <c r="D30" s="11" t="s">
        <v>279</v>
      </c>
      <c r="E30" s="10">
        <v>25.76</v>
      </c>
      <c r="F30" s="10"/>
      <c r="G30" s="12">
        <v>1445</v>
      </c>
      <c r="H30" s="12">
        <v>690</v>
      </c>
      <c r="I30" s="51" t="s">
        <v>396</v>
      </c>
      <c r="J30" s="52">
        <v>70</v>
      </c>
      <c r="K30" s="53">
        <f t="shared" si="1"/>
        <v>453.02400000000006</v>
      </c>
      <c r="L30" s="54"/>
      <c r="M30" s="3">
        <v>41.6</v>
      </c>
      <c r="N30" s="15">
        <v>10.89</v>
      </c>
    </row>
    <row r="31" spans="1:14" ht="20.25" customHeight="1" x14ac:dyDescent="0.15">
      <c r="A31" s="61" t="s">
        <v>355</v>
      </c>
      <c r="B31" s="9" t="s">
        <v>184</v>
      </c>
      <c r="C31" s="58" t="s">
        <v>29</v>
      </c>
      <c r="D31" s="11" t="s">
        <v>200</v>
      </c>
      <c r="E31" s="10">
        <v>22</v>
      </c>
      <c r="F31" s="10"/>
      <c r="G31" s="12">
        <v>1716</v>
      </c>
      <c r="H31" s="12">
        <v>1817</v>
      </c>
      <c r="I31" s="17">
        <v>10</v>
      </c>
      <c r="J31" s="18">
        <v>10</v>
      </c>
      <c r="K31" s="53">
        <f t="shared" si="1"/>
        <v>339.76800000000003</v>
      </c>
      <c r="L31" s="54"/>
      <c r="M31" s="3">
        <v>31.2</v>
      </c>
      <c r="N31" s="15">
        <v>10.89</v>
      </c>
    </row>
    <row r="32" spans="1:14" ht="20.25" customHeight="1" x14ac:dyDescent="0.15">
      <c r="A32" s="60" t="s">
        <v>360</v>
      </c>
      <c r="B32" s="9" t="s">
        <v>184</v>
      </c>
      <c r="C32" s="58" t="s">
        <v>29</v>
      </c>
      <c r="D32" s="11" t="s">
        <v>195</v>
      </c>
      <c r="E32" s="10">
        <v>22</v>
      </c>
      <c r="F32" s="10"/>
      <c r="G32" s="12">
        <v>301</v>
      </c>
      <c r="H32" s="12">
        <v>947</v>
      </c>
      <c r="I32" s="17">
        <v>18</v>
      </c>
      <c r="J32" s="18">
        <v>18</v>
      </c>
      <c r="K32" s="19">
        <f t="shared" si="1"/>
        <v>54.885600000000004</v>
      </c>
      <c r="L32" s="27"/>
      <c r="M32" s="3">
        <v>5.04</v>
      </c>
      <c r="N32" s="15">
        <v>10.89</v>
      </c>
    </row>
    <row r="33" spans="1:14" ht="20.25" customHeight="1" x14ac:dyDescent="0.15">
      <c r="A33" s="60" t="s">
        <v>397</v>
      </c>
      <c r="B33" s="9" t="s">
        <v>57</v>
      </c>
      <c r="C33" s="58" t="s">
        <v>29</v>
      </c>
      <c r="D33" s="11" t="s">
        <v>198</v>
      </c>
      <c r="E33" s="10">
        <v>22</v>
      </c>
      <c r="F33" s="10" t="s">
        <v>11</v>
      </c>
      <c r="G33" s="12">
        <v>665</v>
      </c>
      <c r="H33" s="12">
        <v>1003</v>
      </c>
      <c r="I33" s="17" t="s">
        <v>398</v>
      </c>
      <c r="J33" s="18">
        <v>233</v>
      </c>
      <c r="K33" s="19">
        <f t="shared" si="1"/>
        <v>1700.0379000000003</v>
      </c>
      <c r="L33" s="27"/>
      <c r="M33" s="3">
        <v>156.11000000000001</v>
      </c>
      <c r="N33" s="15">
        <v>10.89</v>
      </c>
    </row>
    <row r="34" spans="1:14" ht="20.25" customHeight="1" x14ac:dyDescent="0.15">
      <c r="A34" s="60" t="s">
        <v>399</v>
      </c>
      <c r="B34" s="9" t="s">
        <v>400</v>
      </c>
      <c r="C34" s="58" t="s">
        <v>29</v>
      </c>
      <c r="D34" s="11" t="s">
        <v>401</v>
      </c>
      <c r="E34" s="10">
        <v>24</v>
      </c>
      <c r="F34" s="10"/>
      <c r="G34" s="12">
        <v>300</v>
      </c>
      <c r="H34" s="12">
        <v>300</v>
      </c>
      <c r="I34" s="17">
        <v>1</v>
      </c>
      <c r="J34" s="18">
        <v>1</v>
      </c>
      <c r="K34" s="19">
        <v>300</v>
      </c>
      <c r="L34" s="27"/>
      <c r="M34" s="3">
        <v>0.28000000000000003</v>
      </c>
      <c r="N34" s="15">
        <v>10.89</v>
      </c>
    </row>
    <row r="35" spans="1:14" ht="20.25" customHeight="1" x14ac:dyDescent="0.15">
      <c r="A35" s="60"/>
      <c r="B35" s="9"/>
      <c r="C35" s="58"/>
      <c r="D35" s="11"/>
      <c r="E35" s="10"/>
      <c r="F35" s="10"/>
      <c r="G35" s="12"/>
      <c r="H35" s="12"/>
      <c r="I35" s="17"/>
      <c r="J35" s="18"/>
      <c r="K35" s="19">
        <f t="shared" si="1"/>
        <v>0</v>
      </c>
      <c r="L35" s="27"/>
      <c r="N35" s="15">
        <v>10.89</v>
      </c>
    </row>
    <row r="36" spans="1:14" ht="20.25" customHeight="1" x14ac:dyDescent="0.15">
      <c r="A36" s="60"/>
      <c r="B36" s="9"/>
      <c r="C36" s="58"/>
      <c r="D36" s="11"/>
      <c r="E36" s="10"/>
      <c r="F36" s="10"/>
      <c r="G36" s="12"/>
      <c r="H36" s="12"/>
      <c r="I36" s="17"/>
      <c r="J36" s="18"/>
      <c r="K36" s="19">
        <f t="shared" si="1"/>
        <v>0</v>
      </c>
      <c r="L36" s="27"/>
      <c r="N36" s="15">
        <v>10.89</v>
      </c>
    </row>
    <row r="37" spans="1:14" ht="20.25" customHeight="1" x14ac:dyDescent="0.15">
      <c r="A37" s="60"/>
      <c r="B37" s="9"/>
      <c r="C37" s="58"/>
      <c r="D37" s="11"/>
      <c r="E37" s="10"/>
      <c r="F37" s="10"/>
      <c r="G37" s="12"/>
      <c r="H37" s="12"/>
      <c r="I37" s="17"/>
      <c r="J37" s="18"/>
      <c r="K37" s="19">
        <f t="shared" si="1"/>
        <v>0</v>
      </c>
      <c r="L37" s="27"/>
      <c r="N37" s="15">
        <v>10.89</v>
      </c>
    </row>
    <row r="38" spans="1:14" ht="20.25" customHeight="1" x14ac:dyDescent="0.15">
      <c r="A38" s="60"/>
      <c r="B38" s="9"/>
      <c r="C38" s="58"/>
      <c r="D38" s="11"/>
      <c r="E38" s="10"/>
      <c r="F38" s="10"/>
      <c r="G38" s="12"/>
      <c r="H38" s="12"/>
      <c r="I38" s="17"/>
      <c r="J38" s="18"/>
      <c r="K38" s="19">
        <f t="shared" si="1"/>
        <v>0</v>
      </c>
      <c r="L38" s="27"/>
      <c r="N38" s="15">
        <v>10.89</v>
      </c>
    </row>
    <row r="39" spans="1:14" ht="20.25" customHeight="1" x14ac:dyDescent="0.15">
      <c r="A39" s="60"/>
      <c r="B39" s="9"/>
      <c r="C39" s="58"/>
      <c r="D39" s="11"/>
      <c r="E39" s="10"/>
      <c r="F39" s="10"/>
      <c r="G39" s="12"/>
      <c r="H39" s="12"/>
      <c r="I39" s="17"/>
      <c r="J39" s="18"/>
      <c r="K39" s="19">
        <f t="shared" si="1"/>
        <v>0</v>
      </c>
      <c r="L39" s="27"/>
      <c r="N39" s="15">
        <v>10.89</v>
      </c>
    </row>
    <row r="40" spans="1:14" ht="20.25" customHeight="1" x14ac:dyDescent="0.15">
      <c r="A40" s="60"/>
      <c r="B40" s="9"/>
      <c r="C40" s="58"/>
      <c r="D40" s="11"/>
      <c r="E40" s="10"/>
      <c r="F40" s="10"/>
      <c r="G40" s="12"/>
      <c r="H40" s="12"/>
      <c r="I40" s="17"/>
      <c r="J40" s="18"/>
      <c r="K40" s="19">
        <f t="shared" si="1"/>
        <v>0</v>
      </c>
      <c r="L40" s="27"/>
      <c r="N40" s="15">
        <v>10.89</v>
      </c>
    </row>
    <row r="41" spans="1:14" ht="20.25" customHeight="1" x14ac:dyDescent="0.15">
      <c r="A41" s="57"/>
      <c r="B41" s="28"/>
      <c r="C41" s="10"/>
      <c r="D41" s="29"/>
      <c r="E41" s="30"/>
      <c r="F41" s="30"/>
      <c r="G41" s="30"/>
      <c r="H41" s="30"/>
      <c r="I41" s="13"/>
      <c r="J41" s="48">
        <f>SUM(J25:J40)</f>
        <v>514</v>
      </c>
      <c r="K41" s="49">
        <f>SUM(K25:K40)</f>
        <v>4307.5200000000004</v>
      </c>
      <c r="L41" s="31"/>
      <c r="N41" s="32"/>
    </row>
    <row r="42" spans="1:14" ht="20.25" customHeight="1" thickBot="1" x14ac:dyDescent="0.2">
      <c r="A42" s="55"/>
      <c r="B42" s="33"/>
      <c r="C42" s="33"/>
      <c r="D42" s="33"/>
      <c r="E42" s="33"/>
      <c r="F42" s="33"/>
      <c r="G42" s="33"/>
      <c r="H42" s="33"/>
      <c r="I42" s="33"/>
      <c r="J42" s="34"/>
      <c r="K42" s="35"/>
      <c r="L42" s="36"/>
    </row>
    <row r="43" spans="1:14" ht="20.25" customHeight="1" thickBot="1" x14ac:dyDescent="0.2">
      <c r="A43" s="37" t="s">
        <v>19</v>
      </c>
      <c r="B43" s="38" t="s">
        <v>20</v>
      </c>
      <c r="C43" s="77" t="s">
        <v>21</v>
      </c>
      <c r="D43" s="79"/>
      <c r="E43" s="77" t="s">
        <v>22</v>
      </c>
      <c r="F43" s="78"/>
      <c r="G43" s="79"/>
      <c r="H43" s="85" t="s">
        <v>23</v>
      </c>
      <c r="I43" s="86"/>
      <c r="J43" s="77" t="s">
        <v>24</v>
      </c>
      <c r="K43" s="79"/>
      <c r="L43" s="39" t="s">
        <v>13</v>
      </c>
    </row>
    <row r="44" spans="1:14" ht="20.25" customHeight="1" thickBot="1" x14ac:dyDescent="0.2">
      <c r="A44" s="40">
        <f>SUMIF($C$8:$C$42,"U1",$J$8:$J$42)</f>
        <v>1</v>
      </c>
      <c r="B44" s="41">
        <f>SUMIF($C$8:$C$42,"U2",$J$8:$J$42)</f>
        <v>0</v>
      </c>
      <c r="C44" s="77">
        <f>SUMIF($C$8:$C$42,"U3-1",$J$8:$J$42)</f>
        <v>0</v>
      </c>
      <c r="D44" s="79"/>
      <c r="E44" s="77">
        <f>SUMIF($C$8:$C$42,"U3",$J$8:$J$42)</f>
        <v>894</v>
      </c>
      <c r="F44" s="78"/>
      <c r="G44" s="79"/>
      <c r="H44" s="77">
        <f>SUMIF($C$8:$C$42,"E5",$J$8:$J$42)</f>
        <v>0</v>
      </c>
      <c r="I44" s="79"/>
      <c r="J44" s="77">
        <f>SUM(A44:I44)</f>
        <v>895</v>
      </c>
      <c r="K44" s="79"/>
      <c r="L44" s="42"/>
    </row>
    <row r="45" spans="1:14" ht="20.25" customHeight="1" thickBot="1" x14ac:dyDescent="0.2">
      <c r="A45" s="43" t="s">
        <v>25</v>
      </c>
      <c r="B45" s="44" t="s">
        <v>26</v>
      </c>
      <c r="C45" s="75">
        <v>13876</v>
      </c>
      <c r="D45" s="76"/>
      <c r="E45" s="77" t="s">
        <v>27</v>
      </c>
      <c r="F45" s="78"/>
      <c r="G45" s="78"/>
      <c r="H45" s="78"/>
      <c r="I45" s="79"/>
      <c r="J45" s="80">
        <v>146744.37</v>
      </c>
      <c r="K45" s="81"/>
      <c r="L45" s="82"/>
    </row>
    <row r="47" spans="1:14" x14ac:dyDescent="0.15">
      <c r="D47" s="45"/>
    </row>
  </sheetData>
  <mergeCells count="26">
    <mergeCell ref="C45:D45"/>
    <mergeCell ref="E45:I45"/>
    <mergeCell ref="J45:L45"/>
    <mergeCell ref="L6:L7"/>
    <mergeCell ref="C43:D43"/>
    <mergeCell ref="E43:G43"/>
    <mergeCell ref="H43:I43"/>
    <mergeCell ref="J43:K43"/>
    <mergeCell ref="C44:D44"/>
    <mergeCell ref="E44:G44"/>
    <mergeCell ref="H44:I44"/>
    <mergeCell ref="J44:K44"/>
    <mergeCell ref="B5:G5"/>
    <mergeCell ref="A6:A7"/>
    <mergeCell ref="B6:B7"/>
    <mergeCell ref="C6:C7"/>
    <mergeCell ref="D6:D7"/>
    <mergeCell ref="E6:E7"/>
    <mergeCell ref="F6:F7"/>
    <mergeCell ref="G6:K6"/>
    <mergeCell ref="L2:L4"/>
    <mergeCell ref="A1:G3"/>
    <mergeCell ref="H1:H4"/>
    <mergeCell ref="I2:I4"/>
    <mergeCell ref="J2:J4"/>
    <mergeCell ref="K2:K4"/>
  </mergeCells>
  <phoneticPr fontId="2" type="noConversion"/>
  <printOptions horizontalCentered="1"/>
  <pageMargins left="0.39370078740157483" right="0.39370078740157483" top="0.74803149606299213" bottom="0.19685039370078741" header="0.31496062992125984" footer="0.15748031496062992"/>
  <pageSetup paperSize="9" scale="84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N47"/>
  <sheetViews>
    <sheetView view="pageBreakPreview" topLeftCell="A10" zoomScaleSheetLayoutView="100" workbookViewId="0">
      <selection activeCell="B15" sqref="B15:E15"/>
    </sheetView>
  </sheetViews>
  <sheetFormatPr defaultColWidth="8.88671875" defaultRowHeight="13.5" x14ac:dyDescent="0.15"/>
  <cols>
    <col min="1" max="1" width="8.44140625" style="3" customWidth="1"/>
    <col min="2" max="2" width="14.77734375" style="3" customWidth="1"/>
    <col min="3" max="3" width="4.109375" style="3" customWidth="1"/>
    <col min="4" max="4" width="15.21875" style="3" customWidth="1"/>
    <col min="5" max="5" width="4.44140625" style="3" customWidth="1"/>
    <col min="6" max="6" width="4" style="3" customWidth="1"/>
    <col min="7" max="7" width="5.5546875" style="3" customWidth="1"/>
    <col min="8" max="8" width="5.44140625" style="3" customWidth="1"/>
    <col min="9" max="9" width="7.88671875" style="3" customWidth="1"/>
    <col min="10" max="10" width="7.109375" style="3" customWidth="1"/>
    <col min="11" max="11" width="7.21875" style="3" customWidth="1"/>
    <col min="12" max="12" width="6.77734375" style="3" customWidth="1"/>
    <col min="13" max="16384" width="8.88671875" style="3"/>
  </cols>
  <sheetData>
    <row r="1" spans="1:14" ht="18.75" customHeight="1" x14ac:dyDescent="0.15">
      <c r="A1" s="101" t="s">
        <v>0</v>
      </c>
      <c r="B1" s="102"/>
      <c r="C1" s="102"/>
      <c r="D1" s="102"/>
      <c r="E1" s="102"/>
      <c r="F1" s="102"/>
      <c r="G1" s="103"/>
      <c r="H1" s="107" t="s">
        <v>1</v>
      </c>
      <c r="I1" s="1" t="s">
        <v>2</v>
      </c>
      <c r="J1" s="1" t="s">
        <v>2</v>
      </c>
      <c r="K1" s="1" t="s">
        <v>3</v>
      </c>
      <c r="L1" s="2" t="s">
        <v>4</v>
      </c>
    </row>
    <row r="2" spans="1:14" ht="13.5" customHeight="1" x14ac:dyDescent="0.15">
      <c r="A2" s="104"/>
      <c r="B2" s="105"/>
      <c r="C2" s="105"/>
      <c r="D2" s="105"/>
      <c r="E2" s="105"/>
      <c r="F2" s="105"/>
      <c r="G2" s="106"/>
      <c r="H2" s="108"/>
      <c r="I2" s="110"/>
      <c r="J2" s="110"/>
      <c r="K2" s="110"/>
      <c r="L2" s="98"/>
    </row>
    <row r="3" spans="1:14" ht="13.5" customHeight="1" x14ac:dyDescent="0.15">
      <c r="A3" s="104"/>
      <c r="B3" s="105"/>
      <c r="C3" s="105"/>
      <c r="D3" s="105"/>
      <c r="E3" s="105"/>
      <c r="F3" s="105"/>
      <c r="G3" s="106"/>
      <c r="H3" s="108"/>
      <c r="I3" s="108"/>
      <c r="J3" s="108"/>
      <c r="K3" s="108"/>
      <c r="L3" s="99"/>
    </row>
    <row r="4" spans="1:14" ht="33" customHeight="1" x14ac:dyDescent="0.15">
      <c r="A4" s="4"/>
      <c r="B4" s="5"/>
      <c r="C4" s="5"/>
      <c r="D4" s="5"/>
      <c r="E4" s="5"/>
      <c r="F4" s="5"/>
      <c r="G4" s="5"/>
      <c r="H4" s="109"/>
      <c r="I4" s="109"/>
      <c r="J4" s="109"/>
      <c r="K4" s="109"/>
      <c r="L4" s="100"/>
    </row>
    <row r="5" spans="1:14" ht="17.25" customHeight="1" x14ac:dyDescent="0.15">
      <c r="A5" s="6" t="s">
        <v>5</v>
      </c>
      <c r="B5" s="87">
        <v>46032</v>
      </c>
      <c r="C5" s="88"/>
      <c r="D5" s="88"/>
      <c r="E5" s="88"/>
      <c r="F5" s="88"/>
      <c r="G5" s="88"/>
      <c r="H5" s="5"/>
      <c r="I5" s="5"/>
      <c r="J5" s="5"/>
      <c r="K5" s="5"/>
      <c r="L5" s="7"/>
    </row>
    <row r="6" spans="1:14" ht="13.5" customHeight="1" x14ac:dyDescent="0.15">
      <c r="A6" s="89" t="s">
        <v>6</v>
      </c>
      <c r="B6" s="91" t="s">
        <v>7</v>
      </c>
      <c r="C6" s="91" t="s">
        <v>8</v>
      </c>
      <c r="D6" s="91" t="s">
        <v>9</v>
      </c>
      <c r="E6" s="93" t="s">
        <v>10</v>
      </c>
      <c r="F6" s="93" t="s">
        <v>11</v>
      </c>
      <c r="G6" s="95" t="s">
        <v>12</v>
      </c>
      <c r="H6" s="96"/>
      <c r="I6" s="96"/>
      <c r="J6" s="96"/>
      <c r="K6" s="97"/>
      <c r="L6" s="83" t="s">
        <v>13</v>
      </c>
    </row>
    <row r="7" spans="1:14" x14ac:dyDescent="0.15">
      <c r="A7" s="90"/>
      <c r="B7" s="92"/>
      <c r="C7" s="92"/>
      <c r="D7" s="92"/>
      <c r="E7" s="94"/>
      <c r="F7" s="94"/>
      <c r="G7" s="8" t="s">
        <v>14</v>
      </c>
      <c r="H7" s="8" t="s">
        <v>15</v>
      </c>
      <c r="I7" s="8" t="s">
        <v>16</v>
      </c>
      <c r="J7" s="8" t="s">
        <v>17</v>
      </c>
      <c r="K7" s="8" t="s">
        <v>18</v>
      </c>
      <c r="L7" s="84"/>
    </row>
    <row r="8" spans="1:14" s="15" customFormat="1" ht="20.25" customHeight="1" x14ac:dyDescent="0.15">
      <c r="A8" s="60" t="s">
        <v>402</v>
      </c>
      <c r="B8" s="9" t="s">
        <v>138</v>
      </c>
      <c r="C8" s="58" t="s">
        <v>29</v>
      </c>
      <c r="D8" s="11" t="s">
        <v>403</v>
      </c>
      <c r="E8" s="10">
        <v>24</v>
      </c>
      <c r="F8" s="58"/>
      <c r="G8" s="12">
        <v>1662</v>
      </c>
      <c r="H8" s="12">
        <v>1890</v>
      </c>
      <c r="I8" s="17">
        <v>10</v>
      </c>
      <c r="J8" s="18">
        <v>10</v>
      </c>
      <c r="K8" s="19">
        <f>+M8*N8</f>
        <v>341.94600000000003</v>
      </c>
      <c r="L8" s="14"/>
      <c r="M8" s="15">
        <v>31.4</v>
      </c>
      <c r="N8" s="15">
        <v>10.89</v>
      </c>
    </row>
    <row r="9" spans="1:14" s="15" customFormat="1" ht="20.25" customHeight="1" x14ac:dyDescent="0.15">
      <c r="A9" s="60" t="s">
        <v>404</v>
      </c>
      <c r="B9" s="9" t="s">
        <v>138</v>
      </c>
      <c r="C9" s="58" t="s">
        <v>29</v>
      </c>
      <c r="D9" s="11" t="s">
        <v>403</v>
      </c>
      <c r="E9" s="10">
        <v>24</v>
      </c>
      <c r="F9" s="58"/>
      <c r="G9" s="12">
        <v>1662</v>
      </c>
      <c r="H9" s="12">
        <v>1890</v>
      </c>
      <c r="I9" s="17">
        <v>15</v>
      </c>
      <c r="J9" s="18">
        <v>15</v>
      </c>
      <c r="K9" s="19">
        <f t="shared" ref="K9:K23" si="0">+M9*N9</f>
        <v>512.9190000000001</v>
      </c>
      <c r="L9" s="14"/>
      <c r="M9" s="15">
        <v>47.1</v>
      </c>
      <c r="N9" s="15">
        <v>10.89</v>
      </c>
    </row>
    <row r="10" spans="1:14" s="15" customFormat="1" ht="20.25" customHeight="1" x14ac:dyDescent="0.15">
      <c r="A10" s="60" t="s">
        <v>405</v>
      </c>
      <c r="B10" s="9" t="s">
        <v>138</v>
      </c>
      <c r="C10" s="58" t="s">
        <v>29</v>
      </c>
      <c r="D10" s="11" t="s">
        <v>403</v>
      </c>
      <c r="E10" s="10">
        <v>24</v>
      </c>
      <c r="F10" s="58"/>
      <c r="G10" s="12">
        <v>1762</v>
      </c>
      <c r="H10" s="12">
        <v>1890</v>
      </c>
      <c r="I10" s="17">
        <v>8</v>
      </c>
      <c r="J10" s="18">
        <v>8</v>
      </c>
      <c r="K10" s="19">
        <f t="shared" si="0"/>
        <v>290.1096</v>
      </c>
      <c r="L10" s="14"/>
      <c r="M10" s="15">
        <v>26.64</v>
      </c>
      <c r="N10" s="15">
        <v>10.89</v>
      </c>
    </row>
    <row r="11" spans="1:14" s="15" customFormat="1" ht="20.25" customHeight="1" x14ac:dyDescent="0.15">
      <c r="A11" s="60"/>
      <c r="B11" s="9"/>
      <c r="C11" s="58" t="s">
        <v>29</v>
      </c>
      <c r="D11" s="11" t="s">
        <v>336</v>
      </c>
      <c r="E11" s="10">
        <v>24</v>
      </c>
      <c r="F11" s="58"/>
      <c r="G11" s="12">
        <v>775</v>
      </c>
      <c r="H11" s="12">
        <v>1890</v>
      </c>
      <c r="I11" s="17" t="s">
        <v>406</v>
      </c>
      <c r="J11" s="18">
        <v>120</v>
      </c>
      <c r="K11" s="19">
        <f t="shared" si="0"/>
        <v>1292.8608000000002</v>
      </c>
      <c r="L11" s="14"/>
      <c r="M11" s="15">
        <v>118.72</v>
      </c>
      <c r="N11" s="15">
        <v>10.89</v>
      </c>
    </row>
    <row r="12" spans="1:14" s="15" customFormat="1" ht="20.25" customHeight="1" x14ac:dyDescent="0.15">
      <c r="A12" s="60" t="s">
        <v>407</v>
      </c>
      <c r="B12" s="9" t="s">
        <v>138</v>
      </c>
      <c r="C12" s="58" t="s">
        <v>29</v>
      </c>
      <c r="D12" s="11" t="s">
        <v>372</v>
      </c>
      <c r="E12" s="10">
        <v>24</v>
      </c>
      <c r="F12" s="58" t="s">
        <v>11</v>
      </c>
      <c r="G12" s="12">
        <v>1331</v>
      </c>
      <c r="H12" s="12">
        <v>1890</v>
      </c>
      <c r="I12" s="17" t="s">
        <v>408</v>
      </c>
      <c r="J12" s="18">
        <v>80</v>
      </c>
      <c r="K12" s="19">
        <f t="shared" si="0"/>
        <v>1259.7552000000001</v>
      </c>
      <c r="L12" s="14"/>
      <c r="M12" s="15">
        <v>115.68</v>
      </c>
      <c r="N12" s="15">
        <v>10.89</v>
      </c>
    </row>
    <row r="13" spans="1:14" s="15" customFormat="1" ht="20.25" customHeight="1" x14ac:dyDescent="0.15">
      <c r="A13" s="60" t="s">
        <v>409</v>
      </c>
      <c r="B13" s="9" t="s">
        <v>138</v>
      </c>
      <c r="C13" s="58" t="s">
        <v>29</v>
      </c>
      <c r="D13" s="11" t="s">
        <v>410</v>
      </c>
      <c r="E13" s="10">
        <v>24</v>
      </c>
      <c r="F13" s="58" t="s">
        <v>11</v>
      </c>
      <c r="G13" s="12">
        <v>450</v>
      </c>
      <c r="H13" s="12">
        <v>1994</v>
      </c>
      <c r="I13" s="17" t="s">
        <v>411</v>
      </c>
      <c r="J13" s="18">
        <v>5</v>
      </c>
      <c r="K13" s="19">
        <f t="shared" si="0"/>
        <v>35.610300000000002</v>
      </c>
      <c r="L13" s="14"/>
      <c r="M13" s="15">
        <v>3.27</v>
      </c>
      <c r="N13" s="15">
        <v>10.89</v>
      </c>
    </row>
    <row r="14" spans="1:14" s="15" customFormat="1" ht="20.25" customHeight="1" x14ac:dyDescent="0.15">
      <c r="A14" s="60" t="s">
        <v>412</v>
      </c>
      <c r="B14" s="9" t="s">
        <v>127</v>
      </c>
      <c r="C14" s="58" t="s">
        <v>29</v>
      </c>
      <c r="D14" s="11" t="s">
        <v>378</v>
      </c>
      <c r="E14" s="10">
        <v>28</v>
      </c>
      <c r="F14" s="58" t="s">
        <v>11</v>
      </c>
      <c r="G14" s="12">
        <v>985</v>
      </c>
      <c r="H14" s="12">
        <v>1735</v>
      </c>
      <c r="I14" s="17" t="s">
        <v>218</v>
      </c>
      <c r="J14" s="18">
        <v>3</v>
      </c>
      <c r="K14" s="19">
        <f t="shared" si="0"/>
        <v>39.7485</v>
      </c>
      <c r="L14" s="20"/>
      <c r="M14" s="15">
        <v>3.65</v>
      </c>
      <c r="N14" s="15">
        <v>10.89</v>
      </c>
    </row>
    <row r="15" spans="1:14" s="15" customFormat="1" ht="20.25" customHeight="1" x14ac:dyDescent="0.15">
      <c r="A15" s="60" t="s">
        <v>413</v>
      </c>
      <c r="B15" s="9" t="s">
        <v>175</v>
      </c>
      <c r="C15" s="58" t="s">
        <v>29</v>
      </c>
      <c r="D15" s="11" t="s">
        <v>414</v>
      </c>
      <c r="E15" s="10">
        <v>24</v>
      </c>
      <c r="F15" s="58" t="s">
        <v>11</v>
      </c>
      <c r="G15" s="12">
        <v>990</v>
      </c>
      <c r="H15" s="12">
        <v>2905</v>
      </c>
      <c r="I15" s="17" t="s">
        <v>416</v>
      </c>
      <c r="J15" s="18">
        <v>41</v>
      </c>
      <c r="K15" s="19">
        <f t="shared" si="0"/>
        <v>871.2</v>
      </c>
      <c r="L15" s="20"/>
      <c r="M15" s="15">
        <v>80</v>
      </c>
      <c r="N15" s="15">
        <v>10.89</v>
      </c>
    </row>
    <row r="16" spans="1:14" s="15" customFormat="1" ht="20.25" customHeight="1" x14ac:dyDescent="0.15">
      <c r="A16" s="60"/>
      <c r="B16" s="9"/>
      <c r="C16" s="58" t="s">
        <v>29</v>
      </c>
      <c r="D16" s="11" t="s">
        <v>415</v>
      </c>
      <c r="E16" s="10">
        <v>28</v>
      </c>
      <c r="F16" s="58" t="s">
        <v>11</v>
      </c>
      <c r="G16" s="12">
        <v>1042</v>
      </c>
      <c r="H16" s="12">
        <v>445</v>
      </c>
      <c r="I16" s="17" t="s">
        <v>337</v>
      </c>
      <c r="J16" s="18">
        <v>2</v>
      </c>
      <c r="K16" s="19">
        <f t="shared" si="0"/>
        <v>9.5831999999999997</v>
      </c>
      <c r="L16" s="20"/>
      <c r="M16" s="15">
        <v>0.88</v>
      </c>
      <c r="N16" s="15">
        <v>10.89</v>
      </c>
    </row>
    <row r="17" spans="1:14" s="15" customFormat="1" ht="20.25" customHeight="1" x14ac:dyDescent="0.15">
      <c r="A17" s="60" t="s">
        <v>417</v>
      </c>
      <c r="B17" s="9" t="s">
        <v>178</v>
      </c>
      <c r="C17" s="58" t="s">
        <v>29</v>
      </c>
      <c r="D17" s="11" t="s">
        <v>247</v>
      </c>
      <c r="E17" s="10">
        <v>24</v>
      </c>
      <c r="F17" s="58" t="s">
        <v>11</v>
      </c>
      <c r="G17" s="12">
        <v>935</v>
      </c>
      <c r="H17" s="12">
        <v>370</v>
      </c>
      <c r="I17" s="17" t="s">
        <v>170</v>
      </c>
      <c r="J17" s="18">
        <v>4</v>
      </c>
      <c r="K17" s="19">
        <f t="shared" si="0"/>
        <v>14.810400000000001</v>
      </c>
      <c r="L17" s="20"/>
      <c r="M17" s="15">
        <v>1.36</v>
      </c>
      <c r="N17" s="15">
        <v>10.89</v>
      </c>
    </row>
    <row r="18" spans="1:14" s="15" customFormat="1" ht="20.25" customHeight="1" x14ac:dyDescent="0.15">
      <c r="A18" s="60" t="s">
        <v>418</v>
      </c>
      <c r="B18" s="9" t="s">
        <v>178</v>
      </c>
      <c r="C18" s="58" t="s">
        <v>29</v>
      </c>
      <c r="D18" s="11" t="s">
        <v>247</v>
      </c>
      <c r="E18" s="10">
        <v>24</v>
      </c>
      <c r="F18" s="58" t="s">
        <v>11</v>
      </c>
      <c r="G18" s="12">
        <v>925</v>
      </c>
      <c r="H18" s="12">
        <v>430</v>
      </c>
      <c r="I18" s="17" t="s">
        <v>419</v>
      </c>
      <c r="J18" s="18">
        <f>42+44</f>
        <v>86</v>
      </c>
      <c r="K18" s="19">
        <f t="shared" si="0"/>
        <v>373.30920000000003</v>
      </c>
      <c r="L18" s="20"/>
      <c r="M18" s="15">
        <v>34.28</v>
      </c>
      <c r="N18" s="15">
        <v>10.89</v>
      </c>
    </row>
    <row r="19" spans="1:14" s="15" customFormat="1" ht="20.25" customHeight="1" x14ac:dyDescent="0.15">
      <c r="A19" s="60" t="s">
        <v>420</v>
      </c>
      <c r="B19" s="9" t="s">
        <v>421</v>
      </c>
      <c r="C19" s="58" t="s">
        <v>29</v>
      </c>
      <c r="D19" s="11" t="s">
        <v>422</v>
      </c>
      <c r="E19" s="10">
        <v>23</v>
      </c>
      <c r="F19" s="58"/>
      <c r="G19" s="12">
        <v>620</v>
      </c>
      <c r="H19" s="12">
        <v>772</v>
      </c>
      <c r="I19" s="17">
        <v>1</v>
      </c>
      <c r="J19" s="18">
        <v>1</v>
      </c>
      <c r="K19" s="19">
        <f t="shared" si="0"/>
        <v>5.2271999999999998</v>
      </c>
      <c r="L19" s="20"/>
      <c r="M19" s="15">
        <v>0.48</v>
      </c>
      <c r="N19" s="15">
        <v>10.89</v>
      </c>
    </row>
    <row r="20" spans="1:14" s="15" customFormat="1" ht="20.25" customHeight="1" x14ac:dyDescent="0.15">
      <c r="A20" s="60" t="s">
        <v>423</v>
      </c>
      <c r="B20" s="9" t="s">
        <v>176</v>
      </c>
      <c r="C20" s="58" t="s">
        <v>29</v>
      </c>
      <c r="D20" s="11" t="s">
        <v>226</v>
      </c>
      <c r="E20" s="10">
        <v>24</v>
      </c>
      <c r="F20" s="58" t="s">
        <v>11</v>
      </c>
      <c r="G20" s="12">
        <v>810</v>
      </c>
      <c r="H20" s="12">
        <v>480</v>
      </c>
      <c r="I20" s="17">
        <v>2</v>
      </c>
      <c r="J20" s="18">
        <v>2</v>
      </c>
      <c r="K20" s="19">
        <f t="shared" si="0"/>
        <v>8.4942000000000011</v>
      </c>
      <c r="L20" s="20"/>
      <c r="M20" s="15">
        <v>0.78</v>
      </c>
      <c r="N20" s="15">
        <v>10.89</v>
      </c>
    </row>
    <row r="21" spans="1:14" s="15" customFormat="1" ht="20.25" customHeight="1" x14ac:dyDescent="0.15">
      <c r="A21" s="60" t="s">
        <v>424</v>
      </c>
      <c r="B21" s="9" t="s">
        <v>131</v>
      </c>
      <c r="C21" s="58" t="s">
        <v>29</v>
      </c>
      <c r="D21" s="11" t="s">
        <v>156</v>
      </c>
      <c r="E21" s="10">
        <v>22</v>
      </c>
      <c r="F21" s="58" t="s">
        <v>11</v>
      </c>
      <c r="G21" s="50">
        <v>1421</v>
      </c>
      <c r="H21" s="50">
        <v>1763</v>
      </c>
      <c r="I21" s="17" t="s">
        <v>425</v>
      </c>
      <c r="J21" s="18">
        <v>7</v>
      </c>
      <c r="K21" s="19">
        <f t="shared" si="0"/>
        <v>178.92270000000002</v>
      </c>
      <c r="L21" s="20"/>
      <c r="M21" s="15">
        <v>16.43</v>
      </c>
      <c r="N21" s="15">
        <v>10.89</v>
      </c>
    </row>
    <row r="22" spans="1:14" s="15" customFormat="1" ht="20.25" customHeight="1" x14ac:dyDescent="0.15">
      <c r="A22" s="60"/>
      <c r="B22" s="9"/>
      <c r="C22" s="58"/>
      <c r="D22" s="11"/>
      <c r="E22" s="10"/>
      <c r="F22" s="58"/>
      <c r="G22" s="50"/>
      <c r="H22" s="50"/>
      <c r="I22" s="17"/>
      <c r="J22" s="18"/>
      <c r="K22" s="19">
        <f t="shared" si="0"/>
        <v>0</v>
      </c>
      <c r="L22" s="20"/>
      <c r="N22" s="15">
        <v>10.89</v>
      </c>
    </row>
    <row r="23" spans="1:14" ht="20.25" customHeight="1" x14ac:dyDescent="0.15">
      <c r="A23" s="60"/>
      <c r="B23" s="9"/>
      <c r="C23" s="58"/>
      <c r="D23" s="11"/>
      <c r="E23" s="10"/>
      <c r="F23" s="58"/>
      <c r="G23" s="16"/>
      <c r="H23" s="16"/>
      <c r="I23" s="17"/>
      <c r="J23" s="18"/>
      <c r="K23" s="19">
        <f t="shared" si="0"/>
        <v>0</v>
      </c>
      <c r="L23" s="20"/>
      <c r="N23" s="15">
        <v>10.89</v>
      </c>
    </row>
    <row r="24" spans="1:14" ht="20.25" customHeight="1" thickBot="1" x14ac:dyDescent="0.2">
      <c r="A24" s="56"/>
      <c r="B24" s="21"/>
      <c r="C24" s="59"/>
      <c r="D24" s="22"/>
      <c r="E24" s="23"/>
      <c r="F24" s="23"/>
      <c r="G24" s="24"/>
      <c r="H24" s="24"/>
      <c r="I24" s="25"/>
      <c r="J24" s="46">
        <f>SUM(J8:J23)</f>
        <v>384</v>
      </c>
      <c r="K24" s="47">
        <f>SUM(K8:K23)</f>
        <v>5234.4963000000007</v>
      </c>
      <c r="L24" s="26"/>
    </row>
    <row r="25" spans="1:14" ht="20.25" customHeight="1" thickTop="1" x14ac:dyDescent="0.15">
      <c r="A25" s="60" t="s">
        <v>426</v>
      </c>
      <c r="B25" s="9" t="s">
        <v>30</v>
      </c>
      <c r="C25" s="58" t="s">
        <v>29</v>
      </c>
      <c r="D25" s="11" t="s">
        <v>410</v>
      </c>
      <c r="E25" s="10">
        <v>24</v>
      </c>
      <c r="F25" s="10" t="s">
        <v>11</v>
      </c>
      <c r="G25" s="12">
        <v>1582</v>
      </c>
      <c r="H25" s="12">
        <v>2233</v>
      </c>
      <c r="I25" s="17">
        <v>1</v>
      </c>
      <c r="J25" s="18">
        <v>1</v>
      </c>
      <c r="K25" s="19">
        <f t="shared" ref="K25:K40" si="1">+M25*N25</f>
        <v>38.441699999999997</v>
      </c>
      <c r="L25" s="54"/>
      <c r="M25" s="3">
        <v>3.53</v>
      </c>
      <c r="N25" s="15">
        <v>10.89</v>
      </c>
    </row>
    <row r="26" spans="1:14" ht="20.25" customHeight="1" x14ac:dyDescent="0.15">
      <c r="A26" s="60" t="s">
        <v>427</v>
      </c>
      <c r="B26" s="9" t="s">
        <v>173</v>
      </c>
      <c r="C26" s="58" t="s">
        <v>29</v>
      </c>
      <c r="D26" s="11" t="s">
        <v>188</v>
      </c>
      <c r="E26" s="10">
        <v>22</v>
      </c>
      <c r="F26" s="10"/>
      <c r="G26" s="12">
        <v>1440</v>
      </c>
      <c r="H26" s="12">
        <v>1238</v>
      </c>
      <c r="I26" s="17" t="s">
        <v>189</v>
      </c>
      <c r="J26" s="18">
        <v>15</v>
      </c>
      <c r="K26" s="19">
        <f t="shared" si="1"/>
        <v>179.685</v>
      </c>
      <c r="L26" s="54"/>
      <c r="M26" s="3">
        <v>16.5</v>
      </c>
      <c r="N26" s="15">
        <v>10.89</v>
      </c>
    </row>
    <row r="27" spans="1:14" ht="20.25" customHeight="1" x14ac:dyDescent="0.15">
      <c r="A27" s="61"/>
      <c r="B27" s="9"/>
      <c r="C27" s="58" t="s">
        <v>29</v>
      </c>
      <c r="D27" s="11" t="s">
        <v>195</v>
      </c>
      <c r="E27" s="10">
        <v>22</v>
      </c>
      <c r="F27" s="10"/>
      <c r="G27" s="12">
        <v>966</v>
      </c>
      <c r="H27" s="12">
        <v>1181</v>
      </c>
      <c r="I27" s="17" t="s">
        <v>428</v>
      </c>
      <c r="J27" s="18">
        <v>70</v>
      </c>
      <c r="K27" s="19">
        <f t="shared" si="1"/>
        <v>420.89850000000001</v>
      </c>
      <c r="L27" s="54"/>
      <c r="M27" s="3">
        <v>38.65</v>
      </c>
      <c r="N27" s="15">
        <v>10.89</v>
      </c>
    </row>
    <row r="28" spans="1:14" ht="20.25" customHeight="1" x14ac:dyDescent="0.15">
      <c r="A28" s="61" t="s">
        <v>429</v>
      </c>
      <c r="B28" s="9" t="s">
        <v>173</v>
      </c>
      <c r="C28" s="58" t="s">
        <v>29</v>
      </c>
      <c r="D28" s="11" t="s">
        <v>188</v>
      </c>
      <c r="E28" s="10">
        <v>22</v>
      </c>
      <c r="F28" s="10"/>
      <c r="G28" s="12">
        <v>1665</v>
      </c>
      <c r="H28" s="12">
        <v>1238</v>
      </c>
      <c r="I28" s="17" t="s">
        <v>430</v>
      </c>
      <c r="J28" s="18">
        <v>19</v>
      </c>
      <c r="K28" s="19">
        <f t="shared" si="1"/>
        <v>284.66460000000001</v>
      </c>
      <c r="L28" s="54"/>
      <c r="M28" s="3">
        <v>26.14</v>
      </c>
      <c r="N28" s="15">
        <v>10.89</v>
      </c>
    </row>
    <row r="29" spans="1:14" ht="20.25" customHeight="1" x14ac:dyDescent="0.15">
      <c r="A29" s="61"/>
      <c r="B29" s="9"/>
      <c r="C29" s="58" t="s">
        <v>29</v>
      </c>
      <c r="D29" s="11" t="s">
        <v>195</v>
      </c>
      <c r="E29" s="10">
        <v>22</v>
      </c>
      <c r="F29" s="10"/>
      <c r="G29" s="12">
        <v>954</v>
      </c>
      <c r="H29" s="12">
        <v>1967</v>
      </c>
      <c r="I29" s="17" t="s">
        <v>431</v>
      </c>
      <c r="J29" s="18">
        <v>200</v>
      </c>
      <c r="K29" s="19">
        <f t="shared" si="1"/>
        <v>1828.4310000000003</v>
      </c>
      <c r="L29" s="54"/>
      <c r="M29" s="3">
        <v>167.9</v>
      </c>
      <c r="N29" s="15">
        <v>10.89</v>
      </c>
    </row>
    <row r="30" spans="1:14" ht="20.25" customHeight="1" x14ac:dyDescent="0.15">
      <c r="A30" s="61" t="s">
        <v>432</v>
      </c>
      <c r="B30" s="9" t="s">
        <v>173</v>
      </c>
      <c r="C30" s="58" t="s">
        <v>29</v>
      </c>
      <c r="D30" s="11" t="s">
        <v>188</v>
      </c>
      <c r="E30" s="10">
        <v>22</v>
      </c>
      <c r="F30" s="10"/>
      <c r="G30" s="12">
        <v>1440</v>
      </c>
      <c r="H30" s="12">
        <v>1238</v>
      </c>
      <c r="I30" s="51" t="s">
        <v>194</v>
      </c>
      <c r="J30" s="52">
        <v>30</v>
      </c>
      <c r="K30" s="53">
        <f t="shared" si="1"/>
        <v>359.37</v>
      </c>
      <c r="L30" s="54"/>
      <c r="M30" s="3">
        <v>33</v>
      </c>
      <c r="N30" s="15">
        <v>10.89</v>
      </c>
    </row>
    <row r="31" spans="1:14" ht="20.25" customHeight="1" x14ac:dyDescent="0.15">
      <c r="A31" s="61" t="s">
        <v>433</v>
      </c>
      <c r="B31" s="9" t="s">
        <v>72</v>
      </c>
      <c r="C31" s="58" t="s">
        <v>231</v>
      </c>
      <c r="D31" s="11" t="s">
        <v>312</v>
      </c>
      <c r="E31" s="10">
        <v>22</v>
      </c>
      <c r="F31" s="10"/>
      <c r="G31" s="12">
        <v>1426</v>
      </c>
      <c r="H31" s="12">
        <v>1867</v>
      </c>
      <c r="I31" s="51">
        <v>1</v>
      </c>
      <c r="J31" s="52">
        <v>1</v>
      </c>
      <c r="K31" s="53">
        <f t="shared" si="1"/>
        <v>28.967400000000001</v>
      </c>
      <c r="L31" s="54"/>
      <c r="M31" s="3">
        <v>2.66</v>
      </c>
      <c r="N31" s="15">
        <v>10.89</v>
      </c>
    </row>
    <row r="32" spans="1:14" ht="20.25" customHeight="1" x14ac:dyDescent="0.15">
      <c r="A32" s="60" t="s">
        <v>434</v>
      </c>
      <c r="B32" s="9" t="s">
        <v>435</v>
      </c>
      <c r="C32" s="58" t="s">
        <v>29</v>
      </c>
      <c r="D32" s="11" t="s">
        <v>247</v>
      </c>
      <c r="E32" s="10">
        <v>24</v>
      </c>
      <c r="F32" s="10" t="s">
        <v>11</v>
      </c>
      <c r="G32" s="12">
        <v>780</v>
      </c>
      <c r="H32" s="12">
        <v>905</v>
      </c>
      <c r="I32" s="17" t="s">
        <v>437</v>
      </c>
      <c r="J32" s="18">
        <v>125</v>
      </c>
      <c r="K32" s="19">
        <f t="shared" si="1"/>
        <v>606.35520000000008</v>
      </c>
      <c r="L32" s="27"/>
      <c r="M32" s="3">
        <v>55.68</v>
      </c>
      <c r="N32" s="15">
        <v>10.89</v>
      </c>
    </row>
    <row r="33" spans="1:14" ht="20.25" customHeight="1" x14ac:dyDescent="0.15">
      <c r="A33" s="60"/>
      <c r="B33" s="9"/>
      <c r="C33" s="58" t="s">
        <v>29</v>
      </c>
      <c r="D33" s="11" t="s">
        <v>436</v>
      </c>
      <c r="E33" s="10">
        <v>24</v>
      </c>
      <c r="F33" s="10" t="s">
        <v>11</v>
      </c>
      <c r="G33" s="12">
        <v>1230</v>
      </c>
      <c r="H33" s="12">
        <v>1665</v>
      </c>
      <c r="I33" s="17" t="s">
        <v>218</v>
      </c>
      <c r="J33" s="18">
        <v>3</v>
      </c>
      <c r="K33" s="19">
        <f t="shared" si="1"/>
        <v>42.797700000000006</v>
      </c>
      <c r="L33" s="27"/>
      <c r="M33" s="3">
        <v>3.93</v>
      </c>
      <c r="N33" s="15">
        <v>10.89</v>
      </c>
    </row>
    <row r="34" spans="1:14" ht="20.25" customHeight="1" x14ac:dyDescent="0.15">
      <c r="A34" s="60" t="s">
        <v>438</v>
      </c>
      <c r="B34" s="9" t="s">
        <v>435</v>
      </c>
      <c r="C34" s="58" t="s">
        <v>29</v>
      </c>
      <c r="D34" s="11" t="s">
        <v>247</v>
      </c>
      <c r="E34" s="10">
        <v>24</v>
      </c>
      <c r="F34" s="10" t="s">
        <v>11</v>
      </c>
      <c r="G34" s="12">
        <v>780</v>
      </c>
      <c r="H34" s="12">
        <v>905</v>
      </c>
      <c r="I34" s="17" t="s">
        <v>439</v>
      </c>
      <c r="J34" s="18">
        <v>40</v>
      </c>
      <c r="K34" s="19">
        <f t="shared" si="1"/>
        <v>262.66680000000002</v>
      </c>
      <c r="L34" s="27"/>
      <c r="M34" s="3">
        <v>24.12</v>
      </c>
      <c r="N34" s="15">
        <v>10.89</v>
      </c>
    </row>
    <row r="35" spans="1:14" ht="20.25" customHeight="1" x14ac:dyDescent="0.15">
      <c r="A35" s="60"/>
      <c r="B35" s="9"/>
      <c r="C35" s="58" t="s">
        <v>29</v>
      </c>
      <c r="D35" s="11" t="s">
        <v>436</v>
      </c>
      <c r="E35" s="10">
        <v>24</v>
      </c>
      <c r="F35" s="10" t="s">
        <v>11</v>
      </c>
      <c r="G35" s="12">
        <v>1245</v>
      </c>
      <c r="H35" s="12">
        <v>1675</v>
      </c>
      <c r="I35" s="17" t="s">
        <v>218</v>
      </c>
      <c r="J35" s="18">
        <v>3</v>
      </c>
      <c r="K35" s="19">
        <f t="shared" si="1"/>
        <v>43.668900000000001</v>
      </c>
      <c r="L35" s="27"/>
      <c r="M35" s="3">
        <v>4.01</v>
      </c>
      <c r="N35" s="15">
        <v>10.89</v>
      </c>
    </row>
    <row r="36" spans="1:14" ht="20.25" customHeight="1" x14ac:dyDescent="0.15">
      <c r="A36" s="60" t="s">
        <v>440</v>
      </c>
      <c r="B36" s="9" t="s">
        <v>441</v>
      </c>
      <c r="C36" s="58" t="s">
        <v>273</v>
      </c>
      <c r="D36" s="11" t="s">
        <v>442</v>
      </c>
      <c r="E36" s="10">
        <v>16</v>
      </c>
      <c r="F36" s="10"/>
      <c r="G36" s="12">
        <v>817</v>
      </c>
      <c r="H36" s="12">
        <v>630</v>
      </c>
      <c r="I36" s="17">
        <v>1</v>
      </c>
      <c r="J36" s="18">
        <v>1</v>
      </c>
      <c r="K36" s="19">
        <f t="shared" si="1"/>
        <v>5.5539000000000005</v>
      </c>
      <c r="L36" s="27"/>
      <c r="M36" s="3">
        <v>0.51</v>
      </c>
      <c r="N36" s="15">
        <v>10.89</v>
      </c>
    </row>
    <row r="37" spans="1:14" ht="20.25" customHeight="1" x14ac:dyDescent="0.15">
      <c r="A37" s="60"/>
      <c r="B37" s="9"/>
      <c r="C37" s="58"/>
      <c r="D37" s="11"/>
      <c r="E37" s="10"/>
      <c r="F37" s="10"/>
      <c r="G37" s="12"/>
      <c r="H37" s="12"/>
      <c r="I37" s="17"/>
      <c r="J37" s="18"/>
      <c r="K37" s="19">
        <f t="shared" si="1"/>
        <v>0</v>
      </c>
      <c r="L37" s="27"/>
      <c r="N37" s="15">
        <v>10.89</v>
      </c>
    </row>
    <row r="38" spans="1:14" ht="20.25" customHeight="1" x14ac:dyDescent="0.15">
      <c r="A38" s="60"/>
      <c r="B38" s="9"/>
      <c r="C38" s="58"/>
      <c r="D38" s="11"/>
      <c r="E38" s="10"/>
      <c r="F38" s="10"/>
      <c r="G38" s="12"/>
      <c r="H38" s="12"/>
      <c r="I38" s="17"/>
      <c r="J38" s="18"/>
      <c r="K38" s="19">
        <f t="shared" si="1"/>
        <v>0</v>
      </c>
      <c r="L38" s="27"/>
      <c r="N38" s="15">
        <v>10.89</v>
      </c>
    </row>
    <row r="39" spans="1:14" ht="20.25" customHeight="1" x14ac:dyDescent="0.15">
      <c r="A39" s="60"/>
      <c r="B39" s="9"/>
      <c r="C39" s="58"/>
      <c r="D39" s="11"/>
      <c r="E39" s="10"/>
      <c r="F39" s="10"/>
      <c r="G39" s="12"/>
      <c r="H39" s="12"/>
      <c r="I39" s="17"/>
      <c r="J39" s="18"/>
      <c r="K39" s="19">
        <f t="shared" si="1"/>
        <v>0</v>
      </c>
      <c r="L39" s="27"/>
      <c r="N39" s="15">
        <v>10.89</v>
      </c>
    </row>
    <row r="40" spans="1:14" ht="20.25" customHeight="1" x14ac:dyDescent="0.15">
      <c r="A40" s="60"/>
      <c r="B40" s="9"/>
      <c r="C40" s="58"/>
      <c r="D40" s="11"/>
      <c r="E40" s="10"/>
      <c r="F40" s="10"/>
      <c r="G40" s="12"/>
      <c r="H40" s="12"/>
      <c r="I40" s="17"/>
      <c r="J40" s="18"/>
      <c r="K40" s="19">
        <f t="shared" si="1"/>
        <v>0</v>
      </c>
      <c r="L40" s="27"/>
      <c r="N40" s="15">
        <v>10.89</v>
      </c>
    </row>
    <row r="41" spans="1:14" ht="20.25" customHeight="1" x14ac:dyDescent="0.15">
      <c r="A41" s="57"/>
      <c r="B41" s="28"/>
      <c r="C41" s="10"/>
      <c r="D41" s="29"/>
      <c r="E41" s="30"/>
      <c r="F41" s="30"/>
      <c r="G41" s="30"/>
      <c r="H41" s="30"/>
      <c r="I41" s="13"/>
      <c r="J41" s="48">
        <f>SUM(J25:J40)</f>
        <v>508</v>
      </c>
      <c r="K41" s="49">
        <f>SUM(K25:K40)</f>
        <v>4101.5007000000005</v>
      </c>
      <c r="L41" s="31"/>
      <c r="N41" s="32"/>
    </row>
    <row r="42" spans="1:14" ht="20.25" customHeight="1" thickBot="1" x14ac:dyDescent="0.2">
      <c r="A42" s="55"/>
      <c r="B42" s="33"/>
      <c r="C42" s="33"/>
      <c r="D42" s="33"/>
      <c r="E42" s="33"/>
      <c r="F42" s="33"/>
      <c r="G42" s="33"/>
      <c r="H42" s="33"/>
      <c r="I42" s="33"/>
      <c r="J42" s="34"/>
      <c r="K42" s="35"/>
      <c r="L42" s="36"/>
    </row>
    <row r="43" spans="1:14" ht="20.25" customHeight="1" thickBot="1" x14ac:dyDescent="0.2">
      <c r="A43" s="37" t="s">
        <v>19</v>
      </c>
      <c r="B43" s="38" t="s">
        <v>20</v>
      </c>
      <c r="C43" s="77" t="s">
        <v>21</v>
      </c>
      <c r="D43" s="79"/>
      <c r="E43" s="77" t="s">
        <v>22</v>
      </c>
      <c r="F43" s="78"/>
      <c r="G43" s="79"/>
      <c r="H43" s="85" t="s">
        <v>23</v>
      </c>
      <c r="I43" s="86"/>
      <c r="J43" s="77" t="s">
        <v>24</v>
      </c>
      <c r="K43" s="79"/>
      <c r="L43" s="39" t="s">
        <v>13</v>
      </c>
    </row>
    <row r="44" spans="1:14" ht="20.25" customHeight="1" thickBot="1" x14ac:dyDescent="0.2">
      <c r="A44" s="40">
        <f>SUMIF($C$8:$C$42,"U1",$J$8:$J$42)</f>
        <v>1</v>
      </c>
      <c r="B44" s="41">
        <f>SUMIF($C$8:$C$42,"U2",$J$8:$J$42)</f>
        <v>1</v>
      </c>
      <c r="C44" s="77">
        <f>SUMIF($C$8:$C$42,"U3-1",$J$8:$J$42)</f>
        <v>0</v>
      </c>
      <c r="D44" s="79"/>
      <c r="E44" s="77">
        <f>SUMIF($C$8:$C$42,"U3",$J$8:$J$42)</f>
        <v>890</v>
      </c>
      <c r="F44" s="78"/>
      <c r="G44" s="79"/>
      <c r="H44" s="77">
        <f>SUMIF($C$8:$C$42,"E5",$J$8:$J$42)</f>
        <v>0</v>
      </c>
      <c r="I44" s="79"/>
      <c r="J44" s="77">
        <f>SUM(A44:I44)</f>
        <v>892</v>
      </c>
      <c r="K44" s="79"/>
      <c r="L44" s="42"/>
    </row>
    <row r="45" spans="1:14" ht="20.25" customHeight="1" thickBot="1" x14ac:dyDescent="0.2">
      <c r="A45" s="43" t="s">
        <v>25</v>
      </c>
      <c r="B45" s="44" t="s">
        <v>26</v>
      </c>
      <c r="C45" s="75">
        <v>13876</v>
      </c>
      <c r="D45" s="76"/>
      <c r="E45" s="77" t="s">
        <v>27</v>
      </c>
      <c r="F45" s="78"/>
      <c r="G45" s="78"/>
      <c r="H45" s="78"/>
      <c r="I45" s="79"/>
      <c r="J45" s="80">
        <v>146744.37</v>
      </c>
      <c r="K45" s="81"/>
      <c r="L45" s="82"/>
    </row>
    <row r="47" spans="1:14" x14ac:dyDescent="0.15">
      <c r="D47" s="45"/>
    </row>
  </sheetData>
  <mergeCells count="26">
    <mergeCell ref="L2:L4"/>
    <mergeCell ref="A1:G3"/>
    <mergeCell ref="H1:H4"/>
    <mergeCell ref="I2:I4"/>
    <mergeCell ref="J2:J4"/>
    <mergeCell ref="K2:K4"/>
    <mergeCell ref="B5:G5"/>
    <mergeCell ref="A6:A7"/>
    <mergeCell ref="B6:B7"/>
    <mergeCell ref="C6:C7"/>
    <mergeCell ref="D6:D7"/>
    <mergeCell ref="E6:E7"/>
    <mergeCell ref="F6:F7"/>
    <mergeCell ref="G6:K6"/>
    <mergeCell ref="C45:D45"/>
    <mergeCell ref="E45:I45"/>
    <mergeCell ref="J45:L45"/>
    <mergeCell ref="L6:L7"/>
    <mergeCell ref="C43:D43"/>
    <mergeCell ref="E43:G43"/>
    <mergeCell ref="H43:I43"/>
    <mergeCell ref="J43:K43"/>
    <mergeCell ref="C44:D44"/>
    <mergeCell ref="E44:G44"/>
    <mergeCell ref="H44:I44"/>
    <mergeCell ref="J44:K44"/>
  </mergeCells>
  <phoneticPr fontId="2" type="noConversion"/>
  <printOptions horizontalCentered="1"/>
  <pageMargins left="0.39370078740157483" right="0.39370078740157483" top="0.74803149606299213" bottom="0.19685039370078741" header="0.31496062992125984" footer="0.15748031496062992"/>
  <pageSetup paperSize="9" scale="84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N47"/>
  <sheetViews>
    <sheetView view="pageBreakPreview" topLeftCell="A13" zoomScaleSheetLayoutView="100" workbookViewId="0">
      <selection activeCell="B31" sqref="B31:H32"/>
    </sheetView>
  </sheetViews>
  <sheetFormatPr defaultColWidth="8.88671875" defaultRowHeight="13.5" x14ac:dyDescent="0.15"/>
  <cols>
    <col min="1" max="1" width="8.44140625" style="3" customWidth="1"/>
    <col min="2" max="2" width="14.77734375" style="3" customWidth="1"/>
    <col min="3" max="3" width="4.109375" style="3" customWidth="1"/>
    <col min="4" max="4" width="15.21875" style="3" customWidth="1"/>
    <col min="5" max="5" width="4.44140625" style="3" customWidth="1"/>
    <col min="6" max="6" width="4" style="3" customWidth="1"/>
    <col min="7" max="7" width="5.5546875" style="3" customWidth="1"/>
    <col min="8" max="8" width="5.44140625" style="3" customWidth="1"/>
    <col min="9" max="9" width="7.88671875" style="3" customWidth="1"/>
    <col min="10" max="10" width="7.109375" style="3" customWidth="1"/>
    <col min="11" max="11" width="7.21875" style="3" customWidth="1"/>
    <col min="12" max="12" width="6.77734375" style="3" customWidth="1"/>
    <col min="13" max="16384" width="8.88671875" style="3"/>
  </cols>
  <sheetData>
    <row r="1" spans="1:14" ht="18.75" customHeight="1" x14ac:dyDescent="0.15">
      <c r="A1" s="101" t="s">
        <v>0</v>
      </c>
      <c r="B1" s="102"/>
      <c r="C1" s="102"/>
      <c r="D1" s="102"/>
      <c r="E1" s="102"/>
      <c r="F1" s="102"/>
      <c r="G1" s="103"/>
      <c r="H1" s="107" t="s">
        <v>1</v>
      </c>
      <c r="I1" s="1" t="s">
        <v>2</v>
      </c>
      <c r="J1" s="1" t="s">
        <v>2</v>
      </c>
      <c r="K1" s="1" t="s">
        <v>3</v>
      </c>
      <c r="L1" s="2" t="s">
        <v>4</v>
      </c>
    </row>
    <row r="2" spans="1:14" ht="13.5" customHeight="1" x14ac:dyDescent="0.15">
      <c r="A2" s="104"/>
      <c r="B2" s="105"/>
      <c r="C2" s="105"/>
      <c r="D2" s="105"/>
      <c r="E2" s="105"/>
      <c r="F2" s="105"/>
      <c r="G2" s="106"/>
      <c r="H2" s="108"/>
      <c r="I2" s="110"/>
      <c r="J2" s="110"/>
      <c r="K2" s="110"/>
      <c r="L2" s="98"/>
    </row>
    <row r="3" spans="1:14" ht="13.5" customHeight="1" x14ac:dyDescent="0.15">
      <c r="A3" s="104"/>
      <c r="B3" s="105"/>
      <c r="C3" s="105"/>
      <c r="D3" s="105"/>
      <c r="E3" s="105"/>
      <c r="F3" s="105"/>
      <c r="G3" s="106"/>
      <c r="H3" s="108"/>
      <c r="I3" s="108"/>
      <c r="J3" s="108"/>
      <c r="K3" s="108"/>
      <c r="L3" s="99"/>
    </row>
    <row r="4" spans="1:14" ht="33" customHeight="1" x14ac:dyDescent="0.15">
      <c r="A4" s="4"/>
      <c r="B4" s="5"/>
      <c r="C4" s="5"/>
      <c r="D4" s="5"/>
      <c r="E4" s="5"/>
      <c r="F4" s="5"/>
      <c r="G4" s="5"/>
      <c r="H4" s="109"/>
      <c r="I4" s="109"/>
      <c r="J4" s="109"/>
      <c r="K4" s="109"/>
      <c r="L4" s="100"/>
    </row>
    <row r="5" spans="1:14" ht="17.25" customHeight="1" x14ac:dyDescent="0.15">
      <c r="A5" s="6" t="s">
        <v>5</v>
      </c>
      <c r="B5" s="87">
        <v>46034</v>
      </c>
      <c r="C5" s="88"/>
      <c r="D5" s="88"/>
      <c r="E5" s="88"/>
      <c r="F5" s="88"/>
      <c r="G5" s="88"/>
      <c r="H5" s="5"/>
      <c r="I5" s="5"/>
      <c r="J5" s="5"/>
      <c r="K5" s="5"/>
      <c r="L5" s="7"/>
    </row>
    <row r="6" spans="1:14" ht="13.5" customHeight="1" x14ac:dyDescent="0.15">
      <c r="A6" s="89" t="s">
        <v>6</v>
      </c>
      <c r="B6" s="91" t="s">
        <v>7</v>
      </c>
      <c r="C6" s="91" t="s">
        <v>8</v>
      </c>
      <c r="D6" s="91" t="s">
        <v>9</v>
      </c>
      <c r="E6" s="93" t="s">
        <v>10</v>
      </c>
      <c r="F6" s="93" t="s">
        <v>11</v>
      </c>
      <c r="G6" s="95" t="s">
        <v>12</v>
      </c>
      <c r="H6" s="96"/>
      <c r="I6" s="96"/>
      <c r="J6" s="96"/>
      <c r="K6" s="97"/>
      <c r="L6" s="83" t="s">
        <v>13</v>
      </c>
    </row>
    <row r="7" spans="1:14" x14ac:dyDescent="0.15">
      <c r="A7" s="90"/>
      <c r="B7" s="92"/>
      <c r="C7" s="92"/>
      <c r="D7" s="92"/>
      <c r="E7" s="94"/>
      <c r="F7" s="94"/>
      <c r="G7" s="8" t="s">
        <v>14</v>
      </c>
      <c r="H7" s="8" t="s">
        <v>15</v>
      </c>
      <c r="I7" s="8" t="s">
        <v>16</v>
      </c>
      <c r="J7" s="8" t="s">
        <v>17</v>
      </c>
      <c r="K7" s="8" t="s">
        <v>18</v>
      </c>
      <c r="L7" s="84"/>
    </row>
    <row r="8" spans="1:14" s="15" customFormat="1" ht="20.25" customHeight="1" x14ac:dyDescent="0.15">
      <c r="A8" s="60" t="s">
        <v>402</v>
      </c>
      <c r="B8" s="9" t="s">
        <v>138</v>
      </c>
      <c r="C8" s="58" t="s">
        <v>29</v>
      </c>
      <c r="D8" s="11" t="s">
        <v>372</v>
      </c>
      <c r="E8" s="10">
        <v>24</v>
      </c>
      <c r="F8" s="58"/>
      <c r="G8" s="12">
        <v>775</v>
      </c>
      <c r="H8" s="12">
        <v>1890</v>
      </c>
      <c r="I8" s="17" t="s">
        <v>196</v>
      </c>
      <c r="J8" s="18">
        <v>90</v>
      </c>
      <c r="K8" s="19">
        <f>+M8*N8</f>
        <v>823.28399999999999</v>
      </c>
      <c r="L8" s="14"/>
      <c r="M8" s="15">
        <v>75.599999999999994</v>
      </c>
      <c r="N8" s="15">
        <v>10.89</v>
      </c>
    </row>
    <row r="9" spans="1:14" s="15" customFormat="1" ht="20.25" customHeight="1" x14ac:dyDescent="0.15">
      <c r="A9" s="60"/>
      <c r="B9" s="9"/>
      <c r="C9" s="58" t="s">
        <v>29</v>
      </c>
      <c r="D9" s="11" t="s">
        <v>336</v>
      </c>
      <c r="E9" s="10">
        <v>24</v>
      </c>
      <c r="F9" s="58"/>
      <c r="G9" s="12">
        <v>1662</v>
      </c>
      <c r="H9" s="12">
        <v>1890</v>
      </c>
      <c r="I9" s="17" t="s">
        <v>443</v>
      </c>
      <c r="J9" s="18">
        <v>100</v>
      </c>
      <c r="K9" s="19">
        <f t="shared" ref="K9:K23" si="0">+M9*N9</f>
        <v>1165.23</v>
      </c>
      <c r="L9" s="14"/>
      <c r="M9" s="15">
        <v>107</v>
      </c>
      <c r="N9" s="15">
        <v>10.89</v>
      </c>
    </row>
    <row r="10" spans="1:14" s="15" customFormat="1" ht="20.25" customHeight="1" x14ac:dyDescent="0.15">
      <c r="A10" s="60"/>
      <c r="B10" s="9"/>
      <c r="C10" s="58" t="s">
        <v>29</v>
      </c>
      <c r="D10" s="11" t="s">
        <v>224</v>
      </c>
      <c r="E10" s="10">
        <v>22</v>
      </c>
      <c r="F10" s="58" t="s">
        <v>11</v>
      </c>
      <c r="G10" s="12">
        <v>618</v>
      </c>
      <c r="H10" s="12">
        <v>1890</v>
      </c>
      <c r="I10" s="17">
        <v>10</v>
      </c>
      <c r="J10" s="18">
        <v>10</v>
      </c>
      <c r="K10" s="19">
        <f t="shared" si="0"/>
        <v>127.413</v>
      </c>
      <c r="L10" s="14"/>
      <c r="M10" s="15">
        <v>11.7</v>
      </c>
      <c r="N10" s="15">
        <v>10.89</v>
      </c>
    </row>
    <row r="11" spans="1:14" s="15" customFormat="1" ht="20.25" customHeight="1" x14ac:dyDescent="0.15">
      <c r="A11" s="60" t="s">
        <v>404</v>
      </c>
      <c r="B11" s="9" t="s">
        <v>138</v>
      </c>
      <c r="C11" s="58" t="s">
        <v>29</v>
      </c>
      <c r="D11" s="11" t="s">
        <v>372</v>
      </c>
      <c r="E11" s="10">
        <v>24</v>
      </c>
      <c r="F11" s="58"/>
      <c r="G11" s="12">
        <v>775</v>
      </c>
      <c r="H11" s="12">
        <v>1890</v>
      </c>
      <c r="I11" s="17" t="s">
        <v>444</v>
      </c>
      <c r="J11" s="18">
        <v>115</v>
      </c>
      <c r="K11" s="19">
        <f t="shared" si="0"/>
        <v>1141.2719999999999</v>
      </c>
      <c r="L11" s="14"/>
      <c r="M11" s="15">
        <v>104.8</v>
      </c>
      <c r="N11" s="15">
        <v>10.89</v>
      </c>
    </row>
    <row r="12" spans="1:14" s="15" customFormat="1" ht="20.25" customHeight="1" x14ac:dyDescent="0.15">
      <c r="A12" s="60"/>
      <c r="B12" s="9"/>
      <c r="C12" s="58" t="s">
        <v>29</v>
      </c>
      <c r="D12" s="11" t="s">
        <v>336</v>
      </c>
      <c r="E12" s="10">
        <v>24</v>
      </c>
      <c r="F12" s="58"/>
      <c r="G12" s="12">
        <v>1662</v>
      </c>
      <c r="H12" s="12">
        <v>1890</v>
      </c>
      <c r="I12" s="17">
        <v>15</v>
      </c>
      <c r="J12" s="18">
        <v>15</v>
      </c>
      <c r="K12" s="19">
        <f t="shared" si="0"/>
        <v>512.9190000000001</v>
      </c>
      <c r="L12" s="14"/>
      <c r="M12" s="15">
        <v>47.1</v>
      </c>
      <c r="N12" s="15">
        <v>10.89</v>
      </c>
    </row>
    <row r="13" spans="1:14" s="15" customFormat="1" ht="20.25" customHeight="1" x14ac:dyDescent="0.15">
      <c r="A13" s="60"/>
      <c r="B13" s="9"/>
      <c r="C13" s="58" t="s">
        <v>29</v>
      </c>
      <c r="D13" s="11" t="s">
        <v>224</v>
      </c>
      <c r="E13" s="10">
        <v>22</v>
      </c>
      <c r="F13" s="58" t="s">
        <v>11</v>
      </c>
      <c r="G13" s="12">
        <v>618</v>
      </c>
      <c r="H13" s="12">
        <v>1890</v>
      </c>
      <c r="I13" s="17">
        <v>20</v>
      </c>
      <c r="J13" s="18">
        <v>20</v>
      </c>
      <c r="K13" s="19">
        <f t="shared" si="0"/>
        <v>254.82599999999999</v>
      </c>
      <c r="L13" s="14"/>
      <c r="M13" s="15">
        <v>23.4</v>
      </c>
      <c r="N13" s="15">
        <v>10.89</v>
      </c>
    </row>
    <row r="14" spans="1:14" s="15" customFormat="1" ht="20.25" customHeight="1" x14ac:dyDescent="0.15">
      <c r="A14" s="60" t="s">
        <v>407</v>
      </c>
      <c r="B14" s="9" t="s">
        <v>138</v>
      </c>
      <c r="C14" s="58" t="s">
        <v>29</v>
      </c>
      <c r="D14" s="11" t="s">
        <v>372</v>
      </c>
      <c r="E14" s="10">
        <v>24</v>
      </c>
      <c r="F14" s="58"/>
      <c r="G14" s="12">
        <v>618</v>
      </c>
      <c r="H14" s="12">
        <v>690</v>
      </c>
      <c r="I14" s="17" t="s">
        <v>445</v>
      </c>
      <c r="J14" s="18">
        <v>64</v>
      </c>
      <c r="K14" s="19">
        <f t="shared" si="0"/>
        <v>247.42080000000001</v>
      </c>
      <c r="L14" s="20"/>
      <c r="M14" s="15">
        <v>22.72</v>
      </c>
      <c r="N14" s="15">
        <v>10.89</v>
      </c>
    </row>
    <row r="15" spans="1:14" s="15" customFormat="1" ht="20.25" customHeight="1" x14ac:dyDescent="0.15">
      <c r="A15" s="60"/>
      <c r="B15" s="9"/>
      <c r="C15" s="58" t="s">
        <v>29</v>
      </c>
      <c r="D15" s="11" t="s">
        <v>336</v>
      </c>
      <c r="E15" s="10">
        <v>24</v>
      </c>
      <c r="F15" s="58"/>
      <c r="G15" s="12">
        <v>1331</v>
      </c>
      <c r="H15" s="12">
        <v>1890</v>
      </c>
      <c r="I15" s="17" t="s">
        <v>446</v>
      </c>
      <c r="J15" s="18">
        <f>8+136</f>
        <v>144</v>
      </c>
      <c r="K15" s="19">
        <f t="shared" si="0"/>
        <v>1507.1760000000002</v>
      </c>
      <c r="L15" s="20"/>
      <c r="M15" s="15">
        <v>138.4</v>
      </c>
      <c r="N15" s="15">
        <v>10.89</v>
      </c>
    </row>
    <row r="16" spans="1:14" s="15" customFormat="1" ht="20.25" customHeight="1" x14ac:dyDescent="0.15">
      <c r="A16" s="60"/>
      <c r="B16" s="9"/>
      <c r="C16" s="58" t="s">
        <v>29</v>
      </c>
      <c r="D16" s="11" t="s">
        <v>224</v>
      </c>
      <c r="E16" s="10">
        <v>22</v>
      </c>
      <c r="F16" s="58" t="s">
        <v>11</v>
      </c>
      <c r="G16" s="12">
        <v>668</v>
      </c>
      <c r="H16" s="12">
        <v>1890</v>
      </c>
      <c r="I16" s="17" t="s">
        <v>447</v>
      </c>
      <c r="J16" s="18">
        <v>32</v>
      </c>
      <c r="K16" s="19">
        <f t="shared" si="0"/>
        <v>416.43360000000007</v>
      </c>
      <c r="L16" s="20"/>
      <c r="M16" s="15">
        <v>38.24</v>
      </c>
      <c r="N16" s="15">
        <v>10.89</v>
      </c>
    </row>
    <row r="17" spans="1:14" s="15" customFormat="1" ht="20.25" customHeight="1" x14ac:dyDescent="0.15">
      <c r="A17" s="60" t="s">
        <v>413</v>
      </c>
      <c r="B17" s="9" t="s">
        <v>175</v>
      </c>
      <c r="C17" s="58" t="s">
        <v>29</v>
      </c>
      <c r="D17" s="11" t="s">
        <v>414</v>
      </c>
      <c r="E17" s="10">
        <v>24</v>
      </c>
      <c r="F17" s="58" t="s">
        <v>11</v>
      </c>
      <c r="G17" s="12">
        <v>1102</v>
      </c>
      <c r="H17" s="12">
        <v>2547</v>
      </c>
      <c r="I17" s="17" t="s">
        <v>337</v>
      </c>
      <c r="J17" s="18">
        <v>2</v>
      </c>
      <c r="K17" s="19">
        <f t="shared" si="0"/>
        <v>50.747400000000006</v>
      </c>
      <c r="L17" s="20"/>
      <c r="M17" s="15">
        <v>4.66</v>
      </c>
      <c r="N17" s="15">
        <v>10.89</v>
      </c>
    </row>
    <row r="18" spans="1:14" s="15" customFormat="1" ht="20.25" customHeight="1" x14ac:dyDescent="0.15">
      <c r="A18" s="60"/>
      <c r="B18" s="9"/>
      <c r="C18" s="58"/>
      <c r="D18" s="11"/>
      <c r="E18" s="10"/>
      <c r="F18" s="58"/>
      <c r="G18" s="12"/>
      <c r="H18" s="12"/>
      <c r="I18" s="17"/>
      <c r="J18" s="18"/>
      <c r="K18" s="19">
        <f t="shared" si="0"/>
        <v>0</v>
      </c>
      <c r="L18" s="20"/>
      <c r="N18" s="15">
        <v>10.89</v>
      </c>
    </row>
    <row r="19" spans="1:14" s="15" customFormat="1" ht="20.25" customHeight="1" x14ac:dyDescent="0.15">
      <c r="A19" s="60"/>
      <c r="B19" s="9"/>
      <c r="C19" s="58"/>
      <c r="D19" s="11"/>
      <c r="E19" s="10"/>
      <c r="F19" s="58"/>
      <c r="G19" s="12"/>
      <c r="H19" s="12"/>
      <c r="I19" s="17"/>
      <c r="J19" s="18"/>
      <c r="K19" s="19">
        <f t="shared" si="0"/>
        <v>0</v>
      </c>
      <c r="L19" s="20"/>
      <c r="N19" s="15">
        <v>10.89</v>
      </c>
    </row>
    <row r="20" spans="1:14" s="15" customFormat="1" ht="20.25" customHeight="1" x14ac:dyDescent="0.15">
      <c r="A20" s="60"/>
      <c r="B20" s="9"/>
      <c r="C20" s="58"/>
      <c r="D20" s="11"/>
      <c r="E20" s="10"/>
      <c r="F20" s="58"/>
      <c r="G20" s="12"/>
      <c r="H20" s="12"/>
      <c r="I20" s="17"/>
      <c r="J20" s="18"/>
      <c r="K20" s="19">
        <f t="shared" si="0"/>
        <v>0</v>
      </c>
      <c r="L20" s="20"/>
      <c r="N20" s="15">
        <v>10.89</v>
      </c>
    </row>
    <row r="21" spans="1:14" s="15" customFormat="1" ht="20.25" customHeight="1" x14ac:dyDescent="0.15">
      <c r="A21" s="60"/>
      <c r="B21" s="9"/>
      <c r="C21" s="58"/>
      <c r="D21" s="11"/>
      <c r="E21" s="10"/>
      <c r="F21" s="58"/>
      <c r="G21" s="50"/>
      <c r="H21" s="50"/>
      <c r="I21" s="17"/>
      <c r="J21" s="18"/>
      <c r="K21" s="19">
        <f t="shared" si="0"/>
        <v>0</v>
      </c>
      <c r="L21" s="20"/>
      <c r="N21" s="15">
        <v>10.89</v>
      </c>
    </row>
    <row r="22" spans="1:14" s="15" customFormat="1" ht="20.25" customHeight="1" x14ac:dyDescent="0.15">
      <c r="A22" s="60"/>
      <c r="B22" s="9"/>
      <c r="C22" s="58"/>
      <c r="D22" s="11"/>
      <c r="E22" s="10"/>
      <c r="F22" s="58"/>
      <c r="G22" s="50"/>
      <c r="H22" s="50"/>
      <c r="I22" s="17"/>
      <c r="J22" s="18"/>
      <c r="K22" s="19">
        <f t="shared" si="0"/>
        <v>0</v>
      </c>
      <c r="L22" s="20"/>
      <c r="N22" s="15">
        <v>10.89</v>
      </c>
    </row>
    <row r="23" spans="1:14" ht="20.25" customHeight="1" x14ac:dyDescent="0.15">
      <c r="A23" s="60"/>
      <c r="B23" s="9"/>
      <c r="C23" s="58"/>
      <c r="D23" s="11"/>
      <c r="E23" s="10"/>
      <c r="F23" s="58"/>
      <c r="G23" s="16"/>
      <c r="H23" s="16"/>
      <c r="I23" s="17"/>
      <c r="J23" s="18"/>
      <c r="K23" s="19">
        <f t="shared" si="0"/>
        <v>0</v>
      </c>
      <c r="L23" s="20"/>
      <c r="N23" s="15">
        <v>10.89</v>
      </c>
    </row>
    <row r="24" spans="1:14" ht="20.25" customHeight="1" thickBot="1" x14ac:dyDescent="0.2">
      <c r="A24" s="56"/>
      <c r="B24" s="21"/>
      <c r="C24" s="59"/>
      <c r="D24" s="22"/>
      <c r="E24" s="23"/>
      <c r="F24" s="23"/>
      <c r="G24" s="24"/>
      <c r="H24" s="24"/>
      <c r="I24" s="25"/>
      <c r="J24" s="46">
        <f>SUM(J8:J23)</f>
        <v>592</v>
      </c>
      <c r="K24" s="47">
        <f>SUM(K8:K23)</f>
        <v>6246.7218000000012</v>
      </c>
      <c r="L24" s="26"/>
    </row>
    <row r="25" spans="1:14" ht="20.25" customHeight="1" thickTop="1" x14ac:dyDescent="0.15">
      <c r="A25" s="60" t="s">
        <v>427</v>
      </c>
      <c r="B25" s="9" t="s">
        <v>173</v>
      </c>
      <c r="C25" s="58" t="s">
        <v>29</v>
      </c>
      <c r="D25" s="11" t="s">
        <v>279</v>
      </c>
      <c r="E25" s="10">
        <v>25.76</v>
      </c>
      <c r="F25" s="10"/>
      <c r="G25" s="12">
        <v>790</v>
      </c>
      <c r="H25" s="12">
        <v>670</v>
      </c>
      <c r="I25" s="17">
        <v>1</v>
      </c>
      <c r="J25" s="18">
        <v>1</v>
      </c>
      <c r="K25" s="19">
        <f t="shared" ref="K25:K40" si="1">+M25*N25</f>
        <v>5.7717000000000009</v>
      </c>
      <c r="L25" s="54"/>
      <c r="M25" s="3">
        <v>0.53</v>
      </c>
      <c r="N25" s="15">
        <v>10.89</v>
      </c>
    </row>
    <row r="26" spans="1:14" ht="20.25" customHeight="1" x14ac:dyDescent="0.15">
      <c r="A26" s="60"/>
      <c r="B26" s="9"/>
      <c r="C26" s="58" t="s">
        <v>29</v>
      </c>
      <c r="D26" s="11" t="s">
        <v>280</v>
      </c>
      <c r="E26" s="10">
        <v>46.76</v>
      </c>
      <c r="F26" s="10" t="s">
        <v>11</v>
      </c>
      <c r="G26" s="12">
        <v>886</v>
      </c>
      <c r="H26" s="12">
        <v>508</v>
      </c>
      <c r="I26" s="17">
        <v>5</v>
      </c>
      <c r="J26" s="18">
        <v>5</v>
      </c>
      <c r="K26" s="19">
        <f t="shared" si="1"/>
        <v>24.502500000000001</v>
      </c>
      <c r="L26" s="54"/>
      <c r="M26" s="3">
        <v>2.25</v>
      </c>
      <c r="N26" s="15">
        <v>10.89</v>
      </c>
    </row>
    <row r="27" spans="1:14" ht="20.25" customHeight="1" x14ac:dyDescent="0.15">
      <c r="A27" s="61" t="s">
        <v>429</v>
      </c>
      <c r="B27" s="9" t="s">
        <v>173</v>
      </c>
      <c r="C27" s="58" t="s">
        <v>29</v>
      </c>
      <c r="D27" s="11" t="s">
        <v>188</v>
      </c>
      <c r="E27" s="10">
        <v>22</v>
      </c>
      <c r="F27" s="10"/>
      <c r="G27" s="12">
        <v>1665</v>
      </c>
      <c r="H27" s="12">
        <v>1238</v>
      </c>
      <c r="I27" s="17">
        <v>1</v>
      </c>
      <c r="J27" s="18">
        <v>1</v>
      </c>
      <c r="K27" s="19">
        <f t="shared" si="1"/>
        <v>22.433400000000002</v>
      </c>
      <c r="L27" s="54"/>
      <c r="M27" s="3">
        <v>2.06</v>
      </c>
      <c r="N27" s="15">
        <v>10.89</v>
      </c>
    </row>
    <row r="28" spans="1:14" ht="20.25" customHeight="1" x14ac:dyDescent="0.15">
      <c r="A28" s="61"/>
      <c r="B28" s="9"/>
      <c r="C28" s="58" t="s">
        <v>29</v>
      </c>
      <c r="D28" s="11" t="s">
        <v>280</v>
      </c>
      <c r="E28" s="10">
        <v>46.76</v>
      </c>
      <c r="F28" s="10" t="s">
        <v>11</v>
      </c>
      <c r="G28" s="12">
        <v>786</v>
      </c>
      <c r="H28" s="12">
        <v>508</v>
      </c>
      <c r="I28" s="17">
        <v>10</v>
      </c>
      <c r="J28" s="18">
        <v>10</v>
      </c>
      <c r="K28" s="19">
        <f t="shared" si="1"/>
        <v>43.56</v>
      </c>
      <c r="L28" s="54"/>
      <c r="M28" s="3">
        <v>4</v>
      </c>
      <c r="N28" s="15">
        <v>10.89</v>
      </c>
    </row>
    <row r="29" spans="1:14" ht="20.25" customHeight="1" x14ac:dyDescent="0.15">
      <c r="A29" s="61" t="s">
        <v>432</v>
      </c>
      <c r="B29" s="9" t="s">
        <v>173</v>
      </c>
      <c r="C29" s="58" t="s">
        <v>29</v>
      </c>
      <c r="D29" s="11" t="s">
        <v>195</v>
      </c>
      <c r="E29" s="10">
        <v>22</v>
      </c>
      <c r="F29" s="10"/>
      <c r="G29" s="12">
        <v>754</v>
      </c>
      <c r="H29" s="12">
        <v>1967</v>
      </c>
      <c r="I29" s="17" t="s">
        <v>448</v>
      </c>
      <c r="J29" s="18">
        <v>250</v>
      </c>
      <c r="K29" s="19">
        <f t="shared" si="1"/>
        <v>2351.1510000000003</v>
      </c>
      <c r="L29" s="54"/>
      <c r="M29" s="3">
        <v>215.9</v>
      </c>
      <c r="N29" s="15">
        <v>10.89</v>
      </c>
    </row>
    <row r="30" spans="1:14" ht="20.25" customHeight="1" x14ac:dyDescent="0.15">
      <c r="A30" s="61"/>
      <c r="B30" s="9"/>
      <c r="C30" s="58" t="s">
        <v>29</v>
      </c>
      <c r="D30" s="11" t="s">
        <v>280</v>
      </c>
      <c r="E30" s="10">
        <v>46.76</v>
      </c>
      <c r="F30" s="10" t="s">
        <v>11</v>
      </c>
      <c r="G30" s="12">
        <v>886</v>
      </c>
      <c r="H30" s="12">
        <v>508</v>
      </c>
      <c r="I30" s="51">
        <v>10</v>
      </c>
      <c r="J30" s="52">
        <v>10</v>
      </c>
      <c r="K30" s="53">
        <f t="shared" si="1"/>
        <v>49.005000000000003</v>
      </c>
      <c r="L30" s="54"/>
      <c r="M30" s="3">
        <v>4.5</v>
      </c>
      <c r="N30" s="15">
        <v>10.89</v>
      </c>
    </row>
    <row r="31" spans="1:14" ht="20.25" customHeight="1" x14ac:dyDescent="0.15">
      <c r="A31" s="61" t="s">
        <v>449</v>
      </c>
      <c r="B31" s="9" t="s">
        <v>184</v>
      </c>
      <c r="C31" s="58" t="s">
        <v>29</v>
      </c>
      <c r="D31" s="11" t="s">
        <v>201</v>
      </c>
      <c r="E31" s="10">
        <v>22</v>
      </c>
      <c r="F31" s="10"/>
      <c r="G31" s="12">
        <v>1716</v>
      </c>
      <c r="H31" s="12">
        <v>1817</v>
      </c>
      <c r="I31" s="51" t="s">
        <v>450</v>
      </c>
      <c r="J31" s="52">
        <v>180</v>
      </c>
      <c r="K31" s="53">
        <f t="shared" si="1"/>
        <v>1495.1970000000001</v>
      </c>
      <c r="L31" s="54"/>
      <c r="M31" s="3">
        <v>137.30000000000001</v>
      </c>
      <c r="N31" s="15">
        <v>10.89</v>
      </c>
    </row>
    <row r="32" spans="1:14" ht="20.25" customHeight="1" x14ac:dyDescent="0.15">
      <c r="A32" s="60"/>
      <c r="B32" s="9"/>
      <c r="C32" s="58" t="s">
        <v>29</v>
      </c>
      <c r="D32" s="11" t="s">
        <v>195</v>
      </c>
      <c r="E32" s="10">
        <v>22</v>
      </c>
      <c r="F32" s="10"/>
      <c r="G32" s="12">
        <v>1716</v>
      </c>
      <c r="H32" s="12">
        <v>1817</v>
      </c>
      <c r="I32" s="17" t="s">
        <v>451</v>
      </c>
      <c r="J32" s="18">
        <v>55</v>
      </c>
      <c r="K32" s="19">
        <f t="shared" si="1"/>
        <v>833.62950000000001</v>
      </c>
      <c r="L32" s="27"/>
      <c r="M32" s="3">
        <v>76.55</v>
      </c>
      <c r="N32" s="15">
        <v>10.89</v>
      </c>
    </row>
    <row r="33" spans="1:14" ht="20.25" customHeight="1" x14ac:dyDescent="0.15">
      <c r="A33" s="60" t="s">
        <v>452</v>
      </c>
      <c r="B33" s="9" t="s">
        <v>57</v>
      </c>
      <c r="C33" s="58" t="s">
        <v>29</v>
      </c>
      <c r="D33" s="11" t="s">
        <v>198</v>
      </c>
      <c r="E33" s="10">
        <v>22</v>
      </c>
      <c r="F33" s="10" t="s">
        <v>11</v>
      </c>
      <c r="G33" s="12">
        <v>665</v>
      </c>
      <c r="H33" s="12">
        <v>1003</v>
      </c>
      <c r="I33" s="17">
        <v>11</v>
      </c>
      <c r="J33" s="18">
        <v>11</v>
      </c>
      <c r="K33" s="19">
        <f t="shared" si="1"/>
        <v>80.25930000000001</v>
      </c>
      <c r="L33" s="27"/>
      <c r="M33" s="3">
        <v>7.37</v>
      </c>
      <c r="N33" s="15">
        <v>10.89</v>
      </c>
    </row>
    <row r="34" spans="1:14" ht="20.25" customHeight="1" x14ac:dyDescent="0.15">
      <c r="A34" s="60" t="s">
        <v>434</v>
      </c>
      <c r="B34" s="9" t="s">
        <v>435</v>
      </c>
      <c r="C34" s="58" t="s">
        <v>29</v>
      </c>
      <c r="D34" s="11" t="s">
        <v>247</v>
      </c>
      <c r="E34" s="10">
        <v>24</v>
      </c>
      <c r="F34" s="10" t="s">
        <v>11</v>
      </c>
      <c r="G34" s="12">
        <v>655</v>
      </c>
      <c r="H34" s="12">
        <v>385</v>
      </c>
      <c r="I34" s="17">
        <v>3</v>
      </c>
      <c r="J34" s="18">
        <v>3</v>
      </c>
      <c r="K34" s="19">
        <f t="shared" si="1"/>
        <v>9.1476000000000006</v>
      </c>
      <c r="L34" s="27"/>
      <c r="M34" s="3">
        <v>0.84</v>
      </c>
      <c r="N34" s="15">
        <v>10.89</v>
      </c>
    </row>
    <row r="35" spans="1:14" ht="20.25" customHeight="1" x14ac:dyDescent="0.15">
      <c r="A35" s="60" t="s">
        <v>438</v>
      </c>
      <c r="B35" s="9" t="s">
        <v>435</v>
      </c>
      <c r="C35" s="58" t="s">
        <v>29</v>
      </c>
      <c r="D35" s="11" t="s">
        <v>247</v>
      </c>
      <c r="E35" s="10">
        <v>24</v>
      </c>
      <c r="F35" s="10" t="s">
        <v>11</v>
      </c>
      <c r="G35" s="12">
        <v>630</v>
      </c>
      <c r="H35" s="12">
        <v>905</v>
      </c>
      <c r="I35" s="17" t="s">
        <v>453</v>
      </c>
      <c r="J35" s="18">
        <f>24+64</f>
        <v>88</v>
      </c>
      <c r="K35" s="19">
        <f t="shared" si="1"/>
        <v>344.12400000000002</v>
      </c>
      <c r="L35" s="27"/>
      <c r="M35" s="3">
        <v>31.6</v>
      </c>
      <c r="N35" s="15">
        <v>10.89</v>
      </c>
    </row>
    <row r="36" spans="1:14" ht="20.25" customHeight="1" x14ac:dyDescent="0.15">
      <c r="A36" s="60"/>
      <c r="B36" s="9"/>
      <c r="C36" s="58"/>
      <c r="D36" s="11"/>
      <c r="E36" s="10"/>
      <c r="F36" s="10"/>
      <c r="G36" s="12"/>
      <c r="H36" s="12"/>
      <c r="I36" s="17"/>
      <c r="J36" s="18"/>
      <c r="K36" s="19">
        <f t="shared" si="1"/>
        <v>0</v>
      </c>
      <c r="L36" s="27"/>
      <c r="N36" s="15">
        <v>10.89</v>
      </c>
    </row>
    <row r="37" spans="1:14" ht="20.25" customHeight="1" x14ac:dyDescent="0.15">
      <c r="A37" s="60"/>
      <c r="B37" s="9"/>
      <c r="C37" s="58"/>
      <c r="D37" s="11"/>
      <c r="E37" s="10"/>
      <c r="F37" s="10"/>
      <c r="G37" s="12"/>
      <c r="H37" s="12"/>
      <c r="I37" s="17"/>
      <c r="J37" s="18"/>
      <c r="K37" s="19">
        <f t="shared" si="1"/>
        <v>0</v>
      </c>
      <c r="L37" s="27"/>
      <c r="N37" s="15">
        <v>10.89</v>
      </c>
    </row>
    <row r="38" spans="1:14" ht="20.25" customHeight="1" x14ac:dyDescent="0.15">
      <c r="A38" s="60"/>
      <c r="B38" s="9"/>
      <c r="C38" s="58"/>
      <c r="D38" s="11"/>
      <c r="E38" s="10"/>
      <c r="F38" s="10"/>
      <c r="G38" s="12"/>
      <c r="H38" s="12"/>
      <c r="I38" s="17"/>
      <c r="J38" s="18"/>
      <c r="K38" s="19">
        <f t="shared" si="1"/>
        <v>0</v>
      </c>
      <c r="L38" s="27"/>
      <c r="N38" s="15">
        <v>10.89</v>
      </c>
    </row>
    <row r="39" spans="1:14" ht="20.25" customHeight="1" x14ac:dyDescent="0.15">
      <c r="A39" s="60"/>
      <c r="B39" s="9"/>
      <c r="C39" s="58"/>
      <c r="D39" s="11"/>
      <c r="E39" s="10"/>
      <c r="F39" s="10"/>
      <c r="G39" s="12"/>
      <c r="H39" s="12"/>
      <c r="I39" s="17"/>
      <c r="J39" s="18"/>
      <c r="K39" s="19">
        <f t="shared" si="1"/>
        <v>0</v>
      </c>
      <c r="L39" s="27"/>
      <c r="N39" s="15">
        <v>10.89</v>
      </c>
    </row>
    <row r="40" spans="1:14" ht="20.25" customHeight="1" x14ac:dyDescent="0.15">
      <c r="A40" s="60"/>
      <c r="B40" s="9"/>
      <c r="C40" s="58"/>
      <c r="D40" s="11"/>
      <c r="E40" s="10"/>
      <c r="F40" s="10"/>
      <c r="G40" s="12"/>
      <c r="H40" s="12"/>
      <c r="I40" s="17"/>
      <c r="J40" s="18"/>
      <c r="K40" s="19">
        <f t="shared" si="1"/>
        <v>0</v>
      </c>
      <c r="L40" s="27"/>
      <c r="N40" s="15">
        <v>10.89</v>
      </c>
    </row>
    <row r="41" spans="1:14" ht="20.25" customHeight="1" x14ac:dyDescent="0.15">
      <c r="A41" s="57"/>
      <c r="B41" s="28"/>
      <c r="C41" s="10"/>
      <c r="D41" s="29"/>
      <c r="E41" s="30"/>
      <c r="F41" s="30"/>
      <c r="G41" s="30"/>
      <c r="H41" s="30"/>
      <c r="I41" s="13"/>
      <c r="J41" s="48">
        <f>SUM(J25:J40)</f>
        <v>614</v>
      </c>
      <c r="K41" s="49">
        <f>SUM(K25:K40)</f>
        <v>5258.7810000000009</v>
      </c>
      <c r="L41" s="31"/>
      <c r="N41" s="32"/>
    </row>
    <row r="42" spans="1:14" ht="20.25" customHeight="1" thickBot="1" x14ac:dyDescent="0.2">
      <c r="A42" s="55"/>
      <c r="B42" s="33"/>
      <c r="C42" s="33"/>
      <c r="D42" s="33"/>
      <c r="E42" s="33"/>
      <c r="F42" s="33"/>
      <c r="G42" s="33"/>
      <c r="H42" s="33"/>
      <c r="I42" s="33"/>
      <c r="J42" s="34"/>
      <c r="K42" s="35"/>
      <c r="L42" s="36"/>
    </row>
    <row r="43" spans="1:14" ht="20.25" customHeight="1" thickBot="1" x14ac:dyDescent="0.2">
      <c r="A43" s="37" t="s">
        <v>19</v>
      </c>
      <c r="B43" s="38" t="s">
        <v>20</v>
      </c>
      <c r="C43" s="77" t="s">
        <v>21</v>
      </c>
      <c r="D43" s="79"/>
      <c r="E43" s="77" t="s">
        <v>22</v>
      </c>
      <c r="F43" s="78"/>
      <c r="G43" s="79"/>
      <c r="H43" s="85" t="s">
        <v>23</v>
      </c>
      <c r="I43" s="86"/>
      <c r="J43" s="77" t="s">
        <v>24</v>
      </c>
      <c r="K43" s="79"/>
      <c r="L43" s="39" t="s">
        <v>13</v>
      </c>
    </row>
    <row r="44" spans="1:14" ht="20.25" customHeight="1" thickBot="1" x14ac:dyDescent="0.2">
      <c r="A44" s="40">
        <f>SUMIF($C$8:$C$42,"U1",$J$8:$J$42)</f>
        <v>0</v>
      </c>
      <c r="B44" s="41">
        <f>SUMIF($C$8:$C$42,"U2",$J$8:$J$42)</f>
        <v>0</v>
      </c>
      <c r="C44" s="77">
        <f>SUMIF($C$8:$C$42,"U3-1",$J$8:$J$42)</f>
        <v>0</v>
      </c>
      <c r="D44" s="79"/>
      <c r="E44" s="77">
        <f>SUMIF($C$8:$C$42,"U3",$J$8:$J$42)</f>
        <v>1206</v>
      </c>
      <c r="F44" s="78"/>
      <c r="G44" s="79"/>
      <c r="H44" s="77">
        <f>SUMIF($C$8:$C$42,"E5",$J$8:$J$42)</f>
        <v>0</v>
      </c>
      <c r="I44" s="79"/>
      <c r="J44" s="77">
        <f>SUM(A44:I44)</f>
        <v>1206</v>
      </c>
      <c r="K44" s="79"/>
      <c r="L44" s="42"/>
    </row>
    <row r="45" spans="1:14" ht="20.25" customHeight="1" thickBot="1" x14ac:dyDescent="0.2">
      <c r="A45" s="43" t="s">
        <v>25</v>
      </c>
      <c r="B45" s="44" t="s">
        <v>26</v>
      </c>
      <c r="C45" s="75">
        <v>13876</v>
      </c>
      <c r="D45" s="76"/>
      <c r="E45" s="77" t="s">
        <v>27</v>
      </c>
      <c r="F45" s="78"/>
      <c r="G45" s="78"/>
      <c r="H45" s="78"/>
      <c r="I45" s="79"/>
      <c r="J45" s="80">
        <v>146744.37</v>
      </c>
      <c r="K45" s="81"/>
      <c r="L45" s="82"/>
    </row>
    <row r="47" spans="1:14" x14ac:dyDescent="0.15">
      <c r="D47" s="45"/>
    </row>
  </sheetData>
  <mergeCells count="26">
    <mergeCell ref="L2:L4"/>
    <mergeCell ref="A1:G3"/>
    <mergeCell ref="H1:H4"/>
    <mergeCell ref="I2:I4"/>
    <mergeCell ref="J2:J4"/>
    <mergeCell ref="K2:K4"/>
    <mergeCell ref="B5:G5"/>
    <mergeCell ref="A6:A7"/>
    <mergeCell ref="B6:B7"/>
    <mergeCell ref="C6:C7"/>
    <mergeCell ref="D6:D7"/>
    <mergeCell ref="E6:E7"/>
    <mergeCell ref="F6:F7"/>
    <mergeCell ref="G6:K6"/>
    <mergeCell ref="C45:D45"/>
    <mergeCell ref="E45:I45"/>
    <mergeCell ref="J45:L45"/>
    <mergeCell ref="L6:L7"/>
    <mergeCell ref="C43:D43"/>
    <mergeCell ref="E43:G43"/>
    <mergeCell ref="H43:I43"/>
    <mergeCell ref="J43:K43"/>
    <mergeCell ref="C44:D44"/>
    <mergeCell ref="E44:G44"/>
    <mergeCell ref="H44:I44"/>
    <mergeCell ref="J44:K44"/>
  </mergeCells>
  <phoneticPr fontId="2" type="noConversion"/>
  <printOptions horizontalCentered="1"/>
  <pageMargins left="0.39370078740157483" right="0.39370078740157483" top="0.74803149606299213" bottom="0.19685039370078741" header="0.31496062992125984" footer="0.15748031496062992"/>
  <pageSetup paperSize="9" scale="84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N47"/>
  <sheetViews>
    <sheetView view="pageBreakPreview" zoomScaleSheetLayoutView="100" workbookViewId="0">
      <selection activeCell="B9" sqref="B9:F10"/>
    </sheetView>
  </sheetViews>
  <sheetFormatPr defaultColWidth="8.88671875" defaultRowHeight="13.5" x14ac:dyDescent="0.15"/>
  <cols>
    <col min="1" max="1" width="8.44140625" style="3" customWidth="1"/>
    <col min="2" max="2" width="14.77734375" style="3" customWidth="1"/>
    <col min="3" max="3" width="4.109375" style="3" customWidth="1"/>
    <col min="4" max="4" width="15.21875" style="3" customWidth="1"/>
    <col min="5" max="5" width="4.44140625" style="3" customWidth="1"/>
    <col min="6" max="6" width="4" style="3" customWidth="1"/>
    <col min="7" max="7" width="5.5546875" style="3" customWidth="1"/>
    <col min="8" max="8" width="5.44140625" style="3" customWidth="1"/>
    <col min="9" max="9" width="7.88671875" style="3" customWidth="1"/>
    <col min="10" max="10" width="7.109375" style="3" customWidth="1"/>
    <col min="11" max="11" width="7.21875" style="3" customWidth="1"/>
    <col min="12" max="12" width="6.77734375" style="3" customWidth="1"/>
    <col min="13" max="16384" width="8.88671875" style="3"/>
  </cols>
  <sheetData>
    <row r="1" spans="1:14" ht="18.75" customHeight="1" x14ac:dyDescent="0.15">
      <c r="A1" s="101" t="s">
        <v>0</v>
      </c>
      <c r="B1" s="102"/>
      <c r="C1" s="102"/>
      <c r="D1" s="102"/>
      <c r="E1" s="102"/>
      <c r="F1" s="102"/>
      <c r="G1" s="103"/>
      <c r="H1" s="107" t="s">
        <v>1</v>
      </c>
      <c r="I1" s="1" t="s">
        <v>2</v>
      </c>
      <c r="J1" s="1" t="s">
        <v>2</v>
      </c>
      <c r="K1" s="1" t="s">
        <v>3</v>
      </c>
      <c r="L1" s="2" t="s">
        <v>4</v>
      </c>
    </row>
    <row r="2" spans="1:14" ht="13.5" customHeight="1" x14ac:dyDescent="0.15">
      <c r="A2" s="104"/>
      <c r="B2" s="105"/>
      <c r="C2" s="105"/>
      <c r="D2" s="105"/>
      <c r="E2" s="105"/>
      <c r="F2" s="105"/>
      <c r="G2" s="106"/>
      <c r="H2" s="108"/>
      <c r="I2" s="110"/>
      <c r="J2" s="110"/>
      <c r="K2" s="110"/>
      <c r="L2" s="98"/>
    </row>
    <row r="3" spans="1:14" ht="13.5" customHeight="1" x14ac:dyDescent="0.15">
      <c r="A3" s="104"/>
      <c r="B3" s="105"/>
      <c r="C3" s="105"/>
      <c r="D3" s="105"/>
      <c r="E3" s="105"/>
      <c r="F3" s="105"/>
      <c r="G3" s="106"/>
      <c r="H3" s="108"/>
      <c r="I3" s="108"/>
      <c r="J3" s="108"/>
      <c r="K3" s="108"/>
      <c r="L3" s="99"/>
    </row>
    <row r="4" spans="1:14" ht="33" customHeight="1" x14ac:dyDescent="0.15">
      <c r="A4" s="4"/>
      <c r="B4" s="5"/>
      <c r="C4" s="5"/>
      <c r="D4" s="5"/>
      <c r="E4" s="5"/>
      <c r="F4" s="5"/>
      <c r="G4" s="5"/>
      <c r="H4" s="109"/>
      <c r="I4" s="109"/>
      <c r="J4" s="109"/>
      <c r="K4" s="109"/>
      <c r="L4" s="100"/>
    </row>
    <row r="5" spans="1:14" ht="17.25" customHeight="1" x14ac:dyDescent="0.15">
      <c r="A5" s="6" t="s">
        <v>5</v>
      </c>
      <c r="B5" s="87">
        <v>46035</v>
      </c>
      <c r="C5" s="88"/>
      <c r="D5" s="88"/>
      <c r="E5" s="88"/>
      <c r="F5" s="88"/>
      <c r="G5" s="88"/>
      <c r="H5" s="5"/>
      <c r="I5" s="5"/>
      <c r="J5" s="5"/>
      <c r="K5" s="5"/>
      <c r="L5" s="7"/>
    </row>
    <row r="6" spans="1:14" ht="13.5" customHeight="1" x14ac:dyDescent="0.15">
      <c r="A6" s="89" t="s">
        <v>6</v>
      </c>
      <c r="B6" s="91" t="s">
        <v>7</v>
      </c>
      <c r="C6" s="91" t="s">
        <v>8</v>
      </c>
      <c r="D6" s="91" t="s">
        <v>9</v>
      </c>
      <c r="E6" s="93" t="s">
        <v>10</v>
      </c>
      <c r="F6" s="93" t="s">
        <v>11</v>
      </c>
      <c r="G6" s="95" t="s">
        <v>12</v>
      </c>
      <c r="H6" s="96"/>
      <c r="I6" s="96"/>
      <c r="J6" s="96"/>
      <c r="K6" s="97"/>
      <c r="L6" s="83" t="s">
        <v>13</v>
      </c>
    </row>
    <row r="7" spans="1:14" x14ac:dyDescent="0.15">
      <c r="A7" s="90"/>
      <c r="B7" s="92"/>
      <c r="C7" s="92"/>
      <c r="D7" s="92"/>
      <c r="E7" s="94"/>
      <c r="F7" s="94"/>
      <c r="G7" s="8" t="s">
        <v>14</v>
      </c>
      <c r="H7" s="8" t="s">
        <v>15</v>
      </c>
      <c r="I7" s="8" t="s">
        <v>16</v>
      </c>
      <c r="J7" s="8" t="s">
        <v>17</v>
      </c>
      <c r="K7" s="8" t="s">
        <v>18</v>
      </c>
      <c r="L7" s="84"/>
    </row>
    <row r="8" spans="1:14" s="15" customFormat="1" ht="20.25" customHeight="1" x14ac:dyDescent="0.15">
      <c r="A8" s="60" t="s">
        <v>404</v>
      </c>
      <c r="B8" s="9" t="s">
        <v>138</v>
      </c>
      <c r="C8" s="58" t="s">
        <v>29</v>
      </c>
      <c r="D8" s="11" t="s">
        <v>336</v>
      </c>
      <c r="E8" s="10">
        <v>24</v>
      </c>
      <c r="F8" s="58"/>
      <c r="G8" s="12">
        <v>775</v>
      </c>
      <c r="H8" s="12">
        <v>1890</v>
      </c>
      <c r="I8" s="17" t="s">
        <v>444</v>
      </c>
      <c r="J8" s="18">
        <v>115</v>
      </c>
      <c r="K8" s="19">
        <f>+M8*N8</f>
        <v>1141.2719999999999</v>
      </c>
      <c r="L8" s="14"/>
      <c r="M8" s="15">
        <v>104.8</v>
      </c>
      <c r="N8" s="15">
        <v>10.89</v>
      </c>
    </row>
    <row r="9" spans="1:14" s="15" customFormat="1" ht="20.25" customHeight="1" x14ac:dyDescent="0.15">
      <c r="A9" s="60" t="s">
        <v>454</v>
      </c>
      <c r="B9" s="9" t="s">
        <v>131</v>
      </c>
      <c r="C9" s="58" t="s">
        <v>29</v>
      </c>
      <c r="D9" s="11" t="s">
        <v>155</v>
      </c>
      <c r="E9" s="10">
        <v>22</v>
      </c>
      <c r="F9" s="58" t="s">
        <v>11</v>
      </c>
      <c r="G9" s="12">
        <v>740</v>
      </c>
      <c r="H9" s="12">
        <v>1927</v>
      </c>
      <c r="I9" s="17" t="s">
        <v>455</v>
      </c>
      <c r="J9" s="18">
        <v>147</v>
      </c>
      <c r="K9" s="19">
        <f t="shared" ref="K9:K23" si="0">+M9*N9</f>
        <v>1324.7685000000001</v>
      </c>
      <c r="L9" s="14"/>
      <c r="M9" s="15">
        <v>121.65</v>
      </c>
      <c r="N9" s="15">
        <v>10.89</v>
      </c>
    </row>
    <row r="10" spans="1:14" s="15" customFormat="1" ht="20.25" customHeight="1" x14ac:dyDescent="0.15">
      <c r="A10" s="60"/>
      <c r="B10" s="9"/>
      <c r="C10" s="58" t="s">
        <v>29</v>
      </c>
      <c r="D10" s="11" t="s">
        <v>156</v>
      </c>
      <c r="E10" s="10">
        <v>22</v>
      </c>
      <c r="F10" s="58" t="s">
        <v>11</v>
      </c>
      <c r="G10" s="12">
        <v>1421</v>
      </c>
      <c r="H10" s="12">
        <v>1763</v>
      </c>
      <c r="I10" s="17" t="s">
        <v>456</v>
      </c>
      <c r="J10" s="18">
        <v>147</v>
      </c>
      <c r="K10" s="19">
        <f t="shared" si="0"/>
        <v>1313.6606999999999</v>
      </c>
      <c r="L10" s="14"/>
      <c r="M10" s="15">
        <v>120.63</v>
      </c>
      <c r="N10" s="15">
        <v>10.89</v>
      </c>
    </row>
    <row r="11" spans="1:14" s="15" customFormat="1" ht="20.25" customHeight="1" x14ac:dyDescent="0.15">
      <c r="A11" s="60" t="s">
        <v>457</v>
      </c>
      <c r="B11" s="9" t="s">
        <v>131</v>
      </c>
      <c r="C11" s="58" t="s">
        <v>29</v>
      </c>
      <c r="D11" s="11" t="s">
        <v>155</v>
      </c>
      <c r="E11" s="10">
        <v>22</v>
      </c>
      <c r="F11" s="58" t="s">
        <v>11</v>
      </c>
      <c r="G11" s="12">
        <v>1723</v>
      </c>
      <c r="H11" s="12">
        <v>1763</v>
      </c>
      <c r="I11" s="17" t="s">
        <v>458</v>
      </c>
      <c r="J11" s="18">
        <v>112</v>
      </c>
      <c r="K11" s="19">
        <f t="shared" si="0"/>
        <v>1723.8870000000002</v>
      </c>
      <c r="L11" s="14"/>
      <c r="M11" s="15">
        <v>158.30000000000001</v>
      </c>
      <c r="N11" s="15">
        <v>10.89</v>
      </c>
    </row>
    <row r="12" spans="1:14" s="15" customFormat="1" ht="20.25" customHeight="1" x14ac:dyDescent="0.15">
      <c r="A12" s="60" t="s">
        <v>459</v>
      </c>
      <c r="B12" s="9" t="s">
        <v>127</v>
      </c>
      <c r="C12" s="58" t="s">
        <v>29</v>
      </c>
      <c r="D12" s="11" t="s">
        <v>460</v>
      </c>
      <c r="E12" s="10">
        <v>28</v>
      </c>
      <c r="F12" s="58" t="s">
        <v>11</v>
      </c>
      <c r="G12" s="12">
        <v>985</v>
      </c>
      <c r="H12" s="12">
        <v>235</v>
      </c>
      <c r="I12" s="17" t="s">
        <v>170</v>
      </c>
      <c r="J12" s="18">
        <v>4</v>
      </c>
      <c r="K12" s="19">
        <f t="shared" si="0"/>
        <v>56.410200000000003</v>
      </c>
      <c r="L12" s="14"/>
      <c r="M12" s="15">
        <v>5.18</v>
      </c>
      <c r="N12" s="15">
        <v>10.89</v>
      </c>
    </row>
    <row r="13" spans="1:14" s="15" customFormat="1" ht="20.25" customHeight="1" x14ac:dyDescent="0.15">
      <c r="A13" s="60"/>
      <c r="B13" s="9"/>
      <c r="C13" s="58"/>
      <c r="D13" s="11"/>
      <c r="E13" s="10"/>
      <c r="F13" s="58"/>
      <c r="G13" s="12"/>
      <c r="H13" s="12"/>
      <c r="I13" s="17"/>
      <c r="J13" s="18"/>
      <c r="K13" s="19">
        <f t="shared" si="0"/>
        <v>0</v>
      </c>
      <c r="L13" s="14"/>
      <c r="N13" s="15">
        <v>10.89</v>
      </c>
    </row>
    <row r="14" spans="1:14" s="15" customFormat="1" ht="20.25" customHeight="1" x14ac:dyDescent="0.15">
      <c r="A14" s="60"/>
      <c r="B14" s="9"/>
      <c r="C14" s="58"/>
      <c r="D14" s="11"/>
      <c r="E14" s="10"/>
      <c r="F14" s="58"/>
      <c r="G14" s="12"/>
      <c r="H14" s="12"/>
      <c r="I14" s="17"/>
      <c r="J14" s="18"/>
      <c r="K14" s="19">
        <f t="shared" si="0"/>
        <v>0</v>
      </c>
      <c r="L14" s="20"/>
      <c r="N14" s="15">
        <v>10.89</v>
      </c>
    </row>
    <row r="15" spans="1:14" s="15" customFormat="1" ht="20.25" customHeight="1" x14ac:dyDescent="0.15">
      <c r="A15" s="60"/>
      <c r="B15" s="9"/>
      <c r="C15" s="58"/>
      <c r="D15" s="11"/>
      <c r="E15" s="10"/>
      <c r="F15" s="58"/>
      <c r="G15" s="12"/>
      <c r="H15" s="12"/>
      <c r="I15" s="17"/>
      <c r="J15" s="18"/>
      <c r="K15" s="19">
        <f t="shared" si="0"/>
        <v>0</v>
      </c>
      <c r="L15" s="20"/>
      <c r="N15" s="15">
        <v>10.89</v>
      </c>
    </row>
    <row r="16" spans="1:14" s="15" customFormat="1" ht="20.25" customHeight="1" x14ac:dyDescent="0.15">
      <c r="A16" s="60"/>
      <c r="B16" s="9"/>
      <c r="C16" s="58"/>
      <c r="D16" s="11"/>
      <c r="E16" s="10"/>
      <c r="F16" s="58"/>
      <c r="G16" s="12"/>
      <c r="H16" s="12"/>
      <c r="I16" s="17"/>
      <c r="J16" s="18"/>
      <c r="K16" s="19">
        <f t="shared" si="0"/>
        <v>0</v>
      </c>
      <c r="L16" s="20"/>
      <c r="N16" s="15">
        <v>10.89</v>
      </c>
    </row>
    <row r="17" spans="1:14" s="15" customFormat="1" ht="20.25" customHeight="1" x14ac:dyDescent="0.15">
      <c r="A17" s="60"/>
      <c r="B17" s="9"/>
      <c r="C17" s="58"/>
      <c r="D17" s="11"/>
      <c r="E17" s="10"/>
      <c r="F17" s="58"/>
      <c r="G17" s="12"/>
      <c r="H17" s="12"/>
      <c r="I17" s="17"/>
      <c r="J17" s="18"/>
      <c r="K17" s="19">
        <f t="shared" si="0"/>
        <v>0</v>
      </c>
      <c r="L17" s="20"/>
      <c r="N17" s="15">
        <v>10.89</v>
      </c>
    </row>
    <row r="18" spans="1:14" s="15" customFormat="1" ht="20.25" customHeight="1" x14ac:dyDescent="0.15">
      <c r="A18" s="60"/>
      <c r="B18" s="9"/>
      <c r="C18" s="58"/>
      <c r="D18" s="11"/>
      <c r="E18" s="10"/>
      <c r="F18" s="58"/>
      <c r="G18" s="12"/>
      <c r="H18" s="12"/>
      <c r="I18" s="17"/>
      <c r="J18" s="18"/>
      <c r="K18" s="19">
        <f t="shared" si="0"/>
        <v>0</v>
      </c>
      <c r="L18" s="20"/>
      <c r="N18" s="15">
        <v>10.89</v>
      </c>
    </row>
    <row r="19" spans="1:14" s="15" customFormat="1" ht="20.25" customHeight="1" x14ac:dyDescent="0.15">
      <c r="A19" s="60"/>
      <c r="B19" s="9"/>
      <c r="C19" s="58"/>
      <c r="D19" s="11"/>
      <c r="E19" s="10"/>
      <c r="F19" s="58"/>
      <c r="G19" s="12"/>
      <c r="H19" s="12"/>
      <c r="I19" s="17"/>
      <c r="J19" s="18"/>
      <c r="K19" s="19">
        <f t="shared" si="0"/>
        <v>0</v>
      </c>
      <c r="L19" s="20"/>
      <c r="N19" s="15">
        <v>10.89</v>
      </c>
    </row>
    <row r="20" spans="1:14" s="15" customFormat="1" ht="20.25" customHeight="1" x14ac:dyDescent="0.15">
      <c r="A20" s="60"/>
      <c r="B20" s="9"/>
      <c r="C20" s="58"/>
      <c r="D20" s="11"/>
      <c r="E20" s="10"/>
      <c r="F20" s="58"/>
      <c r="G20" s="12"/>
      <c r="H20" s="12"/>
      <c r="I20" s="17"/>
      <c r="J20" s="18"/>
      <c r="K20" s="19">
        <f t="shared" si="0"/>
        <v>0</v>
      </c>
      <c r="L20" s="20"/>
      <c r="N20" s="15">
        <v>10.89</v>
      </c>
    </row>
    <row r="21" spans="1:14" s="15" customFormat="1" ht="20.25" customHeight="1" x14ac:dyDescent="0.15">
      <c r="A21" s="60"/>
      <c r="B21" s="9"/>
      <c r="C21" s="58"/>
      <c r="D21" s="11"/>
      <c r="E21" s="10"/>
      <c r="F21" s="58"/>
      <c r="G21" s="50"/>
      <c r="H21" s="50"/>
      <c r="I21" s="17"/>
      <c r="J21" s="18"/>
      <c r="K21" s="19">
        <f t="shared" si="0"/>
        <v>0</v>
      </c>
      <c r="L21" s="20"/>
      <c r="N21" s="15">
        <v>10.89</v>
      </c>
    </row>
    <row r="22" spans="1:14" s="15" customFormat="1" ht="20.25" customHeight="1" x14ac:dyDescent="0.15">
      <c r="A22" s="60"/>
      <c r="B22" s="9"/>
      <c r="C22" s="58"/>
      <c r="D22" s="11"/>
      <c r="E22" s="10"/>
      <c r="F22" s="58"/>
      <c r="G22" s="50"/>
      <c r="H22" s="50"/>
      <c r="I22" s="17"/>
      <c r="J22" s="18"/>
      <c r="K22" s="19">
        <f t="shared" si="0"/>
        <v>0</v>
      </c>
      <c r="L22" s="20"/>
      <c r="N22" s="15">
        <v>10.89</v>
      </c>
    </row>
    <row r="23" spans="1:14" ht="20.25" customHeight="1" x14ac:dyDescent="0.15">
      <c r="A23" s="60"/>
      <c r="B23" s="9"/>
      <c r="C23" s="58"/>
      <c r="D23" s="11"/>
      <c r="E23" s="10"/>
      <c r="F23" s="58"/>
      <c r="G23" s="16"/>
      <c r="H23" s="16"/>
      <c r="I23" s="17"/>
      <c r="J23" s="18"/>
      <c r="K23" s="19">
        <f t="shared" si="0"/>
        <v>0</v>
      </c>
      <c r="L23" s="20"/>
      <c r="N23" s="15">
        <v>10.89</v>
      </c>
    </row>
    <row r="24" spans="1:14" ht="20.25" customHeight="1" thickBot="1" x14ac:dyDescent="0.2">
      <c r="A24" s="56"/>
      <c r="B24" s="21"/>
      <c r="C24" s="59"/>
      <c r="D24" s="22"/>
      <c r="E24" s="23"/>
      <c r="F24" s="23"/>
      <c r="G24" s="24"/>
      <c r="H24" s="24"/>
      <c r="I24" s="25"/>
      <c r="J24" s="46">
        <f>SUM(J8:J23)</f>
        <v>525</v>
      </c>
      <c r="K24" s="47">
        <f>SUM(K8:K23)</f>
        <v>5559.9984000000004</v>
      </c>
      <c r="L24" s="26"/>
    </row>
    <row r="25" spans="1:14" ht="20.25" customHeight="1" thickTop="1" x14ac:dyDescent="0.15">
      <c r="A25" s="60" t="s">
        <v>449</v>
      </c>
      <c r="B25" s="9" t="s">
        <v>184</v>
      </c>
      <c r="C25" s="58" t="s">
        <v>29</v>
      </c>
      <c r="D25" s="11" t="s">
        <v>195</v>
      </c>
      <c r="E25" s="10">
        <v>22</v>
      </c>
      <c r="F25" s="10"/>
      <c r="G25" s="12">
        <v>751</v>
      </c>
      <c r="H25" s="12">
        <v>947</v>
      </c>
      <c r="I25" s="17" t="s">
        <v>461</v>
      </c>
      <c r="J25" s="18">
        <v>95</v>
      </c>
      <c r="K25" s="19">
        <f t="shared" ref="K25:K40" si="1">+M25*N25</f>
        <v>451.39050000000003</v>
      </c>
      <c r="L25" s="54"/>
      <c r="M25" s="3">
        <v>41.45</v>
      </c>
      <c r="N25" s="15">
        <v>10.89</v>
      </c>
    </row>
    <row r="26" spans="1:14" ht="20.25" customHeight="1" x14ac:dyDescent="0.15">
      <c r="A26" s="60" t="s">
        <v>462</v>
      </c>
      <c r="B26" s="9" t="s">
        <v>184</v>
      </c>
      <c r="C26" s="58" t="s">
        <v>29</v>
      </c>
      <c r="D26" s="11" t="s">
        <v>201</v>
      </c>
      <c r="E26" s="10">
        <v>22</v>
      </c>
      <c r="F26" s="10"/>
      <c r="G26" s="12">
        <v>1716</v>
      </c>
      <c r="H26" s="12">
        <v>1817</v>
      </c>
      <c r="I26" s="17" t="s">
        <v>463</v>
      </c>
      <c r="J26" s="18">
        <v>163</v>
      </c>
      <c r="K26" s="19">
        <f t="shared" si="1"/>
        <v>1359.5076000000001</v>
      </c>
      <c r="L26" s="54"/>
      <c r="M26" s="3">
        <v>124.84</v>
      </c>
      <c r="N26" s="15">
        <v>10.89</v>
      </c>
    </row>
    <row r="27" spans="1:14" ht="20.25" customHeight="1" x14ac:dyDescent="0.15">
      <c r="A27" s="61"/>
      <c r="B27" s="9"/>
      <c r="C27" s="58" t="s">
        <v>29</v>
      </c>
      <c r="D27" s="11" t="s">
        <v>195</v>
      </c>
      <c r="E27" s="10">
        <v>22</v>
      </c>
      <c r="F27" s="10"/>
      <c r="G27" s="12">
        <v>1716</v>
      </c>
      <c r="H27" s="12">
        <v>1817</v>
      </c>
      <c r="I27" s="17" t="s">
        <v>464</v>
      </c>
      <c r="J27" s="18">
        <v>135</v>
      </c>
      <c r="K27" s="19">
        <f t="shared" si="1"/>
        <v>1156.518</v>
      </c>
      <c r="L27" s="54"/>
      <c r="M27" s="3">
        <v>106.2</v>
      </c>
      <c r="N27" s="15">
        <v>10.89</v>
      </c>
    </row>
    <row r="28" spans="1:14" ht="20.25" customHeight="1" x14ac:dyDescent="0.15">
      <c r="A28" s="61" t="s">
        <v>465</v>
      </c>
      <c r="B28" s="9" t="s">
        <v>184</v>
      </c>
      <c r="C28" s="58" t="s">
        <v>29</v>
      </c>
      <c r="D28" s="11" t="s">
        <v>201</v>
      </c>
      <c r="E28" s="10">
        <v>22</v>
      </c>
      <c r="F28" s="10"/>
      <c r="G28" s="12">
        <v>1716</v>
      </c>
      <c r="H28" s="12">
        <v>1817</v>
      </c>
      <c r="I28" s="17" t="s">
        <v>450</v>
      </c>
      <c r="J28" s="18">
        <v>180</v>
      </c>
      <c r="K28" s="19">
        <f t="shared" si="1"/>
        <v>1495.1970000000001</v>
      </c>
      <c r="L28" s="54"/>
      <c r="M28" s="3">
        <v>137.30000000000001</v>
      </c>
      <c r="N28" s="15">
        <v>10.89</v>
      </c>
    </row>
    <row r="29" spans="1:14" ht="20.25" customHeight="1" x14ac:dyDescent="0.15">
      <c r="A29" s="61"/>
      <c r="B29" s="9"/>
      <c r="C29" s="58" t="s">
        <v>29</v>
      </c>
      <c r="D29" s="11" t="s">
        <v>195</v>
      </c>
      <c r="E29" s="10">
        <v>22</v>
      </c>
      <c r="F29" s="10"/>
      <c r="G29" s="12">
        <v>1716</v>
      </c>
      <c r="H29" s="12">
        <v>1817</v>
      </c>
      <c r="I29" s="17" t="s">
        <v>466</v>
      </c>
      <c r="J29" s="18">
        <v>150</v>
      </c>
      <c r="K29" s="19">
        <f t="shared" si="1"/>
        <v>1285.02</v>
      </c>
      <c r="L29" s="54"/>
      <c r="M29" s="3">
        <v>118</v>
      </c>
      <c r="N29" s="15">
        <v>10.89</v>
      </c>
    </row>
    <row r="30" spans="1:14" ht="20.25" customHeight="1" x14ac:dyDescent="0.15">
      <c r="A30" s="61" t="s">
        <v>467</v>
      </c>
      <c r="B30" s="9" t="s">
        <v>184</v>
      </c>
      <c r="C30" s="58" t="s">
        <v>29</v>
      </c>
      <c r="D30" s="11" t="s">
        <v>195</v>
      </c>
      <c r="E30" s="10">
        <v>22</v>
      </c>
      <c r="F30" s="10"/>
      <c r="G30" s="12">
        <v>1716</v>
      </c>
      <c r="H30" s="12">
        <v>1817</v>
      </c>
      <c r="I30" s="51" t="s">
        <v>468</v>
      </c>
      <c r="J30" s="52">
        <v>27</v>
      </c>
      <c r="K30" s="53">
        <f t="shared" si="1"/>
        <v>576.29880000000003</v>
      </c>
      <c r="L30" s="54"/>
      <c r="M30" s="3">
        <v>52.92</v>
      </c>
      <c r="N30" s="15">
        <v>10.89</v>
      </c>
    </row>
    <row r="31" spans="1:14" ht="20.25" customHeight="1" x14ac:dyDescent="0.15">
      <c r="A31" s="61"/>
      <c r="B31" s="9"/>
      <c r="C31" s="58"/>
      <c r="D31" s="11"/>
      <c r="E31" s="10"/>
      <c r="F31" s="10"/>
      <c r="G31" s="12"/>
      <c r="H31" s="12"/>
      <c r="I31" s="51"/>
      <c r="J31" s="52"/>
      <c r="K31" s="53">
        <f t="shared" si="1"/>
        <v>0</v>
      </c>
      <c r="L31" s="54"/>
      <c r="N31" s="15">
        <v>10.89</v>
      </c>
    </row>
    <row r="32" spans="1:14" ht="20.25" customHeight="1" x14ac:dyDescent="0.15">
      <c r="A32" s="60"/>
      <c r="B32" s="9"/>
      <c r="C32" s="58"/>
      <c r="D32" s="11"/>
      <c r="E32" s="10"/>
      <c r="F32" s="10"/>
      <c r="G32" s="12"/>
      <c r="H32" s="12"/>
      <c r="I32" s="17"/>
      <c r="J32" s="18"/>
      <c r="K32" s="19">
        <f t="shared" si="1"/>
        <v>0</v>
      </c>
      <c r="L32" s="27"/>
      <c r="N32" s="15">
        <v>10.89</v>
      </c>
    </row>
    <row r="33" spans="1:14" ht="20.25" customHeight="1" x14ac:dyDescent="0.15">
      <c r="A33" s="60"/>
      <c r="B33" s="9"/>
      <c r="C33" s="58"/>
      <c r="D33" s="11"/>
      <c r="E33" s="10"/>
      <c r="F33" s="10"/>
      <c r="G33" s="12"/>
      <c r="H33" s="12"/>
      <c r="I33" s="17"/>
      <c r="J33" s="18"/>
      <c r="K33" s="19">
        <f t="shared" si="1"/>
        <v>0</v>
      </c>
      <c r="L33" s="27"/>
      <c r="N33" s="15">
        <v>10.89</v>
      </c>
    </row>
    <row r="34" spans="1:14" ht="20.25" customHeight="1" x14ac:dyDescent="0.15">
      <c r="A34" s="60"/>
      <c r="B34" s="9"/>
      <c r="C34" s="58"/>
      <c r="D34" s="11"/>
      <c r="E34" s="10"/>
      <c r="F34" s="10"/>
      <c r="G34" s="12"/>
      <c r="H34" s="12"/>
      <c r="I34" s="17"/>
      <c r="J34" s="18"/>
      <c r="K34" s="19">
        <f t="shared" si="1"/>
        <v>0</v>
      </c>
      <c r="L34" s="27"/>
      <c r="N34" s="15">
        <v>10.89</v>
      </c>
    </row>
    <row r="35" spans="1:14" ht="20.25" customHeight="1" x14ac:dyDescent="0.15">
      <c r="A35" s="60"/>
      <c r="B35" s="9"/>
      <c r="C35" s="58"/>
      <c r="D35" s="11"/>
      <c r="E35" s="10"/>
      <c r="F35" s="10"/>
      <c r="G35" s="12"/>
      <c r="H35" s="12"/>
      <c r="I35" s="17"/>
      <c r="J35" s="18"/>
      <c r="K35" s="19">
        <f t="shared" si="1"/>
        <v>0</v>
      </c>
      <c r="L35" s="27"/>
      <c r="N35" s="15">
        <v>10.89</v>
      </c>
    </row>
    <row r="36" spans="1:14" ht="20.25" customHeight="1" x14ac:dyDescent="0.15">
      <c r="A36" s="60"/>
      <c r="B36" s="9"/>
      <c r="C36" s="58"/>
      <c r="D36" s="11"/>
      <c r="E36" s="10"/>
      <c r="F36" s="10"/>
      <c r="G36" s="12"/>
      <c r="H36" s="12"/>
      <c r="I36" s="17"/>
      <c r="J36" s="18"/>
      <c r="K36" s="19">
        <f t="shared" si="1"/>
        <v>0</v>
      </c>
      <c r="L36" s="27"/>
      <c r="N36" s="15">
        <v>10.89</v>
      </c>
    </row>
    <row r="37" spans="1:14" ht="20.25" customHeight="1" x14ac:dyDescent="0.15">
      <c r="A37" s="60"/>
      <c r="B37" s="9"/>
      <c r="C37" s="58"/>
      <c r="D37" s="11"/>
      <c r="E37" s="10"/>
      <c r="F37" s="10"/>
      <c r="G37" s="12"/>
      <c r="H37" s="12"/>
      <c r="I37" s="17"/>
      <c r="J37" s="18"/>
      <c r="K37" s="19">
        <f t="shared" si="1"/>
        <v>0</v>
      </c>
      <c r="L37" s="27"/>
      <c r="N37" s="15">
        <v>10.89</v>
      </c>
    </row>
    <row r="38" spans="1:14" ht="20.25" customHeight="1" x14ac:dyDescent="0.15">
      <c r="A38" s="60"/>
      <c r="B38" s="9"/>
      <c r="C38" s="58"/>
      <c r="D38" s="11"/>
      <c r="E38" s="10"/>
      <c r="F38" s="10"/>
      <c r="G38" s="12"/>
      <c r="H38" s="12"/>
      <c r="I38" s="17"/>
      <c r="J38" s="18"/>
      <c r="K38" s="19">
        <f t="shared" si="1"/>
        <v>0</v>
      </c>
      <c r="L38" s="27"/>
      <c r="N38" s="15">
        <v>10.89</v>
      </c>
    </row>
    <row r="39" spans="1:14" ht="20.25" customHeight="1" x14ac:dyDescent="0.15">
      <c r="A39" s="60"/>
      <c r="B39" s="9"/>
      <c r="C39" s="58"/>
      <c r="D39" s="11"/>
      <c r="E39" s="10"/>
      <c r="F39" s="10"/>
      <c r="G39" s="12"/>
      <c r="H39" s="12"/>
      <c r="I39" s="17"/>
      <c r="J39" s="18"/>
      <c r="K39" s="19">
        <f t="shared" si="1"/>
        <v>0</v>
      </c>
      <c r="L39" s="27"/>
      <c r="N39" s="15">
        <v>10.89</v>
      </c>
    </row>
    <row r="40" spans="1:14" ht="20.25" customHeight="1" x14ac:dyDescent="0.15">
      <c r="A40" s="60"/>
      <c r="B40" s="9"/>
      <c r="C40" s="58"/>
      <c r="D40" s="11"/>
      <c r="E40" s="10"/>
      <c r="F40" s="10"/>
      <c r="G40" s="12"/>
      <c r="H40" s="12"/>
      <c r="I40" s="17"/>
      <c r="J40" s="18"/>
      <c r="K40" s="19">
        <f t="shared" si="1"/>
        <v>0</v>
      </c>
      <c r="L40" s="27"/>
      <c r="N40" s="15">
        <v>10.89</v>
      </c>
    </row>
    <row r="41" spans="1:14" ht="20.25" customHeight="1" x14ac:dyDescent="0.15">
      <c r="A41" s="57"/>
      <c r="B41" s="28"/>
      <c r="C41" s="10"/>
      <c r="D41" s="29"/>
      <c r="E41" s="30"/>
      <c r="F41" s="30"/>
      <c r="G41" s="30"/>
      <c r="H41" s="30"/>
      <c r="I41" s="13"/>
      <c r="J41" s="48">
        <f>SUM(J25:J40)</f>
        <v>750</v>
      </c>
      <c r="K41" s="49">
        <f>SUM(K25:K40)</f>
        <v>6323.9319000000014</v>
      </c>
      <c r="L41" s="31"/>
      <c r="N41" s="32"/>
    </row>
    <row r="42" spans="1:14" ht="20.25" customHeight="1" thickBot="1" x14ac:dyDescent="0.2">
      <c r="A42" s="55"/>
      <c r="B42" s="33"/>
      <c r="C42" s="33"/>
      <c r="D42" s="33"/>
      <c r="E42" s="33"/>
      <c r="F42" s="33"/>
      <c r="G42" s="33"/>
      <c r="H42" s="33"/>
      <c r="I42" s="33"/>
      <c r="J42" s="34"/>
      <c r="K42" s="35"/>
      <c r="L42" s="36"/>
    </row>
    <row r="43" spans="1:14" ht="20.25" customHeight="1" thickBot="1" x14ac:dyDescent="0.2">
      <c r="A43" s="37" t="s">
        <v>19</v>
      </c>
      <c r="B43" s="38" t="s">
        <v>20</v>
      </c>
      <c r="C43" s="77" t="s">
        <v>21</v>
      </c>
      <c r="D43" s="79"/>
      <c r="E43" s="77" t="s">
        <v>22</v>
      </c>
      <c r="F43" s="78"/>
      <c r="G43" s="79"/>
      <c r="H43" s="85" t="s">
        <v>23</v>
      </c>
      <c r="I43" s="86"/>
      <c r="J43" s="77" t="s">
        <v>24</v>
      </c>
      <c r="K43" s="79"/>
      <c r="L43" s="39" t="s">
        <v>13</v>
      </c>
    </row>
    <row r="44" spans="1:14" ht="20.25" customHeight="1" thickBot="1" x14ac:dyDescent="0.2">
      <c r="A44" s="40">
        <f>SUMIF($C$8:$C$42,"U1",$J$8:$J$42)</f>
        <v>0</v>
      </c>
      <c r="B44" s="41">
        <f>SUMIF($C$8:$C$42,"U2",$J$8:$J$42)</f>
        <v>0</v>
      </c>
      <c r="C44" s="77">
        <f>SUMIF($C$8:$C$42,"U3-1",$J$8:$J$42)</f>
        <v>0</v>
      </c>
      <c r="D44" s="79"/>
      <c r="E44" s="77">
        <f>SUMIF($C$8:$C$42,"U3",$J$8:$J$42)</f>
        <v>1275</v>
      </c>
      <c r="F44" s="78"/>
      <c r="G44" s="79"/>
      <c r="H44" s="77">
        <f>SUMIF($C$8:$C$42,"E5",$J$8:$J$42)</f>
        <v>0</v>
      </c>
      <c r="I44" s="79"/>
      <c r="J44" s="77">
        <f>SUM(A44:I44)</f>
        <v>1275</v>
      </c>
      <c r="K44" s="79"/>
      <c r="L44" s="42"/>
    </row>
    <row r="45" spans="1:14" ht="20.25" customHeight="1" thickBot="1" x14ac:dyDescent="0.2">
      <c r="A45" s="43" t="s">
        <v>25</v>
      </c>
      <c r="B45" s="44" t="s">
        <v>26</v>
      </c>
      <c r="C45" s="75">
        <v>13876</v>
      </c>
      <c r="D45" s="76"/>
      <c r="E45" s="77" t="s">
        <v>27</v>
      </c>
      <c r="F45" s="78"/>
      <c r="G45" s="78"/>
      <c r="H45" s="78"/>
      <c r="I45" s="79"/>
      <c r="J45" s="80">
        <v>146744.37</v>
      </c>
      <c r="K45" s="81"/>
      <c r="L45" s="82"/>
    </row>
    <row r="47" spans="1:14" x14ac:dyDescent="0.15">
      <c r="D47" s="45"/>
    </row>
  </sheetData>
  <mergeCells count="26">
    <mergeCell ref="L2:L4"/>
    <mergeCell ref="A1:G3"/>
    <mergeCell ref="H1:H4"/>
    <mergeCell ref="I2:I4"/>
    <mergeCell ref="J2:J4"/>
    <mergeCell ref="K2:K4"/>
    <mergeCell ref="B5:G5"/>
    <mergeCell ref="A6:A7"/>
    <mergeCell ref="B6:B7"/>
    <mergeCell ref="C6:C7"/>
    <mergeCell ref="D6:D7"/>
    <mergeCell ref="E6:E7"/>
    <mergeCell ref="F6:F7"/>
    <mergeCell ref="G6:K6"/>
    <mergeCell ref="C45:D45"/>
    <mergeCell ref="E45:I45"/>
    <mergeCell ref="J45:L45"/>
    <mergeCell ref="L6:L7"/>
    <mergeCell ref="C43:D43"/>
    <mergeCell ref="E43:G43"/>
    <mergeCell ref="H43:I43"/>
    <mergeCell ref="J43:K43"/>
    <mergeCell ref="C44:D44"/>
    <mergeCell ref="E44:G44"/>
    <mergeCell ref="H44:I44"/>
    <mergeCell ref="J44:K44"/>
  </mergeCells>
  <phoneticPr fontId="2" type="noConversion"/>
  <printOptions horizontalCentered="1"/>
  <pageMargins left="0.39370078740157483" right="0.39370078740157483" top="0.74803149606299213" bottom="0.19685039370078741" header="0.31496062992125984" footer="0.15748031496062992"/>
  <pageSetup paperSize="9" scale="84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N47"/>
  <sheetViews>
    <sheetView view="pageBreakPreview" topLeftCell="A10" zoomScaleSheetLayoutView="100" workbookViewId="0">
      <selection activeCell="D11" sqref="D11:E11"/>
    </sheetView>
  </sheetViews>
  <sheetFormatPr defaultColWidth="8.88671875" defaultRowHeight="13.5" x14ac:dyDescent="0.15"/>
  <cols>
    <col min="1" max="1" width="8.44140625" style="3" customWidth="1"/>
    <col min="2" max="2" width="14.77734375" style="3" customWidth="1"/>
    <col min="3" max="3" width="4.109375" style="3" customWidth="1"/>
    <col min="4" max="4" width="15.21875" style="3" customWidth="1"/>
    <col min="5" max="5" width="4.44140625" style="3" customWidth="1"/>
    <col min="6" max="6" width="4" style="3" customWidth="1"/>
    <col min="7" max="7" width="5.5546875" style="3" customWidth="1"/>
    <col min="8" max="8" width="5.44140625" style="3" customWidth="1"/>
    <col min="9" max="9" width="7.88671875" style="3" customWidth="1"/>
    <col min="10" max="10" width="7.109375" style="3" customWidth="1"/>
    <col min="11" max="11" width="7.21875" style="3" customWidth="1"/>
    <col min="12" max="12" width="6.77734375" style="3" customWidth="1"/>
    <col min="13" max="16384" width="8.88671875" style="3"/>
  </cols>
  <sheetData>
    <row r="1" spans="1:14" ht="18.75" customHeight="1" x14ac:dyDescent="0.15">
      <c r="A1" s="101" t="s">
        <v>0</v>
      </c>
      <c r="B1" s="102"/>
      <c r="C1" s="102"/>
      <c r="D1" s="102"/>
      <c r="E1" s="102"/>
      <c r="F1" s="102"/>
      <c r="G1" s="103"/>
      <c r="H1" s="107" t="s">
        <v>1</v>
      </c>
      <c r="I1" s="1" t="s">
        <v>2</v>
      </c>
      <c r="J1" s="1" t="s">
        <v>2</v>
      </c>
      <c r="K1" s="1" t="s">
        <v>3</v>
      </c>
      <c r="L1" s="2" t="s">
        <v>4</v>
      </c>
    </row>
    <row r="2" spans="1:14" ht="13.5" customHeight="1" x14ac:dyDescent="0.15">
      <c r="A2" s="104"/>
      <c r="B2" s="105"/>
      <c r="C2" s="105"/>
      <c r="D2" s="105"/>
      <c r="E2" s="105"/>
      <c r="F2" s="105"/>
      <c r="G2" s="106"/>
      <c r="H2" s="108"/>
      <c r="I2" s="110"/>
      <c r="J2" s="110"/>
      <c r="K2" s="110"/>
      <c r="L2" s="98"/>
    </row>
    <row r="3" spans="1:14" ht="13.5" customHeight="1" x14ac:dyDescent="0.15">
      <c r="A3" s="104"/>
      <c r="B3" s="105"/>
      <c r="C3" s="105"/>
      <c r="D3" s="105"/>
      <c r="E3" s="105"/>
      <c r="F3" s="105"/>
      <c r="G3" s="106"/>
      <c r="H3" s="108"/>
      <c r="I3" s="108"/>
      <c r="J3" s="108"/>
      <c r="K3" s="108"/>
      <c r="L3" s="99"/>
    </row>
    <row r="4" spans="1:14" ht="33" customHeight="1" x14ac:dyDescent="0.15">
      <c r="A4" s="4"/>
      <c r="B4" s="5"/>
      <c r="C4" s="5"/>
      <c r="D4" s="5"/>
      <c r="E4" s="5"/>
      <c r="F4" s="5"/>
      <c r="G4" s="5"/>
      <c r="H4" s="109"/>
      <c r="I4" s="109"/>
      <c r="J4" s="109"/>
      <c r="K4" s="109"/>
      <c r="L4" s="100"/>
    </row>
    <row r="5" spans="1:14" ht="17.25" customHeight="1" x14ac:dyDescent="0.15">
      <c r="A5" s="6" t="s">
        <v>5</v>
      </c>
      <c r="B5" s="87">
        <v>46036</v>
      </c>
      <c r="C5" s="88"/>
      <c r="D5" s="88"/>
      <c r="E5" s="88"/>
      <c r="F5" s="88"/>
      <c r="G5" s="88"/>
      <c r="H5" s="5"/>
      <c r="I5" s="5"/>
      <c r="J5" s="5"/>
      <c r="K5" s="5"/>
      <c r="L5" s="7"/>
    </row>
    <row r="6" spans="1:14" ht="13.5" customHeight="1" x14ac:dyDescent="0.15">
      <c r="A6" s="89" t="s">
        <v>6</v>
      </c>
      <c r="B6" s="91" t="s">
        <v>7</v>
      </c>
      <c r="C6" s="91" t="s">
        <v>8</v>
      </c>
      <c r="D6" s="91" t="s">
        <v>9</v>
      </c>
      <c r="E6" s="93" t="s">
        <v>10</v>
      </c>
      <c r="F6" s="93" t="s">
        <v>11</v>
      </c>
      <c r="G6" s="95" t="s">
        <v>12</v>
      </c>
      <c r="H6" s="96"/>
      <c r="I6" s="96"/>
      <c r="J6" s="96"/>
      <c r="K6" s="97"/>
      <c r="L6" s="83" t="s">
        <v>13</v>
      </c>
    </row>
    <row r="7" spans="1:14" x14ac:dyDescent="0.15">
      <c r="A7" s="90"/>
      <c r="B7" s="92"/>
      <c r="C7" s="92"/>
      <c r="D7" s="92"/>
      <c r="E7" s="94"/>
      <c r="F7" s="94"/>
      <c r="G7" s="8" t="s">
        <v>14</v>
      </c>
      <c r="H7" s="8" t="s">
        <v>15</v>
      </c>
      <c r="I7" s="8" t="s">
        <v>16</v>
      </c>
      <c r="J7" s="8" t="s">
        <v>17</v>
      </c>
      <c r="K7" s="8" t="s">
        <v>18</v>
      </c>
      <c r="L7" s="84"/>
    </row>
    <row r="8" spans="1:14" s="15" customFormat="1" ht="20.25" customHeight="1" x14ac:dyDescent="0.15">
      <c r="A8" s="60" t="s">
        <v>469</v>
      </c>
      <c r="B8" s="9" t="s">
        <v>138</v>
      </c>
      <c r="C8" s="58" t="s">
        <v>29</v>
      </c>
      <c r="D8" s="11" t="s">
        <v>372</v>
      </c>
      <c r="E8" s="10">
        <v>24</v>
      </c>
      <c r="F8" s="58"/>
      <c r="G8" s="12">
        <v>775</v>
      </c>
      <c r="H8" s="12">
        <v>1890</v>
      </c>
      <c r="I8" s="17" t="s">
        <v>470</v>
      </c>
      <c r="J8" s="18">
        <v>83</v>
      </c>
      <c r="K8" s="19">
        <f>+M8*N8</f>
        <v>801.93960000000004</v>
      </c>
      <c r="L8" s="14"/>
      <c r="M8" s="15">
        <v>73.64</v>
      </c>
      <c r="N8" s="15">
        <v>10.89</v>
      </c>
    </row>
    <row r="9" spans="1:14" s="15" customFormat="1" ht="20.25" customHeight="1" x14ac:dyDescent="0.15">
      <c r="A9" s="60"/>
      <c r="B9" s="9"/>
      <c r="C9" s="58" t="s">
        <v>29</v>
      </c>
      <c r="D9" s="11" t="s">
        <v>224</v>
      </c>
      <c r="E9" s="10">
        <v>24</v>
      </c>
      <c r="F9" s="58" t="s">
        <v>11</v>
      </c>
      <c r="G9" s="12">
        <v>618</v>
      </c>
      <c r="H9" s="12">
        <v>1890</v>
      </c>
      <c r="I9" s="17">
        <v>10</v>
      </c>
      <c r="J9" s="18">
        <v>10</v>
      </c>
      <c r="K9" s="19">
        <f t="shared" ref="K9:K23" si="0">+M9*N9</f>
        <v>127.413</v>
      </c>
      <c r="L9" s="14"/>
      <c r="M9" s="15">
        <v>11.7</v>
      </c>
      <c r="N9" s="15">
        <v>10.89</v>
      </c>
    </row>
    <row r="10" spans="1:14" s="15" customFormat="1" ht="20.25" customHeight="1" x14ac:dyDescent="0.15">
      <c r="A10" s="60" t="s">
        <v>471</v>
      </c>
      <c r="B10" s="9" t="s">
        <v>131</v>
      </c>
      <c r="C10" s="58" t="s">
        <v>29</v>
      </c>
      <c r="D10" s="11" t="s">
        <v>155</v>
      </c>
      <c r="E10" s="10">
        <v>22</v>
      </c>
      <c r="F10" s="58" t="s">
        <v>11</v>
      </c>
      <c r="G10" s="12">
        <v>764</v>
      </c>
      <c r="H10" s="12">
        <v>933</v>
      </c>
      <c r="I10" s="17" t="s">
        <v>472</v>
      </c>
      <c r="J10" s="18">
        <v>164</v>
      </c>
      <c r="K10" s="19">
        <f t="shared" si="0"/>
        <v>659.28060000000005</v>
      </c>
      <c r="L10" s="14"/>
      <c r="M10" s="15">
        <v>60.54</v>
      </c>
      <c r="N10" s="15">
        <v>10.89</v>
      </c>
    </row>
    <row r="11" spans="1:14" s="15" customFormat="1" ht="20.25" customHeight="1" x14ac:dyDescent="0.15">
      <c r="A11" s="60"/>
      <c r="B11" s="9"/>
      <c r="C11" s="58" t="s">
        <v>29</v>
      </c>
      <c r="D11" s="11" t="s">
        <v>156</v>
      </c>
      <c r="E11" s="10">
        <v>22</v>
      </c>
      <c r="F11" s="58" t="s">
        <v>11</v>
      </c>
      <c r="G11" s="12">
        <v>1723</v>
      </c>
      <c r="H11" s="12">
        <v>1763</v>
      </c>
      <c r="I11" s="17" t="s">
        <v>473</v>
      </c>
      <c r="J11" s="18">
        <v>275</v>
      </c>
      <c r="K11" s="19">
        <f t="shared" si="0"/>
        <v>2350.0620000000004</v>
      </c>
      <c r="L11" s="14"/>
      <c r="M11" s="15">
        <v>215.8</v>
      </c>
      <c r="N11" s="15">
        <v>10.89</v>
      </c>
    </row>
    <row r="12" spans="1:14" s="15" customFormat="1" ht="20.25" customHeight="1" x14ac:dyDescent="0.15">
      <c r="A12" s="60" t="s">
        <v>474</v>
      </c>
      <c r="B12" s="9" t="s">
        <v>475</v>
      </c>
      <c r="C12" s="58" t="s">
        <v>29</v>
      </c>
      <c r="D12" s="11" t="s">
        <v>476</v>
      </c>
      <c r="E12" s="10">
        <v>22</v>
      </c>
      <c r="F12" s="58"/>
      <c r="G12" s="12">
        <v>539</v>
      </c>
      <c r="H12" s="12">
        <v>404</v>
      </c>
      <c r="I12" s="17" t="s">
        <v>478</v>
      </c>
      <c r="J12" s="18">
        <v>12</v>
      </c>
      <c r="K12" s="19">
        <f t="shared" si="0"/>
        <v>84.506399999999999</v>
      </c>
      <c r="L12" s="14"/>
      <c r="M12" s="15">
        <v>7.76</v>
      </c>
      <c r="N12" s="15">
        <v>10.89</v>
      </c>
    </row>
    <row r="13" spans="1:14" s="15" customFormat="1" ht="20.25" customHeight="1" x14ac:dyDescent="0.15">
      <c r="A13" s="60"/>
      <c r="B13" s="9"/>
      <c r="C13" s="58" t="s">
        <v>29</v>
      </c>
      <c r="D13" s="11" t="s">
        <v>477</v>
      </c>
      <c r="E13" s="10">
        <v>22</v>
      </c>
      <c r="F13" s="58"/>
      <c r="G13" s="12">
        <v>610</v>
      </c>
      <c r="H13" s="12">
        <v>1353</v>
      </c>
      <c r="I13" s="17">
        <v>8</v>
      </c>
      <c r="J13" s="18">
        <v>8</v>
      </c>
      <c r="K13" s="19">
        <f t="shared" si="0"/>
        <v>72.309600000000003</v>
      </c>
      <c r="L13" s="14"/>
      <c r="M13" s="15">
        <v>6.64</v>
      </c>
      <c r="N13" s="15">
        <v>10.89</v>
      </c>
    </row>
    <row r="14" spans="1:14" s="15" customFormat="1" ht="20.25" customHeight="1" x14ac:dyDescent="0.15">
      <c r="A14" s="60"/>
      <c r="B14" s="9"/>
      <c r="C14" s="58"/>
      <c r="D14" s="11"/>
      <c r="E14" s="10"/>
      <c r="F14" s="58"/>
      <c r="G14" s="12"/>
      <c r="H14" s="12"/>
      <c r="I14" s="17"/>
      <c r="J14" s="18"/>
      <c r="K14" s="19">
        <f t="shared" si="0"/>
        <v>0</v>
      </c>
      <c r="L14" s="20"/>
      <c r="N14" s="15">
        <v>10.89</v>
      </c>
    </row>
    <row r="15" spans="1:14" s="15" customFormat="1" ht="20.25" customHeight="1" x14ac:dyDescent="0.15">
      <c r="A15" s="60"/>
      <c r="B15" s="9"/>
      <c r="C15" s="58"/>
      <c r="D15" s="11"/>
      <c r="E15" s="10"/>
      <c r="F15" s="58"/>
      <c r="G15" s="12"/>
      <c r="H15" s="12"/>
      <c r="I15" s="17"/>
      <c r="J15" s="18"/>
      <c r="K15" s="19">
        <f t="shared" si="0"/>
        <v>0</v>
      </c>
      <c r="L15" s="20"/>
      <c r="N15" s="15">
        <v>10.89</v>
      </c>
    </row>
    <row r="16" spans="1:14" s="15" customFormat="1" ht="20.25" customHeight="1" x14ac:dyDescent="0.15">
      <c r="A16" s="60"/>
      <c r="B16" s="9"/>
      <c r="C16" s="58"/>
      <c r="D16" s="11"/>
      <c r="E16" s="10"/>
      <c r="F16" s="58"/>
      <c r="G16" s="12"/>
      <c r="H16" s="12"/>
      <c r="I16" s="17"/>
      <c r="J16" s="18"/>
      <c r="K16" s="19">
        <f t="shared" si="0"/>
        <v>0</v>
      </c>
      <c r="L16" s="20"/>
      <c r="N16" s="15">
        <v>10.89</v>
      </c>
    </row>
    <row r="17" spans="1:14" s="15" customFormat="1" ht="20.25" customHeight="1" x14ac:dyDescent="0.15">
      <c r="A17" s="60"/>
      <c r="B17" s="9"/>
      <c r="C17" s="58"/>
      <c r="D17" s="11"/>
      <c r="E17" s="10"/>
      <c r="F17" s="58"/>
      <c r="G17" s="12"/>
      <c r="H17" s="12"/>
      <c r="I17" s="17"/>
      <c r="J17" s="18"/>
      <c r="K17" s="19">
        <f t="shared" si="0"/>
        <v>0</v>
      </c>
      <c r="L17" s="20"/>
      <c r="N17" s="15">
        <v>10.89</v>
      </c>
    </row>
    <row r="18" spans="1:14" s="15" customFormat="1" ht="20.25" customHeight="1" x14ac:dyDescent="0.15">
      <c r="A18" s="60"/>
      <c r="B18" s="9"/>
      <c r="C18" s="58"/>
      <c r="D18" s="11"/>
      <c r="E18" s="10"/>
      <c r="F18" s="58"/>
      <c r="G18" s="12"/>
      <c r="H18" s="12"/>
      <c r="I18" s="17"/>
      <c r="J18" s="18"/>
      <c r="K18" s="19">
        <f t="shared" si="0"/>
        <v>0</v>
      </c>
      <c r="L18" s="20"/>
      <c r="N18" s="15">
        <v>10.89</v>
      </c>
    </row>
    <row r="19" spans="1:14" s="15" customFormat="1" ht="20.25" customHeight="1" x14ac:dyDescent="0.15">
      <c r="A19" s="60"/>
      <c r="B19" s="9"/>
      <c r="C19" s="58"/>
      <c r="D19" s="11"/>
      <c r="E19" s="10"/>
      <c r="F19" s="58"/>
      <c r="G19" s="12"/>
      <c r="H19" s="12"/>
      <c r="I19" s="17"/>
      <c r="J19" s="18"/>
      <c r="K19" s="19">
        <f t="shared" si="0"/>
        <v>0</v>
      </c>
      <c r="L19" s="20"/>
      <c r="N19" s="15">
        <v>10.89</v>
      </c>
    </row>
    <row r="20" spans="1:14" s="15" customFormat="1" ht="20.25" customHeight="1" x14ac:dyDescent="0.15">
      <c r="A20" s="60"/>
      <c r="B20" s="9"/>
      <c r="C20" s="58"/>
      <c r="D20" s="11"/>
      <c r="E20" s="10"/>
      <c r="F20" s="58"/>
      <c r="G20" s="12"/>
      <c r="H20" s="12"/>
      <c r="I20" s="17"/>
      <c r="J20" s="18"/>
      <c r="K20" s="19">
        <f t="shared" si="0"/>
        <v>0</v>
      </c>
      <c r="L20" s="20"/>
      <c r="N20" s="15">
        <v>10.89</v>
      </c>
    </row>
    <row r="21" spans="1:14" s="15" customFormat="1" ht="20.25" customHeight="1" x14ac:dyDescent="0.15">
      <c r="A21" s="60"/>
      <c r="B21" s="9"/>
      <c r="C21" s="58"/>
      <c r="D21" s="11"/>
      <c r="E21" s="10"/>
      <c r="F21" s="58"/>
      <c r="G21" s="50"/>
      <c r="H21" s="50"/>
      <c r="I21" s="17"/>
      <c r="J21" s="18"/>
      <c r="K21" s="19">
        <f t="shared" si="0"/>
        <v>0</v>
      </c>
      <c r="L21" s="20"/>
      <c r="N21" s="15">
        <v>10.89</v>
      </c>
    </row>
    <row r="22" spans="1:14" s="15" customFormat="1" ht="20.25" customHeight="1" x14ac:dyDescent="0.15">
      <c r="A22" s="60"/>
      <c r="B22" s="9"/>
      <c r="C22" s="58"/>
      <c r="D22" s="11"/>
      <c r="E22" s="10"/>
      <c r="F22" s="58"/>
      <c r="G22" s="50"/>
      <c r="H22" s="50"/>
      <c r="I22" s="17"/>
      <c r="J22" s="18"/>
      <c r="K22" s="19">
        <f t="shared" si="0"/>
        <v>0</v>
      </c>
      <c r="L22" s="20"/>
      <c r="N22" s="15">
        <v>10.89</v>
      </c>
    </row>
    <row r="23" spans="1:14" ht="20.25" customHeight="1" x14ac:dyDescent="0.15">
      <c r="A23" s="60"/>
      <c r="B23" s="9"/>
      <c r="C23" s="58"/>
      <c r="D23" s="11"/>
      <c r="E23" s="10"/>
      <c r="F23" s="58"/>
      <c r="G23" s="16"/>
      <c r="H23" s="16"/>
      <c r="I23" s="17"/>
      <c r="J23" s="18"/>
      <c r="K23" s="19">
        <f t="shared" si="0"/>
        <v>0</v>
      </c>
      <c r="L23" s="20"/>
      <c r="N23" s="15">
        <v>10.89</v>
      </c>
    </row>
    <row r="24" spans="1:14" ht="20.25" customHeight="1" thickBot="1" x14ac:dyDescent="0.2">
      <c r="A24" s="56"/>
      <c r="B24" s="21"/>
      <c r="C24" s="59"/>
      <c r="D24" s="22"/>
      <c r="E24" s="23"/>
      <c r="F24" s="23"/>
      <c r="G24" s="24"/>
      <c r="H24" s="24"/>
      <c r="I24" s="25"/>
      <c r="J24" s="46">
        <f>SUM(J8:J23)</f>
        <v>552</v>
      </c>
      <c r="K24" s="47">
        <f>SUM(K8:K23)</f>
        <v>4095.5112000000008</v>
      </c>
      <c r="L24" s="26"/>
    </row>
    <row r="25" spans="1:14" ht="20.25" customHeight="1" thickTop="1" x14ac:dyDescent="0.15">
      <c r="A25" s="60" t="s">
        <v>479</v>
      </c>
      <c r="B25" s="9" t="s">
        <v>138</v>
      </c>
      <c r="C25" s="58" t="s">
        <v>29</v>
      </c>
      <c r="D25" s="11" t="s">
        <v>403</v>
      </c>
      <c r="E25" s="10">
        <v>24</v>
      </c>
      <c r="F25" s="10"/>
      <c r="G25" s="12">
        <v>1662</v>
      </c>
      <c r="H25" s="12">
        <v>1890</v>
      </c>
      <c r="I25" s="17">
        <v>10</v>
      </c>
      <c r="J25" s="18">
        <v>10</v>
      </c>
      <c r="K25" s="19">
        <f t="shared" ref="K25:K40" si="1">+M25*N25</f>
        <v>341.94600000000003</v>
      </c>
      <c r="L25" s="54"/>
      <c r="M25" s="3">
        <v>31.4</v>
      </c>
      <c r="N25" s="15">
        <v>10.89</v>
      </c>
    </row>
    <row r="26" spans="1:14" ht="20.25" customHeight="1" x14ac:dyDescent="0.15">
      <c r="A26" s="60"/>
      <c r="B26" s="9"/>
      <c r="C26" s="58" t="s">
        <v>29</v>
      </c>
      <c r="D26" s="11" t="s">
        <v>372</v>
      </c>
      <c r="E26" s="10">
        <v>24</v>
      </c>
      <c r="F26" s="10"/>
      <c r="G26" s="12">
        <v>775</v>
      </c>
      <c r="H26" s="12">
        <v>1890</v>
      </c>
      <c r="I26" s="17" t="s">
        <v>480</v>
      </c>
      <c r="J26" s="18">
        <v>80</v>
      </c>
      <c r="K26" s="19">
        <f t="shared" si="1"/>
        <v>776.45699999999999</v>
      </c>
      <c r="L26" s="54"/>
      <c r="M26" s="3">
        <v>71.3</v>
      </c>
      <c r="N26" s="15">
        <v>10.89</v>
      </c>
    </row>
    <row r="27" spans="1:14" ht="20.25" customHeight="1" x14ac:dyDescent="0.15">
      <c r="A27" s="61"/>
      <c r="B27" s="9"/>
      <c r="C27" s="58" t="s">
        <v>29</v>
      </c>
      <c r="D27" s="11" t="s">
        <v>336</v>
      </c>
      <c r="E27" s="10">
        <v>24</v>
      </c>
      <c r="F27" s="10"/>
      <c r="G27" s="12">
        <v>1662</v>
      </c>
      <c r="H27" s="12">
        <v>1890</v>
      </c>
      <c r="I27" s="17" t="s">
        <v>481</v>
      </c>
      <c r="J27" s="18">
        <v>90</v>
      </c>
      <c r="K27" s="19">
        <f t="shared" si="1"/>
        <v>1118.403</v>
      </c>
      <c r="L27" s="54"/>
      <c r="M27" s="3">
        <v>102.7</v>
      </c>
      <c r="N27" s="15">
        <v>10.89</v>
      </c>
    </row>
    <row r="28" spans="1:14" ht="20.25" customHeight="1" x14ac:dyDescent="0.15">
      <c r="A28" s="61"/>
      <c r="B28" s="9"/>
      <c r="C28" s="58" t="s">
        <v>29</v>
      </c>
      <c r="D28" s="11" t="s">
        <v>224</v>
      </c>
      <c r="E28" s="10">
        <v>22</v>
      </c>
      <c r="F28" s="10" t="s">
        <v>11</v>
      </c>
      <c r="G28" s="12">
        <v>618</v>
      </c>
      <c r="H28" s="12">
        <v>1890</v>
      </c>
      <c r="I28" s="17">
        <v>10</v>
      </c>
      <c r="J28" s="18">
        <v>10</v>
      </c>
      <c r="K28" s="19">
        <f t="shared" si="1"/>
        <v>127.413</v>
      </c>
      <c r="L28" s="54"/>
      <c r="M28" s="3">
        <v>11.7</v>
      </c>
      <c r="N28" s="15">
        <v>10.89</v>
      </c>
    </row>
    <row r="29" spans="1:14" ht="20.25" customHeight="1" x14ac:dyDescent="0.15">
      <c r="A29" s="61" t="s">
        <v>482</v>
      </c>
      <c r="B29" s="9" t="s">
        <v>184</v>
      </c>
      <c r="C29" s="58" t="s">
        <v>29</v>
      </c>
      <c r="D29" s="11" t="s">
        <v>201</v>
      </c>
      <c r="E29" s="10">
        <v>22</v>
      </c>
      <c r="F29" s="10"/>
      <c r="G29" s="12">
        <v>1716</v>
      </c>
      <c r="H29" s="12">
        <v>1817</v>
      </c>
      <c r="I29" s="17" t="s">
        <v>483</v>
      </c>
      <c r="J29" s="18">
        <v>161</v>
      </c>
      <c r="K29" s="19">
        <f t="shared" si="1"/>
        <v>1331.847</v>
      </c>
      <c r="L29" s="54"/>
      <c r="M29" s="3">
        <v>122.3</v>
      </c>
      <c r="N29" s="15">
        <v>10.89</v>
      </c>
    </row>
    <row r="30" spans="1:14" ht="20.25" customHeight="1" x14ac:dyDescent="0.15">
      <c r="A30" s="61"/>
      <c r="B30" s="9"/>
      <c r="C30" s="58" t="s">
        <v>29</v>
      </c>
      <c r="D30" s="11" t="s">
        <v>195</v>
      </c>
      <c r="E30" s="10">
        <v>22</v>
      </c>
      <c r="F30" s="10"/>
      <c r="G30" s="12">
        <v>1716</v>
      </c>
      <c r="H30" s="12">
        <v>1817</v>
      </c>
      <c r="I30" s="51" t="s">
        <v>484</v>
      </c>
      <c r="J30" s="52">
        <f>18+90</f>
        <v>108</v>
      </c>
      <c r="K30" s="53">
        <f t="shared" si="1"/>
        <v>580.2192</v>
      </c>
      <c r="L30" s="54"/>
      <c r="M30" s="3">
        <v>53.28</v>
      </c>
      <c r="N30" s="15">
        <v>10.89</v>
      </c>
    </row>
    <row r="31" spans="1:14" ht="20.25" customHeight="1" x14ac:dyDescent="0.15">
      <c r="A31" s="61" t="s">
        <v>485</v>
      </c>
      <c r="B31" s="9" t="s">
        <v>57</v>
      </c>
      <c r="C31" s="58" t="s">
        <v>29</v>
      </c>
      <c r="D31" s="11" t="s">
        <v>233</v>
      </c>
      <c r="E31" s="10">
        <v>27.76</v>
      </c>
      <c r="F31" s="10" t="s">
        <v>11</v>
      </c>
      <c r="G31" s="12">
        <v>685</v>
      </c>
      <c r="H31" s="12">
        <v>700</v>
      </c>
      <c r="I31" s="51">
        <v>47</v>
      </c>
      <c r="J31" s="52">
        <v>47</v>
      </c>
      <c r="K31" s="53">
        <f t="shared" si="1"/>
        <v>245.67840000000001</v>
      </c>
      <c r="L31" s="54"/>
      <c r="M31" s="3">
        <v>22.56</v>
      </c>
      <c r="N31" s="15">
        <v>10.89</v>
      </c>
    </row>
    <row r="32" spans="1:14" ht="20.25" customHeight="1" x14ac:dyDescent="0.15">
      <c r="A32" s="60" t="s">
        <v>486</v>
      </c>
      <c r="B32" s="9" t="s">
        <v>487</v>
      </c>
      <c r="C32" s="58" t="s">
        <v>231</v>
      </c>
      <c r="D32" s="11" t="s">
        <v>312</v>
      </c>
      <c r="E32" s="10">
        <v>22</v>
      </c>
      <c r="F32" s="10"/>
      <c r="G32" s="12">
        <v>350</v>
      </c>
      <c r="H32" s="12">
        <v>500</v>
      </c>
      <c r="I32" s="17">
        <v>12</v>
      </c>
      <c r="J32" s="18">
        <v>12</v>
      </c>
      <c r="K32" s="19">
        <f t="shared" si="1"/>
        <v>36.590400000000002</v>
      </c>
      <c r="L32" s="27"/>
      <c r="M32" s="3">
        <v>3.36</v>
      </c>
      <c r="N32" s="15">
        <v>10.89</v>
      </c>
    </row>
    <row r="33" spans="1:14" ht="20.25" customHeight="1" x14ac:dyDescent="0.15">
      <c r="A33" s="60"/>
      <c r="B33" s="9"/>
      <c r="C33" s="58"/>
      <c r="D33" s="11"/>
      <c r="E33" s="10"/>
      <c r="F33" s="10"/>
      <c r="G33" s="12"/>
      <c r="H33" s="12"/>
      <c r="I33" s="17"/>
      <c r="J33" s="18"/>
      <c r="K33" s="19">
        <f t="shared" si="1"/>
        <v>0</v>
      </c>
      <c r="L33" s="27"/>
      <c r="N33" s="15">
        <v>10.89</v>
      </c>
    </row>
    <row r="34" spans="1:14" ht="20.25" customHeight="1" x14ac:dyDescent="0.15">
      <c r="A34" s="60"/>
      <c r="B34" s="9"/>
      <c r="C34" s="58"/>
      <c r="D34" s="11"/>
      <c r="E34" s="10"/>
      <c r="F34" s="10"/>
      <c r="G34" s="12"/>
      <c r="H34" s="12"/>
      <c r="I34" s="17"/>
      <c r="J34" s="18"/>
      <c r="K34" s="19">
        <f t="shared" si="1"/>
        <v>0</v>
      </c>
      <c r="L34" s="27"/>
      <c r="N34" s="15">
        <v>10.89</v>
      </c>
    </row>
    <row r="35" spans="1:14" ht="20.25" customHeight="1" x14ac:dyDescent="0.15">
      <c r="A35" s="60"/>
      <c r="B35" s="9"/>
      <c r="C35" s="58"/>
      <c r="D35" s="11"/>
      <c r="E35" s="10"/>
      <c r="F35" s="10"/>
      <c r="G35" s="12"/>
      <c r="H35" s="12"/>
      <c r="I35" s="17"/>
      <c r="J35" s="18"/>
      <c r="K35" s="19">
        <f t="shared" si="1"/>
        <v>0</v>
      </c>
      <c r="L35" s="27"/>
      <c r="N35" s="15">
        <v>10.89</v>
      </c>
    </row>
    <row r="36" spans="1:14" ht="20.25" customHeight="1" x14ac:dyDescent="0.15">
      <c r="A36" s="60"/>
      <c r="B36" s="9"/>
      <c r="C36" s="58"/>
      <c r="D36" s="11"/>
      <c r="E36" s="10"/>
      <c r="F36" s="10"/>
      <c r="G36" s="12"/>
      <c r="H36" s="12"/>
      <c r="I36" s="17"/>
      <c r="J36" s="18"/>
      <c r="K36" s="19">
        <f t="shared" si="1"/>
        <v>0</v>
      </c>
      <c r="L36" s="27"/>
      <c r="N36" s="15">
        <v>10.89</v>
      </c>
    </row>
    <row r="37" spans="1:14" ht="20.25" customHeight="1" x14ac:dyDescent="0.15">
      <c r="A37" s="60"/>
      <c r="B37" s="9"/>
      <c r="C37" s="58"/>
      <c r="D37" s="11"/>
      <c r="E37" s="10"/>
      <c r="F37" s="10"/>
      <c r="G37" s="12"/>
      <c r="H37" s="12"/>
      <c r="I37" s="17"/>
      <c r="J37" s="18"/>
      <c r="K37" s="19">
        <f t="shared" si="1"/>
        <v>0</v>
      </c>
      <c r="L37" s="27"/>
      <c r="N37" s="15">
        <v>10.89</v>
      </c>
    </row>
    <row r="38" spans="1:14" ht="20.25" customHeight="1" x14ac:dyDescent="0.15">
      <c r="A38" s="60"/>
      <c r="B38" s="9"/>
      <c r="C38" s="58"/>
      <c r="D38" s="11"/>
      <c r="E38" s="10"/>
      <c r="F38" s="10"/>
      <c r="G38" s="12"/>
      <c r="H38" s="12"/>
      <c r="I38" s="17"/>
      <c r="J38" s="18"/>
      <c r="K38" s="19">
        <f t="shared" si="1"/>
        <v>0</v>
      </c>
      <c r="L38" s="27"/>
      <c r="N38" s="15">
        <v>10.89</v>
      </c>
    </row>
    <row r="39" spans="1:14" ht="20.25" customHeight="1" x14ac:dyDescent="0.15">
      <c r="A39" s="60"/>
      <c r="B39" s="9"/>
      <c r="C39" s="58"/>
      <c r="D39" s="11"/>
      <c r="E39" s="10"/>
      <c r="F39" s="10"/>
      <c r="G39" s="12"/>
      <c r="H39" s="12"/>
      <c r="I39" s="17"/>
      <c r="J39" s="18"/>
      <c r="K39" s="19">
        <f t="shared" si="1"/>
        <v>0</v>
      </c>
      <c r="L39" s="27"/>
      <c r="N39" s="15">
        <v>10.89</v>
      </c>
    </row>
    <row r="40" spans="1:14" ht="20.25" customHeight="1" x14ac:dyDescent="0.15">
      <c r="A40" s="60"/>
      <c r="B40" s="9"/>
      <c r="C40" s="58"/>
      <c r="D40" s="11"/>
      <c r="E40" s="10"/>
      <c r="F40" s="10"/>
      <c r="G40" s="12"/>
      <c r="H40" s="12"/>
      <c r="I40" s="17"/>
      <c r="J40" s="18"/>
      <c r="K40" s="19">
        <f t="shared" si="1"/>
        <v>0</v>
      </c>
      <c r="L40" s="27"/>
      <c r="N40" s="15">
        <v>10.89</v>
      </c>
    </row>
    <row r="41" spans="1:14" ht="20.25" customHeight="1" x14ac:dyDescent="0.15">
      <c r="A41" s="57"/>
      <c r="B41" s="28"/>
      <c r="C41" s="10"/>
      <c r="D41" s="29"/>
      <c r="E41" s="30"/>
      <c r="F41" s="30"/>
      <c r="G41" s="30"/>
      <c r="H41" s="30"/>
      <c r="I41" s="13"/>
      <c r="J41" s="48">
        <f>SUM(J25:J40)</f>
        <v>518</v>
      </c>
      <c r="K41" s="49">
        <f>SUM(K25:K40)</f>
        <v>4558.5540000000001</v>
      </c>
      <c r="L41" s="31"/>
      <c r="N41" s="32"/>
    </row>
    <row r="42" spans="1:14" ht="20.25" customHeight="1" thickBot="1" x14ac:dyDescent="0.2">
      <c r="A42" s="55"/>
      <c r="B42" s="33"/>
      <c r="C42" s="33"/>
      <c r="D42" s="33"/>
      <c r="E42" s="33"/>
      <c r="F42" s="33"/>
      <c r="G42" s="33"/>
      <c r="H42" s="33"/>
      <c r="I42" s="33"/>
      <c r="J42" s="34"/>
      <c r="K42" s="35"/>
      <c r="L42" s="36"/>
    </row>
    <row r="43" spans="1:14" ht="20.25" customHeight="1" thickBot="1" x14ac:dyDescent="0.2">
      <c r="A43" s="37" t="s">
        <v>19</v>
      </c>
      <c r="B43" s="38" t="s">
        <v>20</v>
      </c>
      <c r="C43" s="77" t="s">
        <v>21</v>
      </c>
      <c r="D43" s="79"/>
      <c r="E43" s="77" t="s">
        <v>22</v>
      </c>
      <c r="F43" s="78"/>
      <c r="G43" s="79"/>
      <c r="H43" s="85" t="s">
        <v>23</v>
      </c>
      <c r="I43" s="86"/>
      <c r="J43" s="77" t="s">
        <v>24</v>
      </c>
      <c r="K43" s="79"/>
      <c r="L43" s="39" t="s">
        <v>13</v>
      </c>
    </row>
    <row r="44" spans="1:14" ht="20.25" customHeight="1" thickBot="1" x14ac:dyDescent="0.2">
      <c r="A44" s="40">
        <f>SUMIF($C$8:$C$42,"U1",$J$8:$J$42)</f>
        <v>0</v>
      </c>
      <c r="B44" s="41">
        <f>SUMIF($C$8:$C$42,"U2",$J$8:$J$42)</f>
        <v>12</v>
      </c>
      <c r="C44" s="77">
        <f>SUMIF($C$8:$C$42,"U3-1",$J$8:$J$42)</f>
        <v>0</v>
      </c>
      <c r="D44" s="79"/>
      <c r="E44" s="77">
        <f>SUMIF($C$8:$C$42,"U3",$J$8:$J$42)</f>
        <v>1058</v>
      </c>
      <c r="F44" s="78"/>
      <c r="G44" s="79"/>
      <c r="H44" s="77">
        <f>SUMIF($C$8:$C$42,"E5",$J$8:$J$42)</f>
        <v>0</v>
      </c>
      <c r="I44" s="79"/>
      <c r="J44" s="77">
        <f>SUM(A44:I44)</f>
        <v>1070</v>
      </c>
      <c r="K44" s="79"/>
      <c r="L44" s="42"/>
    </row>
    <row r="45" spans="1:14" ht="20.25" customHeight="1" thickBot="1" x14ac:dyDescent="0.2">
      <c r="A45" s="43" t="s">
        <v>25</v>
      </c>
      <c r="B45" s="44" t="s">
        <v>26</v>
      </c>
      <c r="C45" s="75">
        <v>13876</v>
      </c>
      <c r="D45" s="76"/>
      <c r="E45" s="77" t="s">
        <v>27</v>
      </c>
      <c r="F45" s="78"/>
      <c r="G45" s="78"/>
      <c r="H45" s="78"/>
      <c r="I45" s="79"/>
      <c r="J45" s="80">
        <v>146744.37</v>
      </c>
      <c r="K45" s="81"/>
      <c r="L45" s="82"/>
    </row>
    <row r="47" spans="1:14" x14ac:dyDescent="0.15">
      <c r="D47" s="45"/>
    </row>
  </sheetData>
  <mergeCells count="26">
    <mergeCell ref="L2:L4"/>
    <mergeCell ref="A1:G3"/>
    <mergeCell ref="H1:H4"/>
    <mergeCell ref="I2:I4"/>
    <mergeCell ref="J2:J4"/>
    <mergeCell ref="K2:K4"/>
    <mergeCell ref="B5:G5"/>
    <mergeCell ref="A6:A7"/>
    <mergeCell ref="B6:B7"/>
    <mergeCell ref="C6:C7"/>
    <mergeCell ref="D6:D7"/>
    <mergeCell ref="E6:E7"/>
    <mergeCell ref="F6:F7"/>
    <mergeCell ref="G6:K6"/>
    <mergeCell ref="C45:D45"/>
    <mergeCell ref="E45:I45"/>
    <mergeCell ref="J45:L45"/>
    <mergeCell ref="L6:L7"/>
    <mergeCell ref="C43:D43"/>
    <mergeCell ref="E43:G43"/>
    <mergeCell ref="H43:I43"/>
    <mergeCell ref="J43:K43"/>
    <mergeCell ref="C44:D44"/>
    <mergeCell ref="E44:G44"/>
    <mergeCell ref="H44:I44"/>
    <mergeCell ref="J44:K44"/>
  </mergeCells>
  <phoneticPr fontId="2" type="noConversion"/>
  <printOptions horizontalCentered="1"/>
  <pageMargins left="0.39370078740157483" right="0.39370078740157483" top="0.74803149606299213" bottom="0.19685039370078741" header="0.31496062992125984" footer="0.15748031496062992"/>
  <pageSetup paperSize="9" scale="84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N49"/>
  <sheetViews>
    <sheetView view="pageBreakPreview" topLeftCell="A22" zoomScaleSheetLayoutView="100" workbookViewId="0">
      <selection activeCell="B17" sqref="B17"/>
    </sheetView>
  </sheetViews>
  <sheetFormatPr defaultColWidth="8.88671875" defaultRowHeight="13.5" x14ac:dyDescent="0.15"/>
  <cols>
    <col min="1" max="1" width="8.44140625" style="3" customWidth="1"/>
    <col min="2" max="2" width="14.77734375" style="3" customWidth="1"/>
    <col min="3" max="3" width="4.109375" style="3" customWidth="1"/>
    <col min="4" max="4" width="15.21875" style="3" customWidth="1"/>
    <col min="5" max="5" width="4.44140625" style="3" customWidth="1"/>
    <col min="6" max="6" width="4" style="3" customWidth="1"/>
    <col min="7" max="7" width="5.5546875" style="3" customWidth="1"/>
    <col min="8" max="8" width="5.44140625" style="3" customWidth="1"/>
    <col min="9" max="9" width="7.88671875" style="3" customWidth="1"/>
    <col min="10" max="10" width="7.109375" style="3" customWidth="1"/>
    <col min="11" max="11" width="7.21875" style="3" customWidth="1"/>
    <col min="12" max="12" width="6.77734375" style="3" customWidth="1"/>
    <col min="13" max="16384" width="8.88671875" style="3"/>
  </cols>
  <sheetData>
    <row r="1" spans="1:14" ht="18.75" customHeight="1" x14ac:dyDescent="0.15">
      <c r="A1" s="101" t="s">
        <v>0</v>
      </c>
      <c r="B1" s="102"/>
      <c r="C1" s="102"/>
      <c r="D1" s="102"/>
      <c r="E1" s="102"/>
      <c r="F1" s="102"/>
      <c r="G1" s="103"/>
      <c r="H1" s="107" t="s">
        <v>1</v>
      </c>
      <c r="I1" s="1" t="s">
        <v>2</v>
      </c>
      <c r="J1" s="1" t="s">
        <v>2</v>
      </c>
      <c r="K1" s="1" t="s">
        <v>3</v>
      </c>
      <c r="L1" s="2" t="s">
        <v>4</v>
      </c>
    </row>
    <row r="2" spans="1:14" ht="13.5" customHeight="1" x14ac:dyDescent="0.15">
      <c r="A2" s="104"/>
      <c r="B2" s="105"/>
      <c r="C2" s="105"/>
      <c r="D2" s="105"/>
      <c r="E2" s="105"/>
      <c r="F2" s="105"/>
      <c r="G2" s="106"/>
      <c r="H2" s="108"/>
      <c r="I2" s="110"/>
      <c r="J2" s="110"/>
      <c r="K2" s="110"/>
      <c r="L2" s="98"/>
    </row>
    <row r="3" spans="1:14" ht="13.5" customHeight="1" x14ac:dyDescent="0.15">
      <c r="A3" s="104"/>
      <c r="B3" s="105"/>
      <c r="C3" s="105"/>
      <c r="D3" s="105"/>
      <c r="E3" s="105"/>
      <c r="F3" s="105"/>
      <c r="G3" s="106"/>
      <c r="H3" s="108"/>
      <c r="I3" s="108"/>
      <c r="J3" s="108"/>
      <c r="K3" s="108"/>
      <c r="L3" s="99"/>
    </row>
    <row r="4" spans="1:14" ht="27" customHeight="1" x14ac:dyDescent="0.15">
      <c r="A4" s="4"/>
      <c r="B4" s="5"/>
      <c r="C4" s="5"/>
      <c r="D4" s="5"/>
      <c r="E4" s="5"/>
      <c r="F4" s="5"/>
      <c r="G4" s="5"/>
      <c r="H4" s="109"/>
      <c r="I4" s="109"/>
      <c r="J4" s="109"/>
      <c r="K4" s="109"/>
      <c r="L4" s="100"/>
    </row>
    <row r="5" spans="1:14" ht="17.25" customHeight="1" x14ac:dyDescent="0.15">
      <c r="A5" s="6" t="s">
        <v>5</v>
      </c>
      <c r="B5" s="87">
        <v>46037</v>
      </c>
      <c r="C5" s="88"/>
      <c r="D5" s="88"/>
      <c r="E5" s="88"/>
      <c r="F5" s="88"/>
      <c r="G5" s="88"/>
      <c r="H5" s="5"/>
      <c r="I5" s="5"/>
      <c r="J5" s="5"/>
      <c r="K5" s="5"/>
      <c r="L5" s="7"/>
    </row>
    <row r="6" spans="1:14" ht="13.5" customHeight="1" x14ac:dyDescent="0.15">
      <c r="A6" s="89" t="s">
        <v>6</v>
      </c>
      <c r="B6" s="91" t="s">
        <v>7</v>
      </c>
      <c r="C6" s="91" t="s">
        <v>8</v>
      </c>
      <c r="D6" s="91" t="s">
        <v>9</v>
      </c>
      <c r="E6" s="93" t="s">
        <v>10</v>
      </c>
      <c r="F6" s="93" t="s">
        <v>11</v>
      </c>
      <c r="G6" s="95" t="s">
        <v>12</v>
      </c>
      <c r="H6" s="96"/>
      <c r="I6" s="96"/>
      <c r="J6" s="96"/>
      <c r="K6" s="97"/>
      <c r="L6" s="83" t="s">
        <v>13</v>
      </c>
    </row>
    <row r="7" spans="1:14" x14ac:dyDescent="0.15">
      <c r="A7" s="90"/>
      <c r="B7" s="92"/>
      <c r="C7" s="92"/>
      <c r="D7" s="92"/>
      <c r="E7" s="94"/>
      <c r="F7" s="94"/>
      <c r="G7" s="8" t="s">
        <v>14</v>
      </c>
      <c r="H7" s="8" t="s">
        <v>15</v>
      </c>
      <c r="I7" s="8" t="s">
        <v>16</v>
      </c>
      <c r="J7" s="8" t="s">
        <v>17</v>
      </c>
      <c r="K7" s="8" t="s">
        <v>18</v>
      </c>
      <c r="L7" s="84"/>
    </row>
    <row r="8" spans="1:14" s="15" customFormat="1" ht="20.25" customHeight="1" x14ac:dyDescent="0.15">
      <c r="A8" s="60" t="s">
        <v>488</v>
      </c>
      <c r="B8" s="9" t="s">
        <v>138</v>
      </c>
      <c r="C8" s="58" t="s">
        <v>29</v>
      </c>
      <c r="D8" s="11" t="s">
        <v>403</v>
      </c>
      <c r="E8" s="10">
        <v>24</v>
      </c>
      <c r="F8" s="10"/>
      <c r="G8" s="12">
        <v>1662</v>
      </c>
      <c r="H8" s="12">
        <v>1890</v>
      </c>
      <c r="I8" s="17">
        <v>10</v>
      </c>
      <c r="J8" s="18">
        <v>10</v>
      </c>
      <c r="K8" s="19">
        <f>+M8*N8</f>
        <v>341.94600000000003</v>
      </c>
      <c r="L8" s="14"/>
      <c r="M8" s="15">
        <v>31.4</v>
      </c>
      <c r="N8" s="15">
        <v>10.89</v>
      </c>
    </row>
    <row r="9" spans="1:14" s="15" customFormat="1" ht="20.25" customHeight="1" x14ac:dyDescent="0.15">
      <c r="A9" s="60"/>
      <c r="B9" s="9"/>
      <c r="C9" s="58" t="s">
        <v>29</v>
      </c>
      <c r="D9" s="11" t="s">
        <v>372</v>
      </c>
      <c r="E9" s="10">
        <v>24</v>
      </c>
      <c r="F9" s="10"/>
      <c r="G9" s="12">
        <v>468</v>
      </c>
      <c r="H9" s="12">
        <v>1890</v>
      </c>
      <c r="I9" s="17">
        <v>7</v>
      </c>
      <c r="J9" s="18">
        <v>7</v>
      </c>
      <c r="K9" s="19">
        <f t="shared" ref="K9:K23" si="0">+M9*N9</f>
        <v>21.3444</v>
      </c>
      <c r="L9" s="14"/>
      <c r="M9" s="15">
        <v>1.96</v>
      </c>
      <c r="N9" s="15">
        <v>10.89</v>
      </c>
    </row>
    <row r="10" spans="1:14" s="15" customFormat="1" ht="20.25" customHeight="1" x14ac:dyDescent="0.15">
      <c r="A10" s="60"/>
      <c r="B10" s="9"/>
      <c r="C10" s="58" t="s">
        <v>29</v>
      </c>
      <c r="D10" s="11" t="s">
        <v>336</v>
      </c>
      <c r="E10" s="10">
        <v>24</v>
      </c>
      <c r="F10" s="10"/>
      <c r="G10" s="12">
        <v>1662</v>
      </c>
      <c r="H10" s="12">
        <v>1890</v>
      </c>
      <c r="I10" s="17" t="s">
        <v>489</v>
      </c>
      <c r="J10" s="18">
        <v>100</v>
      </c>
      <c r="K10" s="19">
        <f t="shared" si="0"/>
        <v>1165.23</v>
      </c>
      <c r="L10" s="14"/>
      <c r="M10" s="15">
        <v>107</v>
      </c>
      <c r="N10" s="15">
        <v>10.89</v>
      </c>
    </row>
    <row r="11" spans="1:14" s="15" customFormat="1" ht="20.25" customHeight="1" x14ac:dyDescent="0.15">
      <c r="A11" s="60" t="s">
        <v>490</v>
      </c>
      <c r="B11" s="9" t="s">
        <v>138</v>
      </c>
      <c r="C11" s="58" t="s">
        <v>29</v>
      </c>
      <c r="D11" s="11" t="s">
        <v>372</v>
      </c>
      <c r="E11" s="10">
        <v>24</v>
      </c>
      <c r="F11" s="10"/>
      <c r="G11" s="12">
        <v>775</v>
      </c>
      <c r="H11" s="12">
        <v>1890</v>
      </c>
      <c r="I11" s="17" t="s">
        <v>480</v>
      </c>
      <c r="J11" s="18">
        <v>80</v>
      </c>
      <c r="K11" s="19">
        <f t="shared" si="0"/>
        <v>887.53500000000008</v>
      </c>
      <c r="L11" s="14"/>
      <c r="M11" s="15">
        <v>81.5</v>
      </c>
      <c r="N11" s="15">
        <v>10.89</v>
      </c>
    </row>
    <row r="12" spans="1:14" s="15" customFormat="1" ht="20.25" customHeight="1" x14ac:dyDescent="0.15">
      <c r="A12" s="60"/>
      <c r="B12" s="9"/>
      <c r="C12" s="58" t="s">
        <v>29</v>
      </c>
      <c r="D12" s="11" t="s">
        <v>336</v>
      </c>
      <c r="E12" s="10">
        <v>24</v>
      </c>
      <c r="F12" s="10"/>
      <c r="G12" s="12">
        <v>1762</v>
      </c>
      <c r="H12" s="12">
        <v>1890</v>
      </c>
      <c r="I12" s="17" t="s">
        <v>481</v>
      </c>
      <c r="J12" s="18">
        <v>90</v>
      </c>
      <c r="K12" s="19">
        <f t="shared" si="0"/>
        <v>1250.172</v>
      </c>
      <c r="L12" s="14"/>
      <c r="M12" s="15">
        <v>114.8</v>
      </c>
      <c r="N12" s="15">
        <v>10.89</v>
      </c>
    </row>
    <row r="13" spans="1:14" s="15" customFormat="1" ht="20.25" customHeight="1" x14ac:dyDescent="0.15">
      <c r="A13" s="60"/>
      <c r="B13" s="9"/>
      <c r="C13" s="58" t="s">
        <v>29</v>
      </c>
      <c r="D13" s="11" t="s">
        <v>224</v>
      </c>
      <c r="E13" s="10">
        <v>22</v>
      </c>
      <c r="F13" s="10" t="s">
        <v>11</v>
      </c>
      <c r="G13" s="12">
        <v>618</v>
      </c>
      <c r="H13" s="12">
        <v>1890</v>
      </c>
      <c r="I13" s="17">
        <v>10</v>
      </c>
      <c r="J13" s="18">
        <v>10</v>
      </c>
      <c r="K13" s="19">
        <f t="shared" si="0"/>
        <v>127.413</v>
      </c>
      <c r="L13" s="14"/>
      <c r="M13" s="15">
        <v>11.7</v>
      </c>
      <c r="N13" s="15">
        <v>10.89</v>
      </c>
    </row>
    <row r="14" spans="1:14" s="15" customFormat="1" ht="20.25" customHeight="1" x14ac:dyDescent="0.15">
      <c r="A14" s="60" t="s">
        <v>491</v>
      </c>
      <c r="B14" s="9" t="s">
        <v>138</v>
      </c>
      <c r="C14" s="58" t="s">
        <v>29</v>
      </c>
      <c r="D14" s="11" t="s">
        <v>372</v>
      </c>
      <c r="E14" s="10">
        <v>24</v>
      </c>
      <c r="F14" s="10"/>
      <c r="G14" s="12">
        <v>775</v>
      </c>
      <c r="H14" s="12">
        <v>1890</v>
      </c>
      <c r="I14" s="17" t="s">
        <v>489</v>
      </c>
      <c r="J14" s="18">
        <v>100</v>
      </c>
      <c r="K14" s="19">
        <f t="shared" si="0"/>
        <v>825.46199999999999</v>
      </c>
      <c r="L14" s="20"/>
      <c r="M14" s="15">
        <v>75.8</v>
      </c>
      <c r="N14" s="15">
        <v>10.89</v>
      </c>
    </row>
    <row r="15" spans="1:14" s="15" customFormat="1" ht="20.25" customHeight="1" x14ac:dyDescent="0.15">
      <c r="A15" s="60"/>
      <c r="B15" s="9"/>
      <c r="C15" s="58" t="s">
        <v>29</v>
      </c>
      <c r="D15" s="11" t="s">
        <v>336</v>
      </c>
      <c r="E15" s="10">
        <v>24</v>
      </c>
      <c r="F15" s="10"/>
      <c r="G15" s="12">
        <v>1662</v>
      </c>
      <c r="H15" s="12">
        <v>1890</v>
      </c>
      <c r="I15" s="17" t="s">
        <v>492</v>
      </c>
      <c r="J15" s="18">
        <v>110</v>
      </c>
      <c r="K15" s="19">
        <f t="shared" si="0"/>
        <v>1167.4080000000001</v>
      </c>
      <c r="L15" s="20"/>
      <c r="M15" s="15">
        <v>107.2</v>
      </c>
      <c r="N15" s="15">
        <v>10.89</v>
      </c>
    </row>
    <row r="16" spans="1:14" s="15" customFormat="1" ht="20.25" customHeight="1" x14ac:dyDescent="0.15">
      <c r="A16" s="60"/>
      <c r="B16" s="9"/>
      <c r="C16" s="58" t="s">
        <v>29</v>
      </c>
      <c r="D16" s="11" t="s">
        <v>224</v>
      </c>
      <c r="E16" s="10">
        <v>22</v>
      </c>
      <c r="F16" s="10" t="s">
        <v>11</v>
      </c>
      <c r="G16" s="12">
        <v>618</v>
      </c>
      <c r="H16" s="12">
        <v>1890</v>
      </c>
      <c r="I16" s="17">
        <v>10</v>
      </c>
      <c r="J16" s="18">
        <v>10</v>
      </c>
      <c r="K16" s="19">
        <f t="shared" si="0"/>
        <v>127.413</v>
      </c>
      <c r="L16" s="20"/>
      <c r="M16" s="15">
        <v>11.7</v>
      </c>
      <c r="N16" s="15">
        <v>10.89</v>
      </c>
    </row>
    <row r="17" spans="1:14" s="15" customFormat="1" ht="20.25" customHeight="1" x14ac:dyDescent="0.15">
      <c r="A17" s="60" t="s">
        <v>493</v>
      </c>
      <c r="B17" s="9" t="s">
        <v>184</v>
      </c>
      <c r="C17" s="58" t="s">
        <v>231</v>
      </c>
      <c r="D17" s="11" t="s">
        <v>312</v>
      </c>
      <c r="E17" s="10">
        <v>22</v>
      </c>
      <c r="F17" s="58"/>
      <c r="G17" s="12">
        <v>1060</v>
      </c>
      <c r="H17" s="12">
        <v>2325</v>
      </c>
      <c r="I17" s="17" t="s">
        <v>494</v>
      </c>
      <c r="J17" s="18">
        <v>12</v>
      </c>
      <c r="K17" s="19">
        <f t="shared" si="0"/>
        <v>214.3152</v>
      </c>
      <c r="L17" s="20"/>
      <c r="M17" s="15">
        <v>19.68</v>
      </c>
      <c r="N17" s="15">
        <v>10.89</v>
      </c>
    </row>
    <row r="18" spans="1:14" s="15" customFormat="1" ht="20.25" customHeight="1" x14ac:dyDescent="0.15">
      <c r="A18" s="60" t="s">
        <v>495</v>
      </c>
      <c r="B18" s="9" t="s">
        <v>184</v>
      </c>
      <c r="C18" s="58" t="s">
        <v>231</v>
      </c>
      <c r="D18" s="11" t="s">
        <v>312</v>
      </c>
      <c r="E18" s="10">
        <v>22</v>
      </c>
      <c r="F18" s="58"/>
      <c r="G18" s="12">
        <v>715</v>
      </c>
      <c r="H18" s="12">
        <v>2325</v>
      </c>
      <c r="I18" s="17" t="s">
        <v>496</v>
      </c>
      <c r="J18" s="18">
        <v>16</v>
      </c>
      <c r="K18" s="19">
        <f t="shared" si="0"/>
        <v>202.98960000000002</v>
      </c>
      <c r="L18" s="20"/>
      <c r="M18" s="15">
        <v>18.64</v>
      </c>
      <c r="N18" s="15">
        <v>10.89</v>
      </c>
    </row>
    <row r="19" spans="1:14" s="15" customFormat="1" ht="20.25" customHeight="1" x14ac:dyDescent="0.15">
      <c r="A19" s="60" t="s">
        <v>497</v>
      </c>
      <c r="B19" s="9" t="s">
        <v>498</v>
      </c>
      <c r="C19" s="58" t="s">
        <v>231</v>
      </c>
      <c r="D19" s="11" t="s">
        <v>312</v>
      </c>
      <c r="E19" s="10">
        <v>22</v>
      </c>
      <c r="F19" s="58"/>
      <c r="G19" s="12">
        <v>975</v>
      </c>
      <c r="H19" s="12">
        <v>600</v>
      </c>
      <c r="I19" s="17" t="s">
        <v>499</v>
      </c>
      <c r="J19" s="18">
        <v>3</v>
      </c>
      <c r="K19" s="19">
        <f t="shared" si="0"/>
        <v>28.205100000000002</v>
      </c>
      <c r="L19" s="20"/>
      <c r="M19" s="15">
        <v>2.59</v>
      </c>
      <c r="N19" s="15">
        <v>10.89</v>
      </c>
    </row>
    <row r="20" spans="1:14" s="15" customFormat="1" ht="20.25" customHeight="1" x14ac:dyDescent="0.15">
      <c r="A20" s="60" t="s">
        <v>500</v>
      </c>
      <c r="B20" s="9" t="s">
        <v>501</v>
      </c>
      <c r="C20" s="58" t="s">
        <v>273</v>
      </c>
      <c r="D20" s="11" t="s">
        <v>383</v>
      </c>
      <c r="E20" s="10">
        <v>16</v>
      </c>
      <c r="F20" s="58"/>
      <c r="G20" s="12">
        <v>1050</v>
      </c>
      <c r="H20" s="12">
        <v>995</v>
      </c>
      <c r="I20" s="17">
        <v>1</v>
      </c>
      <c r="J20" s="18">
        <v>1</v>
      </c>
      <c r="K20" s="19">
        <f t="shared" si="0"/>
        <v>11.325600000000001</v>
      </c>
      <c r="L20" s="20"/>
      <c r="M20" s="15">
        <v>1.04</v>
      </c>
      <c r="N20" s="15">
        <v>10.89</v>
      </c>
    </row>
    <row r="21" spans="1:14" s="15" customFormat="1" ht="20.25" customHeight="1" x14ac:dyDescent="0.15">
      <c r="A21" s="60" t="s">
        <v>502</v>
      </c>
      <c r="B21" s="9" t="s">
        <v>503</v>
      </c>
      <c r="C21" s="58" t="s">
        <v>273</v>
      </c>
      <c r="D21" s="11" t="s">
        <v>504</v>
      </c>
      <c r="E21" s="10">
        <v>16</v>
      </c>
      <c r="F21" s="58"/>
      <c r="G21" s="50">
        <v>2100</v>
      </c>
      <c r="H21" s="50">
        <v>1000</v>
      </c>
      <c r="I21" s="17">
        <v>1</v>
      </c>
      <c r="J21" s="18">
        <v>1</v>
      </c>
      <c r="K21" s="19">
        <f t="shared" si="0"/>
        <v>22.869000000000003</v>
      </c>
      <c r="L21" s="20"/>
      <c r="M21" s="15">
        <v>2.1</v>
      </c>
      <c r="N21" s="15">
        <v>10.89</v>
      </c>
    </row>
    <row r="22" spans="1:14" s="15" customFormat="1" ht="20.25" customHeight="1" x14ac:dyDescent="0.15">
      <c r="A22" s="60" t="s">
        <v>505</v>
      </c>
      <c r="B22" s="9" t="s">
        <v>475</v>
      </c>
      <c r="C22" s="58" t="s">
        <v>29</v>
      </c>
      <c r="D22" s="11" t="s">
        <v>476</v>
      </c>
      <c r="E22" s="10">
        <v>22</v>
      </c>
      <c r="F22" s="58"/>
      <c r="G22" s="50">
        <v>1016</v>
      </c>
      <c r="H22" s="50">
        <v>1553</v>
      </c>
      <c r="I22" s="17" t="s">
        <v>506</v>
      </c>
      <c r="J22" s="18">
        <v>28</v>
      </c>
      <c r="K22" s="19">
        <f t="shared" si="0"/>
        <v>276.38819999999998</v>
      </c>
      <c r="L22" s="20"/>
      <c r="M22" s="15">
        <v>25.38</v>
      </c>
      <c r="N22" s="15">
        <v>10.89</v>
      </c>
    </row>
    <row r="23" spans="1:14" ht="20.25" customHeight="1" x14ac:dyDescent="0.15">
      <c r="A23" s="60"/>
      <c r="B23" s="9"/>
      <c r="C23" s="58" t="s">
        <v>29</v>
      </c>
      <c r="D23" s="11" t="s">
        <v>477</v>
      </c>
      <c r="E23" s="10">
        <v>22</v>
      </c>
      <c r="F23" s="58"/>
      <c r="G23" s="16">
        <v>1016</v>
      </c>
      <c r="H23" s="16">
        <v>1553</v>
      </c>
      <c r="I23" s="17" t="s">
        <v>506</v>
      </c>
      <c r="J23" s="18">
        <v>28</v>
      </c>
      <c r="K23" s="19">
        <f t="shared" si="0"/>
        <v>276.38819999999998</v>
      </c>
      <c r="L23" s="20"/>
      <c r="M23" s="3">
        <v>25.38</v>
      </c>
      <c r="N23" s="15">
        <v>10.89</v>
      </c>
    </row>
    <row r="24" spans="1:14" ht="20.25" customHeight="1" thickBot="1" x14ac:dyDescent="0.2">
      <c r="A24" s="56"/>
      <c r="B24" s="21"/>
      <c r="C24" s="59"/>
      <c r="D24" s="22"/>
      <c r="E24" s="23"/>
      <c r="F24" s="23"/>
      <c r="G24" s="24"/>
      <c r="H24" s="24"/>
      <c r="I24" s="25"/>
      <c r="J24" s="46">
        <f>SUM(J8:J23)</f>
        <v>606</v>
      </c>
      <c r="K24" s="47">
        <f>SUM(K8:K23)</f>
        <v>6946.4043000000001</v>
      </c>
      <c r="L24" s="26"/>
    </row>
    <row r="25" spans="1:14" ht="20.25" customHeight="1" thickTop="1" x14ac:dyDescent="0.15">
      <c r="A25" s="60" t="s">
        <v>507</v>
      </c>
      <c r="B25" s="9" t="s">
        <v>131</v>
      </c>
      <c r="C25" s="58" t="s">
        <v>29</v>
      </c>
      <c r="D25" s="11" t="s">
        <v>155</v>
      </c>
      <c r="E25" s="10">
        <v>22</v>
      </c>
      <c r="F25" s="58" t="s">
        <v>11</v>
      </c>
      <c r="G25" s="12">
        <v>1421</v>
      </c>
      <c r="H25" s="12">
        <v>1763</v>
      </c>
      <c r="I25" s="17" t="s">
        <v>508</v>
      </c>
      <c r="J25" s="18">
        <v>170</v>
      </c>
      <c r="K25" s="19">
        <f t="shared" ref="K25:K42" si="1">+M25*N25</f>
        <v>1403.7210000000002</v>
      </c>
      <c r="L25" s="54"/>
      <c r="M25" s="3">
        <v>128.9</v>
      </c>
      <c r="N25" s="15">
        <v>10.89</v>
      </c>
    </row>
    <row r="26" spans="1:14" ht="20.25" customHeight="1" x14ac:dyDescent="0.15">
      <c r="A26" s="60"/>
      <c r="B26" s="9"/>
      <c r="C26" s="58" t="s">
        <v>29</v>
      </c>
      <c r="D26" s="11" t="s">
        <v>156</v>
      </c>
      <c r="E26" s="10">
        <v>22</v>
      </c>
      <c r="F26" s="58" t="s">
        <v>11</v>
      </c>
      <c r="G26" s="12">
        <v>1421</v>
      </c>
      <c r="H26" s="12">
        <v>1763</v>
      </c>
      <c r="I26" s="17" t="s">
        <v>509</v>
      </c>
      <c r="J26" s="18">
        <v>45</v>
      </c>
      <c r="K26" s="19">
        <f t="shared" si="1"/>
        <v>785.71350000000007</v>
      </c>
      <c r="L26" s="54"/>
      <c r="M26" s="3">
        <v>72.150000000000006</v>
      </c>
      <c r="N26" s="15">
        <v>10.89</v>
      </c>
    </row>
    <row r="27" spans="1:14" ht="20.25" customHeight="1" x14ac:dyDescent="0.15">
      <c r="A27" s="61" t="s">
        <v>510</v>
      </c>
      <c r="B27" s="9" t="s">
        <v>57</v>
      </c>
      <c r="C27" s="58" t="s">
        <v>29</v>
      </c>
      <c r="D27" s="11" t="s">
        <v>233</v>
      </c>
      <c r="E27" s="10">
        <v>27.76</v>
      </c>
      <c r="F27" s="10" t="s">
        <v>11</v>
      </c>
      <c r="G27" s="12">
        <v>685</v>
      </c>
      <c r="H27" s="12">
        <v>700</v>
      </c>
      <c r="I27" s="17" t="s">
        <v>511</v>
      </c>
      <c r="J27" s="18">
        <v>195</v>
      </c>
      <c r="K27" s="19">
        <f t="shared" si="1"/>
        <v>1019.304</v>
      </c>
      <c r="L27" s="54"/>
      <c r="M27" s="3">
        <v>93.6</v>
      </c>
      <c r="N27" s="15">
        <v>10.89</v>
      </c>
    </row>
    <row r="28" spans="1:14" ht="20.25" customHeight="1" x14ac:dyDescent="0.15">
      <c r="A28" s="60" t="s">
        <v>532</v>
      </c>
      <c r="B28" s="9" t="s">
        <v>57</v>
      </c>
      <c r="C28" s="58" t="s">
        <v>29</v>
      </c>
      <c r="D28" s="11" t="s">
        <v>533</v>
      </c>
      <c r="E28" s="10">
        <v>25.76</v>
      </c>
      <c r="F28" s="10"/>
      <c r="G28" s="12">
        <v>1524</v>
      </c>
      <c r="H28" s="12">
        <v>700</v>
      </c>
      <c r="I28" s="17" t="s">
        <v>535</v>
      </c>
      <c r="J28" s="18">
        <v>5</v>
      </c>
      <c r="K28" s="19">
        <f t="shared" ref="K28:K29" si="2">+M28*N28</f>
        <v>38.550600000000003</v>
      </c>
      <c r="L28" s="27"/>
      <c r="M28" s="3">
        <v>3.54</v>
      </c>
      <c r="N28" s="15">
        <v>10.89</v>
      </c>
    </row>
    <row r="29" spans="1:14" ht="20.25" customHeight="1" x14ac:dyDescent="0.15">
      <c r="A29" s="60"/>
      <c r="B29" s="9"/>
      <c r="C29" s="58" t="s">
        <v>29</v>
      </c>
      <c r="D29" s="11" t="s">
        <v>534</v>
      </c>
      <c r="E29" s="10">
        <v>42.76</v>
      </c>
      <c r="F29" s="10" t="s">
        <v>11</v>
      </c>
      <c r="G29" s="12">
        <v>1188</v>
      </c>
      <c r="H29" s="12">
        <v>410</v>
      </c>
      <c r="I29" s="17" t="s">
        <v>536</v>
      </c>
      <c r="J29" s="18">
        <v>11</v>
      </c>
      <c r="K29" s="19">
        <f t="shared" si="2"/>
        <v>125.77950000000001</v>
      </c>
      <c r="L29" s="27"/>
      <c r="M29" s="3">
        <v>11.55</v>
      </c>
      <c r="N29" s="15">
        <v>10.89</v>
      </c>
    </row>
    <row r="30" spans="1:14" ht="20.25" customHeight="1" x14ac:dyDescent="0.15">
      <c r="A30" s="61" t="s">
        <v>512</v>
      </c>
      <c r="B30" s="9" t="s">
        <v>57</v>
      </c>
      <c r="C30" s="58" t="s">
        <v>29</v>
      </c>
      <c r="D30" s="11" t="s">
        <v>233</v>
      </c>
      <c r="E30" s="10">
        <v>27.76</v>
      </c>
      <c r="F30" s="10" t="s">
        <v>11</v>
      </c>
      <c r="G30" s="12">
        <v>690</v>
      </c>
      <c r="H30" s="12">
        <v>305</v>
      </c>
      <c r="I30" s="17" t="s">
        <v>515</v>
      </c>
      <c r="J30" s="18">
        <v>8</v>
      </c>
      <c r="K30" s="19">
        <f t="shared" si="1"/>
        <v>26.5716</v>
      </c>
      <c r="L30" s="54"/>
      <c r="M30" s="3">
        <v>2.44</v>
      </c>
      <c r="N30" s="15">
        <v>10.89</v>
      </c>
    </row>
    <row r="31" spans="1:14" ht="20.25" customHeight="1" x14ac:dyDescent="0.15">
      <c r="A31" s="61"/>
      <c r="B31" s="9"/>
      <c r="C31" s="58" t="s">
        <v>29</v>
      </c>
      <c r="D31" s="11" t="s">
        <v>198</v>
      </c>
      <c r="E31" s="10">
        <v>22</v>
      </c>
      <c r="F31" s="10" t="s">
        <v>11</v>
      </c>
      <c r="G31" s="12">
        <v>1525</v>
      </c>
      <c r="H31" s="12">
        <v>1003</v>
      </c>
      <c r="I31" s="17" t="s">
        <v>516</v>
      </c>
      <c r="J31" s="18">
        <v>6</v>
      </c>
      <c r="K31" s="19">
        <f t="shared" si="1"/>
        <v>57.499200000000009</v>
      </c>
      <c r="L31" s="54"/>
      <c r="M31" s="3">
        <v>5.28</v>
      </c>
      <c r="N31" s="15">
        <v>10.89</v>
      </c>
    </row>
    <row r="32" spans="1:14" ht="20.25" customHeight="1" x14ac:dyDescent="0.15">
      <c r="A32" s="61"/>
      <c r="B32" s="9"/>
      <c r="C32" s="58" t="s">
        <v>29</v>
      </c>
      <c r="D32" s="11" t="s">
        <v>513</v>
      </c>
      <c r="E32" s="10">
        <v>22</v>
      </c>
      <c r="F32" s="10"/>
      <c r="G32" s="12">
        <v>745</v>
      </c>
      <c r="H32" s="12">
        <v>955</v>
      </c>
      <c r="I32" s="51">
        <v>2</v>
      </c>
      <c r="J32" s="52">
        <v>2</v>
      </c>
      <c r="K32" s="53">
        <f t="shared" si="1"/>
        <v>15.463800000000001</v>
      </c>
      <c r="L32" s="54"/>
      <c r="M32" s="3">
        <v>1.42</v>
      </c>
      <c r="N32" s="15">
        <v>10.89</v>
      </c>
    </row>
    <row r="33" spans="1:14" ht="20.25" customHeight="1" x14ac:dyDescent="0.15">
      <c r="A33" s="61"/>
      <c r="B33" s="9"/>
      <c r="C33" s="58" t="s">
        <v>29</v>
      </c>
      <c r="D33" s="11" t="s">
        <v>514</v>
      </c>
      <c r="E33" s="10">
        <v>43</v>
      </c>
      <c r="F33" s="10" t="s">
        <v>11</v>
      </c>
      <c r="G33" s="12">
        <v>310</v>
      </c>
      <c r="H33" s="12">
        <v>888</v>
      </c>
      <c r="I33" s="51">
        <v>3</v>
      </c>
      <c r="J33" s="52">
        <v>3</v>
      </c>
      <c r="K33" s="53">
        <f t="shared" si="1"/>
        <v>9.1476000000000006</v>
      </c>
      <c r="L33" s="54"/>
      <c r="M33" s="3">
        <v>0.84</v>
      </c>
      <c r="N33" s="15">
        <v>10.89</v>
      </c>
    </row>
    <row r="34" spans="1:14" ht="20.25" customHeight="1" x14ac:dyDescent="0.15">
      <c r="A34" s="60" t="s">
        <v>517</v>
      </c>
      <c r="B34" s="9" t="s">
        <v>99</v>
      </c>
      <c r="C34" s="58" t="s">
        <v>29</v>
      </c>
      <c r="D34" s="11" t="s">
        <v>518</v>
      </c>
      <c r="E34" s="10">
        <v>24</v>
      </c>
      <c r="F34" s="10" t="s">
        <v>11</v>
      </c>
      <c r="G34" s="12">
        <v>899</v>
      </c>
      <c r="H34" s="12">
        <v>2129</v>
      </c>
      <c r="I34" s="17">
        <v>4</v>
      </c>
      <c r="J34" s="18">
        <v>4</v>
      </c>
      <c r="K34" s="19">
        <f t="shared" si="1"/>
        <v>83.199600000000004</v>
      </c>
      <c r="L34" s="27"/>
      <c r="M34" s="3">
        <v>7.64</v>
      </c>
      <c r="N34" s="15">
        <v>10.89</v>
      </c>
    </row>
    <row r="35" spans="1:14" ht="20.25" customHeight="1" x14ac:dyDescent="0.15">
      <c r="A35" s="60"/>
      <c r="B35" s="9"/>
      <c r="C35" s="58" t="s">
        <v>29</v>
      </c>
      <c r="D35" s="11" t="s">
        <v>519</v>
      </c>
      <c r="E35" s="10">
        <v>24</v>
      </c>
      <c r="F35" s="10" t="s">
        <v>11</v>
      </c>
      <c r="G35" s="12">
        <v>130</v>
      </c>
      <c r="H35" s="12">
        <v>2330</v>
      </c>
      <c r="I35" s="17">
        <v>2</v>
      </c>
      <c r="J35" s="18">
        <v>2</v>
      </c>
      <c r="K35" s="19">
        <f t="shared" si="1"/>
        <v>6.5339999999999998</v>
      </c>
      <c r="L35" s="27"/>
      <c r="M35" s="3">
        <v>0.6</v>
      </c>
      <c r="N35" s="15">
        <v>10.89</v>
      </c>
    </row>
    <row r="36" spans="1:14" ht="20.25" customHeight="1" x14ac:dyDescent="0.15">
      <c r="A36" s="60" t="s">
        <v>520</v>
      </c>
      <c r="B36" s="9" t="s">
        <v>178</v>
      </c>
      <c r="C36" s="58" t="s">
        <v>29</v>
      </c>
      <c r="D36" s="11" t="s">
        <v>247</v>
      </c>
      <c r="E36" s="10">
        <v>24</v>
      </c>
      <c r="F36" s="10" t="s">
        <v>11</v>
      </c>
      <c r="G36" s="12">
        <v>948</v>
      </c>
      <c r="H36" s="12">
        <v>1913</v>
      </c>
      <c r="I36" s="17" t="s">
        <v>521</v>
      </c>
      <c r="J36" s="18">
        <v>2</v>
      </c>
      <c r="K36" s="19">
        <f t="shared" si="1"/>
        <v>34.085700000000003</v>
      </c>
      <c r="L36" s="27"/>
      <c r="M36" s="3">
        <v>3.13</v>
      </c>
      <c r="N36" s="15">
        <v>10.89</v>
      </c>
    </row>
    <row r="37" spans="1:14" ht="20.25" customHeight="1" x14ac:dyDescent="0.15">
      <c r="A37" s="60" t="s">
        <v>522</v>
      </c>
      <c r="B37" s="9" t="s">
        <v>178</v>
      </c>
      <c r="C37" s="58" t="s">
        <v>29</v>
      </c>
      <c r="D37" s="11" t="s">
        <v>247</v>
      </c>
      <c r="E37" s="10">
        <v>24</v>
      </c>
      <c r="F37" s="10" t="s">
        <v>11</v>
      </c>
      <c r="G37" s="12">
        <v>935</v>
      </c>
      <c r="H37" s="12">
        <v>1275</v>
      </c>
      <c r="I37" s="17" t="s">
        <v>523</v>
      </c>
      <c r="J37" s="18">
        <v>42</v>
      </c>
      <c r="K37" s="19">
        <f t="shared" si="1"/>
        <v>375.48719999999997</v>
      </c>
      <c r="L37" s="27"/>
      <c r="M37" s="3">
        <v>34.479999999999997</v>
      </c>
      <c r="N37" s="15">
        <v>10.89</v>
      </c>
    </row>
    <row r="38" spans="1:14" ht="20.25" customHeight="1" x14ac:dyDescent="0.15">
      <c r="A38" s="60" t="s">
        <v>524</v>
      </c>
      <c r="B38" s="9" t="s">
        <v>178</v>
      </c>
      <c r="C38" s="58" t="s">
        <v>29</v>
      </c>
      <c r="D38" s="11" t="s">
        <v>247</v>
      </c>
      <c r="E38" s="10">
        <v>24</v>
      </c>
      <c r="F38" s="10" t="s">
        <v>11</v>
      </c>
      <c r="G38" s="12">
        <v>913</v>
      </c>
      <c r="H38" s="12">
        <v>1445</v>
      </c>
      <c r="I38" s="17" t="s">
        <v>525</v>
      </c>
      <c r="J38" s="18">
        <v>59</v>
      </c>
      <c r="K38" s="19">
        <f t="shared" si="1"/>
        <v>583.26840000000004</v>
      </c>
      <c r="L38" s="27"/>
      <c r="M38" s="3">
        <v>53.56</v>
      </c>
      <c r="N38" s="15">
        <v>10.89</v>
      </c>
    </row>
    <row r="39" spans="1:14" ht="20.25" customHeight="1" x14ac:dyDescent="0.15">
      <c r="A39" s="60" t="s">
        <v>526</v>
      </c>
      <c r="B39" s="9" t="s">
        <v>527</v>
      </c>
      <c r="C39" s="58" t="s">
        <v>29</v>
      </c>
      <c r="D39" s="11" t="s">
        <v>276</v>
      </c>
      <c r="E39" s="10">
        <v>24</v>
      </c>
      <c r="F39" s="10" t="s">
        <v>11</v>
      </c>
      <c r="G39" s="12">
        <v>956</v>
      </c>
      <c r="H39" s="12">
        <v>2055</v>
      </c>
      <c r="I39" s="17">
        <v>1</v>
      </c>
      <c r="J39" s="18">
        <v>1</v>
      </c>
      <c r="K39" s="19">
        <f t="shared" si="1"/>
        <v>21.3444</v>
      </c>
      <c r="L39" s="27"/>
      <c r="M39" s="3">
        <v>1.96</v>
      </c>
      <c r="N39" s="15">
        <v>10.89</v>
      </c>
    </row>
    <row r="40" spans="1:14" ht="20.25" customHeight="1" x14ac:dyDescent="0.15">
      <c r="A40" s="60" t="s">
        <v>528</v>
      </c>
      <c r="B40" s="9" t="s">
        <v>172</v>
      </c>
      <c r="C40" s="58" t="s">
        <v>29</v>
      </c>
      <c r="D40" s="11" t="s">
        <v>310</v>
      </c>
      <c r="E40" s="10">
        <v>24</v>
      </c>
      <c r="F40" s="10" t="s">
        <v>11</v>
      </c>
      <c r="G40" s="12">
        <v>820</v>
      </c>
      <c r="H40" s="12">
        <v>1988</v>
      </c>
      <c r="I40" s="17">
        <v>2</v>
      </c>
      <c r="J40" s="18">
        <v>2</v>
      </c>
      <c r="K40" s="19">
        <f t="shared" si="1"/>
        <v>35.501399999999997</v>
      </c>
      <c r="L40" s="27"/>
      <c r="M40" s="3">
        <v>3.26</v>
      </c>
      <c r="N40" s="15">
        <v>10.89</v>
      </c>
    </row>
    <row r="41" spans="1:14" ht="20.25" customHeight="1" x14ac:dyDescent="0.15">
      <c r="A41" s="60" t="s">
        <v>529</v>
      </c>
      <c r="B41" s="9" t="s">
        <v>530</v>
      </c>
      <c r="C41" s="58" t="s">
        <v>29</v>
      </c>
      <c r="D41" s="11" t="s">
        <v>531</v>
      </c>
      <c r="E41" s="10">
        <v>24</v>
      </c>
      <c r="F41" s="10" t="s">
        <v>11</v>
      </c>
      <c r="G41" s="12">
        <v>1825</v>
      </c>
      <c r="H41" s="12">
        <v>1981</v>
      </c>
      <c r="I41" s="17">
        <v>2</v>
      </c>
      <c r="J41" s="18">
        <v>2</v>
      </c>
      <c r="K41" s="19">
        <f t="shared" si="1"/>
        <v>78.843600000000009</v>
      </c>
      <c r="L41" s="27"/>
      <c r="M41" s="3">
        <v>7.24</v>
      </c>
      <c r="N41" s="15">
        <v>10.89</v>
      </c>
    </row>
    <row r="42" spans="1:14" ht="20.25" customHeight="1" x14ac:dyDescent="0.15">
      <c r="A42" s="60"/>
      <c r="B42" s="9"/>
      <c r="C42" s="58"/>
      <c r="D42" s="11"/>
      <c r="E42" s="10"/>
      <c r="F42" s="10"/>
      <c r="G42" s="12"/>
      <c r="H42" s="12"/>
      <c r="I42" s="17"/>
      <c r="J42" s="18"/>
      <c r="K42" s="19">
        <f t="shared" si="1"/>
        <v>0</v>
      </c>
      <c r="L42" s="27"/>
      <c r="N42" s="15">
        <v>10.89</v>
      </c>
    </row>
    <row r="43" spans="1:14" ht="20.25" customHeight="1" x14ac:dyDescent="0.15">
      <c r="A43" s="57"/>
      <c r="B43" s="28"/>
      <c r="C43" s="10"/>
      <c r="D43" s="29"/>
      <c r="E43" s="30"/>
      <c r="F43" s="30"/>
      <c r="G43" s="30"/>
      <c r="H43" s="30"/>
      <c r="I43" s="13"/>
      <c r="J43" s="48">
        <f>SUM(J25:J42)</f>
        <v>559</v>
      </c>
      <c r="K43" s="49">
        <f>SUM(K25:K42)</f>
        <v>4700.0151000000014</v>
      </c>
      <c r="L43" s="31"/>
      <c r="N43" s="32"/>
    </row>
    <row r="44" spans="1:14" ht="20.25" customHeight="1" thickBot="1" x14ac:dyDescent="0.2">
      <c r="A44" s="55"/>
      <c r="B44" s="33"/>
      <c r="C44" s="33"/>
      <c r="D44" s="33"/>
      <c r="E44" s="33"/>
      <c r="F44" s="33"/>
      <c r="G44" s="33"/>
      <c r="H44" s="33"/>
      <c r="I44" s="33"/>
      <c r="J44" s="34"/>
      <c r="K44" s="35"/>
      <c r="L44" s="36"/>
    </row>
    <row r="45" spans="1:14" ht="20.25" customHeight="1" thickBot="1" x14ac:dyDescent="0.2">
      <c r="A45" s="37" t="s">
        <v>19</v>
      </c>
      <c r="B45" s="38" t="s">
        <v>20</v>
      </c>
      <c r="C45" s="77" t="s">
        <v>21</v>
      </c>
      <c r="D45" s="79"/>
      <c r="E45" s="77" t="s">
        <v>22</v>
      </c>
      <c r="F45" s="78"/>
      <c r="G45" s="79"/>
      <c r="H45" s="85" t="s">
        <v>23</v>
      </c>
      <c r="I45" s="86"/>
      <c r="J45" s="77" t="s">
        <v>24</v>
      </c>
      <c r="K45" s="79"/>
      <c r="L45" s="39" t="s">
        <v>13</v>
      </c>
    </row>
    <row r="46" spans="1:14" ht="20.25" customHeight="1" thickBot="1" x14ac:dyDescent="0.2">
      <c r="A46" s="40">
        <f>SUMIF($C$8:$C$44,"U1",$J$8:$J$44)</f>
        <v>2</v>
      </c>
      <c r="B46" s="41">
        <f>SUMIF($C$8:$C$44,"U2",$J$8:$J$44)</f>
        <v>31</v>
      </c>
      <c r="C46" s="77">
        <f>SUMIF($C$8:$C$44,"U3-1",$J$8:$J$44)</f>
        <v>0</v>
      </c>
      <c r="D46" s="79"/>
      <c r="E46" s="77">
        <f>SUMIF($C$8:$C$44,"U3",$J$8:$J$44)</f>
        <v>1132</v>
      </c>
      <c r="F46" s="78"/>
      <c r="G46" s="79"/>
      <c r="H46" s="77">
        <f>SUMIF($C$8:$C$44,"E5",$J$8:$J$44)</f>
        <v>0</v>
      </c>
      <c r="I46" s="79"/>
      <c r="J46" s="77">
        <f>SUM(A46:I46)</f>
        <v>1165</v>
      </c>
      <c r="K46" s="79"/>
      <c r="L46" s="42"/>
    </row>
    <row r="47" spans="1:14" ht="20.25" customHeight="1" thickBot="1" x14ac:dyDescent="0.2">
      <c r="A47" s="43" t="s">
        <v>25</v>
      </c>
      <c r="B47" s="44" t="s">
        <v>26</v>
      </c>
      <c r="C47" s="75">
        <v>13876</v>
      </c>
      <c r="D47" s="76"/>
      <c r="E47" s="77" t="s">
        <v>27</v>
      </c>
      <c r="F47" s="78"/>
      <c r="G47" s="78"/>
      <c r="H47" s="78"/>
      <c r="I47" s="79"/>
      <c r="J47" s="80">
        <v>146744.37</v>
      </c>
      <c r="K47" s="81"/>
      <c r="L47" s="82"/>
    </row>
    <row r="49" spans="4:4" x14ac:dyDescent="0.15">
      <c r="D49" s="45"/>
    </row>
  </sheetData>
  <mergeCells count="26">
    <mergeCell ref="L2:L4"/>
    <mergeCell ref="A1:G3"/>
    <mergeCell ref="H1:H4"/>
    <mergeCell ref="I2:I4"/>
    <mergeCell ref="J2:J4"/>
    <mergeCell ref="K2:K4"/>
    <mergeCell ref="B5:G5"/>
    <mergeCell ref="A6:A7"/>
    <mergeCell ref="B6:B7"/>
    <mergeCell ref="C6:C7"/>
    <mergeCell ref="D6:D7"/>
    <mergeCell ref="E6:E7"/>
    <mergeCell ref="F6:F7"/>
    <mergeCell ref="G6:K6"/>
    <mergeCell ref="C47:D47"/>
    <mergeCell ref="E47:I47"/>
    <mergeCell ref="J47:L47"/>
    <mergeCell ref="L6:L7"/>
    <mergeCell ref="C45:D45"/>
    <mergeCell ref="E45:G45"/>
    <mergeCell ref="H45:I45"/>
    <mergeCell ref="J45:K45"/>
    <mergeCell ref="C46:D46"/>
    <mergeCell ref="E46:G46"/>
    <mergeCell ref="H46:I46"/>
    <mergeCell ref="J46:K46"/>
  </mergeCells>
  <phoneticPr fontId="2" type="noConversion"/>
  <printOptions horizontalCentered="1"/>
  <pageMargins left="0.39370078740157483" right="0.39370078740157483" top="0.59055118110236227" bottom="0" header="0.31496062992125984" footer="0.15748031496062992"/>
  <pageSetup paperSize="9" scale="84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N47"/>
  <sheetViews>
    <sheetView view="pageBreakPreview" topLeftCell="A7" zoomScaleSheetLayoutView="100" workbookViewId="0">
      <selection activeCell="B28" sqref="B28:E29"/>
    </sheetView>
  </sheetViews>
  <sheetFormatPr defaultColWidth="8.88671875" defaultRowHeight="13.5" x14ac:dyDescent="0.15"/>
  <cols>
    <col min="1" max="1" width="8.44140625" style="3" customWidth="1"/>
    <col min="2" max="2" width="14.77734375" style="3" customWidth="1"/>
    <col min="3" max="3" width="4.109375" style="3" customWidth="1"/>
    <col min="4" max="4" width="15.21875" style="3" customWidth="1"/>
    <col min="5" max="5" width="4.44140625" style="3" customWidth="1"/>
    <col min="6" max="6" width="4" style="3" customWidth="1"/>
    <col min="7" max="7" width="5.5546875" style="3" customWidth="1"/>
    <col min="8" max="8" width="5.44140625" style="3" customWidth="1"/>
    <col min="9" max="9" width="7.88671875" style="3" customWidth="1"/>
    <col min="10" max="10" width="7.109375" style="3" customWidth="1"/>
    <col min="11" max="11" width="7.21875" style="3" customWidth="1"/>
    <col min="12" max="12" width="6.77734375" style="3" customWidth="1"/>
    <col min="13" max="16384" width="8.88671875" style="3"/>
  </cols>
  <sheetData>
    <row r="1" spans="1:14" ht="18.75" customHeight="1" x14ac:dyDescent="0.15">
      <c r="A1" s="101" t="s">
        <v>0</v>
      </c>
      <c r="B1" s="102"/>
      <c r="C1" s="102"/>
      <c r="D1" s="102"/>
      <c r="E1" s="102"/>
      <c r="F1" s="102"/>
      <c r="G1" s="103"/>
      <c r="H1" s="107" t="s">
        <v>1</v>
      </c>
      <c r="I1" s="1" t="s">
        <v>2</v>
      </c>
      <c r="J1" s="1" t="s">
        <v>2</v>
      </c>
      <c r="K1" s="1" t="s">
        <v>3</v>
      </c>
      <c r="L1" s="2" t="s">
        <v>4</v>
      </c>
    </row>
    <row r="2" spans="1:14" ht="13.5" customHeight="1" x14ac:dyDescent="0.15">
      <c r="A2" s="104"/>
      <c r="B2" s="105"/>
      <c r="C2" s="105"/>
      <c r="D2" s="105"/>
      <c r="E2" s="105"/>
      <c r="F2" s="105"/>
      <c r="G2" s="106"/>
      <c r="H2" s="108"/>
      <c r="I2" s="110"/>
      <c r="J2" s="110"/>
      <c r="K2" s="110"/>
      <c r="L2" s="98"/>
    </row>
    <row r="3" spans="1:14" ht="13.5" customHeight="1" x14ac:dyDescent="0.15">
      <c r="A3" s="104"/>
      <c r="B3" s="105"/>
      <c r="C3" s="105"/>
      <c r="D3" s="105"/>
      <c r="E3" s="105"/>
      <c r="F3" s="105"/>
      <c r="G3" s="106"/>
      <c r="H3" s="108"/>
      <c r="I3" s="108"/>
      <c r="J3" s="108"/>
      <c r="K3" s="108"/>
      <c r="L3" s="99"/>
    </row>
    <row r="4" spans="1:14" ht="33" customHeight="1" x14ac:dyDescent="0.15">
      <c r="A4" s="4"/>
      <c r="B4" s="5"/>
      <c r="C4" s="5"/>
      <c r="D4" s="5"/>
      <c r="E4" s="5"/>
      <c r="F4" s="5"/>
      <c r="G4" s="5"/>
      <c r="H4" s="109"/>
      <c r="I4" s="109"/>
      <c r="J4" s="109"/>
      <c r="K4" s="109"/>
      <c r="L4" s="100"/>
    </row>
    <row r="5" spans="1:14" ht="17.25" customHeight="1" x14ac:dyDescent="0.15">
      <c r="A5" s="6" t="s">
        <v>5</v>
      </c>
      <c r="B5" s="87">
        <v>46038</v>
      </c>
      <c r="C5" s="88"/>
      <c r="D5" s="88"/>
      <c r="E5" s="88"/>
      <c r="F5" s="88"/>
      <c r="G5" s="88"/>
      <c r="H5" s="5"/>
      <c r="I5" s="5"/>
      <c r="J5" s="5"/>
      <c r="K5" s="5"/>
      <c r="L5" s="7"/>
    </row>
    <row r="6" spans="1:14" ht="13.5" customHeight="1" x14ac:dyDescent="0.15">
      <c r="A6" s="89" t="s">
        <v>6</v>
      </c>
      <c r="B6" s="91" t="s">
        <v>7</v>
      </c>
      <c r="C6" s="91" t="s">
        <v>8</v>
      </c>
      <c r="D6" s="91" t="s">
        <v>9</v>
      </c>
      <c r="E6" s="93" t="s">
        <v>10</v>
      </c>
      <c r="F6" s="93" t="s">
        <v>11</v>
      </c>
      <c r="G6" s="95" t="s">
        <v>12</v>
      </c>
      <c r="H6" s="96"/>
      <c r="I6" s="96"/>
      <c r="J6" s="96"/>
      <c r="K6" s="97"/>
      <c r="L6" s="83" t="s">
        <v>13</v>
      </c>
    </row>
    <row r="7" spans="1:14" x14ac:dyDescent="0.15">
      <c r="A7" s="90"/>
      <c r="B7" s="92"/>
      <c r="C7" s="92"/>
      <c r="D7" s="92"/>
      <c r="E7" s="94"/>
      <c r="F7" s="94"/>
      <c r="G7" s="8" t="s">
        <v>14</v>
      </c>
      <c r="H7" s="8" t="s">
        <v>15</v>
      </c>
      <c r="I7" s="8" t="s">
        <v>16</v>
      </c>
      <c r="J7" s="8" t="s">
        <v>17</v>
      </c>
      <c r="K7" s="8" t="s">
        <v>18</v>
      </c>
      <c r="L7" s="84"/>
    </row>
    <row r="8" spans="1:14" s="15" customFormat="1" ht="20.25" customHeight="1" x14ac:dyDescent="0.15">
      <c r="A8" s="60" t="s">
        <v>537</v>
      </c>
      <c r="B8" s="9" t="s">
        <v>138</v>
      </c>
      <c r="C8" s="58" t="s">
        <v>29</v>
      </c>
      <c r="D8" s="11" t="s">
        <v>403</v>
      </c>
      <c r="E8" s="10">
        <v>24</v>
      </c>
      <c r="F8" s="10"/>
      <c r="G8" s="12">
        <v>1762</v>
      </c>
      <c r="H8" s="12">
        <v>1890</v>
      </c>
      <c r="I8" s="17">
        <v>10</v>
      </c>
      <c r="J8" s="18">
        <v>10</v>
      </c>
      <c r="K8" s="19">
        <f>+M8*N8</f>
        <v>362.637</v>
      </c>
      <c r="L8" s="14"/>
      <c r="M8" s="15">
        <v>33.299999999999997</v>
      </c>
      <c r="N8" s="15">
        <v>10.89</v>
      </c>
    </row>
    <row r="9" spans="1:14" s="15" customFormat="1" ht="20.25" customHeight="1" x14ac:dyDescent="0.15">
      <c r="A9" s="60" t="s">
        <v>538</v>
      </c>
      <c r="B9" s="9" t="s">
        <v>138</v>
      </c>
      <c r="C9" s="58" t="s">
        <v>29</v>
      </c>
      <c r="D9" s="11" t="s">
        <v>403</v>
      </c>
      <c r="E9" s="10">
        <v>24</v>
      </c>
      <c r="F9" s="10"/>
      <c r="G9" s="12">
        <v>1662</v>
      </c>
      <c r="H9" s="12">
        <v>1890</v>
      </c>
      <c r="I9" s="17">
        <v>10</v>
      </c>
      <c r="J9" s="18">
        <v>10</v>
      </c>
      <c r="K9" s="19">
        <f t="shared" ref="K9:K23" si="0">+M9*N9</f>
        <v>341.94600000000003</v>
      </c>
      <c r="L9" s="14"/>
      <c r="M9" s="15">
        <v>31.4</v>
      </c>
      <c r="N9" s="15">
        <v>10.89</v>
      </c>
    </row>
    <row r="10" spans="1:14" s="15" customFormat="1" ht="20.25" customHeight="1" x14ac:dyDescent="0.15">
      <c r="A10" s="60" t="s">
        <v>539</v>
      </c>
      <c r="B10" s="9" t="s">
        <v>184</v>
      </c>
      <c r="C10" s="58" t="s">
        <v>29</v>
      </c>
      <c r="D10" s="11" t="s">
        <v>201</v>
      </c>
      <c r="E10" s="10">
        <v>22</v>
      </c>
      <c r="F10" s="58"/>
      <c r="G10" s="12">
        <v>1716</v>
      </c>
      <c r="H10" s="12">
        <v>1817</v>
      </c>
      <c r="I10" s="17" t="s">
        <v>540</v>
      </c>
      <c r="J10" s="18">
        <v>180</v>
      </c>
      <c r="K10" s="19">
        <f t="shared" si="0"/>
        <v>1495.1970000000001</v>
      </c>
      <c r="L10" s="14"/>
      <c r="M10" s="15">
        <v>137.30000000000001</v>
      </c>
      <c r="N10" s="15">
        <v>10.89</v>
      </c>
    </row>
    <row r="11" spans="1:14" s="15" customFormat="1" ht="20.25" customHeight="1" x14ac:dyDescent="0.15">
      <c r="A11" s="60"/>
      <c r="B11" s="9"/>
      <c r="C11" s="58" t="s">
        <v>29</v>
      </c>
      <c r="D11" s="11" t="s">
        <v>195</v>
      </c>
      <c r="E11" s="10">
        <v>22</v>
      </c>
      <c r="F11" s="58"/>
      <c r="G11" s="12">
        <v>1716</v>
      </c>
      <c r="H11" s="12">
        <v>1817</v>
      </c>
      <c r="I11" s="17" t="s">
        <v>541</v>
      </c>
      <c r="J11" s="18">
        <v>150</v>
      </c>
      <c r="K11" s="19">
        <f t="shared" si="0"/>
        <v>1285.02</v>
      </c>
      <c r="L11" s="14"/>
      <c r="M11" s="15">
        <v>118</v>
      </c>
      <c r="N11" s="15">
        <v>10.89</v>
      </c>
    </row>
    <row r="12" spans="1:14" s="15" customFormat="1" ht="20.25" customHeight="1" x14ac:dyDescent="0.15">
      <c r="A12" s="60" t="s">
        <v>542</v>
      </c>
      <c r="B12" s="9" t="s">
        <v>184</v>
      </c>
      <c r="C12" s="58" t="s">
        <v>29</v>
      </c>
      <c r="D12" s="11" t="s">
        <v>201</v>
      </c>
      <c r="E12" s="10">
        <v>22</v>
      </c>
      <c r="F12" s="58"/>
      <c r="G12" s="12">
        <v>1716</v>
      </c>
      <c r="H12" s="12">
        <v>1817</v>
      </c>
      <c r="I12" s="17" t="s">
        <v>540</v>
      </c>
      <c r="J12" s="18">
        <v>180</v>
      </c>
      <c r="K12" s="19">
        <f t="shared" si="0"/>
        <v>1495.1970000000001</v>
      </c>
      <c r="L12" s="14"/>
      <c r="M12" s="15">
        <v>137.30000000000001</v>
      </c>
      <c r="N12" s="15">
        <v>10.89</v>
      </c>
    </row>
    <row r="13" spans="1:14" s="15" customFormat="1" ht="20.25" customHeight="1" x14ac:dyDescent="0.15">
      <c r="A13" s="60"/>
      <c r="B13" s="9"/>
      <c r="C13" s="58" t="s">
        <v>29</v>
      </c>
      <c r="D13" s="11" t="s">
        <v>195</v>
      </c>
      <c r="E13" s="10">
        <v>22</v>
      </c>
      <c r="F13" s="58"/>
      <c r="G13" s="12">
        <v>1716</v>
      </c>
      <c r="H13" s="12">
        <v>1817</v>
      </c>
      <c r="I13" s="17" t="s">
        <v>541</v>
      </c>
      <c r="J13" s="18">
        <v>150</v>
      </c>
      <c r="K13" s="19">
        <f t="shared" si="0"/>
        <v>1285.02</v>
      </c>
      <c r="L13" s="14"/>
      <c r="M13" s="15">
        <v>118</v>
      </c>
      <c r="N13" s="15">
        <v>10.89</v>
      </c>
    </row>
    <row r="14" spans="1:14" s="15" customFormat="1" ht="20.25" customHeight="1" x14ac:dyDescent="0.15">
      <c r="A14" s="60" t="s">
        <v>543</v>
      </c>
      <c r="B14" s="9" t="s">
        <v>184</v>
      </c>
      <c r="C14" s="58" t="s">
        <v>29</v>
      </c>
      <c r="D14" s="11" t="s">
        <v>201</v>
      </c>
      <c r="E14" s="10">
        <v>22</v>
      </c>
      <c r="F14" s="58"/>
      <c r="G14" s="12">
        <v>1716</v>
      </c>
      <c r="H14" s="12">
        <v>1817</v>
      </c>
      <c r="I14" s="17" t="s">
        <v>544</v>
      </c>
      <c r="J14" s="18">
        <v>60</v>
      </c>
      <c r="K14" s="19">
        <f t="shared" si="0"/>
        <v>933.27300000000002</v>
      </c>
      <c r="L14" s="20"/>
      <c r="M14" s="15">
        <v>85.7</v>
      </c>
      <c r="N14" s="15">
        <v>10.89</v>
      </c>
    </row>
    <row r="15" spans="1:14" s="15" customFormat="1" ht="20.25" customHeight="1" x14ac:dyDescent="0.15">
      <c r="A15" s="60"/>
      <c r="B15" s="9"/>
      <c r="C15" s="58"/>
      <c r="D15" s="11"/>
      <c r="E15" s="10"/>
      <c r="F15" s="58"/>
      <c r="G15" s="12"/>
      <c r="H15" s="12"/>
      <c r="I15" s="17"/>
      <c r="J15" s="18"/>
      <c r="K15" s="19">
        <f t="shared" si="0"/>
        <v>0</v>
      </c>
      <c r="L15" s="20"/>
      <c r="N15" s="15">
        <v>10.89</v>
      </c>
    </row>
    <row r="16" spans="1:14" s="15" customFormat="1" ht="20.25" customHeight="1" x14ac:dyDescent="0.15">
      <c r="A16" s="60"/>
      <c r="B16" s="9"/>
      <c r="C16" s="58"/>
      <c r="D16" s="11"/>
      <c r="E16" s="10"/>
      <c r="F16" s="58"/>
      <c r="G16" s="12"/>
      <c r="H16" s="12"/>
      <c r="I16" s="17"/>
      <c r="J16" s="18"/>
      <c r="K16" s="19">
        <f t="shared" si="0"/>
        <v>0</v>
      </c>
      <c r="L16" s="20"/>
      <c r="N16" s="15">
        <v>10.89</v>
      </c>
    </row>
    <row r="17" spans="1:14" s="15" customFormat="1" ht="20.25" customHeight="1" x14ac:dyDescent="0.15">
      <c r="A17" s="60"/>
      <c r="B17" s="9"/>
      <c r="C17" s="58"/>
      <c r="D17" s="11"/>
      <c r="E17" s="10"/>
      <c r="F17" s="58"/>
      <c r="G17" s="12"/>
      <c r="H17" s="12"/>
      <c r="I17" s="17"/>
      <c r="J17" s="18"/>
      <c r="K17" s="19">
        <f t="shared" si="0"/>
        <v>0</v>
      </c>
      <c r="L17" s="20"/>
      <c r="N17" s="15">
        <v>10.89</v>
      </c>
    </row>
    <row r="18" spans="1:14" s="15" customFormat="1" ht="20.25" customHeight="1" x14ac:dyDescent="0.15">
      <c r="A18" s="60"/>
      <c r="B18" s="9"/>
      <c r="C18" s="58"/>
      <c r="D18" s="11"/>
      <c r="E18" s="10"/>
      <c r="F18" s="58"/>
      <c r="G18" s="12"/>
      <c r="H18" s="12"/>
      <c r="I18" s="17"/>
      <c r="J18" s="18"/>
      <c r="K18" s="19">
        <f t="shared" si="0"/>
        <v>0</v>
      </c>
      <c r="L18" s="20"/>
      <c r="N18" s="15">
        <v>10.89</v>
      </c>
    </row>
    <row r="19" spans="1:14" s="15" customFormat="1" ht="20.25" customHeight="1" x14ac:dyDescent="0.15">
      <c r="A19" s="60"/>
      <c r="B19" s="9"/>
      <c r="C19" s="58"/>
      <c r="D19" s="11"/>
      <c r="E19" s="10"/>
      <c r="F19" s="58"/>
      <c r="G19" s="12"/>
      <c r="H19" s="12"/>
      <c r="I19" s="17"/>
      <c r="J19" s="18"/>
      <c r="K19" s="19">
        <f t="shared" si="0"/>
        <v>0</v>
      </c>
      <c r="L19" s="20"/>
      <c r="N19" s="15">
        <v>10.89</v>
      </c>
    </row>
    <row r="20" spans="1:14" s="15" customFormat="1" ht="20.25" customHeight="1" x14ac:dyDescent="0.15">
      <c r="A20" s="60"/>
      <c r="B20" s="9"/>
      <c r="C20" s="58"/>
      <c r="D20" s="11"/>
      <c r="E20" s="10"/>
      <c r="F20" s="58"/>
      <c r="G20" s="12"/>
      <c r="H20" s="12"/>
      <c r="I20" s="17"/>
      <c r="J20" s="18"/>
      <c r="K20" s="19">
        <f t="shared" si="0"/>
        <v>0</v>
      </c>
      <c r="L20" s="20"/>
      <c r="N20" s="15">
        <v>10.89</v>
      </c>
    </row>
    <row r="21" spans="1:14" s="15" customFormat="1" ht="20.25" customHeight="1" x14ac:dyDescent="0.15">
      <c r="A21" s="60"/>
      <c r="B21" s="9"/>
      <c r="C21" s="58"/>
      <c r="D21" s="11"/>
      <c r="E21" s="10"/>
      <c r="F21" s="58"/>
      <c r="G21" s="50"/>
      <c r="H21" s="50"/>
      <c r="I21" s="17"/>
      <c r="J21" s="18"/>
      <c r="K21" s="19">
        <f t="shared" si="0"/>
        <v>0</v>
      </c>
      <c r="L21" s="20"/>
      <c r="N21" s="15">
        <v>10.89</v>
      </c>
    </row>
    <row r="22" spans="1:14" s="15" customFormat="1" ht="20.25" customHeight="1" x14ac:dyDescent="0.15">
      <c r="A22" s="60"/>
      <c r="B22" s="9"/>
      <c r="C22" s="58"/>
      <c r="D22" s="11"/>
      <c r="E22" s="10"/>
      <c r="F22" s="58"/>
      <c r="G22" s="50"/>
      <c r="H22" s="50"/>
      <c r="I22" s="17"/>
      <c r="J22" s="18"/>
      <c r="K22" s="19">
        <f t="shared" si="0"/>
        <v>0</v>
      </c>
      <c r="L22" s="20"/>
      <c r="N22" s="15">
        <v>10.89</v>
      </c>
    </row>
    <row r="23" spans="1:14" ht="20.25" customHeight="1" x14ac:dyDescent="0.15">
      <c r="A23" s="60"/>
      <c r="B23" s="9"/>
      <c r="C23" s="58"/>
      <c r="D23" s="11"/>
      <c r="E23" s="10"/>
      <c r="F23" s="58"/>
      <c r="G23" s="16"/>
      <c r="H23" s="16"/>
      <c r="I23" s="17"/>
      <c r="J23" s="18"/>
      <c r="K23" s="19">
        <f t="shared" si="0"/>
        <v>0</v>
      </c>
      <c r="L23" s="20"/>
      <c r="N23" s="15">
        <v>10.89</v>
      </c>
    </row>
    <row r="24" spans="1:14" ht="20.25" customHeight="1" thickBot="1" x14ac:dyDescent="0.2">
      <c r="A24" s="56"/>
      <c r="B24" s="21"/>
      <c r="C24" s="59"/>
      <c r="D24" s="22"/>
      <c r="E24" s="23"/>
      <c r="F24" s="23"/>
      <c r="G24" s="24"/>
      <c r="H24" s="24"/>
      <c r="I24" s="25"/>
      <c r="J24" s="46">
        <f>SUM(J8:J23)</f>
        <v>740</v>
      </c>
      <c r="K24" s="47">
        <f>SUM(K8:K23)</f>
        <v>7198.29</v>
      </c>
      <c r="L24" s="26"/>
    </row>
    <row r="25" spans="1:14" ht="20.25" customHeight="1" thickTop="1" x14ac:dyDescent="0.15">
      <c r="A25" s="60" t="s">
        <v>545</v>
      </c>
      <c r="B25" s="9" t="s">
        <v>131</v>
      </c>
      <c r="C25" s="58" t="s">
        <v>29</v>
      </c>
      <c r="D25" s="11" t="s">
        <v>156</v>
      </c>
      <c r="E25" s="10">
        <v>22</v>
      </c>
      <c r="F25" s="10" t="s">
        <v>11</v>
      </c>
      <c r="G25" s="12">
        <v>764</v>
      </c>
      <c r="H25" s="12">
        <v>935</v>
      </c>
      <c r="I25" s="17" t="s">
        <v>546</v>
      </c>
      <c r="J25" s="18">
        <v>115</v>
      </c>
      <c r="K25" s="19">
        <f t="shared" ref="K25:K40" si="1">+M25*N25</f>
        <v>540.68849999999998</v>
      </c>
      <c r="L25" s="54"/>
      <c r="M25" s="3">
        <v>49.65</v>
      </c>
      <c r="N25" s="15">
        <v>10.89</v>
      </c>
    </row>
    <row r="26" spans="1:14" ht="20.25" customHeight="1" x14ac:dyDescent="0.15">
      <c r="A26" s="60" t="s">
        <v>547</v>
      </c>
      <c r="B26" s="9" t="s">
        <v>131</v>
      </c>
      <c r="C26" s="58" t="s">
        <v>29</v>
      </c>
      <c r="D26" s="11" t="s">
        <v>155</v>
      </c>
      <c r="E26" s="10">
        <v>22</v>
      </c>
      <c r="F26" s="58" t="s">
        <v>11</v>
      </c>
      <c r="G26" s="12">
        <v>1421</v>
      </c>
      <c r="H26" s="12">
        <v>1763</v>
      </c>
      <c r="I26" s="17" t="s">
        <v>548</v>
      </c>
      <c r="J26" s="18">
        <v>151</v>
      </c>
      <c r="K26" s="19">
        <f t="shared" si="1"/>
        <v>1297.1079</v>
      </c>
      <c r="L26" s="54"/>
      <c r="M26" s="3">
        <v>119.11</v>
      </c>
      <c r="N26" s="15">
        <v>10.89</v>
      </c>
    </row>
    <row r="27" spans="1:14" ht="20.25" customHeight="1" x14ac:dyDescent="0.15">
      <c r="A27" s="61"/>
      <c r="B27" s="9"/>
      <c r="C27" s="58" t="s">
        <v>29</v>
      </c>
      <c r="D27" s="11" t="s">
        <v>156</v>
      </c>
      <c r="E27" s="10">
        <v>22</v>
      </c>
      <c r="F27" s="58" t="s">
        <v>11</v>
      </c>
      <c r="G27" s="12">
        <v>1421</v>
      </c>
      <c r="H27" s="12">
        <v>1763</v>
      </c>
      <c r="I27" s="17" t="s">
        <v>541</v>
      </c>
      <c r="J27" s="18">
        <v>150</v>
      </c>
      <c r="K27" s="19">
        <f t="shared" si="1"/>
        <v>1289.3760000000002</v>
      </c>
      <c r="L27" s="54"/>
      <c r="M27" s="3">
        <v>118.4</v>
      </c>
      <c r="N27" s="15">
        <v>10.89</v>
      </c>
    </row>
    <row r="28" spans="1:14" ht="20.25" customHeight="1" x14ac:dyDescent="0.15">
      <c r="A28" s="61" t="s">
        <v>549</v>
      </c>
      <c r="B28" s="9" t="s">
        <v>131</v>
      </c>
      <c r="C28" s="58" t="s">
        <v>29</v>
      </c>
      <c r="D28" s="11" t="s">
        <v>155</v>
      </c>
      <c r="E28" s="10">
        <v>22</v>
      </c>
      <c r="F28" s="58" t="s">
        <v>11</v>
      </c>
      <c r="G28" s="12">
        <v>1421</v>
      </c>
      <c r="H28" s="12">
        <v>1763</v>
      </c>
      <c r="I28" s="17" t="s">
        <v>550</v>
      </c>
      <c r="J28" s="18">
        <v>140</v>
      </c>
      <c r="K28" s="19">
        <f t="shared" si="1"/>
        <v>1252.3500000000001</v>
      </c>
      <c r="L28" s="54"/>
      <c r="M28" s="3">
        <v>115</v>
      </c>
      <c r="N28" s="15">
        <v>10.89</v>
      </c>
    </row>
    <row r="29" spans="1:14" ht="20.25" customHeight="1" x14ac:dyDescent="0.15">
      <c r="A29" s="61"/>
      <c r="B29" s="9"/>
      <c r="C29" s="58" t="s">
        <v>29</v>
      </c>
      <c r="D29" s="11" t="s">
        <v>156</v>
      </c>
      <c r="E29" s="10">
        <v>22</v>
      </c>
      <c r="F29" s="58" t="s">
        <v>11</v>
      </c>
      <c r="G29" s="12">
        <v>1421</v>
      </c>
      <c r="H29" s="12">
        <v>1763</v>
      </c>
      <c r="I29" s="17" t="s">
        <v>550</v>
      </c>
      <c r="J29" s="18">
        <v>140</v>
      </c>
      <c r="K29" s="19">
        <f t="shared" si="1"/>
        <v>1252.3500000000001</v>
      </c>
      <c r="L29" s="54"/>
      <c r="M29" s="3">
        <v>115</v>
      </c>
      <c r="N29" s="15">
        <v>10.89</v>
      </c>
    </row>
    <row r="30" spans="1:14" ht="20.25" customHeight="1" x14ac:dyDescent="0.15">
      <c r="A30" s="61" t="s">
        <v>551</v>
      </c>
      <c r="B30" s="9" t="s">
        <v>131</v>
      </c>
      <c r="C30" s="58" t="s">
        <v>29</v>
      </c>
      <c r="D30" s="11" t="s">
        <v>155</v>
      </c>
      <c r="E30" s="10">
        <v>22</v>
      </c>
      <c r="F30" s="10" t="s">
        <v>11</v>
      </c>
      <c r="G30" s="12">
        <v>1421</v>
      </c>
      <c r="H30" s="12">
        <v>1763</v>
      </c>
      <c r="I30" s="51" t="s">
        <v>552</v>
      </c>
      <c r="J30" s="52">
        <v>60</v>
      </c>
      <c r="K30" s="53">
        <f t="shared" si="1"/>
        <v>1133.6489999999999</v>
      </c>
      <c r="L30" s="54"/>
      <c r="M30" s="3">
        <v>104.1</v>
      </c>
      <c r="N30" s="15">
        <v>10.89</v>
      </c>
    </row>
    <row r="31" spans="1:14" ht="20.25" customHeight="1" x14ac:dyDescent="0.15">
      <c r="A31" s="61"/>
      <c r="B31" s="9"/>
      <c r="C31" s="58"/>
      <c r="D31" s="11"/>
      <c r="E31" s="10"/>
      <c r="F31" s="10"/>
      <c r="G31" s="12"/>
      <c r="H31" s="12"/>
      <c r="I31" s="51"/>
      <c r="J31" s="52"/>
      <c r="K31" s="53">
        <f t="shared" si="1"/>
        <v>0</v>
      </c>
      <c r="L31" s="54"/>
      <c r="N31" s="15">
        <v>10.89</v>
      </c>
    </row>
    <row r="32" spans="1:14" ht="20.25" customHeight="1" x14ac:dyDescent="0.15">
      <c r="A32" s="60"/>
      <c r="B32" s="9"/>
      <c r="C32" s="58"/>
      <c r="D32" s="11"/>
      <c r="E32" s="10"/>
      <c r="F32" s="10"/>
      <c r="G32" s="12"/>
      <c r="H32" s="12"/>
      <c r="I32" s="17"/>
      <c r="J32" s="18"/>
      <c r="K32" s="19">
        <f t="shared" si="1"/>
        <v>0</v>
      </c>
      <c r="L32" s="27"/>
      <c r="N32" s="15">
        <v>10.89</v>
      </c>
    </row>
    <row r="33" spans="1:14" ht="20.25" customHeight="1" x14ac:dyDescent="0.15">
      <c r="A33" s="60"/>
      <c r="B33" s="9"/>
      <c r="C33" s="58"/>
      <c r="D33" s="11"/>
      <c r="E33" s="10"/>
      <c r="F33" s="10"/>
      <c r="G33" s="12"/>
      <c r="H33" s="12"/>
      <c r="I33" s="17"/>
      <c r="J33" s="18"/>
      <c r="K33" s="19">
        <f t="shared" si="1"/>
        <v>0</v>
      </c>
      <c r="L33" s="27"/>
      <c r="N33" s="15">
        <v>10.89</v>
      </c>
    </row>
    <row r="34" spans="1:14" ht="20.25" customHeight="1" x14ac:dyDescent="0.15">
      <c r="A34" s="60"/>
      <c r="B34" s="9"/>
      <c r="C34" s="58"/>
      <c r="D34" s="11"/>
      <c r="E34" s="10"/>
      <c r="F34" s="10"/>
      <c r="G34" s="12"/>
      <c r="H34" s="12"/>
      <c r="I34" s="17"/>
      <c r="J34" s="18"/>
      <c r="K34" s="19">
        <f t="shared" si="1"/>
        <v>0</v>
      </c>
      <c r="L34" s="27"/>
      <c r="N34" s="15">
        <v>10.89</v>
      </c>
    </row>
    <row r="35" spans="1:14" ht="20.25" customHeight="1" x14ac:dyDescent="0.15">
      <c r="A35" s="60"/>
      <c r="B35" s="9"/>
      <c r="C35" s="58"/>
      <c r="D35" s="11"/>
      <c r="E35" s="10"/>
      <c r="F35" s="10"/>
      <c r="G35" s="12"/>
      <c r="H35" s="12"/>
      <c r="I35" s="17"/>
      <c r="J35" s="18"/>
      <c r="K35" s="19">
        <f t="shared" si="1"/>
        <v>0</v>
      </c>
      <c r="L35" s="27"/>
      <c r="N35" s="15">
        <v>10.89</v>
      </c>
    </row>
    <row r="36" spans="1:14" ht="20.25" customHeight="1" x14ac:dyDescent="0.15">
      <c r="A36" s="60"/>
      <c r="B36" s="9"/>
      <c r="C36" s="58"/>
      <c r="D36" s="11"/>
      <c r="E36" s="10"/>
      <c r="F36" s="10"/>
      <c r="G36" s="12"/>
      <c r="H36" s="12"/>
      <c r="I36" s="17"/>
      <c r="J36" s="18"/>
      <c r="K36" s="19">
        <f t="shared" si="1"/>
        <v>0</v>
      </c>
      <c r="L36" s="27"/>
      <c r="N36" s="15">
        <v>10.89</v>
      </c>
    </row>
    <row r="37" spans="1:14" ht="20.25" customHeight="1" x14ac:dyDescent="0.15">
      <c r="A37" s="60"/>
      <c r="B37" s="9"/>
      <c r="C37" s="58"/>
      <c r="D37" s="11"/>
      <c r="E37" s="10"/>
      <c r="F37" s="10"/>
      <c r="G37" s="12"/>
      <c r="H37" s="12"/>
      <c r="I37" s="17"/>
      <c r="J37" s="18"/>
      <c r="K37" s="19">
        <f t="shared" si="1"/>
        <v>0</v>
      </c>
      <c r="L37" s="27"/>
      <c r="N37" s="15">
        <v>10.89</v>
      </c>
    </row>
    <row r="38" spans="1:14" ht="20.25" customHeight="1" x14ac:dyDescent="0.15">
      <c r="A38" s="60"/>
      <c r="B38" s="9"/>
      <c r="C38" s="58"/>
      <c r="D38" s="11"/>
      <c r="E38" s="10"/>
      <c r="F38" s="10"/>
      <c r="G38" s="12"/>
      <c r="H38" s="12"/>
      <c r="I38" s="17"/>
      <c r="J38" s="18"/>
      <c r="K38" s="19">
        <f t="shared" si="1"/>
        <v>0</v>
      </c>
      <c r="L38" s="27"/>
      <c r="N38" s="15">
        <v>10.89</v>
      </c>
    </row>
    <row r="39" spans="1:14" ht="20.25" customHeight="1" x14ac:dyDescent="0.15">
      <c r="A39" s="60"/>
      <c r="B39" s="9"/>
      <c r="C39" s="58"/>
      <c r="D39" s="11"/>
      <c r="E39" s="10"/>
      <c r="F39" s="10"/>
      <c r="G39" s="12"/>
      <c r="H39" s="12"/>
      <c r="I39" s="17"/>
      <c r="J39" s="18"/>
      <c r="K39" s="19">
        <f t="shared" si="1"/>
        <v>0</v>
      </c>
      <c r="L39" s="27"/>
      <c r="N39" s="15">
        <v>10.89</v>
      </c>
    </row>
    <row r="40" spans="1:14" ht="20.25" customHeight="1" x14ac:dyDescent="0.15">
      <c r="A40" s="60"/>
      <c r="B40" s="9"/>
      <c r="C40" s="58"/>
      <c r="D40" s="11"/>
      <c r="E40" s="10"/>
      <c r="F40" s="10"/>
      <c r="G40" s="12"/>
      <c r="H40" s="12"/>
      <c r="I40" s="17"/>
      <c r="J40" s="18"/>
      <c r="K40" s="19">
        <f t="shared" si="1"/>
        <v>0</v>
      </c>
      <c r="L40" s="27"/>
      <c r="N40" s="15">
        <v>10.89</v>
      </c>
    </row>
    <row r="41" spans="1:14" ht="20.25" customHeight="1" x14ac:dyDescent="0.15">
      <c r="A41" s="57"/>
      <c r="B41" s="28"/>
      <c r="C41" s="10"/>
      <c r="D41" s="29"/>
      <c r="E41" s="30"/>
      <c r="F41" s="30"/>
      <c r="G41" s="30"/>
      <c r="H41" s="30"/>
      <c r="I41" s="13"/>
      <c r="J41" s="48">
        <f>SUM(J25:J40)</f>
        <v>756</v>
      </c>
      <c r="K41" s="49">
        <f>SUM(K25:K40)</f>
        <v>6765.5214000000014</v>
      </c>
      <c r="L41" s="31"/>
      <c r="N41" s="32"/>
    </row>
    <row r="42" spans="1:14" ht="20.25" customHeight="1" thickBot="1" x14ac:dyDescent="0.2">
      <c r="A42" s="55"/>
      <c r="B42" s="33"/>
      <c r="C42" s="33"/>
      <c r="D42" s="33"/>
      <c r="E42" s="33"/>
      <c r="F42" s="33"/>
      <c r="G42" s="33"/>
      <c r="H42" s="33"/>
      <c r="I42" s="33"/>
      <c r="J42" s="34"/>
      <c r="K42" s="35"/>
      <c r="L42" s="36"/>
    </row>
    <row r="43" spans="1:14" ht="20.25" customHeight="1" thickBot="1" x14ac:dyDescent="0.2">
      <c r="A43" s="37" t="s">
        <v>19</v>
      </c>
      <c r="B43" s="38" t="s">
        <v>20</v>
      </c>
      <c r="C43" s="77" t="s">
        <v>21</v>
      </c>
      <c r="D43" s="79"/>
      <c r="E43" s="77" t="s">
        <v>22</v>
      </c>
      <c r="F43" s="78"/>
      <c r="G43" s="79"/>
      <c r="H43" s="85" t="s">
        <v>23</v>
      </c>
      <c r="I43" s="86"/>
      <c r="J43" s="77" t="s">
        <v>24</v>
      </c>
      <c r="K43" s="79"/>
      <c r="L43" s="39" t="s">
        <v>13</v>
      </c>
    </row>
    <row r="44" spans="1:14" ht="20.25" customHeight="1" thickBot="1" x14ac:dyDescent="0.2">
      <c r="A44" s="40">
        <f>SUMIF($C$8:$C$42,"U1",$J$8:$J$42)</f>
        <v>0</v>
      </c>
      <c r="B44" s="41">
        <f>SUMIF($C$8:$C$42,"U2",$J$8:$J$42)</f>
        <v>0</v>
      </c>
      <c r="C44" s="77">
        <f>SUMIF($C$8:$C$42,"U3-1",$J$8:$J$42)</f>
        <v>0</v>
      </c>
      <c r="D44" s="79"/>
      <c r="E44" s="77">
        <f>SUMIF($C$8:$C$42,"U3",$J$8:$J$42)</f>
        <v>1496</v>
      </c>
      <c r="F44" s="78"/>
      <c r="G44" s="79"/>
      <c r="H44" s="77">
        <f>SUMIF($C$8:$C$42,"E5",$J$8:$J$42)</f>
        <v>0</v>
      </c>
      <c r="I44" s="79"/>
      <c r="J44" s="77">
        <f>SUM(A44:I44)</f>
        <v>1496</v>
      </c>
      <c r="K44" s="79"/>
      <c r="L44" s="42"/>
    </row>
    <row r="45" spans="1:14" ht="20.25" customHeight="1" thickBot="1" x14ac:dyDescent="0.2">
      <c r="A45" s="43" t="s">
        <v>25</v>
      </c>
      <c r="B45" s="44" t="s">
        <v>26</v>
      </c>
      <c r="C45" s="75">
        <v>13876</v>
      </c>
      <c r="D45" s="76"/>
      <c r="E45" s="77" t="s">
        <v>27</v>
      </c>
      <c r="F45" s="78"/>
      <c r="G45" s="78"/>
      <c r="H45" s="78"/>
      <c r="I45" s="79"/>
      <c r="J45" s="80">
        <v>146744.37</v>
      </c>
      <c r="K45" s="81"/>
      <c r="L45" s="82"/>
    </row>
    <row r="47" spans="1:14" x14ac:dyDescent="0.15">
      <c r="D47" s="45"/>
    </row>
  </sheetData>
  <mergeCells count="26">
    <mergeCell ref="C45:D45"/>
    <mergeCell ref="E45:I45"/>
    <mergeCell ref="J45:L45"/>
    <mergeCell ref="L6:L7"/>
    <mergeCell ref="C43:D43"/>
    <mergeCell ref="E43:G43"/>
    <mergeCell ref="H43:I43"/>
    <mergeCell ref="J43:K43"/>
    <mergeCell ref="C44:D44"/>
    <mergeCell ref="E44:G44"/>
    <mergeCell ref="H44:I44"/>
    <mergeCell ref="J44:K44"/>
    <mergeCell ref="B5:G5"/>
    <mergeCell ref="A6:A7"/>
    <mergeCell ref="B6:B7"/>
    <mergeCell ref="C6:C7"/>
    <mergeCell ref="D6:D7"/>
    <mergeCell ref="E6:E7"/>
    <mergeCell ref="F6:F7"/>
    <mergeCell ref="G6:K6"/>
    <mergeCell ref="L2:L4"/>
    <mergeCell ref="A1:G3"/>
    <mergeCell ref="H1:H4"/>
    <mergeCell ref="I2:I4"/>
    <mergeCell ref="J2:J4"/>
    <mergeCell ref="K2:K4"/>
  </mergeCells>
  <phoneticPr fontId="2" type="noConversion"/>
  <printOptions horizontalCentered="1"/>
  <pageMargins left="0.39370078740157483" right="0.39370078740157483" top="0.74803149606299213" bottom="0.19685039370078741" header="0.31496062992125984" footer="0.15748031496062992"/>
  <pageSetup paperSize="9" scale="84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N47"/>
  <sheetViews>
    <sheetView view="pageBreakPreview" topLeftCell="A7" zoomScaleSheetLayoutView="100" workbookViewId="0">
      <selection activeCell="C27" sqref="C27:E27"/>
    </sheetView>
  </sheetViews>
  <sheetFormatPr defaultColWidth="8.88671875" defaultRowHeight="13.5" x14ac:dyDescent="0.15"/>
  <cols>
    <col min="1" max="1" width="8.44140625" style="3" customWidth="1"/>
    <col min="2" max="2" width="14.77734375" style="3" customWidth="1"/>
    <col min="3" max="3" width="4.109375" style="3" customWidth="1"/>
    <col min="4" max="4" width="15.21875" style="3" customWidth="1"/>
    <col min="5" max="5" width="4.44140625" style="3" customWidth="1"/>
    <col min="6" max="6" width="4" style="3" customWidth="1"/>
    <col min="7" max="7" width="5.5546875" style="3" customWidth="1"/>
    <col min="8" max="8" width="5.44140625" style="3" customWidth="1"/>
    <col min="9" max="9" width="7.88671875" style="3" customWidth="1"/>
    <col min="10" max="10" width="7.109375" style="3" customWidth="1"/>
    <col min="11" max="11" width="7.21875" style="3" customWidth="1"/>
    <col min="12" max="12" width="6.77734375" style="3" customWidth="1"/>
    <col min="13" max="16384" width="8.88671875" style="3"/>
  </cols>
  <sheetData>
    <row r="1" spans="1:14" ht="18.75" customHeight="1" x14ac:dyDescent="0.15">
      <c r="A1" s="101" t="s">
        <v>0</v>
      </c>
      <c r="B1" s="102"/>
      <c r="C1" s="102"/>
      <c r="D1" s="102"/>
      <c r="E1" s="102"/>
      <c r="F1" s="102"/>
      <c r="G1" s="103"/>
      <c r="H1" s="107" t="s">
        <v>1</v>
      </c>
      <c r="I1" s="1" t="s">
        <v>2</v>
      </c>
      <c r="J1" s="1" t="s">
        <v>2</v>
      </c>
      <c r="K1" s="1" t="s">
        <v>3</v>
      </c>
      <c r="L1" s="2" t="s">
        <v>4</v>
      </c>
    </row>
    <row r="2" spans="1:14" ht="13.5" customHeight="1" x14ac:dyDescent="0.15">
      <c r="A2" s="104"/>
      <c r="B2" s="105"/>
      <c r="C2" s="105"/>
      <c r="D2" s="105"/>
      <c r="E2" s="105"/>
      <c r="F2" s="105"/>
      <c r="G2" s="106"/>
      <c r="H2" s="108"/>
      <c r="I2" s="110"/>
      <c r="J2" s="110"/>
      <c r="K2" s="110"/>
      <c r="L2" s="98"/>
    </row>
    <row r="3" spans="1:14" ht="13.5" customHeight="1" x14ac:dyDescent="0.15">
      <c r="A3" s="104"/>
      <c r="B3" s="105"/>
      <c r="C3" s="105"/>
      <c r="D3" s="105"/>
      <c r="E3" s="105"/>
      <c r="F3" s="105"/>
      <c r="G3" s="106"/>
      <c r="H3" s="108"/>
      <c r="I3" s="108"/>
      <c r="J3" s="108"/>
      <c r="K3" s="108"/>
      <c r="L3" s="99"/>
    </row>
    <row r="4" spans="1:14" ht="33" customHeight="1" x14ac:dyDescent="0.15">
      <c r="A4" s="4"/>
      <c r="B4" s="5"/>
      <c r="C4" s="5"/>
      <c r="D4" s="5"/>
      <c r="E4" s="5"/>
      <c r="F4" s="5"/>
      <c r="G4" s="5"/>
      <c r="H4" s="109"/>
      <c r="I4" s="109"/>
      <c r="J4" s="109"/>
      <c r="K4" s="109"/>
      <c r="L4" s="100"/>
    </row>
    <row r="5" spans="1:14" ht="17.25" customHeight="1" x14ac:dyDescent="0.15">
      <c r="A5" s="6" t="s">
        <v>5</v>
      </c>
      <c r="B5" s="87">
        <v>46039</v>
      </c>
      <c r="C5" s="88"/>
      <c r="D5" s="88"/>
      <c r="E5" s="88"/>
      <c r="F5" s="88"/>
      <c r="G5" s="88"/>
      <c r="H5" s="5"/>
      <c r="I5" s="5"/>
      <c r="J5" s="5"/>
      <c r="K5" s="5"/>
      <c r="L5" s="7"/>
    </row>
    <row r="6" spans="1:14" ht="13.5" customHeight="1" x14ac:dyDescent="0.15">
      <c r="A6" s="89" t="s">
        <v>6</v>
      </c>
      <c r="B6" s="91" t="s">
        <v>7</v>
      </c>
      <c r="C6" s="91" t="s">
        <v>8</v>
      </c>
      <c r="D6" s="91" t="s">
        <v>9</v>
      </c>
      <c r="E6" s="93" t="s">
        <v>10</v>
      </c>
      <c r="F6" s="93" t="s">
        <v>11</v>
      </c>
      <c r="G6" s="95" t="s">
        <v>12</v>
      </c>
      <c r="H6" s="96"/>
      <c r="I6" s="96"/>
      <c r="J6" s="96"/>
      <c r="K6" s="97"/>
      <c r="L6" s="83" t="s">
        <v>13</v>
      </c>
    </row>
    <row r="7" spans="1:14" x14ac:dyDescent="0.15">
      <c r="A7" s="90"/>
      <c r="B7" s="92"/>
      <c r="C7" s="92"/>
      <c r="D7" s="92"/>
      <c r="E7" s="94"/>
      <c r="F7" s="94"/>
      <c r="G7" s="8" t="s">
        <v>14</v>
      </c>
      <c r="H7" s="8" t="s">
        <v>15</v>
      </c>
      <c r="I7" s="8" t="s">
        <v>16</v>
      </c>
      <c r="J7" s="8" t="s">
        <v>17</v>
      </c>
      <c r="K7" s="8" t="s">
        <v>18</v>
      </c>
      <c r="L7" s="84"/>
    </row>
    <row r="8" spans="1:14" s="15" customFormat="1" ht="20.25" customHeight="1" x14ac:dyDescent="0.15">
      <c r="A8" s="60" t="s">
        <v>553</v>
      </c>
      <c r="B8" s="9" t="s">
        <v>127</v>
      </c>
      <c r="C8" s="58" t="s">
        <v>29</v>
      </c>
      <c r="D8" s="11" t="s">
        <v>554</v>
      </c>
      <c r="E8" s="10">
        <v>28</v>
      </c>
      <c r="F8" s="58" t="s">
        <v>11</v>
      </c>
      <c r="G8" s="12">
        <v>960</v>
      </c>
      <c r="H8" s="12">
        <v>1435</v>
      </c>
      <c r="I8" s="17" t="s">
        <v>555</v>
      </c>
      <c r="J8" s="18">
        <v>16</v>
      </c>
      <c r="K8" s="19">
        <f>+M8*N8</f>
        <v>172.60650000000001</v>
      </c>
      <c r="L8" s="14"/>
      <c r="M8" s="15">
        <v>15.85</v>
      </c>
      <c r="N8" s="15">
        <v>10.89</v>
      </c>
    </row>
    <row r="9" spans="1:14" s="15" customFormat="1" ht="20.25" customHeight="1" x14ac:dyDescent="0.15">
      <c r="A9" s="60" t="s">
        <v>556</v>
      </c>
      <c r="B9" s="9" t="s">
        <v>127</v>
      </c>
      <c r="C9" s="58" t="s">
        <v>29</v>
      </c>
      <c r="D9" s="11" t="s">
        <v>554</v>
      </c>
      <c r="E9" s="10">
        <v>28</v>
      </c>
      <c r="F9" s="58" t="s">
        <v>11</v>
      </c>
      <c r="G9" s="12">
        <v>960</v>
      </c>
      <c r="H9" s="12">
        <v>1435</v>
      </c>
      <c r="I9" s="17" t="s">
        <v>557</v>
      </c>
      <c r="J9" s="18">
        <v>20</v>
      </c>
      <c r="K9" s="19">
        <f t="shared" ref="K9:K23" si="0">+M9*N9</f>
        <v>214.42410000000004</v>
      </c>
      <c r="L9" s="14"/>
      <c r="M9" s="15">
        <v>19.690000000000001</v>
      </c>
      <c r="N9" s="15">
        <v>10.89</v>
      </c>
    </row>
    <row r="10" spans="1:14" s="15" customFormat="1" ht="20.25" customHeight="1" x14ac:dyDescent="0.15">
      <c r="A10" s="60" t="s">
        <v>558</v>
      </c>
      <c r="B10" s="9" t="s">
        <v>127</v>
      </c>
      <c r="C10" s="58" t="s">
        <v>29</v>
      </c>
      <c r="D10" s="11" t="s">
        <v>554</v>
      </c>
      <c r="E10" s="10">
        <v>28</v>
      </c>
      <c r="F10" s="58" t="s">
        <v>11</v>
      </c>
      <c r="G10" s="12">
        <v>891</v>
      </c>
      <c r="H10" s="12">
        <v>1559</v>
      </c>
      <c r="I10" s="17" t="s">
        <v>559</v>
      </c>
      <c r="J10" s="18">
        <v>20</v>
      </c>
      <c r="K10" s="19">
        <f t="shared" si="0"/>
        <v>221.61150000000004</v>
      </c>
      <c r="L10" s="14"/>
      <c r="M10" s="15">
        <v>20.350000000000001</v>
      </c>
      <c r="N10" s="15">
        <v>10.89</v>
      </c>
    </row>
    <row r="11" spans="1:14" s="15" customFormat="1" ht="20.25" customHeight="1" x14ac:dyDescent="0.15">
      <c r="A11" s="60" t="s">
        <v>560</v>
      </c>
      <c r="B11" s="9" t="s">
        <v>127</v>
      </c>
      <c r="C11" s="58" t="s">
        <v>29</v>
      </c>
      <c r="D11" s="11" t="s">
        <v>554</v>
      </c>
      <c r="E11" s="10">
        <v>28</v>
      </c>
      <c r="F11" s="58" t="s">
        <v>11</v>
      </c>
      <c r="G11" s="12">
        <v>960</v>
      </c>
      <c r="H11" s="12">
        <v>1585</v>
      </c>
      <c r="I11" s="17" t="s">
        <v>561</v>
      </c>
      <c r="J11" s="18">
        <v>20</v>
      </c>
      <c r="K11" s="19">
        <f t="shared" si="0"/>
        <v>224.44290000000001</v>
      </c>
      <c r="L11" s="14"/>
      <c r="M11" s="15">
        <v>20.61</v>
      </c>
      <c r="N11" s="15">
        <v>10.89</v>
      </c>
    </row>
    <row r="12" spans="1:14" s="15" customFormat="1" ht="20.25" customHeight="1" x14ac:dyDescent="0.15">
      <c r="A12" s="60" t="s">
        <v>562</v>
      </c>
      <c r="B12" s="9" t="s">
        <v>127</v>
      </c>
      <c r="C12" s="58" t="s">
        <v>29</v>
      </c>
      <c r="D12" s="11" t="s">
        <v>554</v>
      </c>
      <c r="E12" s="10">
        <v>28</v>
      </c>
      <c r="F12" s="58" t="s">
        <v>11</v>
      </c>
      <c r="G12" s="12">
        <v>960</v>
      </c>
      <c r="H12" s="12">
        <v>1440</v>
      </c>
      <c r="I12" s="17" t="s">
        <v>563</v>
      </c>
      <c r="J12" s="18">
        <v>11</v>
      </c>
      <c r="K12" s="19">
        <f t="shared" si="0"/>
        <v>112.0581</v>
      </c>
      <c r="L12" s="14"/>
      <c r="M12" s="15">
        <v>10.29</v>
      </c>
      <c r="N12" s="15">
        <v>10.89</v>
      </c>
    </row>
    <row r="13" spans="1:14" s="15" customFormat="1" ht="20.25" customHeight="1" x14ac:dyDescent="0.15">
      <c r="A13" s="60" t="s">
        <v>564</v>
      </c>
      <c r="B13" s="9" t="s">
        <v>127</v>
      </c>
      <c r="C13" s="58" t="s">
        <v>29</v>
      </c>
      <c r="D13" s="11" t="s">
        <v>554</v>
      </c>
      <c r="E13" s="10">
        <v>28</v>
      </c>
      <c r="F13" s="58" t="s">
        <v>11</v>
      </c>
      <c r="G13" s="12">
        <v>960</v>
      </c>
      <c r="H13" s="12">
        <v>950</v>
      </c>
      <c r="I13" s="17" t="s">
        <v>565</v>
      </c>
      <c r="J13" s="18">
        <v>6</v>
      </c>
      <c r="K13" s="19">
        <f t="shared" si="0"/>
        <v>85.050899999999999</v>
      </c>
      <c r="L13" s="14"/>
      <c r="M13" s="15">
        <v>7.81</v>
      </c>
      <c r="N13" s="15">
        <v>10.89</v>
      </c>
    </row>
    <row r="14" spans="1:14" s="15" customFormat="1" ht="20.25" customHeight="1" x14ac:dyDescent="0.15">
      <c r="A14" s="60" t="s">
        <v>543</v>
      </c>
      <c r="B14" s="9" t="s">
        <v>184</v>
      </c>
      <c r="C14" s="58" t="s">
        <v>29</v>
      </c>
      <c r="D14" s="11" t="s">
        <v>201</v>
      </c>
      <c r="E14" s="10">
        <v>22</v>
      </c>
      <c r="F14" s="58"/>
      <c r="G14" s="12">
        <v>751</v>
      </c>
      <c r="H14" s="12">
        <v>947</v>
      </c>
      <c r="I14" s="17" t="s">
        <v>566</v>
      </c>
      <c r="J14" s="18">
        <v>120</v>
      </c>
      <c r="K14" s="19">
        <f t="shared" si="0"/>
        <v>561.92400000000009</v>
      </c>
      <c r="L14" s="20"/>
      <c r="M14" s="15">
        <v>51.6</v>
      </c>
      <c r="N14" s="15">
        <v>10.89</v>
      </c>
    </row>
    <row r="15" spans="1:14" s="15" customFormat="1" ht="20.25" customHeight="1" x14ac:dyDescent="0.15">
      <c r="A15" s="60"/>
      <c r="B15" s="9"/>
      <c r="C15" s="58" t="s">
        <v>29</v>
      </c>
      <c r="D15" s="11" t="s">
        <v>195</v>
      </c>
      <c r="E15" s="10">
        <v>22</v>
      </c>
      <c r="F15" s="58"/>
      <c r="G15" s="12">
        <v>1716</v>
      </c>
      <c r="H15" s="12">
        <v>1817</v>
      </c>
      <c r="I15" s="17" t="s">
        <v>541</v>
      </c>
      <c r="J15" s="18">
        <v>150</v>
      </c>
      <c r="K15" s="19">
        <f t="shared" si="0"/>
        <v>1285.02</v>
      </c>
      <c r="L15" s="20"/>
      <c r="M15" s="15">
        <v>118</v>
      </c>
      <c r="N15" s="15">
        <v>10.89</v>
      </c>
    </row>
    <row r="16" spans="1:14" s="15" customFormat="1" ht="20.25" customHeight="1" x14ac:dyDescent="0.15">
      <c r="A16" s="60" t="s">
        <v>567</v>
      </c>
      <c r="B16" s="9" t="s">
        <v>184</v>
      </c>
      <c r="C16" s="58" t="s">
        <v>29</v>
      </c>
      <c r="D16" s="11" t="s">
        <v>201</v>
      </c>
      <c r="E16" s="10">
        <v>22</v>
      </c>
      <c r="F16" s="58"/>
      <c r="G16" s="12">
        <v>1716</v>
      </c>
      <c r="H16" s="12">
        <v>1817</v>
      </c>
      <c r="I16" s="17" t="s">
        <v>568</v>
      </c>
      <c r="J16" s="18">
        <v>80</v>
      </c>
      <c r="K16" s="19">
        <f t="shared" si="0"/>
        <v>1087.9110000000001</v>
      </c>
      <c r="L16" s="20"/>
      <c r="M16" s="15">
        <v>99.9</v>
      </c>
      <c r="N16" s="15">
        <v>10.89</v>
      </c>
    </row>
    <row r="17" spans="1:14" s="15" customFormat="1" ht="20.25" customHeight="1" x14ac:dyDescent="0.15">
      <c r="A17" s="60"/>
      <c r="B17" s="9"/>
      <c r="C17" s="58"/>
      <c r="D17" s="11"/>
      <c r="E17" s="10"/>
      <c r="F17" s="58"/>
      <c r="G17" s="12"/>
      <c r="H17" s="12"/>
      <c r="I17" s="17"/>
      <c r="J17" s="18"/>
      <c r="K17" s="19">
        <f t="shared" si="0"/>
        <v>0</v>
      </c>
      <c r="L17" s="20"/>
      <c r="N17" s="15">
        <v>10.89</v>
      </c>
    </row>
    <row r="18" spans="1:14" s="15" customFormat="1" ht="20.25" customHeight="1" x14ac:dyDescent="0.15">
      <c r="A18" s="60"/>
      <c r="B18" s="9"/>
      <c r="C18" s="58"/>
      <c r="D18" s="11"/>
      <c r="E18" s="10"/>
      <c r="F18" s="58"/>
      <c r="G18" s="12"/>
      <c r="H18" s="12"/>
      <c r="I18" s="17"/>
      <c r="J18" s="18"/>
      <c r="K18" s="19">
        <f t="shared" si="0"/>
        <v>0</v>
      </c>
      <c r="L18" s="20"/>
      <c r="N18" s="15">
        <v>10.89</v>
      </c>
    </row>
    <row r="19" spans="1:14" s="15" customFormat="1" ht="20.25" customHeight="1" x14ac:dyDescent="0.15">
      <c r="A19" s="60"/>
      <c r="B19" s="9"/>
      <c r="C19" s="58"/>
      <c r="D19" s="11"/>
      <c r="E19" s="10"/>
      <c r="F19" s="58"/>
      <c r="G19" s="12"/>
      <c r="H19" s="12"/>
      <c r="I19" s="17"/>
      <c r="J19" s="18"/>
      <c r="K19" s="19">
        <f t="shared" si="0"/>
        <v>0</v>
      </c>
      <c r="L19" s="20"/>
      <c r="N19" s="15">
        <v>10.89</v>
      </c>
    </row>
    <row r="20" spans="1:14" s="15" customFormat="1" ht="20.25" customHeight="1" x14ac:dyDescent="0.15">
      <c r="A20" s="60"/>
      <c r="B20" s="9"/>
      <c r="C20" s="58"/>
      <c r="D20" s="11"/>
      <c r="E20" s="10"/>
      <c r="F20" s="58"/>
      <c r="G20" s="12"/>
      <c r="H20" s="12"/>
      <c r="I20" s="17"/>
      <c r="J20" s="18"/>
      <c r="K20" s="19">
        <f t="shared" si="0"/>
        <v>0</v>
      </c>
      <c r="L20" s="20"/>
      <c r="N20" s="15">
        <v>10.89</v>
      </c>
    </row>
    <row r="21" spans="1:14" s="15" customFormat="1" ht="20.25" customHeight="1" x14ac:dyDescent="0.15">
      <c r="A21" s="60"/>
      <c r="B21" s="9"/>
      <c r="C21" s="58"/>
      <c r="D21" s="11"/>
      <c r="E21" s="10"/>
      <c r="F21" s="58"/>
      <c r="G21" s="50"/>
      <c r="H21" s="50"/>
      <c r="I21" s="17"/>
      <c r="J21" s="18"/>
      <c r="K21" s="19">
        <f t="shared" si="0"/>
        <v>0</v>
      </c>
      <c r="L21" s="20"/>
      <c r="N21" s="15">
        <v>10.89</v>
      </c>
    </row>
    <row r="22" spans="1:14" s="15" customFormat="1" ht="20.25" customHeight="1" x14ac:dyDescent="0.15">
      <c r="A22" s="60"/>
      <c r="B22" s="9"/>
      <c r="C22" s="58"/>
      <c r="D22" s="11"/>
      <c r="E22" s="10"/>
      <c r="F22" s="58"/>
      <c r="G22" s="50"/>
      <c r="H22" s="50"/>
      <c r="I22" s="17"/>
      <c r="J22" s="18"/>
      <c r="K22" s="19">
        <f t="shared" si="0"/>
        <v>0</v>
      </c>
      <c r="L22" s="20"/>
      <c r="N22" s="15">
        <v>10.89</v>
      </c>
    </row>
    <row r="23" spans="1:14" ht="20.25" customHeight="1" x14ac:dyDescent="0.15">
      <c r="A23" s="60"/>
      <c r="B23" s="9"/>
      <c r="C23" s="58"/>
      <c r="D23" s="11"/>
      <c r="E23" s="10"/>
      <c r="F23" s="58"/>
      <c r="G23" s="16"/>
      <c r="H23" s="16"/>
      <c r="I23" s="17"/>
      <c r="J23" s="18"/>
      <c r="K23" s="19">
        <f t="shared" si="0"/>
        <v>0</v>
      </c>
      <c r="L23" s="20"/>
      <c r="N23" s="15">
        <v>10.89</v>
      </c>
    </row>
    <row r="24" spans="1:14" ht="20.25" customHeight="1" thickBot="1" x14ac:dyDescent="0.2">
      <c r="A24" s="56"/>
      <c r="B24" s="21"/>
      <c r="C24" s="59"/>
      <c r="D24" s="22"/>
      <c r="E24" s="23"/>
      <c r="F24" s="23"/>
      <c r="G24" s="24"/>
      <c r="H24" s="24"/>
      <c r="I24" s="25"/>
      <c r="J24" s="46">
        <f>SUM(J8:J23)</f>
        <v>443</v>
      </c>
      <c r="K24" s="47">
        <f>SUM(K8:K23)</f>
        <v>3965.049</v>
      </c>
      <c r="L24" s="26"/>
    </row>
    <row r="25" spans="1:14" ht="20.25" customHeight="1" thickTop="1" x14ac:dyDescent="0.15">
      <c r="A25" s="60" t="s">
        <v>569</v>
      </c>
      <c r="B25" s="9" t="s">
        <v>131</v>
      </c>
      <c r="C25" s="58" t="s">
        <v>29</v>
      </c>
      <c r="D25" s="11" t="s">
        <v>155</v>
      </c>
      <c r="E25" s="10">
        <v>22</v>
      </c>
      <c r="F25" s="10" t="s">
        <v>11</v>
      </c>
      <c r="G25" s="12">
        <v>1434</v>
      </c>
      <c r="H25" s="12">
        <v>1927</v>
      </c>
      <c r="I25" s="17" t="s">
        <v>570</v>
      </c>
      <c r="J25" s="18">
        <v>89</v>
      </c>
      <c r="K25" s="19">
        <f t="shared" ref="K25:K40" si="1">+M25*N25</f>
        <v>1814.4918000000002</v>
      </c>
      <c r="L25" s="54"/>
      <c r="M25" s="3">
        <v>166.62</v>
      </c>
      <c r="N25" s="15">
        <v>10.89</v>
      </c>
    </row>
    <row r="26" spans="1:14" ht="20.25" customHeight="1" x14ac:dyDescent="0.15">
      <c r="A26" s="60" t="s">
        <v>551</v>
      </c>
      <c r="B26" s="9" t="s">
        <v>131</v>
      </c>
      <c r="C26" s="58" t="s">
        <v>29</v>
      </c>
      <c r="D26" s="11" t="s">
        <v>155</v>
      </c>
      <c r="E26" s="10">
        <v>22</v>
      </c>
      <c r="F26" s="10" t="s">
        <v>11</v>
      </c>
      <c r="G26" s="12">
        <v>776</v>
      </c>
      <c r="H26" s="12">
        <v>1763</v>
      </c>
      <c r="I26" s="17" t="s">
        <v>571</v>
      </c>
      <c r="J26" s="18">
        <v>145</v>
      </c>
      <c r="K26" s="19">
        <f t="shared" si="1"/>
        <v>795.5145</v>
      </c>
      <c r="L26" s="54"/>
      <c r="M26" s="3">
        <v>73.05</v>
      </c>
      <c r="N26" s="15">
        <v>10.89</v>
      </c>
    </row>
    <row r="27" spans="1:14" ht="20.25" customHeight="1" x14ac:dyDescent="0.15">
      <c r="A27" s="61"/>
      <c r="B27" s="9"/>
      <c r="C27" s="58" t="s">
        <v>29</v>
      </c>
      <c r="D27" s="11" t="s">
        <v>156</v>
      </c>
      <c r="E27" s="10">
        <v>22</v>
      </c>
      <c r="F27" s="10" t="s">
        <v>11</v>
      </c>
      <c r="G27" s="12">
        <v>1421</v>
      </c>
      <c r="H27" s="12">
        <v>1763</v>
      </c>
      <c r="I27" s="17" t="s">
        <v>572</v>
      </c>
      <c r="J27" s="18">
        <v>205</v>
      </c>
      <c r="K27" s="19">
        <f t="shared" si="1"/>
        <v>1929.1635000000001</v>
      </c>
      <c r="L27" s="54"/>
      <c r="M27" s="3">
        <v>177.15</v>
      </c>
      <c r="N27" s="15">
        <v>10.89</v>
      </c>
    </row>
    <row r="28" spans="1:14" ht="20.25" customHeight="1" x14ac:dyDescent="0.15">
      <c r="A28" s="61" t="s">
        <v>573</v>
      </c>
      <c r="B28" s="9" t="s">
        <v>107</v>
      </c>
      <c r="C28" s="58" t="s">
        <v>29</v>
      </c>
      <c r="D28" s="11" t="s">
        <v>574</v>
      </c>
      <c r="E28" s="10">
        <v>43</v>
      </c>
      <c r="F28" s="10" t="s">
        <v>11</v>
      </c>
      <c r="G28" s="12">
        <v>1035</v>
      </c>
      <c r="H28" s="12">
        <v>2903</v>
      </c>
      <c r="I28" s="17" t="s">
        <v>576</v>
      </c>
      <c r="J28" s="18">
        <v>4</v>
      </c>
      <c r="K28" s="19">
        <f t="shared" si="1"/>
        <v>100.7325</v>
      </c>
      <c r="L28" s="54"/>
      <c r="M28" s="3">
        <v>9.25</v>
      </c>
      <c r="N28" s="15">
        <v>10.89</v>
      </c>
    </row>
    <row r="29" spans="1:14" ht="20.25" customHeight="1" x14ac:dyDescent="0.15">
      <c r="A29" s="61"/>
      <c r="B29" s="9"/>
      <c r="C29" s="58" t="s">
        <v>29</v>
      </c>
      <c r="D29" s="11" t="s">
        <v>575</v>
      </c>
      <c r="E29" s="10">
        <v>24</v>
      </c>
      <c r="F29" s="10" t="s">
        <v>11</v>
      </c>
      <c r="G29" s="12">
        <v>898</v>
      </c>
      <c r="H29" s="12">
        <v>2850</v>
      </c>
      <c r="I29" s="17" t="s">
        <v>577</v>
      </c>
      <c r="J29" s="18">
        <v>3</v>
      </c>
      <c r="K29" s="19">
        <f t="shared" si="1"/>
        <v>68.0625</v>
      </c>
      <c r="L29" s="54"/>
      <c r="M29" s="3">
        <v>6.25</v>
      </c>
      <c r="N29" s="15">
        <v>10.89</v>
      </c>
    </row>
    <row r="30" spans="1:14" ht="20.25" customHeight="1" x14ac:dyDescent="0.15">
      <c r="A30" s="61" t="s">
        <v>578</v>
      </c>
      <c r="B30" s="9" t="s">
        <v>107</v>
      </c>
      <c r="C30" s="58" t="s">
        <v>29</v>
      </c>
      <c r="D30" s="11" t="s">
        <v>575</v>
      </c>
      <c r="E30" s="10">
        <v>24</v>
      </c>
      <c r="F30" s="10" t="s">
        <v>11</v>
      </c>
      <c r="G30" s="12">
        <v>2090</v>
      </c>
      <c r="H30" s="12">
        <v>543</v>
      </c>
      <c r="I30" s="51">
        <v>1</v>
      </c>
      <c r="J30" s="52">
        <v>1</v>
      </c>
      <c r="K30" s="53">
        <f t="shared" si="1"/>
        <v>12.3057</v>
      </c>
      <c r="L30" s="54"/>
      <c r="M30" s="3">
        <v>1.1299999999999999</v>
      </c>
      <c r="N30" s="15">
        <v>10.89</v>
      </c>
    </row>
    <row r="31" spans="1:14" ht="20.25" customHeight="1" x14ac:dyDescent="0.15">
      <c r="A31" s="61" t="s">
        <v>579</v>
      </c>
      <c r="B31" s="9" t="s">
        <v>175</v>
      </c>
      <c r="C31" s="58" t="s">
        <v>29</v>
      </c>
      <c r="D31" s="11" t="s">
        <v>414</v>
      </c>
      <c r="E31" s="10">
        <v>24</v>
      </c>
      <c r="F31" s="10" t="s">
        <v>11</v>
      </c>
      <c r="G31" s="12">
        <v>965</v>
      </c>
      <c r="H31" s="12">
        <v>905</v>
      </c>
      <c r="I31" s="51">
        <v>1</v>
      </c>
      <c r="J31" s="52">
        <v>1</v>
      </c>
      <c r="K31" s="53">
        <f t="shared" si="1"/>
        <v>9.4743000000000013</v>
      </c>
      <c r="L31" s="54"/>
      <c r="M31" s="3">
        <v>0.87</v>
      </c>
      <c r="N31" s="15">
        <v>10.89</v>
      </c>
    </row>
    <row r="32" spans="1:14" ht="20.25" customHeight="1" x14ac:dyDescent="0.15">
      <c r="A32" s="60" t="s">
        <v>580</v>
      </c>
      <c r="B32" s="9" t="s">
        <v>581</v>
      </c>
      <c r="C32" s="58" t="s">
        <v>29</v>
      </c>
      <c r="D32" s="11" t="s">
        <v>310</v>
      </c>
      <c r="E32" s="10">
        <v>24</v>
      </c>
      <c r="F32" s="10" t="s">
        <v>11</v>
      </c>
      <c r="G32" s="12">
        <v>1270</v>
      </c>
      <c r="H32" s="12">
        <v>3475</v>
      </c>
      <c r="I32" s="17">
        <v>1</v>
      </c>
      <c r="J32" s="18">
        <v>1</v>
      </c>
      <c r="K32" s="19">
        <f t="shared" si="1"/>
        <v>48.024900000000002</v>
      </c>
      <c r="L32" s="27"/>
      <c r="M32" s="3">
        <v>4.41</v>
      </c>
      <c r="N32" s="15">
        <v>10.89</v>
      </c>
    </row>
    <row r="33" spans="1:14" ht="20.25" customHeight="1" x14ac:dyDescent="0.15">
      <c r="A33" s="60"/>
      <c r="B33" s="9"/>
      <c r="C33" s="58" t="s">
        <v>29</v>
      </c>
      <c r="D33" s="11" t="s">
        <v>276</v>
      </c>
      <c r="E33" s="10">
        <v>24</v>
      </c>
      <c r="F33" s="10" t="s">
        <v>11</v>
      </c>
      <c r="G33" s="12">
        <v>1270</v>
      </c>
      <c r="H33" s="12">
        <v>955</v>
      </c>
      <c r="I33" s="17">
        <v>1</v>
      </c>
      <c r="J33" s="18">
        <v>1</v>
      </c>
      <c r="K33" s="19">
        <f t="shared" si="1"/>
        <v>13.1769</v>
      </c>
      <c r="L33" s="27"/>
      <c r="M33" s="3">
        <v>1.21</v>
      </c>
      <c r="N33" s="15">
        <v>10.89</v>
      </c>
    </row>
    <row r="34" spans="1:14" ht="20.25" customHeight="1" x14ac:dyDescent="0.15">
      <c r="A34" s="60" t="s">
        <v>582</v>
      </c>
      <c r="B34" s="9" t="s">
        <v>583</v>
      </c>
      <c r="C34" s="58" t="s">
        <v>29</v>
      </c>
      <c r="D34" s="11" t="s">
        <v>247</v>
      </c>
      <c r="E34" s="10">
        <v>24</v>
      </c>
      <c r="F34" s="10" t="s">
        <v>11</v>
      </c>
      <c r="G34" s="12">
        <v>1016</v>
      </c>
      <c r="H34" s="12">
        <v>615</v>
      </c>
      <c r="I34" s="17">
        <v>1</v>
      </c>
      <c r="J34" s="18">
        <v>1</v>
      </c>
      <c r="K34" s="19">
        <f t="shared" si="1"/>
        <v>6.7518000000000002</v>
      </c>
      <c r="L34" s="27"/>
      <c r="M34" s="3">
        <v>0.62</v>
      </c>
      <c r="N34" s="15">
        <v>10.89</v>
      </c>
    </row>
    <row r="35" spans="1:14" ht="20.25" customHeight="1" x14ac:dyDescent="0.15">
      <c r="A35" s="60"/>
      <c r="B35" s="9"/>
      <c r="C35" s="58"/>
      <c r="D35" s="11"/>
      <c r="E35" s="10"/>
      <c r="F35" s="10"/>
      <c r="G35" s="12"/>
      <c r="H35" s="12"/>
      <c r="I35" s="17"/>
      <c r="J35" s="18"/>
      <c r="K35" s="19">
        <f t="shared" si="1"/>
        <v>0</v>
      </c>
      <c r="L35" s="27"/>
      <c r="N35" s="15">
        <v>10.89</v>
      </c>
    </row>
    <row r="36" spans="1:14" ht="20.25" customHeight="1" x14ac:dyDescent="0.15">
      <c r="A36" s="60"/>
      <c r="B36" s="9"/>
      <c r="C36" s="58"/>
      <c r="D36" s="11"/>
      <c r="E36" s="10"/>
      <c r="F36" s="10"/>
      <c r="G36" s="12"/>
      <c r="H36" s="12"/>
      <c r="I36" s="17"/>
      <c r="J36" s="18"/>
      <c r="K36" s="19">
        <f t="shared" si="1"/>
        <v>0</v>
      </c>
      <c r="L36" s="27"/>
      <c r="N36" s="15">
        <v>10.89</v>
      </c>
    </row>
    <row r="37" spans="1:14" ht="20.25" customHeight="1" x14ac:dyDescent="0.15">
      <c r="A37" s="60"/>
      <c r="B37" s="9"/>
      <c r="C37" s="58"/>
      <c r="D37" s="11"/>
      <c r="E37" s="10"/>
      <c r="F37" s="10"/>
      <c r="G37" s="12"/>
      <c r="H37" s="12"/>
      <c r="I37" s="17"/>
      <c r="J37" s="18"/>
      <c r="K37" s="19">
        <f t="shared" si="1"/>
        <v>0</v>
      </c>
      <c r="L37" s="27"/>
      <c r="N37" s="15">
        <v>10.89</v>
      </c>
    </row>
    <row r="38" spans="1:14" ht="20.25" customHeight="1" x14ac:dyDescent="0.15">
      <c r="A38" s="60"/>
      <c r="B38" s="9"/>
      <c r="C38" s="58"/>
      <c r="D38" s="11"/>
      <c r="E38" s="10"/>
      <c r="F38" s="10"/>
      <c r="G38" s="12"/>
      <c r="H38" s="12"/>
      <c r="I38" s="17"/>
      <c r="J38" s="18"/>
      <c r="K38" s="19">
        <f t="shared" si="1"/>
        <v>0</v>
      </c>
      <c r="L38" s="27"/>
      <c r="N38" s="15">
        <v>10.89</v>
      </c>
    </row>
    <row r="39" spans="1:14" ht="20.25" customHeight="1" x14ac:dyDescent="0.15">
      <c r="A39" s="60"/>
      <c r="B39" s="9"/>
      <c r="C39" s="58"/>
      <c r="D39" s="11"/>
      <c r="E39" s="10"/>
      <c r="F39" s="10"/>
      <c r="G39" s="12"/>
      <c r="H39" s="12"/>
      <c r="I39" s="17"/>
      <c r="J39" s="18"/>
      <c r="K39" s="19">
        <f t="shared" si="1"/>
        <v>0</v>
      </c>
      <c r="L39" s="27"/>
      <c r="N39" s="15">
        <v>10.89</v>
      </c>
    </row>
    <row r="40" spans="1:14" ht="20.25" customHeight="1" x14ac:dyDescent="0.15">
      <c r="A40" s="60"/>
      <c r="B40" s="9"/>
      <c r="C40" s="58"/>
      <c r="D40" s="11"/>
      <c r="E40" s="10"/>
      <c r="F40" s="10"/>
      <c r="G40" s="12"/>
      <c r="H40" s="12"/>
      <c r="I40" s="17"/>
      <c r="J40" s="18"/>
      <c r="K40" s="19">
        <f t="shared" si="1"/>
        <v>0</v>
      </c>
      <c r="L40" s="27"/>
      <c r="N40" s="15">
        <v>10.89</v>
      </c>
    </row>
    <row r="41" spans="1:14" ht="20.25" customHeight="1" x14ac:dyDescent="0.15">
      <c r="A41" s="57"/>
      <c r="B41" s="28"/>
      <c r="C41" s="10"/>
      <c r="D41" s="29"/>
      <c r="E41" s="30"/>
      <c r="F41" s="30"/>
      <c r="G41" s="30"/>
      <c r="H41" s="30"/>
      <c r="I41" s="13"/>
      <c r="J41" s="48">
        <f>SUM(J25:J40)</f>
        <v>451</v>
      </c>
      <c r="K41" s="49">
        <f>SUM(K25:K40)</f>
        <v>4797.6984000000002</v>
      </c>
      <c r="L41" s="31"/>
      <c r="N41" s="32"/>
    </row>
    <row r="42" spans="1:14" ht="20.25" customHeight="1" thickBot="1" x14ac:dyDescent="0.2">
      <c r="A42" s="55"/>
      <c r="B42" s="33"/>
      <c r="C42" s="33"/>
      <c r="D42" s="33"/>
      <c r="E42" s="33"/>
      <c r="F42" s="33"/>
      <c r="G42" s="33"/>
      <c r="H42" s="33"/>
      <c r="I42" s="33"/>
      <c r="J42" s="34"/>
      <c r="K42" s="35"/>
      <c r="L42" s="36"/>
    </row>
    <row r="43" spans="1:14" ht="20.25" customHeight="1" thickBot="1" x14ac:dyDescent="0.2">
      <c r="A43" s="37" t="s">
        <v>19</v>
      </c>
      <c r="B43" s="38" t="s">
        <v>20</v>
      </c>
      <c r="C43" s="77" t="s">
        <v>21</v>
      </c>
      <c r="D43" s="79"/>
      <c r="E43" s="77" t="s">
        <v>22</v>
      </c>
      <c r="F43" s="78"/>
      <c r="G43" s="79"/>
      <c r="H43" s="85" t="s">
        <v>23</v>
      </c>
      <c r="I43" s="86"/>
      <c r="J43" s="77" t="s">
        <v>24</v>
      </c>
      <c r="K43" s="79"/>
      <c r="L43" s="39" t="s">
        <v>13</v>
      </c>
    </row>
    <row r="44" spans="1:14" ht="20.25" customHeight="1" thickBot="1" x14ac:dyDescent="0.2">
      <c r="A44" s="40">
        <f>SUMIF($C$8:$C$42,"U1",$J$8:$J$42)</f>
        <v>0</v>
      </c>
      <c r="B44" s="41">
        <f>SUMIF($C$8:$C$42,"U2",$J$8:$J$42)</f>
        <v>0</v>
      </c>
      <c r="C44" s="77">
        <f>SUMIF($C$8:$C$42,"U3-1",$J$8:$J$42)</f>
        <v>0</v>
      </c>
      <c r="D44" s="79"/>
      <c r="E44" s="77">
        <f>SUMIF($C$8:$C$42,"U3",$J$8:$J$42)</f>
        <v>894</v>
      </c>
      <c r="F44" s="78"/>
      <c r="G44" s="79"/>
      <c r="H44" s="77">
        <f>SUMIF($C$8:$C$42,"E5",$J$8:$J$42)</f>
        <v>0</v>
      </c>
      <c r="I44" s="79"/>
      <c r="J44" s="77">
        <f>SUM(A44:I44)</f>
        <v>894</v>
      </c>
      <c r="K44" s="79"/>
      <c r="L44" s="42"/>
    </row>
    <row r="45" spans="1:14" ht="20.25" customHeight="1" thickBot="1" x14ac:dyDescent="0.2">
      <c r="A45" s="43" t="s">
        <v>25</v>
      </c>
      <c r="B45" s="44" t="s">
        <v>26</v>
      </c>
      <c r="C45" s="75">
        <v>13876</v>
      </c>
      <c r="D45" s="76"/>
      <c r="E45" s="77" t="s">
        <v>27</v>
      </c>
      <c r="F45" s="78"/>
      <c r="G45" s="78"/>
      <c r="H45" s="78"/>
      <c r="I45" s="79"/>
      <c r="J45" s="80">
        <v>146744.37</v>
      </c>
      <c r="K45" s="81"/>
      <c r="L45" s="82"/>
    </row>
    <row r="47" spans="1:14" x14ac:dyDescent="0.15">
      <c r="D47" s="45"/>
    </row>
  </sheetData>
  <mergeCells count="26">
    <mergeCell ref="L2:L4"/>
    <mergeCell ref="A1:G3"/>
    <mergeCell ref="H1:H4"/>
    <mergeCell ref="I2:I4"/>
    <mergeCell ref="J2:J4"/>
    <mergeCell ref="K2:K4"/>
    <mergeCell ref="B5:G5"/>
    <mergeCell ref="A6:A7"/>
    <mergeCell ref="B6:B7"/>
    <mergeCell ref="C6:C7"/>
    <mergeCell ref="D6:D7"/>
    <mergeCell ref="E6:E7"/>
    <mergeCell ref="F6:F7"/>
    <mergeCell ref="G6:K6"/>
    <mergeCell ref="C45:D45"/>
    <mergeCell ref="E45:I45"/>
    <mergeCell ref="J45:L45"/>
    <mergeCell ref="L6:L7"/>
    <mergeCell ref="C43:D43"/>
    <mergeCell ref="E43:G43"/>
    <mergeCell ref="H43:I43"/>
    <mergeCell ref="J43:K43"/>
    <mergeCell ref="C44:D44"/>
    <mergeCell ref="E44:G44"/>
    <mergeCell ref="H44:I44"/>
    <mergeCell ref="J44:K44"/>
  </mergeCells>
  <phoneticPr fontId="2" type="noConversion"/>
  <printOptions horizontalCentered="1"/>
  <pageMargins left="0.39370078740157483" right="0.39370078740157483" top="0.74803149606299213" bottom="0.19685039370078741" header="0.31496062992125984" footer="0.15748031496062992"/>
  <pageSetup paperSize="9" scale="84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N47"/>
  <sheetViews>
    <sheetView view="pageBreakPreview" topLeftCell="A7" zoomScaleSheetLayoutView="100" workbookViewId="0">
      <selection activeCell="D38" sqref="D38"/>
    </sheetView>
  </sheetViews>
  <sheetFormatPr defaultColWidth="8.88671875" defaultRowHeight="13.5" x14ac:dyDescent="0.15"/>
  <cols>
    <col min="1" max="1" width="8.44140625" style="3" customWidth="1"/>
    <col min="2" max="2" width="14.77734375" style="3" customWidth="1"/>
    <col min="3" max="3" width="4.109375" style="3" customWidth="1"/>
    <col min="4" max="4" width="15.21875" style="3" customWidth="1"/>
    <col min="5" max="5" width="4.44140625" style="3" customWidth="1"/>
    <col min="6" max="6" width="4" style="3" customWidth="1"/>
    <col min="7" max="7" width="5.5546875" style="3" customWidth="1"/>
    <col min="8" max="8" width="5.44140625" style="3" customWidth="1"/>
    <col min="9" max="9" width="7.88671875" style="3" customWidth="1"/>
    <col min="10" max="10" width="7.109375" style="3" customWidth="1"/>
    <col min="11" max="11" width="7.21875" style="3" customWidth="1"/>
    <col min="12" max="12" width="6.77734375" style="3" customWidth="1"/>
    <col min="13" max="16384" width="8.88671875" style="3"/>
  </cols>
  <sheetData>
    <row r="1" spans="1:14" ht="18.75" customHeight="1" x14ac:dyDescent="0.15">
      <c r="A1" s="101" t="s">
        <v>0</v>
      </c>
      <c r="B1" s="102"/>
      <c r="C1" s="102"/>
      <c r="D1" s="102"/>
      <c r="E1" s="102"/>
      <c r="F1" s="102"/>
      <c r="G1" s="103"/>
      <c r="H1" s="107" t="s">
        <v>1</v>
      </c>
      <c r="I1" s="1" t="s">
        <v>2</v>
      </c>
      <c r="J1" s="1" t="s">
        <v>2</v>
      </c>
      <c r="K1" s="1" t="s">
        <v>3</v>
      </c>
      <c r="L1" s="2" t="s">
        <v>4</v>
      </c>
    </row>
    <row r="2" spans="1:14" ht="13.5" customHeight="1" x14ac:dyDescent="0.15">
      <c r="A2" s="104"/>
      <c r="B2" s="105"/>
      <c r="C2" s="105"/>
      <c r="D2" s="105"/>
      <c r="E2" s="105"/>
      <c r="F2" s="105"/>
      <c r="G2" s="106"/>
      <c r="H2" s="108"/>
      <c r="I2" s="110"/>
      <c r="J2" s="110"/>
      <c r="K2" s="110"/>
      <c r="L2" s="98"/>
    </row>
    <row r="3" spans="1:14" ht="13.5" customHeight="1" x14ac:dyDescent="0.15">
      <c r="A3" s="104"/>
      <c r="B3" s="105"/>
      <c r="C3" s="105"/>
      <c r="D3" s="105"/>
      <c r="E3" s="105"/>
      <c r="F3" s="105"/>
      <c r="G3" s="106"/>
      <c r="H3" s="108"/>
      <c r="I3" s="108"/>
      <c r="J3" s="108"/>
      <c r="K3" s="108"/>
      <c r="L3" s="99"/>
    </row>
    <row r="4" spans="1:14" ht="33" customHeight="1" x14ac:dyDescent="0.15">
      <c r="A4" s="4"/>
      <c r="B4" s="5"/>
      <c r="C4" s="5"/>
      <c r="D4" s="5"/>
      <c r="E4" s="5"/>
      <c r="F4" s="5"/>
      <c r="G4" s="5"/>
      <c r="H4" s="109"/>
      <c r="I4" s="109"/>
      <c r="J4" s="109"/>
      <c r="K4" s="109"/>
      <c r="L4" s="100"/>
    </row>
    <row r="5" spans="1:14" ht="17.25" customHeight="1" x14ac:dyDescent="0.15">
      <c r="A5" s="6" t="s">
        <v>5</v>
      </c>
      <c r="B5" s="87">
        <v>46041</v>
      </c>
      <c r="C5" s="88"/>
      <c r="D5" s="88"/>
      <c r="E5" s="88"/>
      <c r="F5" s="88"/>
      <c r="G5" s="88"/>
      <c r="H5" s="5"/>
      <c r="I5" s="5"/>
      <c r="J5" s="5"/>
      <c r="K5" s="5"/>
      <c r="L5" s="7"/>
    </row>
    <row r="6" spans="1:14" ht="13.5" customHeight="1" x14ac:dyDescent="0.15">
      <c r="A6" s="89" t="s">
        <v>6</v>
      </c>
      <c r="B6" s="91" t="s">
        <v>7</v>
      </c>
      <c r="C6" s="91" t="s">
        <v>8</v>
      </c>
      <c r="D6" s="91" t="s">
        <v>9</v>
      </c>
      <c r="E6" s="93" t="s">
        <v>10</v>
      </c>
      <c r="F6" s="93" t="s">
        <v>11</v>
      </c>
      <c r="G6" s="95" t="s">
        <v>12</v>
      </c>
      <c r="H6" s="96"/>
      <c r="I6" s="96"/>
      <c r="J6" s="96"/>
      <c r="K6" s="97"/>
      <c r="L6" s="83" t="s">
        <v>13</v>
      </c>
    </row>
    <row r="7" spans="1:14" x14ac:dyDescent="0.15">
      <c r="A7" s="90"/>
      <c r="B7" s="92"/>
      <c r="C7" s="92"/>
      <c r="D7" s="92"/>
      <c r="E7" s="94"/>
      <c r="F7" s="94"/>
      <c r="G7" s="8" t="s">
        <v>14</v>
      </c>
      <c r="H7" s="8" t="s">
        <v>15</v>
      </c>
      <c r="I7" s="8" t="s">
        <v>16</v>
      </c>
      <c r="J7" s="8" t="s">
        <v>17</v>
      </c>
      <c r="K7" s="8" t="s">
        <v>18</v>
      </c>
      <c r="L7" s="84"/>
    </row>
    <row r="8" spans="1:14" s="15" customFormat="1" ht="20.25" customHeight="1" x14ac:dyDescent="0.15">
      <c r="A8" s="60" t="s">
        <v>584</v>
      </c>
      <c r="B8" s="9" t="s">
        <v>127</v>
      </c>
      <c r="C8" s="58" t="s">
        <v>29</v>
      </c>
      <c r="D8" s="11" t="s">
        <v>554</v>
      </c>
      <c r="E8" s="10">
        <v>28</v>
      </c>
      <c r="F8" s="58" t="s">
        <v>11</v>
      </c>
      <c r="G8" s="12">
        <v>891</v>
      </c>
      <c r="H8" s="12">
        <v>1359</v>
      </c>
      <c r="I8" s="17" t="s">
        <v>585</v>
      </c>
      <c r="J8" s="18">
        <v>30</v>
      </c>
      <c r="K8" s="19">
        <f>+M8*N8</f>
        <v>275.95260000000002</v>
      </c>
      <c r="L8" s="14"/>
      <c r="M8" s="15">
        <v>25.34</v>
      </c>
      <c r="N8" s="15">
        <v>10.89</v>
      </c>
    </row>
    <row r="9" spans="1:14" s="15" customFormat="1" ht="20.25" customHeight="1" x14ac:dyDescent="0.15">
      <c r="A9" s="60" t="s">
        <v>586</v>
      </c>
      <c r="B9" s="9" t="s">
        <v>127</v>
      </c>
      <c r="C9" s="58" t="s">
        <v>29</v>
      </c>
      <c r="D9" s="11" t="s">
        <v>554</v>
      </c>
      <c r="E9" s="10">
        <v>28</v>
      </c>
      <c r="F9" s="58" t="s">
        <v>11</v>
      </c>
      <c r="G9" s="12">
        <v>960</v>
      </c>
      <c r="H9" s="12">
        <v>1440</v>
      </c>
      <c r="I9" s="17" t="s">
        <v>587</v>
      </c>
      <c r="J9" s="18">
        <v>15</v>
      </c>
      <c r="K9" s="19">
        <f t="shared" ref="K9:K23" si="0">+M9*N9</f>
        <v>154.31130000000002</v>
      </c>
      <c r="L9" s="14"/>
      <c r="M9" s="15">
        <v>14.17</v>
      </c>
      <c r="N9" s="15">
        <v>10.89</v>
      </c>
    </row>
    <row r="10" spans="1:14" s="15" customFormat="1" ht="20.25" customHeight="1" x14ac:dyDescent="0.15">
      <c r="A10" s="60" t="s">
        <v>588</v>
      </c>
      <c r="B10" s="9" t="s">
        <v>127</v>
      </c>
      <c r="C10" s="58" t="s">
        <v>29</v>
      </c>
      <c r="D10" s="11" t="s">
        <v>554</v>
      </c>
      <c r="E10" s="10">
        <v>28</v>
      </c>
      <c r="F10" s="58" t="s">
        <v>11</v>
      </c>
      <c r="G10" s="12">
        <v>960</v>
      </c>
      <c r="H10" s="12">
        <v>1440</v>
      </c>
      <c r="I10" s="17" t="s">
        <v>589</v>
      </c>
      <c r="J10" s="18">
        <v>16</v>
      </c>
      <c r="K10" s="19">
        <f t="shared" si="0"/>
        <v>172.60650000000001</v>
      </c>
      <c r="L10" s="14"/>
      <c r="M10" s="15">
        <v>15.85</v>
      </c>
      <c r="N10" s="15">
        <v>10.89</v>
      </c>
    </row>
    <row r="11" spans="1:14" s="15" customFormat="1" ht="20.25" customHeight="1" x14ac:dyDescent="0.15">
      <c r="A11" s="60" t="s">
        <v>590</v>
      </c>
      <c r="B11" s="9" t="s">
        <v>127</v>
      </c>
      <c r="C11" s="58" t="s">
        <v>29</v>
      </c>
      <c r="D11" s="11" t="s">
        <v>554</v>
      </c>
      <c r="E11" s="10">
        <v>28</v>
      </c>
      <c r="F11" s="58" t="s">
        <v>11</v>
      </c>
      <c r="G11" s="12">
        <v>960</v>
      </c>
      <c r="H11" s="12">
        <v>1435</v>
      </c>
      <c r="I11" s="17" t="s">
        <v>587</v>
      </c>
      <c r="J11" s="18">
        <v>15</v>
      </c>
      <c r="K11" s="19">
        <f t="shared" si="0"/>
        <v>154.42019999999999</v>
      </c>
      <c r="L11" s="14"/>
      <c r="M11" s="15">
        <v>14.18</v>
      </c>
      <c r="N11" s="15">
        <v>10.89</v>
      </c>
    </row>
    <row r="12" spans="1:14" s="15" customFormat="1" ht="20.25" customHeight="1" x14ac:dyDescent="0.15">
      <c r="A12" s="60" t="s">
        <v>591</v>
      </c>
      <c r="B12" s="9" t="s">
        <v>127</v>
      </c>
      <c r="C12" s="58" t="s">
        <v>29</v>
      </c>
      <c r="D12" s="11" t="s">
        <v>554</v>
      </c>
      <c r="E12" s="10">
        <v>28</v>
      </c>
      <c r="F12" s="58" t="s">
        <v>11</v>
      </c>
      <c r="G12" s="12">
        <v>960</v>
      </c>
      <c r="H12" s="12">
        <v>1435</v>
      </c>
      <c r="I12" s="17" t="s">
        <v>587</v>
      </c>
      <c r="J12" s="18">
        <v>15</v>
      </c>
      <c r="K12" s="19">
        <f t="shared" si="0"/>
        <v>154.42019999999999</v>
      </c>
      <c r="L12" s="14"/>
      <c r="M12" s="15">
        <v>14.18</v>
      </c>
      <c r="N12" s="15">
        <v>10.89</v>
      </c>
    </row>
    <row r="13" spans="1:14" s="15" customFormat="1" ht="20.25" customHeight="1" x14ac:dyDescent="0.15">
      <c r="A13" s="60" t="s">
        <v>592</v>
      </c>
      <c r="B13" s="9" t="s">
        <v>127</v>
      </c>
      <c r="C13" s="58" t="s">
        <v>29</v>
      </c>
      <c r="D13" s="11" t="s">
        <v>554</v>
      </c>
      <c r="E13" s="10">
        <v>28</v>
      </c>
      <c r="F13" s="58" t="s">
        <v>11</v>
      </c>
      <c r="G13" s="12">
        <v>960</v>
      </c>
      <c r="H13" s="12">
        <v>1435</v>
      </c>
      <c r="I13" s="17" t="s">
        <v>593</v>
      </c>
      <c r="J13" s="18">
        <v>20</v>
      </c>
      <c r="K13" s="19">
        <f t="shared" si="0"/>
        <v>211.81049999999999</v>
      </c>
      <c r="L13" s="14"/>
      <c r="M13" s="15">
        <v>19.45</v>
      </c>
      <c r="N13" s="15">
        <v>10.89</v>
      </c>
    </row>
    <row r="14" spans="1:14" s="15" customFormat="1" ht="20.25" customHeight="1" x14ac:dyDescent="0.15">
      <c r="A14" s="60" t="s">
        <v>594</v>
      </c>
      <c r="B14" s="9" t="s">
        <v>127</v>
      </c>
      <c r="C14" s="58" t="s">
        <v>29</v>
      </c>
      <c r="D14" s="11" t="s">
        <v>554</v>
      </c>
      <c r="E14" s="10">
        <v>28</v>
      </c>
      <c r="F14" s="58" t="s">
        <v>11</v>
      </c>
      <c r="G14" s="12">
        <v>960</v>
      </c>
      <c r="H14" s="12">
        <v>1435</v>
      </c>
      <c r="I14" s="17" t="s">
        <v>589</v>
      </c>
      <c r="J14" s="18">
        <v>16</v>
      </c>
      <c r="K14" s="19">
        <f t="shared" si="0"/>
        <v>172.60650000000001</v>
      </c>
      <c r="L14" s="20"/>
      <c r="M14" s="15">
        <v>15.85</v>
      </c>
      <c r="N14" s="15">
        <v>10.89</v>
      </c>
    </row>
    <row r="15" spans="1:14" s="15" customFormat="1" ht="20.25" customHeight="1" x14ac:dyDescent="0.15">
      <c r="A15" s="60" t="s">
        <v>595</v>
      </c>
      <c r="B15" s="9" t="s">
        <v>127</v>
      </c>
      <c r="C15" s="58" t="s">
        <v>29</v>
      </c>
      <c r="D15" s="11" t="s">
        <v>554</v>
      </c>
      <c r="E15" s="10">
        <v>28</v>
      </c>
      <c r="F15" s="58" t="s">
        <v>11</v>
      </c>
      <c r="G15" s="12">
        <v>960</v>
      </c>
      <c r="H15" s="12">
        <v>1435</v>
      </c>
      <c r="I15" s="17">
        <v>1</v>
      </c>
      <c r="J15" s="18">
        <v>1</v>
      </c>
      <c r="K15" s="19">
        <f t="shared" si="0"/>
        <v>15.0282</v>
      </c>
      <c r="L15" s="20"/>
      <c r="M15" s="15">
        <v>1.38</v>
      </c>
      <c r="N15" s="15">
        <v>10.89</v>
      </c>
    </row>
    <row r="16" spans="1:14" s="15" customFormat="1" ht="20.25" customHeight="1" x14ac:dyDescent="0.15">
      <c r="A16" s="60" t="s">
        <v>596</v>
      </c>
      <c r="B16" s="9" t="s">
        <v>127</v>
      </c>
      <c r="C16" s="58" t="s">
        <v>29</v>
      </c>
      <c r="D16" s="11" t="s">
        <v>554</v>
      </c>
      <c r="E16" s="10">
        <v>28</v>
      </c>
      <c r="F16" s="58" t="s">
        <v>11</v>
      </c>
      <c r="G16" s="12">
        <v>891</v>
      </c>
      <c r="H16" s="12">
        <v>1959</v>
      </c>
      <c r="I16" s="17" t="s">
        <v>597</v>
      </c>
      <c r="J16" s="18">
        <v>16</v>
      </c>
      <c r="K16" s="19">
        <f t="shared" si="0"/>
        <v>184.91220000000001</v>
      </c>
      <c r="L16" s="20"/>
      <c r="M16" s="15">
        <v>16.98</v>
      </c>
      <c r="N16" s="15">
        <v>10.89</v>
      </c>
    </row>
    <row r="17" spans="1:14" s="15" customFormat="1" ht="20.25" customHeight="1" x14ac:dyDescent="0.15">
      <c r="A17" s="60" t="s">
        <v>598</v>
      </c>
      <c r="B17" s="9" t="s">
        <v>127</v>
      </c>
      <c r="C17" s="58" t="s">
        <v>29</v>
      </c>
      <c r="D17" s="11" t="s">
        <v>554</v>
      </c>
      <c r="E17" s="10">
        <v>28</v>
      </c>
      <c r="F17" s="58" t="s">
        <v>11</v>
      </c>
      <c r="G17" s="12">
        <v>891</v>
      </c>
      <c r="H17" s="12">
        <v>1959</v>
      </c>
      <c r="I17" s="17" t="s">
        <v>599</v>
      </c>
      <c r="J17" s="18">
        <v>17</v>
      </c>
      <c r="K17" s="19">
        <f t="shared" si="0"/>
        <v>194.93099999999998</v>
      </c>
      <c r="L17" s="20"/>
      <c r="M17" s="15">
        <v>17.899999999999999</v>
      </c>
      <c r="N17" s="15">
        <v>10.89</v>
      </c>
    </row>
    <row r="18" spans="1:14" s="15" customFormat="1" ht="20.25" customHeight="1" x14ac:dyDescent="0.15">
      <c r="A18" s="60" t="s">
        <v>600</v>
      </c>
      <c r="B18" s="9" t="s">
        <v>127</v>
      </c>
      <c r="C18" s="58" t="s">
        <v>29</v>
      </c>
      <c r="D18" s="11" t="s">
        <v>554</v>
      </c>
      <c r="E18" s="10">
        <v>28</v>
      </c>
      <c r="F18" s="58" t="s">
        <v>11</v>
      </c>
      <c r="G18" s="12">
        <v>960</v>
      </c>
      <c r="H18" s="12">
        <v>2635</v>
      </c>
      <c r="I18" s="17" t="s">
        <v>601</v>
      </c>
      <c r="J18" s="18">
        <v>10</v>
      </c>
      <c r="K18" s="19">
        <f t="shared" si="0"/>
        <v>265.17150000000004</v>
      </c>
      <c r="L18" s="20"/>
      <c r="M18" s="15">
        <v>24.35</v>
      </c>
      <c r="N18" s="15">
        <v>10.89</v>
      </c>
    </row>
    <row r="19" spans="1:14" s="15" customFormat="1" ht="20.25" customHeight="1" x14ac:dyDescent="0.15">
      <c r="A19" s="60" t="s">
        <v>602</v>
      </c>
      <c r="B19" s="9" t="s">
        <v>127</v>
      </c>
      <c r="C19" s="58" t="s">
        <v>29</v>
      </c>
      <c r="D19" s="11" t="s">
        <v>554</v>
      </c>
      <c r="E19" s="10">
        <v>28</v>
      </c>
      <c r="F19" s="58" t="s">
        <v>11</v>
      </c>
      <c r="G19" s="12">
        <v>960</v>
      </c>
      <c r="H19" s="12">
        <v>2635</v>
      </c>
      <c r="I19" s="17" t="s">
        <v>603</v>
      </c>
      <c r="J19" s="18">
        <v>10</v>
      </c>
      <c r="K19" s="19">
        <f t="shared" si="0"/>
        <v>265.17150000000004</v>
      </c>
      <c r="L19" s="20"/>
      <c r="M19" s="15">
        <v>24.35</v>
      </c>
      <c r="N19" s="15">
        <v>10.89</v>
      </c>
    </row>
    <row r="20" spans="1:14" s="15" customFormat="1" ht="20.25" customHeight="1" x14ac:dyDescent="0.15">
      <c r="A20" s="60" t="s">
        <v>604</v>
      </c>
      <c r="B20" s="9" t="s">
        <v>184</v>
      </c>
      <c r="C20" s="58" t="s">
        <v>29</v>
      </c>
      <c r="D20" s="11" t="s">
        <v>201</v>
      </c>
      <c r="E20" s="10">
        <v>22</v>
      </c>
      <c r="F20" s="58"/>
      <c r="G20" s="12">
        <v>1716</v>
      </c>
      <c r="H20" s="12">
        <v>1817</v>
      </c>
      <c r="I20" s="17" t="s">
        <v>483</v>
      </c>
      <c r="J20" s="18">
        <f>152+9</f>
        <v>161</v>
      </c>
      <c r="K20" s="19">
        <f t="shared" si="0"/>
        <v>1331.847</v>
      </c>
      <c r="L20" s="20"/>
      <c r="M20" s="15">
        <v>122.3</v>
      </c>
      <c r="N20" s="15">
        <v>10.89</v>
      </c>
    </row>
    <row r="21" spans="1:14" s="15" customFormat="1" ht="20.25" customHeight="1" x14ac:dyDescent="0.15">
      <c r="A21" s="60"/>
      <c r="B21" s="9"/>
      <c r="C21" s="58" t="s">
        <v>29</v>
      </c>
      <c r="D21" s="11" t="s">
        <v>195</v>
      </c>
      <c r="E21" s="10">
        <v>22</v>
      </c>
      <c r="F21" s="58"/>
      <c r="G21" s="12">
        <v>1716</v>
      </c>
      <c r="H21" s="12">
        <v>1817</v>
      </c>
      <c r="I21" s="17" t="s">
        <v>605</v>
      </c>
      <c r="J21" s="18">
        <v>22</v>
      </c>
      <c r="K21" s="19">
        <f t="shared" si="0"/>
        <v>501.15780000000007</v>
      </c>
      <c r="L21" s="20"/>
      <c r="M21" s="15">
        <v>46.02</v>
      </c>
      <c r="N21" s="15">
        <v>10.89</v>
      </c>
    </row>
    <row r="22" spans="1:14" s="15" customFormat="1" ht="20.25" customHeight="1" x14ac:dyDescent="0.15">
      <c r="A22" s="60" t="s">
        <v>606</v>
      </c>
      <c r="B22" s="9" t="s">
        <v>184</v>
      </c>
      <c r="C22" s="58" t="s">
        <v>29</v>
      </c>
      <c r="D22" s="11" t="s">
        <v>201</v>
      </c>
      <c r="E22" s="10">
        <v>22</v>
      </c>
      <c r="F22" s="58"/>
      <c r="G22" s="12">
        <v>1716</v>
      </c>
      <c r="H22" s="12">
        <v>1817</v>
      </c>
      <c r="I22" s="17" t="s">
        <v>607</v>
      </c>
      <c r="J22" s="18">
        <v>100</v>
      </c>
      <c r="K22" s="19">
        <f t="shared" si="0"/>
        <v>407.286</v>
      </c>
      <c r="L22" s="20"/>
      <c r="M22" s="15">
        <v>37.4</v>
      </c>
      <c r="N22" s="15">
        <v>10.89</v>
      </c>
    </row>
    <row r="23" spans="1:14" ht="20.25" customHeight="1" x14ac:dyDescent="0.15">
      <c r="A23" s="60"/>
      <c r="B23" s="9"/>
      <c r="C23" s="58" t="s">
        <v>29</v>
      </c>
      <c r="D23" s="11" t="s">
        <v>195</v>
      </c>
      <c r="E23" s="10">
        <v>22</v>
      </c>
      <c r="F23" s="58"/>
      <c r="G23" s="12">
        <v>1716</v>
      </c>
      <c r="H23" s="12">
        <v>1817</v>
      </c>
      <c r="I23" s="17" t="s">
        <v>359</v>
      </c>
      <c r="J23" s="18">
        <v>150</v>
      </c>
      <c r="K23" s="19">
        <f t="shared" si="0"/>
        <v>1285.02</v>
      </c>
      <c r="L23" s="20"/>
      <c r="M23" s="3">
        <v>118</v>
      </c>
      <c r="N23" s="15">
        <v>10.89</v>
      </c>
    </row>
    <row r="24" spans="1:14" ht="20.25" customHeight="1" thickBot="1" x14ac:dyDescent="0.2">
      <c r="A24" s="56"/>
      <c r="B24" s="21"/>
      <c r="C24" s="59"/>
      <c r="D24" s="22"/>
      <c r="E24" s="23"/>
      <c r="F24" s="23"/>
      <c r="G24" s="24"/>
      <c r="H24" s="24"/>
      <c r="I24" s="25"/>
      <c r="J24" s="46">
        <f>SUM(J8:J23)</f>
        <v>614</v>
      </c>
      <c r="K24" s="47">
        <f>SUM(K8:K23)</f>
        <v>5746.6530000000002</v>
      </c>
      <c r="L24" s="26"/>
    </row>
    <row r="25" spans="1:14" ht="20.25" customHeight="1" thickTop="1" x14ac:dyDescent="0.15">
      <c r="A25" s="60" t="s">
        <v>608</v>
      </c>
      <c r="B25" s="9" t="s">
        <v>131</v>
      </c>
      <c r="C25" s="58" t="s">
        <v>29</v>
      </c>
      <c r="D25" s="11" t="s">
        <v>155</v>
      </c>
      <c r="E25" s="10">
        <v>22</v>
      </c>
      <c r="F25" s="10" t="s">
        <v>11</v>
      </c>
      <c r="G25" s="12">
        <v>776</v>
      </c>
      <c r="H25" s="12">
        <v>1763</v>
      </c>
      <c r="I25" s="17" t="s">
        <v>609</v>
      </c>
      <c r="J25" s="18">
        <v>306</v>
      </c>
      <c r="K25" s="19">
        <f t="shared" ref="K25:K40" si="1">+M25*N25</f>
        <v>1967.8229999999999</v>
      </c>
      <c r="L25" s="54"/>
      <c r="M25" s="3">
        <v>180.7</v>
      </c>
      <c r="N25" s="15">
        <v>10.89</v>
      </c>
    </row>
    <row r="26" spans="1:14" ht="20.25" customHeight="1" x14ac:dyDescent="0.15">
      <c r="A26" s="60"/>
      <c r="B26" s="9"/>
      <c r="C26" s="58" t="s">
        <v>29</v>
      </c>
      <c r="D26" s="11" t="s">
        <v>156</v>
      </c>
      <c r="E26" s="10">
        <v>22</v>
      </c>
      <c r="F26" s="10" t="s">
        <v>11</v>
      </c>
      <c r="G26" s="12">
        <v>1434</v>
      </c>
      <c r="H26" s="12">
        <v>1927</v>
      </c>
      <c r="I26" s="17" t="s">
        <v>610</v>
      </c>
      <c r="J26" s="18">
        <v>395</v>
      </c>
      <c r="K26" s="19">
        <f t="shared" si="1"/>
        <v>3782.3148000000001</v>
      </c>
      <c r="L26" s="54"/>
      <c r="M26" s="3">
        <v>347.32</v>
      </c>
      <c r="N26" s="15">
        <v>10.89</v>
      </c>
    </row>
    <row r="27" spans="1:14" ht="20.25" customHeight="1" x14ac:dyDescent="0.15">
      <c r="A27" s="61" t="s">
        <v>611</v>
      </c>
      <c r="B27" s="9" t="s">
        <v>612</v>
      </c>
      <c r="C27" s="58" t="s">
        <v>29</v>
      </c>
      <c r="D27" s="11" t="s">
        <v>613</v>
      </c>
      <c r="E27" s="10">
        <v>43</v>
      </c>
      <c r="F27" s="10" t="s">
        <v>11</v>
      </c>
      <c r="G27" s="12">
        <v>675</v>
      </c>
      <c r="H27" s="12">
        <v>425</v>
      </c>
      <c r="I27" s="17" t="s">
        <v>614</v>
      </c>
      <c r="J27" s="18">
        <v>28</v>
      </c>
      <c r="K27" s="19">
        <f t="shared" si="1"/>
        <v>398.2473</v>
      </c>
      <c r="L27" s="54"/>
      <c r="M27" s="3">
        <v>36.57</v>
      </c>
      <c r="N27" s="15">
        <v>10.89</v>
      </c>
    </row>
    <row r="28" spans="1:14" ht="20.25" customHeight="1" x14ac:dyDescent="0.15">
      <c r="A28" s="61"/>
      <c r="B28" s="9"/>
      <c r="C28" s="58"/>
      <c r="D28" s="11"/>
      <c r="E28" s="10"/>
      <c r="F28" s="10"/>
      <c r="G28" s="12"/>
      <c r="H28" s="12"/>
      <c r="I28" s="17"/>
      <c r="J28" s="18"/>
      <c r="K28" s="19">
        <f t="shared" si="1"/>
        <v>0</v>
      </c>
      <c r="L28" s="54"/>
      <c r="N28" s="15">
        <v>10.89</v>
      </c>
    </row>
    <row r="29" spans="1:14" ht="20.25" customHeight="1" x14ac:dyDescent="0.15">
      <c r="A29" s="61"/>
      <c r="B29" s="9"/>
      <c r="C29" s="58"/>
      <c r="D29" s="11"/>
      <c r="E29" s="10"/>
      <c r="F29" s="10"/>
      <c r="G29" s="12"/>
      <c r="H29" s="12"/>
      <c r="I29" s="17"/>
      <c r="J29" s="18"/>
      <c r="K29" s="19">
        <f t="shared" si="1"/>
        <v>0</v>
      </c>
      <c r="L29" s="54"/>
      <c r="N29" s="15">
        <v>10.89</v>
      </c>
    </row>
    <row r="30" spans="1:14" ht="20.25" customHeight="1" x14ac:dyDescent="0.15">
      <c r="A30" s="61"/>
      <c r="B30" s="9"/>
      <c r="C30" s="58"/>
      <c r="D30" s="11"/>
      <c r="E30" s="10"/>
      <c r="F30" s="10"/>
      <c r="G30" s="12"/>
      <c r="H30" s="12"/>
      <c r="I30" s="51"/>
      <c r="J30" s="52"/>
      <c r="K30" s="53">
        <f t="shared" si="1"/>
        <v>0</v>
      </c>
      <c r="L30" s="54"/>
      <c r="N30" s="15">
        <v>10.89</v>
      </c>
    </row>
    <row r="31" spans="1:14" ht="20.25" customHeight="1" x14ac:dyDescent="0.15">
      <c r="A31" s="61"/>
      <c r="B31" s="9"/>
      <c r="C31" s="58"/>
      <c r="D31" s="11"/>
      <c r="E31" s="10"/>
      <c r="F31" s="10"/>
      <c r="G31" s="12"/>
      <c r="H31" s="12"/>
      <c r="I31" s="51"/>
      <c r="J31" s="52"/>
      <c r="K31" s="53">
        <f t="shared" si="1"/>
        <v>0</v>
      </c>
      <c r="L31" s="54"/>
      <c r="N31" s="15">
        <v>10.89</v>
      </c>
    </row>
    <row r="32" spans="1:14" ht="20.25" customHeight="1" x14ac:dyDescent="0.15">
      <c r="A32" s="60"/>
      <c r="B32" s="9"/>
      <c r="C32" s="58"/>
      <c r="D32" s="11"/>
      <c r="E32" s="10"/>
      <c r="F32" s="10"/>
      <c r="G32" s="12"/>
      <c r="H32" s="12"/>
      <c r="I32" s="17"/>
      <c r="J32" s="18"/>
      <c r="K32" s="19">
        <f t="shared" si="1"/>
        <v>0</v>
      </c>
      <c r="L32" s="27"/>
      <c r="N32" s="15">
        <v>10.89</v>
      </c>
    </row>
    <row r="33" spans="1:14" ht="20.25" customHeight="1" x14ac:dyDescent="0.15">
      <c r="A33" s="60"/>
      <c r="B33" s="9"/>
      <c r="C33" s="58"/>
      <c r="D33" s="11"/>
      <c r="E33" s="10"/>
      <c r="F33" s="10"/>
      <c r="G33" s="12"/>
      <c r="H33" s="12"/>
      <c r="I33" s="17"/>
      <c r="J33" s="18"/>
      <c r="K33" s="19">
        <f t="shared" si="1"/>
        <v>0</v>
      </c>
      <c r="L33" s="27"/>
      <c r="N33" s="15">
        <v>10.89</v>
      </c>
    </row>
    <row r="34" spans="1:14" ht="20.25" customHeight="1" x14ac:dyDescent="0.15">
      <c r="A34" s="60"/>
      <c r="B34" s="9"/>
      <c r="C34" s="58"/>
      <c r="D34" s="11"/>
      <c r="E34" s="10"/>
      <c r="F34" s="10"/>
      <c r="G34" s="12"/>
      <c r="H34" s="12"/>
      <c r="I34" s="17"/>
      <c r="J34" s="18"/>
      <c r="K34" s="19">
        <f t="shared" si="1"/>
        <v>0</v>
      </c>
      <c r="L34" s="27"/>
      <c r="N34" s="15">
        <v>10.89</v>
      </c>
    </row>
    <row r="35" spans="1:14" ht="20.25" customHeight="1" x14ac:dyDescent="0.15">
      <c r="A35" s="60"/>
      <c r="B35" s="9"/>
      <c r="C35" s="58"/>
      <c r="D35" s="11"/>
      <c r="E35" s="10"/>
      <c r="F35" s="10"/>
      <c r="G35" s="12"/>
      <c r="H35" s="12"/>
      <c r="I35" s="17"/>
      <c r="J35" s="18"/>
      <c r="K35" s="19">
        <f t="shared" si="1"/>
        <v>0</v>
      </c>
      <c r="L35" s="27"/>
      <c r="N35" s="15">
        <v>10.89</v>
      </c>
    </row>
    <row r="36" spans="1:14" ht="20.25" customHeight="1" x14ac:dyDescent="0.15">
      <c r="A36" s="60"/>
      <c r="B36" s="9"/>
      <c r="C36" s="58"/>
      <c r="D36" s="11"/>
      <c r="E36" s="10"/>
      <c r="F36" s="10"/>
      <c r="G36" s="12"/>
      <c r="H36" s="12"/>
      <c r="I36" s="17"/>
      <c r="J36" s="18"/>
      <c r="K36" s="19">
        <f t="shared" si="1"/>
        <v>0</v>
      </c>
      <c r="L36" s="27"/>
      <c r="N36" s="15">
        <v>10.89</v>
      </c>
    </row>
    <row r="37" spans="1:14" ht="20.25" customHeight="1" x14ac:dyDescent="0.15">
      <c r="A37" s="60"/>
      <c r="B37" s="9"/>
      <c r="C37" s="58"/>
      <c r="D37" s="11"/>
      <c r="E37" s="10"/>
      <c r="F37" s="10"/>
      <c r="G37" s="12"/>
      <c r="H37" s="12"/>
      <c r="I37" s="17"/>
      <c r="J37" s="18"/>
      <c r="K37" s="19">
        <f t="shared" si="1"/>
        <v>0</v>
      </c>
      <c r="L37" s="27"/>
      <c r="N37" s="15">
        <v>10.89</v>
      </c>
    </row>
    <row r="38" spans="1:14" ht="20.25" customHeight="1" x14ac:dyDescent="0.15">
      <c r="A38" s="60"/>
      <c r="B38" s="9"/>
      <c r="C38" s="58"/>
      <c r="D38" s="11"/>
      <c r="E38" s="10"/>
      <c r="F38" s="10"/>
      <c r="G38" s="12"/>
      <c r="H38" s="12"/>
      <c r="I38" s="17"/>
      <c r="J38" s="18"/>
      <c r="K38" s="19">
        <f t="shared" si="1"/>
        <v>0</v>
      </c>
      <c r="L38" s="27"/>
      <c r="N38" s="15">
        <v>10.89</v>
      </c>
    </row>
    <row r="39" spans="1:14" ht="20.25" customHeight="1" x14ac:dyDescent="0.15">
      <c r="A39" s="60"/>
      <c r="B39" s="9"/>
      <c r="C39" s="58"/>
      <c r="D39" s="11"/>
      <c r="E39" s="10"/>
      <c r="F39" s="10"/>
      <c r="G39" s="12"/>
      <c r="H39" s="12"/>
      <c r="I39" s="17"/>
      <c r="J39" s="18"/>
      <c r="K39" s="19">
        <f t="shared" si="1"/>
        <v>0</v>
      </c>
      <c r="L39" s="27"/>
      <c r="N39" s="15">
        <v>10.89</v>
      </c>
    </row>
    <row r="40" spans="1:14" ht="20.25" customHeight="1" x14ac:dyDescent="0.15">
      <c r="A40" s="60"/>
      <c r="B40" s="9"/>
      <c r="C40" s="58"/>
      <c r="D40" s="11"/>
      <c r="E40" s="10"/>
      <c r="F40" s="10"/>
      <c r="G40" s="12"/>
      <c r="H40" s="12"/>
      <c r="I40" s="17"/>
      <c r="J40" s="18"/>
      <c r="K40" s="19">
        <f t="shared" si="1"/>
        <v>0</v>
      </c>
      <c r="L40" s="27"/>
      <c r="N40" s="15">
        <v>10.89</v>
      </c>
    </row>
    <row r="41" spans="1:14" ht="20.25" customHeight="1" x14ac:dyDescent="0.15">
      <c r="A41" s="57"/>
      <c r="B41" s="28"/>
      <c r="C41" s="10"/>
      <c r="D41" s="29"/>
      <c r="E41" s="30"/>
      <c r="F41" s="30"/>
      <c r="G41" s="30"/>
      <c r="H41" s="30"/>
      <c r="I41" s="13"/>
      <c r="J41" s="48">
        <f>SUM(J25:J40)</f>
        <v>729</v>
      </c>
      <c r="K41" s="49">
        <f>SUM(K25:K40)</f>
        <v>6148.3851000000004</v>
      </c>
      <c r="L41" s="31"/>
      <c r="N41" s="32"/>
    </row>
    <row r="42" spans="1:14" ht="20.25" customHeight="1" thickBot="1" x14ac:dyDescent="0.2">
      <c r="A42" s="55"/>
      <c r="B42" s="33"/>
      <c r="C42" s="33"/>
      <c r="D42" s="33"/>
      <c r="E42" s="33"/>
      <c r="F42" s="33"/>
      <c r="G42" s="33"/>
      <c r="H42" s="33"/>
      <c r="I42" s="33"/>
      <c r="J42" s="34"/>
      <c r="K42" s="35"/>
      <c r="L42" s="36"/>
    </row>
    <row r="43" spans="1:14" ht="20.25" customHeight="1" thickBot="1" x14ac:dyDescent="0.2">
      <c r="A43" s="37" t="s">
        <v>19</v>
      </c>
      <c r="B43" s="38" t="s">
        <v>20</v>
      </c>
      <c r="C43" s="77" t="s">
        <v>21</v>
      </c>
      <c r="D43" s="79"/>
      <c r="E43" s="77" t="s">
        <v>22</v>
      </c>
      <c r="F43" s="78"/>
      <c r="G43" s="79"/>
      <c r="H43" s="85" t="s">
        <v>23</v>
      </c>
      <c r="I43" s="86"/>
      <c r="J43" s="77" t="s">
        <v>24</v>
      </c>
      <c r="K43" s="79"/>
      <c r="L43" s="39" t="s">
        <v>13</v>
      </c>
    </row>
    <row r="44" spans="1:14" ht="20.25" customHeight="1" thickBot="1" x14ac:dyDescent="0.2">
      <c r="A44" s="40">
        <f>SUMIF($C$8:$C$42,"U1",$J$8:$J$42)</f>
        <v>0</v>
      </c>
      <c r="B44" s="41">
        <f>SUMIF($C$8:$C$42,"U2",$J$8:$J$42)</f>
        <v>0</v>
      </c>
      <c r="C44" s="77">
        <f>SUMIF($C$8:$C$42,"U3-1",$J$8:$J$42)</f>
        <v>0</v>
      </c>
      <c r="D44" s="79"/>
      <c r="E44" s="77">
        <f>SUMIF($C$8:$C$42,"U3",$J$8:$J$42)</f>
        <v>1343</v>
      </c>
      <c r="F44" s="78"/>
      <c r="G44" s="79"/>
      <c r="H44" s="77">
        <f>SUMIF($C$8:$C$42,"E5",$J$8:$J$42)</f>
        <v>0</v>
      </c>
      <c r="I44" s="79"/>
      <c r="J44" s="77">
        <f>SUM(A44:I44)</f>
        <v>1343</v>
      </c>
      <c r="K44" s="79"/>
      <c r="L44" s="42"/>
    </row>
    <row r="45" spans="1:14" ht="20.25" customHeight="1" thickBot="1" x14ac:dyDescent="0.2">
      <c r="A45" s="43" t="s">
        <v>25</v>
      </c>
      <c r="B45" s="44" t="s">
        <v>26</v>
      </c>
      <c r="C45" s="75">
        <v>13876</v>
      </c>
      <c r="D45" s="76"/>
      <c r="E45" s="77" t="s">
        <v>27</v>
      </c>
      <c r="F45" s="78"/>
      <c r="G45" s="78"/>
      <c r="H45" s="78"/>
      <c r="I45" s="79"/>
      <c r="J45" s="80">
        <v>146744.37</v>
      </c>
      <c r="K45" s="81"/>
      <c r="L45" s="82"/>
    </row>
    <row r="47" spans="1:14" x14ac:dyDescent="0.15">
      <c r="D47" s="45"/>
    </row>
  </sheetData>
  <mergeCells count="26">
    <mergeCell ref="C45:D45"/>
    <mergeCell ref="E45:I45"/>
    <mergeCell ref="J45:L45"/>
    <mergeCell ref="L6:L7"/>
    <mergeCell ref="C43:D43"/>
    <mergeCell ref="E43:G43"/>
    <mergeCell ref="H43:I43"/>
    <mergeCell ref="J43:K43"/>
    <mergeCell ref="C44:D44"/>
    <mergeCell ref="E44:G44"/>
    <mergeCell ref="H44:I44"/>
    <mergeCell ref="J44:K44"/>
    <mergeCell ref="B5:G5"/>
    <mergeCell ref="A6:A7"/>
    <mergeCell ref="B6:B7"/>
    <mergeCell ref="C6:C7"/>
    <mergeCell ref="D6:D7"/>
    <mergeCell ref="E6:E7"/>
    <mergeCell ref="F6:F7"/>
    <mergeCell ref="G6:K6"/>
    <mergeCell ref="L2:L4"/>
    <mergeCell ref="A1:G3"/>
    <mergeCell ref="H1:H4"/>
    <mergeCell ref="I2:I4"/>
    <mergeCell ref="J2:J4"/>
    <mergeCell ref="K2:K4"/>
  </mergeCells>
  <phoneticPr fontId="2" type="noConversion"/>
  <printOptions horizontalCentered="1"/>
  <pageMargins left="0.39370078740157483" right="0.39370078740157483" top="0.74803149606299213" bottom="0.19685039370078741" header="0.31496062992125984" footer="0.15748031496062992"/>
  <pageSetup paperSize="9" scale="84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N47"/>
  <sheetViews>
    <sheetView view="pageBreakPreview" topLeftCell="A4" zoomScaleSheetLayoutView="100" workbookViewId="0">
      <selection activeCell="C14" sqref="C14"/>
    </sheetView>
  </sheetViews>
  <sheetFormatPr defaultColWidth="8.88671875" defaultRowHeight="13.5" x14ac:dyDescent="0.15"/>
  <cols>
    <col min="1" max="1" width="8.44140625" style="3" customWidth="1"/>
    <col min="2" max="2" width="14.77734375" style="3" customWidth="1"/>
    <col min="3" max="3" width="4.109375" style="3" customWidth="1"/>
    <col min="4" max="4" width="15.21875" style="3" customWidth="1"/>
    <col min="5" max="5" width="4.44140625" style="3" customWidth="1"/>
    <col min="6" max="6" width="4" style="3" customWidth="1"/>
    <col min="7" max="7" width="5.5546875" style="3" customWidth="1"/>
    <col min="8" max="8" width="5.44140625" style="3" customWidth="1"/>
    <col min="9" max="9" width="7.88671875" style="3" customWidth="1"/>
    <col min="10" max="10" width="7.109375" style="3" customWidth="1"/>
    <col min="11" max="11" width="7.21875" style="3" customWidth="1"/>
    <col min="12" max="12" width="6.77734375" style="3" customWidth="1"/>
    <col min="13" max="16384" width="8.88671875" style="3"/>
  </cols>
  <sheetData>
    <row r="1" spans="1:14" ht="18.75" customHeight="1" x14ac:dyDescent="0.15">
      <c r="A1" s="101" t="s">
        <v>0</v>
      </c>
      <c r="B1" s="102"/>
      <c r="C1" s="102"/>
      <c r="D1" s="102"/>
      <c r="E1" s="102"/>
      <c r="F1" s="102"/>
      <c r="G1" s="103"/>
      <c r="H1" s="107" t="s">
        <v>1</v>
      </c>
      <c r="I1" s="1" t="s">
        <v>2</v>
      </c>
      <c r="J1" s="1" t="s">
        <v>2</v>
      </c>
      <c r="K1" s="1" t="s">
        <v>3</v>
      </c>
      <c r="L1" s="2" t="s">
        <v>4</v>
      </c>
    </row>
    <row r="2" spans="1:14" ht="13.5" customHeight="1" x14ac:dyDescent="0.15">
      <c r="A2" s="104"/>
      <c r="B2" s="105"/>
      <c r="C2" s="105"/>
      <c r="D2" s="105"/>
      <c r="E2" s="105"/>
      <c r="F2" s="105"/>
      <c r="G2" s="106"/>
      <c r="H2" s="108"/>
      <c r="I2" s="110"/>
      <c r="J2" s="110"/>
      <c r="K2" s="110"/>
      <c r="L2" s="98"/>
    </row>
    <row r="3" spans="1:14" ht="13.5" customHeight="1" x14ac:dyDescent="0.15">
      <c r="A3" s="104"/>
      <c r="B3" s="105"/>
      <c r="C3" s="105"/>
      <c r="D3" s="105"/>
      <c r="E3" s="105"/>
      <c r="F3" s="105"/>
      <c r="G3" s="106"/>
      <c r="H3" s="108"/>
      <c r="I3" s="108"/>
      <c r="J3" s="108"/>
      <c r="K3" s="108"/>
      <c r="L3" s="99"/>
    </row>
    <row r="4" spans="1:14" ht="33" customHeight="1" x14ac:dyDescent="0.15">
      <c r="A4" s="4"/>
      <c r="B4" s="5"/>
      <c r="C4" s="5"/>
      <c r="D4" s="5"/>
      <c r="E4" s="5"/>
      <c r="F4" s="5"/>
      <c r="G4" s="5"/>
      <c r="H4" s="109"/>
      <c r="I4" s="109"/>
      <c r="J4" s="109"/>
      <c r="K4" s="109"/>
      <c r="L4" s="100"/>
    </row>
    <row r="5" spans="1:14" ht="17.25" customHeight="1" x14ac:dyDescent="0.15">
      <c r="A5" s="6" t="s">
        <v>5</v>
      </c>
      <c r="B5" s="87">
        <v>46042</v>
      </c>
      <c r="C5" s="88"/>
      <c r="D5" s="88"/>
      <c r="E5" s="88"/>
      <c r="F5" s="88"/>
      <c r="G5" s="88"/>
      <c r="H5" s="5"/>
      <c r="I5" s="5"/>
      <c r="J5" s="5"/>
      <c r="K5" s="5"/>
      <c r="L5" s="7"/>
    </row>
    <row r="6" spans="1:14" ht="13.5" customHeight="1" x14ac:dyDescent="0.15">
      <c r="A6" s="89" t="s">
        <v>6</v>
      </c>
      <c r="B6" s="91" t="s">
        <v>7</v>
      </c>
      <c r="C6" s="91" t="s">
        <v>8</v>
      </c>
      <c r="D6" s="91" t="s">
        <v>9</v>
      </c>
      <c r="E6" s="93" t="s">
        <v>10</v>
      </c>
      <c r="F6" s="93" t="s">
        <v>11</v>
      </c>
      <c r="G6" s="95" t="s">
        <v>12</v>
      </c>
      <c r="H6" s="96"/>
      <c r="I6" s="96"/>
      <c r="J6" s="96"/>
      <c r="K6" s="97"/>
      <c r="L6" s="83" t="s">
        <v>13</v>
      </c>
    </row>
    <row r="7" spans="1:14" x14ac:dyDescent="0.15">
      <c r="A7" s="90"/>
      <c r="B7" s="92"/>
      <c r="C7" s="92"/>
      <c r="D7" s="92"/>
      <c r="E7" s="94"/>
      <c r="F7" s="94"/>
      <c r="G7" s="8" t="s">
        <v>14</v>
      </c>
      <c r="H7" s="8" t="s">
        <v>15</v>
      </c>
      <c r="I7" s="8" t="s">
        <v>16</v>
      </c>
      <c r="J7" s="8" t="s">
        <v>17</v>
      </c>
      <c r="K7" s="8" t="s">
        <v>18</v>
      </c>
      <c r="L7" s="84"/>
    </row>
    <row r="8" spans="1:14" s="15" customFormat="1" ht="20.25" customHeight="1" x14ac:dyDescent="0.15">
      <c r="A8" s="60" t="s">
        <v>615</v>
      </c>
      <c r="B8" s="9" t="s">
        <v>131</v>
      </c>
      <c r="C8" s="58" t="s">
        <v>29</v>
      </c>
      <c r="D8" s="11" t="s">
        <v>155</v>
      </c>
      <c r="E8" s="10">
        <v>22</v>
      </c>
      <c r="F8" s="58" t="s">
        <v>11</v>
      </c>
      <c r="G8" s="12">
        <v>1421</v>
      </c>
      <c r="H8" s="12">
        <v>1763</v>
      </c>
      <c r="I8" s="17" t="s">
        <v>616</v>
      </c>
      <c r="J8" s="18">
        <v>140</v>
      </c>
      <c r="K8" s="19">
        <f>+M8*N8</f>
        <v>1252.3500000000001</v>
      </c>
      <c r="L8" s="14"/>
      <c r="M8" s="15">
        <v>115</v>
      </c>
      <c r="N8" s="15">
        <v>10.89</v>
      </c>
    </row>
    <row r="9" spans="1:14" s="15" customFormat="1" ht="20.25" customHeight="1" x14ac:dyDescent="0.15">
      <c r="A9" s="60"/>
      <c r="B9" s="9"/>
      <c r="C9" s="58" t="s">
        <v>29</v>
      </c>
      <c r="D9" s="11" t="s">
        <v>156</v>
      </c>
      <c r="E9" s="10">
        <v>22</v>
      </c>
      <c r="F9" s="58" t="s">
        <v>11</v>
      </c>
      <c r="G9" s="12">
        <v>1421</v>
      </c>
      <c r="H9" s="12">
        <v>1763</v>
      </c>
      <c r="I9" s="17" t="s">
        <v>616</v>
      </c>
      <c r="J9" s="18">
        <v>140</v>
      </c>
      <c r="K9" s="19">
        <f t="shared" ref="K9:K23" si="0">+M9*N9</f>
        <v>1252.3500000000001</v>
      </c>
      <c r="L9" s="14"/>
      <c r="M9" s="15">
        <v>115</v>
      </c>
      <c r="N9" s="15">
        <v>10.89</v>
      </c>
    </row>
    <row r="10" spans="1:14" s="15" customFormat="1" ht="20.25" customHeight="1" x14ac:dyDescent="0.15">
      <c r="A10" s="60" t="s">
        <v>617</v>
      </c>
      <c r="B10" s="9" t="s">
        <v>131</v>
      </c>
      <c r="C10" s="58" t="s">
        <v>29</v>
      </c>
      <c r="D10" s="11" t="s">
        <v>155</v>
      </c>
      <c r="E10" s="10">
        <v>22</v>
      </c>
      <c r="F10" s="58" t="s">
        <v>11</v>
      </c>
      <c r="G10" s="12">
        <v>1421</v>
      </c>
      <c r="H10" s="12">
        <v>1763</v>
      </c>
      <c r="I10" s="17" t="s">
        <v>618</v>
      </c>
      <c r="J10" s="18">
        <v>150</v>
      </c>
      <c r="K10" s="19">
        <f t="shared" si="0"/>
        <v>1427.6790000000001</v>
      </c>
      <c r="L10" s="14"/>
      <c r="M10" s="15">
        <v>131.1</v>
      </c>
      <c r="N10" s="15">
        <v>10.89</v>
      </c>
    </row>
    <row r="11" spans="1:14" s="15" customFormat="1" ht="20.25" customHeight="1" x14ac:dyDescent="0.15">
      <c r="A11" s="60"/>
      <c r="B11" s="9"/>
      <c r="C11" s="58" t="s">
        <v>29</v>
      </c>
      <c r="D11" s="11" t="s">
        <v>156</v>
      </c>
      <c r="E11" s="10">
        <v>22</v>
      </c>
      <c r="F11" s="58" t="s">
        <v>11</v>
      </c>
      <c r="G11" s="12">
        <v>1421</v>
      </c>
      <c r="H11" s="12">
        <v>1763</v>
      </c>
      <c r="I11" s="17" t="s">
        <v>618</v>
      </c>
      <c r="J11" s="18">
        <v>150</v>
      </c>
      <c r="K11" s="19">
        <f t="shared" si="0"/>
        <v>1427.6790000000001</v>
      </c>
      <c r="L11" s="14"/>
      <c r="M11" s="15">
        <v>131.1</v>
      </c>
      <c r="N11" s="15">
        <v>10.89</v>
      </c>
    </row>
    <row r="12" spans="1:14" s="15" customFormat="1" ht="20.25" customHeight="1" x14ac:dyDescent="0.15">
      <c r="A12" s="60" t="s">
        <v>619</v>
      </c>
      <c r="B12" s="9" t="s">
        <v>131</v>
      </c>
      <c r="C12" s="58" t="s">
        <v>29</v>
      </c>
      <c r="D12" s="11" t="s">
        <v>155</v>
      </c>
      <c r="E12" s="10">
        <v>22</v>
      </c>
      <c r="F12" s="58" t="s">
        <v>11</v>
      </c>
      <c r="G12" s="12">
        <v>1421</v>
      </c>
      <c r="H12" s="12">
        <v>1763</v>
      </c>
      <c r="I12" s="17" t="s">
        <v>620</v>
      </c>
      <c r="J12" s="18">
        <v>37</v>
      </c>
      <c r="K12" s="19">
        <f t="shared" si="0"/>
        <v>492.99030000000005</v>
      </c>
      <c r="L12" s="14"/>
      <c r="M12" s="15">
        <v>45.27</v>
      </c>
      <c r="N12" s="15">
        <v>10.89</v>
      </c>
    </row>
    <row r="13" spans="1:14" s="15" customFormat="1" ht="20.25" customHeight="1" x14ac:dyDescent="0.15">
      <c r="A13" s="60" t="s">
        <v>621</v>
      </c>
      <c r="B13" s="9" t="s">
        <v>622</v>
      </c>
      <c r="C13" s="58" t="s">
        <v>273</v>
      </c>
      <c r="D13" s="11" t="s">
        <v>383</v>
      </c>
      <c r="E13" s="10">
        <v>16</v>
      </c>
      <c r="F13" s="58"/>
      <c r="G13" s="12">
        <v>766</v>
      </c>
      <c r="H13" s="12">
        <v>716</v>
      </c>
      <c r="I13" s="17">
        <v>1</v>
      </c>
      <c r="J13" s="18">
        <v>1</v>
      </c>
      <c r="K13" s="19">
        <f t="shared" si="0"/>
        <v>5.9895000000000005</v>
      </c>
      <c r="L13" s="14"/>
      <c r="M13" s="15">
        <v>0.55000000000000004</v>
      </c>
      <c r="N13" s="15">
        <v>10.89</v>
      </c>
    </row>
    <row r="14" spans="1:14" s="15" customFormat="1" ht="20.25" customHeight="1" x14ac:dyDescent="0.15">
      <c r="A14" s="60"/>
      <c r="B14" s="9"/>
      <c r="C14" s="58"/>
      <c r="D14" s="11"/>
      <c r="E14" s="10"/>
      <c r="F14" s="58"/>
      <c r="G14" s="12"/>
      <c r="H14" s="12"/>
      <c r="I14" s="17"/>
      <c r="J14" s="18"/>
      <c r="K14" s="19">
        <f t="shared" si="0"/>
        <v>0</v>
      </c>
      <c r="L14" s="20"/>
      <c r="N14" s="15">
        <v>10.89</v>
      </c>
    </row>
    <row r="15" spans="1:14" s="15" customFormat="1" ht="20.25" customHeight="1" x14ac:dyDescent="0.15">
      <c r="A15" s="60"/>
      <c r="B15" s="9"/>
      <c r="C15" s="58"/>
      <c r="D15" s="11"/>
      <c r="E15" s="10"/>
      <c r="F15" s="58"/>
      <c r="G15" s="12"/>
      <c r="H15" s="12"/>
      <c r="I15" s="17"/>
      <c r="J15" s="18"/>
      <c r="K15" s="19">
        <f t="shared" si="0"/>
        <v>0</v>
      </c>
      <c r="L15" s="20"/>
      <c r="N15" s="15">
        <v>10.89</v>
      </c>
    </row>
    <row r="16" spans="1:14" s="15" customFormat="1" ht="20.25" customHeight="1" x14ac:dyDescent="0.15">
      <c r="A16" s="60"/>
      <c r="B16" s="9"/>
      <c r="C16" s="58"/>
      <c r="D16" s="11"/>
      <c r="E16" s="10"/>
      <c r="F16" s="58"/>
      <c r="G16" s="12"/>
      <c r="H16" s="12"/>
      <c r="I16" s="17"/>
      <c r="J16" s="18"/>
      <c r="K16" s="19">
        <f t="shared" si="0"/>
        <v>0</v>
      </c>
      <c r="L16" s="20"/>
      <c r="N16" s="15">
        <v>10.89</v>
      </c>
    </row>
    <row r="17" spans="1:14" s="15" customFormat="1" ht="20.25" customHeight="1" x14ac:dyDescent="0.15">
      <c r="A17" s="60"/>
      <c r="B17" s="9"/>
      <c r="C17" s="58"/>
      <c r="D17" s="11"/>
      <c r="E17" s="10"/>
      <c r="F17" s="58"/>
      <c r="G17" s="12"/>
      <c r="H17" s="12"/>
      <c r="I17" s="17"/>
      <c r="J17" s="18"/>
      <c r="K17" s="19">
        <f t="shared" si="0"/>
        <v>0</v>
      </c>
      <c r="L17" s="20"/>
      <c r="N17" s="15">
        <v>10.89</v>
      </c>
    </row>
    <row r="18" spans="1:14" s="15" customFormat="1" ht="20.25" customHeight="1" x14ac:dyDescent="0.15">
      <c r="A18" s="60"/>
      <c r="B18" s="9"/>
      <c r="C18" s="58"/>
      <c r="D18" s="11"/>
      <c r="E18" s="10"/>
      <c r="F18" s="58"/>
      <c r="G18" s="12"/>
      <c r="H18" s="12"/>
      <c r="I18" s="17"/>
      <c r="J18" s="18"/>
      <c r="K18" s="19">
        <f t="shared" si="0"/>
        <v>0</v>
      </c>
      <c r="L18" s="20"/>
      <c r="N18" s="15">
        <v>10.89</v>
      </c>
    </row>
    <row r="19" spans="1:14" s="15" customFormat="1" ht="20.25" customHeight="1" x14ac:dyDescent="0.15">
      <c r="A19" s="60"/>
      <c r="B19" s="9"/>
      <c r="C19" s="58"/>
      <c r="D19" s="11"/>
      <c r="E19" s="10"/>
      <c r="F19" s="58"/>
      <c r="G19" s="12"/>
      <c r="H19" s="12"/>
      <c r="I19" s="17"/>
      <c r="J19" s="18"/>
      <c r="K19" s="19">
        <f t="shared" si="0"/>
        <v>0</v>
      </c>
      <c r="L19" s="20"/>
      <c r="N19" s="15">
        <v>10.89</v>
      </c>
    </row>
    <row r="20" spans="1:14" s="15" customFormat="1" ht="20.25" customHeight="1" x14ac:dyDescent="0.15">
      <c r="A20" s="60"/>
      <c r="B20" s="9"/>
      <c r="C20" s="58"/>
      <c r="D20" s="11"/>
      <c r="E20" s="10"/>
      <c r="F20" s="58"/>
      <c r="G20" s="12"/>
      <c r="H20" s="12"/>
      <c r="I20" s="17"/>
      <c r="J20" s="18"/>
      <c r="K20" s="19">
        <f t="shared" si="0"/>
        <v>0</v>
      </c>
      <c r="L20" s="20"/>
      <c r="N20" s="15">
        <v>10.89</v>
      </c>
    </row>
    <row r="21" spans="1:14" s="15" customFormat="1" ht="20.25" customHeight="1" x14ac:dyDescent="0.15">
      <c r="A21" s="60"/>
      <c r="B21" s="9"/>
      <c r="C21" s="58"/>
      <c r="D21" s="11"/>
      <c r="E21" s="10"/>
      <c r="F21" s="58"/>
      <c r="G21" s="50"/>
      <c r="H21" s="50"/>
      <c r="I21" s="17"/>
      <c r="J21" s="18"/>
      <c r="K21" s="19">
        <f t="shared" si="0"/>
        <v>0</v>
      </c>
      <c r="L21" s="20"/>
      <c r="N21" s="15">
        <v>10.89</v>
      </c>
    </row>
    <row r="22" spans="1:14" s="15" customFormat="1" ht="20.25" customHeight="1" x14ac:dyDescent="0.15">
      <c r="A22" s="60"/>
      <c r="B22" s="9"/>
      <c r="C22" s="58"/>
      <c r="D22" s="11"/>
      <c r="E22" s="10"/>
      <c r="F22" s="58"/>
      <c r="G22" s="50"/>
      <c r="H22" s="50"/>
      <c r="I22" s="17"/>
      <c r="J22" s="18"/>
      <c r="K22" s="19">
        <f t="shared" si="0"/>
        <v>0</v>
      </c>
      <c r="L22" s="20"/>
      <c r="N22" s="15">
        <v>10.89</v>
      </c>
    </row>
    <row r="23" spans="1:14" ht="20.25" customHeight="1" x14ac:dyDescent="0.15">
      <c r="A23" s="60"/>
      <c r="B23" s="9"/>
      <c r="C23" s="58"/>
      <c r="D23" s="11"/>
      <c r="E23" s="10"/>
      <c r="F23" s="58"/>
      <c r="G23" s="16"/>
      <c r="H23" s="16"/>
      <c r="I23" s="17"/>
      <c r="J23" s="18"/>
      <c r="K23" s="19">
        <f t="shared" si="0"/>
        <v>0</v>
      </c>
      <c r="L23" s="20"/>
      <c r="N23" s="15">
        <v>10.89</v>
      </c>
    </row>
    <row r="24" spans="1:14" ht="20.25" customHeight="1" thickBot="1" x14ac:dyDescent="0.2">
      <c r="A24" s="56"/>
      <c r="B24" s="21"/>
      <c r="C24" s="59"/>
      <c r="D24" s="22"/>
      <c r="E24" s="23"/>
      <c r="F24" s="23"/>
      <c r="G24" s="24"/>
      <c r="H24" s="24"/>
      <c r="I24" s="25"/>
      <c r="J24" s="46">
        <f>SUM(J8:J23)</f>
        <v>618</v>
      </c>
      <c r="K24" s="47">
        <f>SUM(K8:K23)</f>
        <v>5859.037800000001</v>
      </c>
      <c r="L24" s="26"/>
    </row>
    <row r="25" spans="1:14" ht="20.25" customHeight="1" thickTop="1" x14ac:dyDescent="0.15">
      <c r="A25" s="60" t="s">
        <v>623</v>
      </c>
      <c r="B25" s="9" t="s">
        <v>131</v>
      </c>
      <c r="C25" s="58" t="s">
        <v>29</v>
      </c>
      <c r="D25" s="11" t="s">
        <v>155</v>
      </c>
      <c r="E25" s="10">
        <v>22</v>
      </c>
      <c r="F25" s="10" t="s">
        <v>11</v>
      </c>
      <c r="G25" s="12">
        <v>1723</v>
      </c>
      <c r="H25" s="12">
        <v>1763</v>
      </c>
      <c r="I25" s="17" t="s">
        <v>624</v>
      </c>
      <c r="J25" s="18">
        <v>258</v>
      </c>
      <c r="K25" s="19">
        <f t="shared" ref="K25:K40" si="1">+M25*N25</f>
        <v>2289.8403000000003</v>
      </c>
      <c r="L25" s="54"/>
      <c r="M25" s="3">
        <v>210.27</v>
      </c>
      <c r="N25" s="15">
        <v>10.89</v>
      </c>
    </row>
    <row r="26" spans="1:14" ht="20.25" customHeight="1" x14ac:dyDescent="0.15">
      <c r="A26" s="60"/>
      <c r="B26" s="9"/>
      <c r="C26" s="58" t="s">
        <v>29</v>
      </c>
      <c r="D26" s="11" t="s">
        <v>156</v>
      </c>
      <c r="E26" s="10">
        <v>22</v>
      </c>
      <c r="F26" s="10" t="s">
        <v>11</v>
      </c>
      <c r="G26" s="12">
        <v>1723</v>
      </c>
      <c r="H26" s="12">
        <v>1763</v>
      </c>
      <c r="I26" s="17" t="s">
        <v>625</v>
      </c>
      <c r="J26" s="18">
        <v>259</v>
      </c>
      <c r="K26" s="19">
        <f t="shared" si="1"/>
        <v>2364.8724000000002</v>
      </c>
      <c r="L26" s="54"/>
      <c r="M26" s="3">
        <v>217.16</v>
      </c>
      <c r="N26" s="15">
        <v>10.89</v>
      </c>
    </row>
    <row r="27" spans="1:14" ht="20.25" customHeight="1" x14ac:dyDescent="0.15">
      <c r="A27" s="61" t="s">
        <v>626</v>
      </c>
      <c r="B27" s="9" t="s">
        <v>131</v>
      </c>
      <c r="C27" s="58" t="s">
        <v>29</v>
      </c>
      <c r="D27" s="11" t="s">
        <v>155</v>
      </c>
      <c r="E27" s="10">
        <v>22</v>
      </c>
      <c r="F27" s="10" t="s">
        <v>11</v>
      </c>
      <c r="G27" s="12">
        <v>1421</v>
      </c>
      <c r="H27" s="12">
        <v>1763</v>
      </c>
      <c r="I27" s="17" t="s">
        <v>627</v>
      </c>
      <c r="J27" s="18">
        <v>160</v>
      </c>
      <c r="K27" s="19">
        <f t="shared" si="1"/>
        <v>1326.402</v>
      </c>
      <c r="L27" s="54"/>
      <c r="M27" s="3">
        <v>121.8</v>
      </c>
      <c r="N27" s="15">
        <v>10.89</v>
      </c>
    </row>
    <row r="28" spans="1:14" ht="20.25" customHeight="1" x14ac:dyDescent="0.15">
      <c r="A28" s="61"/>
      <c r="B28" s="9"/>
      <c r="C28" s="58" t="s">
        <v>29</v>
      </c>
      <c r="D28" s="11" t="s">
        <v>156</v>
      </c>
      <c r="E28" s="10">
        <v>22</v>
      </c>
      <c r="F28" s="10" t="s">
        <v>11</v>
      </c>
      <c r="G28" s="12">
        <v>1421</v>
      </c>
      <c r="H28" s="12">
        <v>1763</v>
      </c>
      <c r="I28" s="17" t="s">
        <v>628</v>
      </c>
      <c r="J28" s="18">
        <v>25</v>
      </c>
      <c r="K28" s="19">
        <f t="shared" si="1"/>
        <v>523.2645</v>
      </c>
      <c r="L28" s="54"/>
      <c r="M28" s="3">
        <v>48.05</v>
      </c>
      <c r="N28" s="15">
        <v>10.89</v>
      </c>
    </row>
    <row r="29" spans="1:14" ht="20.25" customHeight="1" x14ac:dyDescent="0.15">
      <c r="A29" s="61"/>
      <c r="B29" s="9"/>
      <c r="C29" s="58"/>
      <c r="D29" s="11"/>
      <c r="E29" s="10"/>
      <c r="F29" s="10"/>
      <c r="G29" s="12"/>
      <c r="H29" s="12"/>
      <c r="I29" s="17"/>
      <c r="J29" s="18"/>
      <c r="K29" s="19">
        <f t="shared" si="1"/>
        <v>0</v>
      </c>
      <c r="L29" s="54"/>
      <c r="N29" s="15">
        <v>10.89</v>
      </c>
    </row>
    <row r="30" spans="1:14" ht="20.25" customHeight="1" x14ac:dyDescent="0.15">
      <c r="A30" s="61"/>
      <c r="B30" s="9"/>
      <c r="C30" s="58"/>
      <c r="D30" s="11"/>
      <c r="E30" s="10"/>
      <c r="F30" s="10"/>
      <c r="G30" s="12"/>
      <c r="H30" s="12"/>
      <c r="I30" s="51"/>
      <c r="J30" s="52"/>
      <c r="K30" s="53">
        <f t="shared" si="1"/>
        <v>0</v>
      </c>
      <c r="L30" s="54"/>
      <c r="N30" s="15">
        <v>10.89</v>
      </c>
    </row>
    <row r="31" spans="1:14" ht="20.25" customHeight="1" x14ac:dyDescent="0.15">
      <c r="A31" s="61"/>
      <c r="B31" s="9"/>
      <c r="C31" s="58"/>
      <c r="D31" s="11"/>
      <c r="E31" s="10"/>
      <c r="F31" s="10"/>
      <c r="G31" s="12"/>
      <c r="H31" s="12"/>
      <c r="I31" s="51"/>
      <c r="J31" s="52"/>
      <c r="K31" s="53">
        <f t="shared" si="1"/>
        <v>0</v>
      </c>
      <c r="L31" s="54"/>
      <c r="N31" s="15">
        <v>10.89</v>
      </c>
    </row>
    <row r="32" spans="1:14" ht="20.25" customHeight="1" x14ac:dyDescent="0.15">
      <c r="A32" s="60"/>
      <c r="B32" s="9"/>
      <c r="C32" s="58"/>
      <c r="D32" s="11"/>
      <c r="E32" s="10"/>
      <c r="F32" s="10"/>
      <c r="G32" s="12"/>
      <c r="H32" s="12"/>
      <c r="I32" s="17"/>
      <c r="J32" s="18"/>
      <c r="K32" s="19">
        <f t="shared" si="1"/>
        <v>0</v>
      </c>
      <c r="L32" s="27"/>
      <c r="N32" s="15">
        <v>10.89</v>
      </c>
    </row>
    <row r="33" spans="1:14" ht="20.25" customHeight="1" x14ac:dyDescent="0.15">
      <c r="A33" s="60"/>
      <c r="B33" s="9"/>
      <c r="C33" s="58"/>
      <c r="D33" s="11"/>
      <c r="E33" s="10"/>
      <c r="F33" s="10"/>
      <c r="G33" s="12"/>
      <c r="H33" s="12"/>
      <c r="I33" s="17"/>
      <c r="J33" s="18"/>
      <c r="K33" s="19">
        <f t="shared" si="1"/>
        <v>0</v>
      </c>
      <c r="L33" s="27"/>
      <c r="N33" s="15">
        <v>10.89</v>
      </c>
    </row>
    <row r="34" spans="1:14" ht="20.25" customHeight="1" x14ac:dyDescent="0.15">
      <c r="A34" s="60"/>
      <c r="B34" s="9"/>
      <c r="C34" s="58"/>
      <c r="D34" s="11"/>
      <c r="E34" s="10"/>
      <c r="F34" s="10"/>
      <c r="G34" s="12"/>
      <c r="H34" s="12"/>
      <c r="I34" s="17"/>
      <c r="J34" s="18"/>
      <c r="K34" s="19">
        <f t="shared" si="1"/>
        <v>0</v>
      </c>
      <c r="L34" s="27"/>
      <c r="N34" s="15">
        <v>10.89</v>
      </c>
    </row>
    <row r="35" spans="1:14" ht="20.25" customHeight="1" x14ac:dyDescent="0.15">
      <c r="A35" s="60"/>
      <c r="B35" s="9"/>
      <c r="C35" s="58"/>
      <c r="D35" s="11"/>
      <c r="E35" s="10"/>
      <c r="F35" s="10"/>
      <c r="G35" s="12"/>
      <c r="H35" s="12"/>
      <c r="I35" s="17"/>
      <c r="J35" s="18"/>
      <c r="K35" s="19">
        <f t="shared" si="1"/>
        <v>0</v>
      </c>
      <c r="L35" s="27"/>
      <c r="N35" s="15">
        <v>10.89</v>
      </c>
    </row>
    <row r="36" spans="1:14" ht="20.25" customHeight="1" x14ac:dyDescent="0.15">
      <c r="A36" s="60"/>
      <c r="B36" s="9"/>
      <c r="C36" s="58"/>
      <c r="D36" s="11"/>
      <c r="E36" s="10"/>
      <c r="F36" s="10"/>
      <c r="G36" s="12"/>
      <c r="H36" s="12"/>
      <c r="I36" s="17"/>
      <c r="J36" s="18"/>
      <c r="K36" s="19">
        <f t="shared" si="1"/>
        <v>0</v>
      </c>
      <c r="L36" s="27"/>
      <c r="N36" s="15">
        <v>10.89</v>
      </c>
    </row>
    <row r="37" spans="1:14" ht="20.25" customHeight="1" x14ac:dyDescent="0.15">
      <c r="A37" s="60"/>
      <c r="B37" s="9"/>
      <c r="C37" s="58"/>
      <c r="D37" s="11"/>
      <c r="E37" s="10"/>
      <c r="F37" s="10"/>
      <c r="G37" s="12"/>
      <c r="H37" s="12"/>
      <c r="I37" s="17"/>
      <c r="J37" s="18"/>
      <c r="K37" s="19">
        <f t="shared" si="1"/>
        <v>0</v>
      </c>
      <c r="L37" s="27"/>
      <c r="N37" s="15">
        <v>10.89</v>
      </c>
    </row>
    <row r="38" spans="1:14" ht="20.25" customHeight="1" x14ac:dyDescent="0.15">
      <c r="A38" s="60"/>
      <c r="B38" s="9"/>
      <c r="C38" s="58"/>
      <c r="D38" s="11"/>
      <c r="E38" s="10"/>
      <c r="F38" s="10"/>
      <c r="G38" s="12"/>
      <c r="H38" s="12"/>
      <c r="I38" s="17"/>
      <c r="J38" s="18"/>
      <c r="K38" s="19">
        <f t="shared" si="1"/>
        <v>0</v>
      </c>
      <c r="L38" s="27"/>
      <c r="N38" s="15">
        <v>10.89</v>
      </c>
    </row>
    <row r="39" spans="1:14" ht="20.25" customHeight="1" x14ac:dyDescent="0.15">
      <c r="A39" s="60"/>
      <c r="B39" s="9"/>
      <c r="C39" s="58"/>
      <c r="D39" s="11"/>
      <c r="E39" s="10"/>
      <c r="F39" s="10"/>
      <c r="G39" s="12"/>
      <c r="H39" s="12"/>
      <c r="I39" s="17"/>
      <c r="J39" s="18"/>
      <c r="K39" s="19">
        <f t="shared" si="1"/>
        <v>0</v>
      </c>
      <c r="L39" s="27"/>
      <c r="N39" s="15">
        <v>10.89</v>
      </c>
    </row>
    <row r="40" spans="1:14" ht="20.25" customHeight="1" x14ac:dyDescent="0.15">
      <c r="A40" s="60"/>
      <c r="B40" s="9"/>
      <c r="C40" s="58"/>
      <c r="D40" s="11"/>
      <c r="E40" s="10"/>
      <c r="F40" s="10"/>
      <c r="G40" s="12"/>
      <c r="H40" s="12"/>
      <c r="I40" s="17"/>
      <c r="J40" s="18"/>
      <c r="K40" s="19">
        <f t="shared" si="1"/>
        <v>0</v>
      </c>
      <c r="L40" s="27"/>
      <c r="N40" s="15">
        <v>10.89</v>
      </c>
    </row>
    <row r="41" spans="1:14" ht="20.25" customHeight="1" x14ac:dyDescent="0.15">
      <c r="A41" s="57"/>
      <c r="B41" s="28"/>
      <c r="C41" s="10"/>
      <c r="D41" s="29"/>
      <c r="E41" s="30"/>
      <c r="F41" s="30"/>
      <c r="G41" s="30"/>
      <c r="H41" s="30"/>
      <c r="I41" s="13"/>
      <c r="J41" s="48">
        <f>SUM(J25:J40)</f>
        <v>702</v>
      </c>
      <c r="K41" s="49">
        <f>SUM(K25:K40)</f>
        <v>6504.3792000000003</v>
      </c>
      <c r="L41" s="31"/>
      <c r="N41" s="32"/>
    </row>
    <row r="42" spans="1:14" ht="20.25" customHeight="1" thickBot="1" x14ac:dyDescent="0.2">
      <c r="A42" s="55"/>
      <c r="B42" s="33"/>
      <c r="C42" s="33"/>
      <c r="D42" s="33"/>
      <c r="E42" s="33"/>
      <c r="F42" s="33"/>
      <c r="G42" s="33"/>
      <c r="H42" s="33"/>
      <c r="I42" s="33"/>
      <c r="J42" s="34"/>
      <c r="K42" s="35"/>
      <c r="L42" s="36"/>
    </row>
    <row r="43" spans="1:14" ht="20.25" customHeight="1" thickBot="1" x14ac:dyDescent="0.2">
      <c r="A43" s="37" t="s">
        <v>19</v>
      </c>
      <c r="B43" s="38" t="s">
        <v>20</v>
      </c>
      <c r="C43" s="77" t="s">
        <v>21</v>
      </c>
      <c r="D43" s="79"/>
      <c r="E43" s="77" t="s">
        <v>22</v>
      </c>
      <c r="F43" s="78"/>
      <c r="G43" s="79"/>
      <c r="H43" s="85" t="s">
        <v>23</v>
      </c>
      <c r="I43" s="86"/>
      <c r="J43" s="77" t="s">
        <v>24</v>
      </c>
      <c r="K43" s="79"/>
      <c r="L43" s="39" t="s">
        <v>13</v>
      </c>
    </row>
    <row r="44" spans="1:14" ht="20.25" customHeight="1" thickBot="1" x14ac:dyDescent="0.2">
      <c r="A44" s="40">
        <f>SUMIF($C$8:$C$42,"U1",$J$8:$J$42)</f>
        <v>1</v>
      </c>
      <c r="B44" s="41">
        <f>SUMIF($C$8:$C$42,"U2",$J$8:$J$42)</f>
        <v>0</v>
      </c>
      <c r="C44" s="77">
        <f>SUMIF($C$8:$C$42,"U3-1",$J$8:$J$42)</f>
        <v>0</v>
      </c>
      <c r="D44" s="79"/>
      <c r="E44" s="77">
        <f>SUMIF($C$8:$C$42,"U3",$J$8:$J$42)</f>
        <v>1319</v>
      </c>
      <c r="F44" s="78"/>
      <c r="G44" s="79"/>
      <c r="H44" s="77">
        <f>SUMIF($C$8:$C$42,"E5",$J$8:$J$42)</f>
        <v>0</v>
      </c>
      <c r="I44" s="79"/>
      <c r="J44" s="77">
        <f>SUM(A44:I44)</f>
        <v>1320</v>
      </c>
      <c r="K44" s="79"/>
      <c r="L44" s="42"/>
    </row>
    <row r="45" spans="1:14" ht="20.25" customHeight="1" thickBot="1" x14ac:dyDescent="0.2">
      <c r="A45" s="43" t="s">
        <v>25</v>
      </c>
      <c r="B45" s="44" t="s">
        <v>26</v>
      </c>
      <c r="C45" s="75">
        <v>13876</v>
      </c>
      <c r="D45" s="76"/>
      <c r="E45" s="77" t="s">
        <v>27</v>
      </c>
      <c r="F45" s="78"/>
      <c r="G45" s="78"/>
      <c r="H45" s="78"/>
      <c r="I45" s="79"/>
      <c r="J45" s="80">
        <v>146744.37</v>
      </c>
      <c r="K45" s="81"/>
      <c r="L45" s="82"/>
    </row>
    <row r="47" spans="1:14" x14ac:dyDescent="0.15">
      <c r="D47" s="45"/>
    </row>
  </sheetData>
  <mergeCells count="26">
    <mergeCell ref="C45:D45"/>
    <mergeCell ref="E45:I45"/>
    <mergeCell ref="J45:L45"/>
    <mergeCell ref="L6:L7"/>
    <mergeCell ref="C43:D43"/>
    <mergeCell ref="E43:G43"/>
    <mergeCell ref="H43:I43"/>
    <mergeCell ref="J43:K43"/>
    <mergeCell ref="C44:D44"/>
    <mergeCell ref="E44:G44"/>
    <mergeCell ref="H44:I44"/>
    <mergeCell ref="J44:K44"/>
    <mergeCell ref="B5:G5"/>
    <mergeCell ref="A6:A7"/>
    <mergeCell ref="B6:B7"/>
    <mergeCell ref="C6:C7"/>
    <mergeCell ref="D6:D7"/>
    <mergeCell ref="E6:E7"/>
    <mergeCell ref="F6:F7"/>
    <mergeCell ref="G6:K6"/>
    <mergeCell ref="L2:L4"/>
    <mergeCell ref="A1:G3"/>
    <mergeCell ref="H1:H4"/>
    <mergeCell ref="I2:I4"/>
    <mergeCell ref="J2:J4"/>
    <mergeCell ref="K2:K4"/>
  </mergeCells>
  <phoneticPr fontId="2" type="noConversion"/>
  <printOptions horizontalCentered="1"/>
  <pageMargins left="0.39370078740157483" right="0.39370078740157483" top="0.74803149606299213" bottom="0.19685039370078741" header="0.31496062992125984" footer="0.15748031496062992"/>
  <pageSetup paperSize="9" scale="84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N47"/>
  <sheetViews>
    <sheetView view="pageBreakPreview" topLeftCell="A19" zoomScaleSheetLayoutView="100" workbookViewId="0">
      <selection activeCell="B35" sqref="B35"/>
    </sheetView>
  </sheetViews>
  <sheetFormatPr defaultColWidth="8.88671875" defaultRowHeight="13.5" x14ac:dyDescent="0.15"/>
  <cols>
    <col min="1" max="1" width="8.44140625" style="3" customWidth="1"/>
    <col min="2" max="2" width="14.77734375" style="3" customWidth="1"/>
    <col min="3" max="3" width="4.109375" style="3" customWidth="1"/>
    <col min="4" max="4" width="15.21875" style="3" customWidth="1"/>
    <col min="5" max="5" width="4.44140625" style="3" customWidth="1"/>
    <col min="6" max="6" width="4" style="3" customWidth="1"/>
    <col min="7" max="7" width="5.5546875" style="3" customWidth="1"/>
    <col min="8" max="8" width="5.44140625" style="3" customWidth="1"/>
    <col min="9" max="9" width="7.88671875" style="3" customWidth="1"/>
    <col min="10" max="10" width="7.109375" style="3" customWidth="1"/>
    <col min="11" max="11" width="7.21875" style="3" customWidth="1"/>
    <col min="12" max="12" width="6.77734375" style="3" customWidth="1"/>
    <col min="13" max="16384" width="8.88671875" style="3"/>
  </cols>
  <sheetData>
    <row r="1" spans="1:14" ht="18.75" customHeight="1" x14ac:dyDescent="0.15">
      <c r="A1" s="101" t="s">
        <v>0</v>
      </c>
      <c r="B1" s="102"/>
      <c r="C1" s="102"/>
      <c r="D1" s="102"/>
      <c r="E1" s="102"/>
      <c r="F1" s="102"/>
      <c r="G1" s="103"/>
      <c r="H1" s="107" t="s">
        <v>1</v>
      </c>
      <c r="I1" s="1" t="s">
        <v>2</v>
      </c>
      <c r="J1" s="1" t="s">
        <v>2</v>
      </c>
      <c r="K1" s="1" t="s">
        <v>3</v>
      </c>
      <c r="L1" s="2" t="s">
        <v>4</v>
      </c>
    </row>
    <row r="2" spans="1:14" ht="13.5" customHeight="1" x14ac:dyDescent="0.15">
      <c r="A2" s="104"/>
      <c r="B2" s="105"/>
      <c r="C2" s="105"/>
      <c r="D2" s="105"/>
      <c r="E2" s="105"/>
      <c r="F2" s="105"/>
      <c r="G2" s="106"/>
      <c r="H2" s="108"/>
      <c r="I2" s="110"/>
      <c r="J2" s="110"/>
      <c r="K2" s="110"/>
      <c r="L2" s="98"/>
    </row>
    <row r="3" spans="1:14" ht="13.5" customHeight="1" x14ac:dyDescent="0.15">
      <c r="A3" s="104"/>
      <c r="B3" s="105"/>
      <c r="C3" s="105"/>
      <c r="D3" s="105"/>
      <c r="E3" s="105"/>
      <c r="F3" s="105"/>
      <c r="G3" s="106"/>
      <c r="H3" s="108"/>
      <c r="I3" s="108"/>
      <c r="J3" s="108"/>
      <c r="K3" s="108"/>
      <c r="L3" s="99"/>
    </row>
    <row r="4" spans="1:14" ht="33" customHeight="1" x14ac:dyDescent="0.15">
      <c r="A4" s="4"/>
      <c r="B4" s="5"/>
      <c r="C4" s="5"/>
      <c r="D4" s="5"/>
      <c r="E4" s="5"/>
      <c r="F4" s="5"/>
      <c r="G4" s="5"/>
      <c r="H4" s="109"/>
      <c r="I4" s="109"/>
      <c r="J4" s="109"/>
      <c r="K4" s="109"/>
      <c r="L4" s="100"/>
    </row>
    <row r="5" spans="1:14" ht="17.25" customHeight="1" x14ac:dyDescent="0.15">
      <c r="A5" s="6" t="s">
        <v>5</v>
      </c>
      <c r="B5" s="87">
        <v>46043</v>
      </c>
      <c r="C5" s="88"/>
      <c r="D5" s="88"/>
      <c r="E5" s="88"/>
      <c r="F5" s="88"/>
      <c r="G5" s="88"/>
      <c r="H5" s="5"/>
      <c r="I5" s="5"/>
      <c r="J5" s="5"/>
      <c r="K5" s="5"/>
      <c r="L5" s="7"/>
    </row>
    <row r="6" spans="1:14" ht="13.5" customHeight="1" x14ac:dyDescent="0.15">
      <c r="A6" s="89" t="s">
        <v>6</v>
      </c>
      <c r="B6" s="91" t="s">
        <v>7</v>
      </c>
      <c r="C6" s="91" t="s">
        <v>8</v>
      </c>
      <c r="D6" s="91" t="s">
        <v>9</v>
      </c>
      <c r="E6" s="93" t="s">
        <v>10</v>
      </c>
      <c r="F6" s="93" t="s">
        <v>11</v>
      </c>
      <c r="G6" s="95" t="s">
        <v>12</v>
      </c>
      <c r="H6" s="96"/>
      <c r="I6" s="96"/>
      <c r="J6" s="96"/>
      <c r="K6" s="97"/>
      <c r="L6" s="83" t="s">
        <v>13</v>
      </c>
    </row>
    <row r="7" spans="1:14" x14ac:dyDescent="0.15">
      <c r="A7" s="90"/>
      <c r="B7" s="92"/>
      <c r="C7" s="92"/>
      <c r="D7" s="92"/>
      <c r="E7" s="94"/>
      <c r="F7" s="94"/>
      <c r="G7" s="8" t="s">
        <v>14</v>
      </c>
      <c r="H7" s="8" t="s">
        <v>15</v>
      </c>
      <c r="I7" s="8" t="s">
        <v>16</v>
      </c>
      <c r="J7" s="8" t="s">
        <v>17</v>
      </c>
      <c r="K7" s="8" t="s">
        <v>18</v>
      </c>
      <c r="L7" s="84"/>
    </row>
    <row r="8" spans="1:14" s="15" customFormat="1" ht="20.25" customHeight="1" x14ac:dyDescent="0.15">
      <c r="A8" s="60" t="s">
        <v>629</v>
      </c>
      <c r="B8" s="9" t="s">
        <v>131</v>
      </c>
      <c r="C8" s="58" t="s">
        <v>29</v>
      </c>
      <c r="D8" s="11" t="s">
        <v>155</v>
      </c>
      <c r="E8" s="10">
        <v>22</v>
      </c>
      <c r="F8" s="58" t="s">
        <v>11</v>
      </c>
      <c r="G8" s="12">
        <v>1421</v>
      </c>
      <c r="H8" s="12">
        <v>1763</v>
      </c>
      <c r="I8" s="17" t="s">
        <v>630</v>
      </c>
      <c r="J8" s="18">
        <v>160</v>
      </c>
      <c r="K8" s="19">
        <f>+M8*N8</f>
        <v>1326.402</v>
      </c>
      <c r="L8" s="14"/>
      <c r="M8" s="15">
        <v>121.8</v>
      </c>
      <c r="N8" s="15">
        <v>10.89</v>
      </c>
    </row>
    <row r="9" spans="1:14" s="15" customFormat="1" ht="20.25" customHeight="1" x14ac:dyDescent="0.15">
      <c r="A9" s="60"/>
      <c r="B9" s="9"/>
      <c r="C9" s="58" t="s">
        <v>29</v>
      </c>
      <c r="D9" s="11" t="s">
        <v>156</v>
      </c>
      <c r="E9" s="10">
        <v>22</v>
      </c>
      <c r="F9" s="58" t="s">
        <v>11</v>
      </c>
      <c r="G9" s="12">
        <v>1421</v>
      </c>
      <c r="H9" s="12">
        <v>1763</v>
      </c>
      <c r="I9" s="17" t="s">
        <v>480</v>
      </c>
      <c r="J9" s="18">
        <v>80</v>
      </c>
      <c r="K9" s="19">
        <f t="shared" ref="K9:K23" si="0">+M9*N9</f>
        <v>1056.3300000000002</v>
      </c>
      <c r="L9" s="14"/>
      <c r="M9" s="15">
        <v>97</v>
      </c>
      <c r="N9" s="15">
        <v>10.89</v>
      </c>
    </row>
    <row r="10" spans="1:14" s="15" customFormat="1" ht="20.25" customHeight="1" x14ac:dyDescent="0.15">
      <c r="A10" s="60" t="s">
        <v>631</v>
      </c>
      <c r="B10" s="9" t="s">
        <v>131</v>
      </c>
      <c r="C10" s="58" t="s">
        <v>29</v>
      </c>
      <c r="D10" s="11" t="s">
        <v>155</v>
      </c>
      <c r="E10" s="10">
        <v>22</v>
      </c>
      <c r="F10" s="58" t="s">
        <v>11</v>
      </c>
      <c r="G10" s="12">
        <v>1421</v>
      </c>
      <c r="H10" s="12">
        <v>1763</v>
      </c>
      <c r="I10" s="17" t="s">
        <v>550</v>
      </c>
      <c r="J10" s="18">
        <v>140</v>
      </c>
      <c r="K10" s="19">
        <f t="shared" si="0"/>
        <v>1252.3500000000001</v>
      </c>
      <c r="L10" s="14"/>
      <c r="M10" s="15">
        <v>115</v>
      </c>
      <c r="N10" s="15">
        <v>10.89</v>
      </c>
    </row>
    <row r="11" spans="1:14" s="15" customFormat="1" ht="20.25" customHeight="1" x14ac:dyDescent="0.15">
      <c r="A11" s="60"/>
      <c r="B11" s="9"/>
      <c r="C11" s="58" t="s">
        <v>29</v>
      </c>
      <c r="D11" s="11" t="s">
        <v>156</v>
      </c>
      <c r="E11" s="10">
        <v>22</v>
      </c>
      <c r="F11" s="58" t="s">
        <v>11</v>
      </c>
      <c r="G11" s="12">
        <v>1421</v>
      </c>
      <c r="H11" s="12">
        <v>1763</v>
      </c>
      <c r="I11" s="17" t="s">
        <v>550</v>
      </c>
      <c r="J11" s="18">
        <v>140</v>
      </c>
      <c r="K11" s="19">
        <f t="shared" si="0"/>
        <v>1252.3500000000001</v>
      </c>
      <c r="L11" s="14"/>
      <c r="M11" s="15">
        <v>115</v>
      </c>
      <c r="N11" s="15">
        <v>10.89</v>
      </c>
    </row>
    <row r="12" spans="1:14" s="15" customFormat="1" ht="20.25" customHeight="1" x14ac:dyDescent="0.15">
      <c r="A12" s="60" t="s">
        <v>632</v>
      </c>
      <c r="B12" s="9" t="s">
        <v>131</v>
      </c>
      <c r="C12" s="58" t="s">
        <v>29</v>
      </c>
      <c r="D12" s="11" t="s">
        <v>155</v>
      </c>
      <c r="E12" s="10">
        <v>22</v>
      </c>
      <c r="F12" s="58" t="s">
        <v>11</v>
      </c>
      <c r="G12" s="12">
        <v>1421</v>
      </c>
      <c r="H12" s="12">
        <v>1763</v>
      </c>
      <c r="I12" s="17" t="s">
        <v>633</v>
      </c>
      <c r="J12" s="18">
        <v>29</v>
      </c>
      <c r="K12" s="19">
        <f t="shared" si="0"/>
        <v>130.5711</v>
      </c>
      <c r="L12" s="14"/>
      <c r="M12" s="15">
        <v>11.99</v>
      </c>
      <c r="N12" s="15">
        <v>10.89</v>
      </c>
    </row>
    <row r="13" spans="1:14" s="15" customFormat="1" ht="20.25" customHeight="1" x14ac:dyDescent="0.15">
      <c r="A13" s="60"/>
      <c r="B13" s="9"/>
      <c r="C13" s="58" t="s">
        <v>29</v>
      </c>
      <c r="D13" s="11" t="s">
        <v>156</v>
      </c>
      <c r="E13" s="10">
        <v>22</v>
      </c>
      <c r="F13" s="58" t="s">
        <v>11</v>
      </c>
      <c r="G13" s="12">
        <v>1421</v>
      </c>
      <c r="H13" s="12">
        <v>1763</v>
      </c>
      <c r="I13" s="17" t="s">
        <v>634</v>
      </c>
      <c r="J13" s="18">
        <v>66</v>
      </c>
      <c r="K13" s="19">
        <f t="shared" si="0"/>
        <v>599.93010000000004</v>
      </c>
      <c r="L13" s="14"/>
      <c r="M13" s="15">
        <v>55.09</v>
      </c>
      <c r="N13" s="15">
        <v>10.89</v>
      </c>
    </row>
    <row r="14" spans="1:14" s="15" customFormat="1" ht="20.25" customHeight="1" x14ac:dyDescent="0.15">
      <c r="A14" s="60" t="s">
        <v>635</v>
      </c>
      <c r="B14" s="9" t="s">
        <v>636</v>
      </c>
      <c r="C14" s="58" t="s">
        <v>273</v>
      </c>
      <c r="D14" s="11" t="s">
        <v>637</v>
      </c>
      <c r="E14" s="10">
        <v>17</v>
      </c>
      <c r="F14" s="58"/>
      <c r="G14" s="12">
        <v>1055</v>
      </c>
      <c r="H14" s="12">
        <v>955</v>
      </c>
      <c r="I14" s="17" t="s">
        <v>638</v>
      </c>
      <c r="J14" s="18">
        <v>12</v>
      </c>
      <c r="K14" s="19">
        <f t="shared" si="0"/>
        <v>134.81820000000002</v>
      </c>
      <c r="L14" s="20"/>
      <c r="M14" s="15">
        <v>12.38</v>
      </c>
      <c r="N14" s="15">
        <v>10.89</v>
      </c>
    </row>
    <row r="15" spans="1:14" s="15" customFormat="1" ht="20.25" customHeight="1" x14ac:dyDescent="0.15">
      <c r="A15" s="60"/>
      <c r="B15" s="9"/>
      <c r="C15" s="58"/>
      <c r="D15" s="11"/>
      <c r="E15" s="10"/>
      <c r="F15" s="58"/>
      <c r="G15" s="12"/>
      <c r="H15" s="12"/>
      <c r="I15" s="17"/>
      <c r="J15" s="18"/>
      <c r="K15" s="19">
        <f t="shared" si="0"/>
        <v>0</v>
      </c>
      <c r="L15" s="20"/>
      <c r="N15" s="15">
        <v>10.89</v>
      </c>
    </row>
    <row r="16" spans="1:14" s="15" customFormat="1" ht="20.25" customHeight="1" x14ac:dyDescent="0.15">
      <c r="A16" s="60"/>
      <c r="B16" s="9"/>
      <c r="C16" s="58"/>
      <c r="D16" s="11"/>
      <c r="E16" s="10"/>
      <c r="F16" s="58"/>
      <c r="G16" s="12"/>
      <c r="H16" s="12"/>
      <c r="I16" s="17"/>
      <c r="J16" s="18"/>
      <c r="K16" s="19">
        <f t="shared" si="0"/>
        <v>0</v>
      </c>
      <c r="L16" s="20"/>
      <c r="N16" s="15">
        <v>10.89</v>
      </c>
    </row>
    <row r="17" spans="1:14" s="15" customFormat="1" ht="20.25" customHeight="1" x14ac:dyDescent="0.15">
      <c r="A17" s="60"/>
      <c r="B17" s="9"/>
      <c r="C17" s="58"/>
      <c r="D17" s="11"/>
      <c r="E17" s="10"/>
      <c r="F17" s="58"/>
      <c r="G17" s="12"/>
      <c r="H17" s="12"/>
      <c r="I17" s="17"/>
      <c r="J17" s="18"/>
      <c r="K17" s="19">
        <f t="shared" si="0"/>
        <v>0</v>
      </c>
      <c r="L17" s="20"/>
      <c r="N17" s="15">
        <v>10.89</v>
      </c>
    </row>
    <row r="18" spans="1:14" s="15" customFormat="1" ht="20.25" customHeight="1" x14ac:dyDescent="0.15">
      <c r="A18" s="60"/>
      <c r="B18" s="9"/>
      <c r="C18" s="58"/>
      <c r="D18" s="11"/>
      <c r="E18" s="10"/>
      <c r="F18" s="58"/>
      <c r="G18" s="12"/>
      <c r="H18" s="12"/>
      <c r="I18" s="17"/>
      <c r="J18" s="18"/>
      <c r="K18" s="19">
        <f t="shared" si="0"/>
        <v>0</v>
      </c>
      <c r="L18" s="20"/>
      <c r="N18" s="15">
        <v>10.89</v>
      </c>
    </row>
    <row r="19" spans="1:14" s="15" customFormat="1" ht="20.25" customHeight="1" x14ac:dyDescent="0.15">
      <c r="A19" s="60"/>
      <c r="B19" s="9"/>
      <c r="C19" s="58"/>
      <c r="D19" s="11"/>
      <c r="E19" s="10"/>
      <c r="F19" s="58"/>
      <c r="G19" s="12"/>
      <c r="H19" s="12"/>
      <c r="I19" s="17"/>
      <c r="J19" s="18"/>
      <c r="K19" s="19">
        <f t="shared" si="0"/>
        <v>0</v>
      </c>
      <c r="L19" s="20"/>
      <c r="N19" s="15">
        <v>10.89</v>
      </c>
    </row>
    <row r="20" spans="1:14" s="15" customFormat="1" ht="20.25" customHeight="1" x14ac:dyDescent="0.15">
      <c r="A20" s="60"/>
      <c r="B20" s="9"/>
      <c r="C20" s="58"/>
      <c r="D20" s="11"/>
      <c r="E20" s="10"/>
      <c r="F20" s="58"/>
      <c r="G20" s="12"/>
      <c r="H20" s="12"/>
      <c r="I20" s="17"/>
      <c r="J20" s="18"/>
      <c r="K20" s="19">
        <f t="shared" si="0"/>
        <v>0</v>
      </c>
      <c r="L20" s="20"/>
      <c r="N20" s="15">
        <v>10.89</v>
      </c>
    </row>
    <row r="21" spans="1:14" s="15" customFormat="1" ht="20.25" customHeight="1" x14ac:dyDescent="0.15">
      <c r="A21" s="60"/>
      <c r="B21" s="9"/>
      <c r="C21" s="58"/>
      <c r="D21" s="11"/>
      <c r="E21" s="10"/>
      <c r="F21" s="58"/>
      <c r="G21" s="50"/>
      <c r="H21" s="50"/>
      <c r="I21" s="17"/>
      <c r="J21" s="18"/>
      <c r="K21" s="19">
        <f t="shared" si="0"/>
        <v>0</v>
      </c>
      <c r="L21" s="20"/>
      <c r="N21" s="15">
        <v>10.89</v>
      </c>
    </row>
    <row r="22" spans="1:14" s="15" customFormat="1" ht="20.25" customHeight="1" x14ac:dyDescent="0.15">
      <c r="A22" s="60"/>
      <c r="B22" s="9"/>
      <c r="C22" s="58"/>
      <c r="D22" s="11"/>
      <c r="E22" s="10"/>
      <c r="F22" s="58"/>
      <c r="G22" s="50"/>
      <c r="H22" s="50"/>
      <c r="I22" s="17"/>
      <c r="J22" s="18"/>
      <c r="K22" s="19">
        <f t="shared" si="0"/>
        <v>0</v>
      </c>
      <c r="L22" s="20"/>
      <c r="N22" s="15">
        <v>10.89</v>
      </c>
    </row>
    <row r="23" spans="1:14" ht="20.25" customHeight="1" x14ac:dyDescent="0.15">
      <c r="A23" s="60"/>
      <c r="B23" s="9"/>
      <c r="C23" s="58"/>
      <c r="D23" s="11"/>
      <c r="E23" s="10"/>
      <c r="F23" s="58"/>
      <c r="G23" s="16"/>
      <c r="H23" s="16"/>
      <c r="I23" s="17"/>
      <c r="J23" s="18"/>
      <c r="K23" s="19">
        <f t="shared" si="0"/>
        <v>0</v>
      </c>
      <c r="L23" s="20"/>
      <c r="N23" s="15">
        <v>10.89</v>
      </c>
    </row>
    <row r="24" spans="1:14" ht="20.25" customHeight="1" thickBot="1" x14ac:dyDescent="0.2">
      <c r="A24" s="56"/>
      <c r="B24" s="21"/>
      <c r="C24" s="59"/>
      <c r="D24" s="22"/>
      <c r="E24" s="23"/>
      <c r="F24" s="23"/>
      <c r="G24" s="24"/>
      <c r="H24" s="24"/>
      <c r="I24" s="25"/>
      <c r="J24" s="46">
        <f>SUM(J8:J23)</f>
        <v>627</v>
      </c>
      <c r="K24" s="47">
        <f>SUM(K8:K23)</f>
        <v>5752.751400000001</v>
      </c>
      <c r="L24" s="26"/>
    </row>
    <row r="25" spans="1:14" ht="20.25" customHeight="1" thickTop="1" x14ac:dyDescent="0.15">
      <c r="A25" s="60" t="s">
        <v>639</v>
      </c>
      <c r="B25" s="9" t="s">
        <v>131</v>
      </c>
      <c r="C25" s="58" t="s">
        <v>29</v>
      </c>
      <c r="D25" s="11" t="s">
        <v>156</v>
      </c>
      <c r="E25" s="10">
        <v>22</v>
      </c>
      <c r="F25" s="10" t="s">
        <v>11</v>
      </c>
      <c r="G25" s="12">
        <v>776</v>
      </c>
      <c r="H25" s="12">
        <v>1763</v>
      </c>
      <c r="I25" s="17" t="s">
        <v>640</v>
      </c>
      <c r="J25" s="18">
        <v>135</v>
      </c>
      <c r="K25" s="19">
        <f t="shared" ref="K25:K40" si="1">+M25*N25</f>
        <v>803.13750000000005</v>
      </c>
      <c r="L25" s="54"/>
      <c r="M25" s="3">
        <v>73.75</v>
      </c>
      <c r="N25" s="15">
        <v>10.89</v>
      </c>
    </row>
    <row r="26" spans="1:14" ht="20.25" customHeight="1" x14ac:dyDescent="0.15">
      <c r="A26" s="60" t="s">
        <v>641</v>
      </c>
      <c r="B26" s="9" t="s">
        <v>131</v>
      </c>
      <c r="C26" s="58" t="s">
        <v>29</v>
      </c>
      <c r="D26" s="11" t="s">
        <v>155</v>
      </c>
      <c r="E26" s="10">
        <v>22</v>
      </c>
      <c r="F26" s="58" t="s">
        <v>11</v>
      </c>
      <c r="G26" s="12">
        <v>1421</v>
      </c>
      <c r="H26" s="12">
        <v>1763</v>
      </c>
      <c r="I26" s="17" t="s">
        <v>359</v>
      </c>
      <c r="J26" s="18">
        <v>150</v>
      </c>
      <c r="K26" s="19">
        <f t="shared" si="1"/>
        <v>1289.3760000000002</v>
      </c>
      <c r="L26" s="54"/>
      <c r="M26" s="3">
        <v>118.4</v>
      </c>
      <c r="N26" s="15">
        <v>10.89</v>
      </c>
    </row>
    <row r="27" spans="1:14" ht="20.25" customHeight="1" x14ac:dyDescent="0.15">
      <c r="A27" s="61"/>
      <c r="B27" s="9"/>
      <c r="C27" s="58" t="s">
        <v>29</v>
      </c>
      <c r="D27" s="11" t="s">
        <v>156</v>
      </c>
      <c r="E27" s="10">
        <v>22</v>
      </c>
      <c r="F27" s="58" t="s">
        <v>11</v>
      </c>
      <c r="G27" s="12">
        <v>1421</v>
      </c>
      <c r="H27" s="12">
        <v>1763</v>
      </c>
      <c r="I27" s="17" t="s">
        <v>359</v>
      </c>
      <c r="J27" s="18">
        <v>150</v>
      </c>
      <c r="K27" s="19">
        <f t="shared" si="1"/>
        <v>1289.3760000000002</v>
      </c>
      <c r="L27" s="54"/>
      <c r="M27" s="3">
        <v>118.4</v>
      </c>
      <c r="N27" s="15">
        <v>10.89</v>
      </c>
    </row>
    <row r="28" spans="1:14" ht="20.25" customHeight="1" x14ac:dyDescent="0.15">
      <c r="A28" s="61" t="s">
        <v>642</v>
      </c>
      <c r="B28" s="9" t="s">
        <v>131</v>
      </c>
      <c r="C28" s="58" t="s">
        <v>29</v>
      </c>
      <c r="D28" s="11" t="s">
        <v>156</v>
      </c>
      <c r="E28" s="10">
        <v>22</v>
      </c>
      <c r="F28" s="10" t="s">
        <v>11</v>
      </c>
      <c r="G28" s="12">
        <v>1723</v>
      </c>
      <c r="H28" s="12">
        <v>1763</v>
      </c>
      <c r="I28" s="17" t="s">
        <v>643</v>
      </c>
      <c r="J28" s="18">
        <v>219</v>
      </c>
      <c r="K28" s="19">
        <f t="shared" si="1"/>
        <v>2239.6374000000001</v>
      </c>
      <c r="L28" s="54"/>
      <c r="M28" s="3">
        <v>205.66</v>
      </c>
      <c r="N28" s="15">
        <v>10.89</v>
      </c>
    </row>
    <row r="29" spans="1:14" ht="20.25" customHeight="1" x14ac:dyDescent="0.15">
      <c r="A29" s="61" t="s">
        <v>397</v>
      </c>
      <c r="B29" s="9" t="s">
        <v>57</v>
      </c>
      <c r="C29" s="58" t="s">
        <v>29</v>
      </c>
      <c r="D29" s="11" t="s">
        <v>233</v>
      </c>
      <c r="E29" s="10">
        <v>27.76</v>
      </c>
      <c r="F29" s="10" t="s">
        <v>11</v>
      </c>
      <c r="G29" s="12">
        <v>685</v>
      </c>
      <c r="H29" s="12">
        <v>700</v>
      </c>
      <c r="I29" s="17">
        <v>2</v>
      </c>
      <c r="J29" s="18">
        <v>2</v>
      </c>
      <c r="K29" s="19">
        <f t="shared" si="1"/>
        <v>10.4544</v>
      </c>
      <c r="L29" s="54"/>
      <c r="M29" s="3">
        <v>0.96</v>
      </c>
      <c r="N29" s="15">
        <v>10.89</v>
      </c>
    </row>
    <row r="30" spans="1:14" ht="20.25" customHeight="1" x14ac:dyDescent="0.15">
      <c r="A30" s="61" t="s">
        <v>532</v>
      </c>
      <c r="B30" s="9" t="s">
        <v>57</v>
      </c>
      <c r="C30" s="58" t="s">
        <v>29</v>
      </c>
      <c r="D30" s="11" t="s">
        <v>534</v>
      </c>
      <c r="E30" s="10">
        <v>42.76</v>
      </c>
      <c r="F30" s="10" t="s">
        <v>11</v>
      </c>
      <c r="G30" s="12">
        <v>1188</v>
      </c>
      <c r="H30" s="12">
        <v>410</v>
      </c>
      <c r="I30" s="51">
        <v>1</v>
      </c>
      <c r="J30" s="52">
        <v>1</v>
      </c>
      <c r="K30" s="53">
        <f t="shared" si="1"/>
        <v>5.3361000000000001</v>
      </c>
      <c r="L30" s="54"/>
      <c r="M30" s="3">
        <v>0.49</v>
      </c>
      <c r="N30" s="15">
        <v>10.89</v>
      </c>
    </row>
    <row r="31" spans="1:14" ht="20.25" customHeight="1" x14ac:dyDescent="0.15">
      <c r="A31" s="61" t="s">
        <v>644</v>
      </c>
      <c r="B31" s="9" t="s">
        <v>30</v>
      </c>
      <c r="C31" s="58" t="s">
        <v>29</v>
      </c>
      <c r="D31" s="11" t="s">
        <v>645</v>
      </c>
      <c r="E31" s="10">
        <v>27.76</v>
      </c>
      <c r="F31" s="10"/>
      <c r="G31" s="12">
        <v>649</v>
      </c>
      <c r="H31" s="12">
        <v>2207</v>
      </c>
      <c r="I31" s="51">
        <v>1</v>
      </c>
      <c r="J31" s="52">
        <v>1</v>
      </c>
      <c r="K31" s="53">
        <f t="shared" si="1"/>
        <v>15.572699999999999</v>
      </c>
      <c r="L31" s="54"/>
      <c r="M31" s="3">
        <v>1.43</v>
      </c>
      <c r="N31" s="15">
        <v>10.89</v>
      </c>
    </row>
    <row r="32" spans="1:14" ht="20.25" customHeight="1" x14ac:dyDescent="0.15">
      <c r="A32" s="60"/>
      <c r="B32" s="9"/>
      <c r="C32" s="58" t="s">
        <v>29</v>
      </c>
      <c r="D32" s="11" t="s">
        <v>329</v>
      </c>
      <c r="E32" s="10">
        <v>27.76</v>
      </c>
      <c r="F32" s="10"/>
      <c r="G32" s="12">
        <v>2031</v>
      </c>
      <c r="H32" s="12">
        <v>2202</v>
      </c>
      <c r="I32" s="17">
        <v>1</v>
      </c>
      <c r="J32" s="18">
        <v>1</v>
      </c>
      <c r="K32" s="19">
        <f t="shared" si="1"/>
        <v>48.6783</v>
      </c>
      <c r="L32" s="27"/>
      <c r="M32" s="3">
        <v>4.47</v>
      </c>
      <c r="N32" s="15">
        <v>10.89</v>
      </c>
    </row>
    <row r="33" spans="1:14" ht="20.25" customHeight="1" x14ac:dyDescent="0.15">
      <c r="A33" s="60" t="s">
        <v>646</v>
      </c>
      <c r="B33" s="9" t="s">
        <v>647</v>
      </c>
      <c r="C33" s="58" t="s">
        <v>29</v>
      </c>
      <c r="D33" s="11" t="s">
        <v>217</v>
      </c>
      <c r="E33" s="10">
        <v>22</v>
      </c>
      <c r="F33" s="10" t="s">
        <v>11</v>
      </c>
      <c r="G33" s="12">
        <v>300</v>
      </c>
      <c r="H33" s="12">
        <v>300</v>
      </c>
      <c r="I33" s="17">
        <v>1</v>
      </c>
      <c r="J33" s="18">
        <v>1</v>
      </c>
      <c r="K33" s="19">
        <f t="shared" si="1"/>
        <v>3.0492000000000004</v>
      </c>
      <c r="L33" s="27"/>
      <c r="M33" s="3">
        <v>0.28000000000000003</v>
      </c>
      <c r="N33" s="15">
        <v>10.89</v>
      </c>
    </row>
    <row r="34" spans="1:14" ht="20.25" customHeight="1" x14ac:dyDescent="0.15">
      <c r="A34" s="60"/>
      <c r="B34" s="9"/>
      <c r="C34" s="58" t="s">
        <v>29</v>
      </c>
      <c r="D34" s="11" t="s">
        <v>648</v>
      </c>
      <c r="E34" s="10">
        <v>24</v>
      </c>
      <c r="F34" s="10"/>
      <c r="G34" s="12">
        <v>300</v>
      </c>
      <c r="H34" s="12">
        <v>300</v>
      </c>
      <c r="I34" s="17">
        <v>1</v>
      </c>
      <c r="J34" s="18">
        <v>1</v>
      </c>
      <c r="K34" s="19">
        <f t="shared" si="1"/>
        <v>3.0492000000000004</v>
      </c>
      <c r="L34" s="27"/>
      <c r="M34" s="3">
        <v>0.28000000000000003</v>
      </c>
      <c r="N34" s="15">
        <v>10.89</v>
      </c>
    </row>
    <row r="35" spans="1:14" ht="20.25" customHeight="1" x14ac:dyDescent="0.15">
      <c r="A35" s="60" t="s">
        <v>649</v>
      </c>
      <c r="B35" s="9" t="s">
        <v>30</v>
      </c>
      <c r="C35" s="58" t="s">
        <v>29</v>
      </c>
      <c r="D35" s="11" t="s">
        <v>650</v>
      </c>
      <c r="E35" s="10">
        <v>24</v>
      </c>
      <c r="F35" s="10"/>
      <c r="G35" s="12">
        <v>1035</v>
      </c>
      <c r="H35" s="12">
        <v>2050</v>
      </c>
      <c r="I35" s="17" t="s">
        <v>337</v>
      </c>
      <c r="J35" s="18">
        <v>2</v>
      </c>
      <c r="K35" s="19">
        <f t="shared" si="1"/>
        <v>37.134900000000002</v>
      </c>
      <c r="L35" s="27"/>
      <c r="M35" s="3">
        <v>3.41</v>
      </c>
      <c r="N35" s="15">
        <v>10.89</v>
      </c>
    </row>
    <row r="36" spans="1:14" ht="20.25" customHeight="1" x14ac:dyDescent="0.15">
      <c r="A36" s="60"/>
      <c r="B36" s="9"/>
      <c r="C36" s="58"/>
      <c r="D36" s="11"/>
      <c r="E36" s="10"/>
      <c r="F36" s="10"/>
      <c r="G36" s="12"/>
      <c r="H36" s="12"/>
      <c r="I36" s="17"/>
      <c r="J36" s="18"/>
      <c r="K36" s="19">
        <f t="shared" si="1"/>
        <v>0</v>
      </c>
      <c r="L36" s="27"/>
      <c r="N36" s="15">
        <v>10.89</v>
      </c>
    </row>
    <row r="37" spans="1:14" ht="20.25" customHeight="1" x14ac:dyDescent="0.15">
      <c r="A37" s="60"/>
      <c r="B37" s="9"/>
      <c r="C37" s="58"/>
      <c r="D37" s="11"/>
      <c r="E37" s="10"/>
      <c r="F37" s="10"/>
      <c r="G37" s="12"/>
      <c r="H37" s="12"/>
      <c r="I37" s="17"/>
      <c r="J37" s="18"/>
      <c r="K37" s="19">
        <f t="shared" si="1"/>
        <v>0</v>
      </c>
      <c r="L37" s="27"/>
      <c r="N37" s="15">
        <v>10.89</v>
      </c>
    </row>
    <row r="38" spans="1:14" ht="20.25" customHeight="1" x14ac:dyDescent="0.15">
      <c r="A38" s="60"/>
      <c r="B38" s="9"/>
      <c r="C38" s="58"/>
      <c r="D38" s="11"/>
      <c r="E38" s="10"/>
      <c r="F38" s="10"/>
      <c r="G38" s="12"/>
      <c r="H38" s="12"/>
      <c r="I38" s="17"/>
      <c r="J38" s="18"/>
      <c r="K38" s="19">
        <f t="shared" si="1"/>
        <v>0</v>
      </c>
      <c r="L38" s="27"/>
      <c r="N38" s="15">
        <v>10.89</v>
      </c>
    </row>
    <row r="39" spans="1:14" ht="20.25" customHeight="1" x14ac:dyDescent="0.15">
      <c r="A39" s="60"/>
      <c r="B39" s="9"/>
      <c r="C39" s="58"/>
      <c r="D39" s="11"/>
      <c r="E39" s="10"/>
      <c r="F39" s="10"/>
      <c r="G39" s="12"/>
      <c r="H39" s="12"/>
      <c r="I39" s="17"/>
      <c r="J39" s="18"/>
      <c r="K39" s="19">
        <f t="shared" si="1"/>
        <v>0</v>
      </c>
      <c r="L39" s="27"/>
      <c r="N39" s="15">
        <v>10.89</v>
      </c>
    </row>
    <row r="40" spans="1:14" ht="20.25" customHeight="1" x14ac:dyDescent="0.15">
      <c r="A40" s="60"/>
      <c r="B40" s="9"/>
      <c r="C40" s="58"/>
      <c r="D40" s="11"/>
      <c r="E40" s="10"/>
      <c r="F40" s="10"/>
      <c r="G40" s="12"/>
      <c r="H40" s="12"/>
      <c r="I40" s="17"/>
      <c r="J40" s="18"/>
      <c r="K40" s="19">
        <f t="shared" si="1"/>
        <v>0</v>
      </c>
      <c r="L40" s="27"/>
      <c r="N40" s="15">
        <v>10.89</v>
      </c>
    </row>
    <row r="41" spans="1:14" ht="20.25" customHeight="1" x14ac:dyDescent="0.15">
      <c r="A41" s="57"/>
      <c r="B41" s="28"/>
      <c r="C41" s="10"/>
      <c r="D41" s="29"/>
      <c r="E41" s="30"/>
      <c r="F41" s="30"/>
      <c r="G41" s="30"/>
      <c r="H41" s="30"/>
      <c r="I41" s="13"/>
      <c r="J41" s="48">
        <f>SUM(J25:J40)</f>
        <v>663</v>
      </c>
      <c r="K41" s="49">
        <f>SUM(K25:K40)</f>
        <v>5744.8017000000009</v>
      </c>
      <c r="L41" s="31"/>
      <c r="N41" s="32"/>
    </row>
    <row r="42" spans="1:14" ht="20.25" customHeight="1" thickBot="1" x14ac:dyDescent="0.2">
      <c r="A42" s="55"/>
      <c r="B42" s="33"/>
      <c r="C42" s="33"/>
      <c r="D42" s="33"/>
      <c r="E42" s="33"/>
      <c r="F42" s="33"/>
      <c r="G42" s="33"/>
      <c r="H42" s="33"/>
      <c r="I42" s="33"/>
      <c r="J42" s="34"/>
      <c r="K42" s="35"/>
      <c r="L42" s="36"/>
    </row>
    <row r="43" spans="1:14" ht="20.25" customHeight="1" thickBot="1" x14ac:dyDescent="0.2">
      <c r="A43" s="37" t="s">
        <v>19</v>
      </c>
      <c r="B43" s="38" t="s">
        <v>20</v>
      </c>
      <c r="C43" s="77" t="s">
        <v>21</v>
      </c>
      <c r="D43" s="79"/>
      <c r="E43" s="77" t="s">
        <v>22</v>
      </c>
      <c r="F43" s="78"/>
      <c r="G43" s="79"/>
      <c r="H43" s="85" t="s">
        <v>23</v>
      </c>
      <c r="I43" s="86"/>
      <c r="J43" s="77" t="s">
        <v>24</v>
      </c>
      <c r="K43" s="79"/>
      <c r="L43" s="39" t="s">
        <v>13</v>
      </c>
    </row>
    <row r="44" spans="1:14" ht="20.25" customHeight="1" thickBot="1" x14ac:dyDescent="0.2">
      <c r="A44" s="40">
        <f>SUMIF($C$8:$C$42,"U1",$J$8:$J$42)</f>
        <v>12</v>
      </c>
      <c r="B44" s="41">
        <f>SUMIF($C$8:$C$42,"U2",$J$8:$J$42)</f>
        <v>0</v>
      </c>
      <c r="C44" s="77">
        <f>SUMIF($C$8:$C$42,"U3-1",$J$8:$J$42)</f>
        <v>0</v>
      </c>
      <c r="D44" s="79"/>
      <c r="E44" s="77">
        <f>SUMIF($C$8:$C$42,"U3",$J$8:$J$42)</f>
        <v>1278</v>
      </c>
      <c r="F44" s="78"/>
      <c r="G44" s="79"/>
      <c r="H44" s="77">
        <f>SUMIF($C$8:$C$42,"E5",$J$8:$J$42)</f>
        <v>0</v>
      </c>
      <c r="I44" s="79"/>
      <c r="J44" s="77">
        <f>SUM(A44:I44)</f>
        <v>1290</v>
      </c>
      <c r="K44" s="79"/>
      <c r="L44" s="42"/>
    </row>
    <row r="45" spans="1:14" ht="20.25" customHeight="1" thickBot="1" x14ac:dyDescent="0.2">
      <c r="A45" s="43" t="s">
        <v>25</v>
      </c>
      <c r="B45" s="44" t="s">
        <v>26</v>
      </c>
      <c r="C45" s="75">
        <v>13876</v>
      </c>
      <c r="D45" s="76"/>
      <c r="E45" s="77" t="s">
        <v>27</v>
      </c>
      <c r="F45" s="78"/>
      <c r="G45" s="78"/>
      <c r="H45" s="78"/>
      <c r="I45" s="79"/>
      <c r="J45" s="80">
        <v>146744.37</v>
      </c>
      <c r="K45" s="81"/>
      <c r="L45" s="82"/>
    </row>
    <row r="47" spans="1:14" x14ac:dyDescent="0.15">
      <c r="D47" s="45"/>
    </row>
  </sheetData>
  <mergeCells count="26">
    <mergeCell ref="L2:L4"/>
    <mergeCell ref="A1:G3"/>
    <mergeCell ref="H1:H4"/>
    <mergeCell ref="I2:I4"/>
    <mergeCell ref="J2:J4"/>
    <mergeCell ref="K2:K4"/>
    <mergeCell ref="B5:G5"/>
    <mergeCell ref="A6:A7"/>
    <mergeCell ref="B6:B7"/>
    <mergeCell ref="C6:C7"/>
    <mergeCell ref="D6:D7"/>
    <mergeCell ref="E6:E7"/>
    <mergeCell ref="F6:F7"/>
    <mergeCell ref="G6:K6"/>
    <mergeCell ref="C45:D45"/>
    <mergeCell ref="E45:I45"/>
    <mergeCell ref="J45:L45"/>
    <mergeCell ref="L6:L7"/>
    <mergeCell ref="C43:D43"/>
    <mergeCell ref="E43:G43"/>
    <mergeCell ref="H43:I43"/>
    <mergeCell ref="J43:K43"/>
    <mergeCell ref="C44:D44"/>
    <mergeCell ref="E44:G44"/>
    <mergeCell ref="H44:I44"/>
    <mergeCell ref="J44:K44"/>
  </mergeCells>
  <phoneticPr fontId="2" type="noConversion"/>
  <printOptions horizontalCentered="1"/>
  <pageMargins left="0.39370078740157483" right="0.39370078740157483" top="0.74803149606299213" bottom="0.19685039370078741" header="0.31496062992125984" footer="0.15748031496062992"/>
  <pageSetup paperSize="9" scale="84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N47"/>
  <sheetViews>
    <sheetView view="pageBreakPreview" topLeftCell="A16" zoomScaleSheetLayoutView="100" workbookViewId="0">
      <selection activeCell="B34" sqref="B34:E34"/>
    </sheetView>
  </sheetViews>
  <sheetFormatPr defaultColWidth="8.88671875" defaultRowHeight="13.5" x14ac:dyDescent="0.15"/>
  <cols>
    <col min="1" max="1" width="8.44140625" style="3" customWidth="1"/>
    <col min="2" max="2" width="14.77734375" style="3" customWidth="1"/>
    <col min="3" max="3" width="4.109375" style="3" customWidth="1"/>
    <col min="4" max="4" width="15.21875" style="3" customWidth="1"/>
    <col min="5" max="5" width="4.44140625" style="3" customWidth="1"/>
    <col min="6" max="6" width="4" style="3" customWidth="1"/>
    <col min="7" max="7" width="5.5546875" style="3" customWidth="1"/>
    <col min="8" max="8" width="5.44140625" style="3" customWidth="1"/>
    <col min="9" max="9" width="7.88671875" style="3" customWidth="1"/>
    <col min="10" max="10" width="7.109375" style="3" customWidth="1"/>
    <col min="11" max="11" width="7.21875" style="3" customWidth="1"/>
    <col min="12" max="12" width="6.77734375" style="3" customWidth="1"/>
    <col min="13" max="16384" width="8.88671875" style="3"/>
  </cols>
  <sheetData>
    <row r="1" spans="1:14" ht="18.75" customHeight="1" x14ac:dyDescent="0.15">
      <c r="A1" s="101" t="s">
        <v>0</v>
      </c>
      <c r="B1" s="102"/>
      <c r="C1" s="102"/>
      <c r="D1" s="102"/>
      <c r="E1" s="102"/>
      <c r="F1" s="102"/>
      <c r="G1" s="103"/>
      <c r="H1" s="107" t="s">
        <v>1</v>
      </c>
      <c r="I1" s="1" t="s">
        <v>2</v>
      </c>
      <c r="J1" s="1" t="s">
        <v>2</v>
      </c>
      <c r="K1" s="1" t="s">
        <v>3</v>
      </c>
      <c r="L1" s="2" t="s">
        <v>4</v>
      </c>
    </row>
    <row r="2" spans="1:14" ht="13.5" customHeight="1" x14ac:dyDescent="0.15">
      <c r="A2" s="104"/>
      <c r="B2" s="105"/>
      <c r="C2" s="105"/>
      <c r="D2" s="105"/>
      <c r="E2" s="105"/>
      <c r="F2" s="105"/>
      <c r="G2" s="106"/>
      <c r="H2" s="108"/>
      <c r="I2" s="110"/>
      <c r="J2" s="110"/>
      <c r="K2" s="110"/>
      <c r="L2" s="98"/>
    </row>
    <row r="3" spans="1:14" ht="13.5" customHeight="1" x14ac:dyDescent="0.15">
      <c r="A3" s="104"/>
      <c r="B3" s="105"/>
      <c r="C3" s="105"/>
      <c r="D3" s="105"/>
      <c r="E3" s="105"/>
      <c r="F3" s="105"/>
      <c r="G3" s="106"/>
      <c r="H3" s="108"/>
      <c r="I3" s="108"/>
      <c r="J3" s="108"/>
      <c r="K3" s="108"/>
      <c r="L3" s="99"/>
    </row>
    <row r="4" spans="1:14" ht="33" customHeight="1" x14ac:dyDescent="0.15">
      <c r="A4" s="4"/>
      <c r="B4" s="5"/>
      <c r="C4" s="5"/>
      <c r="D4" s="5"/>
      <c r="E4" s="5"/>
      <c r="F4" s="5"/>
      <c r="G4" s="5"/>
      <c r="H4" s="109"/>
      <c r="I4" s="109"/>
      <c r="J4" s="109"/>
      <c r="K4" s="109"/>
      <c r="L4" s="100"/>
    </row>
    <row r="5" spans="1:14" ht="17.25" customHeight="1" x14ac:dyDescent="0.15">
      <c r="A5" s="6" t="s">
        <v>5</v>
      </c>
      <c r="B5" s="87">
        <v>46044</v>
      </c>
      <c r="C5" s="88"/>
      <c r="D5" s="88"/>
      <c r="E5" s="88"/>
      <c r="F5" s="88"/>
      <c r="G5" s="88"/>
      <c r="H5" s="5"/>
      <c r="I5" s="5"/>
      <c r="J5" s="5"/>
      <c r="K5" s="5"/>
      <c r="L5" s="7"/>
    </row>
    <row r="6" spans="1:14" ht="13.5" customHeight="1" x14ac:dyDescent="0.15">
      <c r="A6" s="89" t="s">
        <v>6</v>
      </c>
      <c r="B6" s="91" t="s">
        <v>7</v>
      </c>
      <c r="C6" s="91" t="s">
        <v>8</v>
      </c>
      <c r="D6" s="91" t="s">
        <v>9</v>
      </c>
      <c r="E6" s="93" t="s">
        <v>10</v>
      </c>
      <c r="F6" s="93" t="s">
        <v>11</v>
      </c>
      <c r="G6" s="95" t="s">
        <v>12</v>
      </c>
      <c r="H6" s="96"/>
      <c r="I6" s="96"/>
      <c r="J6" s="96"/>
      <c r="K6" s="97"/>
      <c r="L6" s="83" t="s">
        <v>13</v>
      </c>
    </row>
    <row r="7" spans="1:14" x14ac:dyDescent="0.15">
      <c r="A7" s="90"/>
      <c r="B7" s="92"/>
      <c r="C7" s="92"/>
      <c r="D7" s="92"/>
      <c r="E7" s="94"/>
      <c r="F7" s="94"/>
      <c r="G7" s="8" t="s">
        <v>14</v>
      </c>
      <c r="H7" s="8" t="s">
        <v>15</v>
      </c>
      <c r="I7" s="8" t="s">
        <v>16</v>
      </c>
      <c r="J7" s="8" t="s">
        <v>17</v>
      </c>
      <c r="K7" s="8" t="s">
        <v>18</v>
      </c>
      <c r="L7" s="84"/>
    </row>
    <row r="8" spans="1:14" s="15" customFormat="1" ht="20.25" customHeight="1" x14ac:dyDescent="0.15">
      <c r="A8" s="60" t="s">
        <v>629</v>
      </c>
      <c r="B8" s="9" t="s">
        <v>131</v>
      </c>
      <c r="C8" s="58" t="s">
        <v>29</v>
      </c>
      <c r="D8" s="11" t="s">
        <v>156</v>
      </c>
      <c r="E8" s="10">
        <v>22</v>
      </c>
      <c r="F8" s="58" t="s">
        <v>11</v>
      </c>
      <c r="G8" s="12">
        <v>364</v>
      </c>
      <c r="H8" s="12">
        <v>933</v>
      </c>
      <c r="I8" s="17" t="s">
        <v>356</v>
      </c>
      <c r="J8" s="18">
        <v>80</v>
      </c>
      <c r="K8" s="19">
        <f>+M8*N8</f>
        <v>270.072</v>
      </c>
      <c r="L8" s="14"/>
      <c r="M8" s="15">
        <v>24.8</v>
      </c>
      <c r="N8" s="15">
        <v>10.89</v>
      </c>
    </row>
    <row r="9" spans="1:14" s="15" customFormat="1" ht="20.25" customHeight="1" x14ac:dyDescent="0.15">
      <c r="A9" s="60" t="s">
        <v>651</v>
      </c>
      <c r="B9" s="9" t="s">
        <v>131</v>
      </c>
      <c r="C9" s="58" t="s">
        <v>29</v>
      </c>
      <c r="D9" s="11" t="s">
        <v>155</v>
      </c>
      <c r="E9" s="10">
        <v>22</v>
      </c>
      <c r="F9" s="58" t="s">
        <v>11</v>
      </c>
      <c r="G9" s="12">
        <v>1421</v>
      </c>
      <c r="H9" s="12">
        <v>1763</v>
      </c>
      <c r="I9" s="17" t="s">
        <v>359</v>
      </c>
      <c r="J9" s="18">
        <v>150</v>
      </c>
      <c r="K9" s="19">
        <f t="shared" ref="K9:K23" si="0">+M9*N9</f>
        <v>1289.3760000000002</v>
      </c>
      <c r="L9" s="14"/>
      <c r="M9" s="15">
        <v>118.4</v>
      </c>
      <c r="N9" s="15">
        <v>10.89</v>
      </c>
    </row>
    <row r="10" spans="1:14" s="15" customFormat="1" ht="20.25" customHeight="1" x14ac:dyDescent="0.15">
      <c r="A10" s="60"/>
      <c r="B10" s="9"/>
      <c r="C10" s="58" t="s">
        <v>29</v>
      </c>
      <c r="D10" s="11" t="s">
        <v>156</v>
      </c>
      <c r="E10" s="10">
        <v>22</v>
      </c>
      <c r="F10" s="58" t="s">
        <v>11</v>
      </c>
      <c r="G10" s="12">
        <v>1421</v>
      </c>
      <c r="H10" s="12">
        <v>1763</v>
      </c>
      <c r="I10" s="17" t="s">
        <v>548</v>
      </c>
      <c r="J10" s="18">
        <v>151</v>
      </c>
      <c r="K10" s="19">
        <f t="shared" si="0"/>
        <v>1325.7486000000001</v>
      </c>
      <c r="L10" s="14"/>
      <c r="M10" s="15">
        <v>121.74</v>
      </c>
      <c r="N10" s="15">
        <v>10.89</v>
      </c>
    </row>
    <row r="11" spans="1:14" s="15" customFormat="1" ht="20.25" customHeight="1" x14ac:dyDescent="0.15">
      <c r="A11" s="60" t="s">
        <v>652</v>
      </c>
      <c r="B11" s="9" t="s">
        <v>131</v>
      </c>
      <c r="C11" s="58" t="s">
        <v>29</v>
      </c>
      <c r="D11" s="11" t="s">
        <v>156</v>
      </c>
      <c r="E11" s="10">
        <v>22</v>
      </c>
      <c r="F11" s="58" t="s">
        <v>11</v>
      </c>
      <c r="G11" s="12">
        <v>1421</v>
      </c>
      <c r="H11" s="12">
        <v>1763</v>
      </c>
      <c r="I11" s="17" t="s">
        <v>653</v>
      </c>
      <c r="J11" s="18">
        <v>256</v>
      </c>
      <c r="K11" s="19">
        <f t="shared" si="0"/>
        <v>2122.2431999999999</v>
      </c>
      <c r="L11" s="14"/>
      <c r="M11" s="15">
        <v>194.88</v>
      </c>
      <c r="N11" s="15">
        <v>10.89</v>
      </c>
    </row>
    <row r="12" spans="1:14" s="15" customFormat="1" ht="20.25" customHeight="1" x14ac:dyDescent="0.15">
      <c r="A12" s="60" t="s">
        <v>654</v>
      </c>
      <c r="B12" s="9" t="s">
        <v>138</v>
      </c>
      <c r="C12" s="58" t="s">
        <v>29</v>
      </c>
      <c r="D12" s="11" t="s">
        <v>372</v>
      </c>
      <c r="E12" s="10">
        <v>24</v>
      </c>
      <c r="F12" s="58"/>
      <c r="G12" s="12">
        <v>775</v>
      </c>
      <c r="H12" s="12">
        <v>1890</v>
      </c>
      <c r="I12" s="17">
        <v>5</v>
      </c>
      <c r="J12" s="18">
        <v>5</v>
      </c>
      <c r="K12" s="19">
        <f t="shared" si="0"/>
        <v>79.497</v>
      </c>
      <c r="L12" s="14"/>
      <c r="M12" s="15">
        <v>7.3</v>
      </c>
      <c r="N12" s="15">
        <v>10.89</v>
      </c>
    </row>
    <row r="13" spans="1:14" s="15" customFormat="1" ht="20.25" customHeight="1" x14ac:dyDescent="0.15">
      <c r="A13" s="60"/>
      <c r="B13" s="9"/>
      <c r="C13" s="58" t="s">
        <v>29</v>
      </c>
      <c r="D13" s="11" t="s">
        <v>336</v>
      </c>
      <c r="E13" s="10">
        <v>24</v>
      </c>
      <c r="F13" s="58"/>
      <c r="G13" s="12">
        <v>775</v>
      </c>
      <c r="H13" s="12">
        <v>1890</v>
      </c>
      <c r="I13" s="17" t="s">
        <v>655</v>
      </c>
      <c r="J13" s="18">
        <v>6</v>
      </c>
      <c r="K13" s="19">
        <f t="shared" si="0"/>
        <v>115.7607</v>
      </c>
      <c r="L13" s="14"/>
      <c r="M13" s="15">
        <f>7.3+3.33</f>
        <v>10.629999999999999</v>
      </c>
      <c r="N13" s="15">
        <v>10.89</v>
      </c>
    </row>
    <row r="14" spans="1:14" s="15" customFormat="1" ht="20.25" customHeight="1" x14ac:dyDescent="0.15">
      <c r="A14" s="60"/>
      <c r="B14" s="9"/>
      <c r="C14" s="58" t="s">
        <v>29</v>
      </c>
      <c r="D14" s="11" t="s">
        <v>224</v>
      </c>
      <c r="E14" s="10">
        <v>22</v>
      </c>
      <c r="F14" s="58" t="s">
        <v>11</v>
      </c>
      <c r="G14" s="12">
        <v>618</v>
      </c>
      <c r="H14" s="12">
        <v>1890</v>
      </c>
      <c r="I14" s="17" t="s">
        <v>191</v>
      </c>
      <c r="J14" s="18">
        <v>10</v>
      </c>
      <c r="K14" s="19">
        <f t="shared" si="0"/>
        <v>123.05700000000002</v>
      </c>
      <c r="L14" s="20"/>
      <c r="M14" s="15">
        <v>11.3</v>
      </c>
      <c r="N14" s="15">
        <v>10.89</v>
      </c>
    </row>
    <row r="15" spans="1:14" s="15" customFormat="1" ht="20.25" customHeight="1" x14ac:dyDescent="0.15">
      <c r="A15" s="60" t="s">
        <v>656</v>
      </c>
      <c r="B15" s="9" t="s">
        <v>138</v>
      </c>
      <c r="C15" s="58" t="s">
        <v>29</v>
      </c>
      <c r="D15" s="11" t="s">
        <v>372</v>
      </c>
      <c r="E15" s="10">
        <v>24</v>
      </c>
      <c r="F15" s="58"/>
      <c r="G15" s="12">
        <v>775</v>
      </c>
      <c r="H15" s="12">
        <v>1890</v>
      </c>
      <c r="I15" s="17" t="s">
        <v>385</v>
      </c>
      <c r="J15" s="18">
        <v>6</v>
      </c>
      <c r="K15" s="19">
        <f t="shared" si="0"/>
        <v>56.95470000000001</v>
      </c>
      <c r="L15" s="20"/>
      <c r="M15" s="15">
        <v>5.23</v>
      </c>
      <c r="N15" s="15">
        <v>10.89</v>
      </c>
    </row>
    <row r="16" spans="1:14" s="15" customFormat="1" ht="20.25" customHeight="1" x14ac:dyDescent="0.15">
      <c r="A16" s="60"/>
      <c r="B16" s="9"/>
      <c r="C16" s="58" t="s">
        <v>29</v>
      </c>
      <c r="D16" s="11" t="s">
        <v>336</v>
      </c>
      <c r="E16" s="10">
        <v>24</v>
      </c>
      <c r="F16" s="58"/>
      <c r="G16" s="12">
        <v>775</v>
      </c>
      <c r="H16" s="12">
        <v>1890</v>
      </c>
      <c r="I16" s="17" t="s">
        <v>657</v>
      </c>
      <c r="J16" s="18">
        <v>9</v>
      </c>
      <c r="K16" s="19">
        <f t="shared" si="0"/>
        <v>186.3279</v>
      </c>
      <c r="L16" s="20"/>
      <c r="M16" s="15">
        <v>17.11</v>
      </c>
      <c r="N16" s="15">
        <v>10.89</v>
      </c>
    </row>
    <row r="17" spans="1:14" s="15" customFormat="1" ht="20.25" customHeight="1" x14ac:dyDescent="0.15">
      <c r="A17" s="60" t="s">
        <v>658</v>
      </c>
      <c r="B17" s="9" t="s">
        <v>322</v>
      </c>
      <c r="C17" s="58" t="s">
        <v>29</v>
      </c>
      <c r="D17" s="11" t="s">
        <v>476</v>
      </c>
      <c r="E17" s="10">
        <v>22</v>
      </c>
      <c r="F17" s="58"/>
      <c r="G17" s="12">
        <v>1200</v>
      </c>
      <c r="H17" s="12">
        <v>920</v>
      </c>
      <c r="I17" s="17" t="s">
        <v>659</v>
      </c>
      <c r="J17" s="18">
        <v>5</v>
      </c>
      <c r="K17" s="19">
        <f t="shared" si="0"/>
        <v>71.220600000000005</v>
      </c>
      <c r="L17" s="20"/>
      <c r="M17" s="15">
        <v>6.54</v>
      </c>
      <c r="N17" s="15">
        <v>10.89</v>
      </c>
    </row>
    <row r="18" spans="1:14" s="15" customFormat="1" ht="20.25" customHeight="1" x14ac:dyDescent="0.15">
      <c r="A18" s="60"/>
      <c r="B18" s="9"/>
      <c r="C18" s="58"/>
      <c r="D18" s="11"/>
      <c r="E18" s="10"/>
      <c r="F18" s="58"/>
      <c r="G18" s="12"/>
      <c r="H18" s="12"/>
      <c r="I18" s="17"/>
      <c r="J18" s="18"/>
      <c r="K18" s="19">
        <f t="shared" si="0"/>
        <v>0</v>
      </c>
      <c r="L18" s="20"/>
      <c r="N18" s="15">
        <v>10.89</v>
      </c>
    </row>
    <row r="19" spans="1:14" s="15" customFormat="1" ht="20.25" customHeight="1" x14ac:dyDescent="0.15">
      <c r="A19" s="60"/>
      <c r="B19" s="9"/>
      <c r="C19" s="58"/>
      <c r="D19" s="11"/>
      <c r="E19" s="10"/>
      <c r="F19" s="58"/>
      <c r="G19" s="12"/>
      <c r="H19" s="12"/>
      <c r="I19" s="17"/>
      <c r="J19" s="18"/>
      <c r="K19" s="19">
        <f t="shared" si="0"/>
        <v>0</v>
      </c>
      <c r="L19" s="20"/>
      <c r="N19" s="15">
        <v>10.89</v>
      </c>
    </row>
    <row r="20" spans="1:14" s="15" customFormat="1" ht="20.25" customHeight="1" x14ac:dyDescent="0.15">
      <c r="A20" s="60"/>
      <c r="B20" s="9"/>
      <c r="C20" s="58"/>
      <c r="D20" s="11"/>
      <c r="E20" s="10"/>
      <c r="F20" s="58"/>
      <c r="G20" s="12"/>
      <c r="H20" s="12"/>
      <c r="I20" s="17"/>
      <c r="J20" s="18"/>
      <c r="K20" s="19">
        <f t="shared" si="0"/>
        <v>0</v>
      </c>
      <c r="L20" s="20"/>
      <c r="N20" s="15">
        <v>10.89</v>
      </c>
    </row>
    <row r="21" spans="1:14" s="15" customFormat="1" ht="20.25" customHeight="1" x14ac:dyDescent="0.15">
      <c r="A21" s="60"/>
      <c r="B21" s="9"/>
      <c r="C21" s="58"/>
      <c r="D21" s="11"/>
      <c r="E21" s="10"/>
      <c r="F21" s="58"/>
      <c r="G21" s="50"/>
      <c r="H21" s="50"/>
      <c r="I21" s="17"/>
      <c r="J21" s="18"/>
      <c r="K21" s="19">
        <f t="shared" si="0"/>
        <v>0</v>
      </c>
      <c r="L21" s="20"/>
      <c r="N21" s="15">
        <v>10.89</v>
      </c>
    </row>
    <row r="22" spans="1:14" s="15" customFormat="1" ht="20.25" customHeight="1" x14ac:dyDescent="0.15">
      <c r="A22" s="60"/>
      <c r="B22" s="9"/>
      <c r="C22" s="58"/>
      <c r="D22" s="11"/>
      <c r="E22" s="10"/>
      <c r="F22" s="58"/>
      <c r="G22" s="50"/>
      <c r="H22" s="50"/>
      <c r="I22" s="17"/>
      <c r="J22" s="18"/>
      <c r="K22" s="19">
        <f t="shared" si="0"/>
        <v>0</v>
      </c>
      <c r="L22" s="20"/>
      <c r="N22" s="15">
        <v>10.89</v>
      </c>
    </row>
    <row r="23" spans="1:14" ht="20.25" customHeight="1" x14ac:dyDescent="0.15">
      <c r="A23" s="60"/>
      <c r="B23" s="9"/>
      <c r="C23" s="58"/>
      <c r="D23" s="11"/>
      <c r="E23" s="10"/>
      <c r="F23" s="58"/>
      <c r="G23" s="16"/>
      <c r="H23" s="16"/>
      <c r="I23" s="17"/>
      <c r="J23" s="18"/>
      <c r="K23" s="19">
        <f t="shared" si="0"/>
        <v>0</v>
      </c>
      <c r="L23" s="20"/>
      <c r="N23" s="15">
        <v>10.89</v>
      </c>
    </row>
    <row r="24" spans="1:14" ht="20.25" customHeight="1" thickBot="1" x14ac:dyDescent="0.2">
      <c r="A24" s="56"/>
      <c r="B24" s="21"/>
      <c r="C24" s="59"/>
      <c r="D24" s="22"/>
      <c r="E24" s="23"/>
      <c r="F24" s="23"/>
      <c r="G24" s="24"/>
      <c r="H24" s="24"/>
      <c r="I24" s="25"/>
      <c r="J24" s="46">
        <f>SUM(J8:J23)</f>
        <v>678</v>
      </c>
      <c r="K24" s="47">
        <f>SUM(K8:K23)</f>
        <v>5640.2577000000001</v>
      </c>
      <c r="L24" s="26"/>
    </row>
    <row r="25" spans="1:14" ht="20.25" customHeight="1" thickTop="1" x14ac:dyDescent="0.15">
      <c r="A25" s="60" t="s">
        <v>642</v>
      </c>
      <c r="B25" s="9" t="s">
        <v>131</v>
      </c>
      <c r="C25" s="58" t="s">
        <v>29</v>
      </c>
      <c r="D25" s="11" t="s">
        <v>155</v>
      </c>
      <c r="E25" s="10">
        <v>22</v>
      </c>
      <c r="F25" s="10" t="s">
        <v>11</v>
      </c>
      <c r="G25" s="12">
        <v>1723</v>
      </c>
      <c r="H25" s="12">
        <v>1763</v>
      </c>
      <c r="I25" s="17" t="s">
        <v>660</v>
      </c>
      <c r="J25" s="18">
        <v>288</v>
      </c>
      <c r="K25" s="19">
        <f t="shared" ref="K25:K40" si="1">+M25*N25</f>
        <v>2453.2991999999999</v>
      </c>
      <c r="L25" s="54"/>
      <c r="M25" s="3">
        <v>225.28</v>
      </c>
      <c r="N25" s="15">
        <v>10.89</v>
      </c>
    </row>
    <row r="26" spans="1:14" ht="20.25" customHeight="1" x14ac:dyDescent="0.15">
      <c r="A26" s="60"/>
      <c r="B26" s="9"/>
      <c r="C26" s="58" t="s">
        <v>29</v>
      </c>
      <c r="D26" s="11" t="s">
        <v>156</v>
      </c>
      <c r="E26" s="10">
        <v>22</v>
      </c>
      <c r="F26" s="10" t="s">
        <v>11</v>
      </c>
      <c r="G26" s="12">
        <v>1723</v>
      </c>
      <c r="H26" s="12">
        <v>1763</v>
      </c>
      <c r="I26" s="17" t="s">
        <v>661</v>
      </c>
      <c r="J26" s="18">
        <v>69</v>
      </c>
      <c r="K26" s="19">
        <f t="shared" si="1"/>
        <v>213.66180000000003</v>
      </c>
      <c r="L26" s="54"/>
      <c r="M26" s="3">
        <v>19.62</v>
      </c>
      <c r="N26" s="15">
        <v>10.89</v>
      </c>
    </row>
    <row r="27" spans="1:14" ht="20.25" customHeight="1" x14ac:dyDescent="0.15">
      <c r="A27" s="61" t="s">
        <v>652</v>
      </c>
      <c r="B27" s="9" t="s">
        <v>131</v>
      </c>
      <c r="C27" s="58" t="s">
        <v>29</v>
      </c>
      <c r="D27" s="11" t="s">
        <v>155</v>
      </c>
      <c r="E27" s="10">
        <v>22</v>
      </c>
      <c r="F27" s="10" t="s">
        <v>11</v>
      </c>
      <c r="G27" s="12">
        <v>1421</v>
      </c>
      <c r="H27" s="12">
        <v>1763</v>
      </c>
      <c r="I27" s="17" t="s">
        <v>653</v>
      </c>
      <c r="J27" s="18">
        <v>256</v>
      </c>
      <c r="K27" s="19">
        <f t="shared" si="1"/>
        <v>2122.2431999999999</v>
      </c>
      <c r="L27" s="54"/>
      <c r="M27" s="3">
        <v>194.88</v>
      </c>
      <c r="N27" s="15">
        <v>10.89</v>
      </c>
    </row>
    <row r="28" spans="1:14" ht="20.25" customHeight="1" x14ac:dyDescent="0.15">
      <c r="A28" s="61" t="s">
        <v>662</v>
      </c>
      <c r="B28" s="9" t="s">
        <v>131</v>
      </c>
      <c r="C28" s="58" t="s">
        <v>29</v>
      </c>
      <c r="D28" s="11" t="s">
        <v>155</v>
      </c>
      <c r="E28" s="10">
        <v>22</v>
      </c>
      <c r="F28" s="10" t="s">
        <v>11</v>
      </c>
      <c r="G28" s="12">
        <v>1439</v>
      </c>
      <c r="H28" s="12">
        <v>1758</v>
      </c>
      <c r="I28" s="17" t="s">
        <v>663</v>
      </c>
      <c r="J28" s="18">
        <v>15</v>
      </c>
      <c r="K28" s="19">
        <f t="shared" si="1"/>
        <v>141.89670000000001</v>
      </c>
      <c r="L28" s="54"/>
      <c r="M28" s="3">
        <v>13.03</v>
      </c>
      <c r="N28" s="15">
        <v>10.89</v>
      </c>
    </row>
    <row r="29" spans="1:14" ht="20.25" customHeight="1" x14ac:dyDescent="0.15">
      <c r="A29" s="61"/>
      <c r="B29" s="9"/>
      <c r="C29" s="58" t="s">
        <v>29</v>
      </c>
      <c r="D29" s="11" t="s">
        <v>156</v>
      </c>
      <c r="E29" s="10">
        <v>22</v>
      </c>
      <c r="F29" s="10" t="s">
        <v>11</v>
      </c>
      <c r="G29" s="12">
        <v>1439</v>
      </c>
      <c r="H29" s="12">
        <v>1758</v>
      </c>
      <c r="I29" s="17" t="s">
        <v>663</v>
      </c>
      <c r="J29" s="18">
        <v>15</v>
      </c>
      <c r="K29" s="19">
        <f t="shared" si="1"/>
        <v>141.89670000000001</v>
      </c>
      <c r="L29" s="54"/>
      <c r="M29" s="3">
        <v>13.03</v>
      </c>
      <c r="N29" s="15">
        <v>10.89</v>
      </c>
    </row>
    <row r="30" spans="1:14" ht="20.25" customHeight="1" x14ac:dyDescent="0.15">
      <c r="A30" s="61" t="s">
        <v>664</v>
      </c>
      <c r="B30" s="9" t="s">
        <v>131</v>
      </c>
      <c r="C30" s="58" t="s">
        <v>29</v>
      </c>
      <c r="D30" s="11" t="s">
        <v>155</v>
      </c>
      <c r="E30" s="10">
        <v>22</v>
      </c>
      <c r="F30" s="10" t="s">
        <v>11</v>
      </c>
      <c r="G30" s="12">
        <v>1439</v>
      </c>
      <c r="H30" s="12">
        <v>1758</v>
      </c>
      <c r="I30" s="51" t="s">
        <v>563</v>
      </c>
      <c r="J30" s="52">
        <v>11</v>
      </c>
      <c r="K30" s="53">
        <f t="shared" si="1"/>
        <v>99.8613</v>
      </c>
      <c r="L30" s="54"/>
      <c r="M30" s="3">
        <v>9.17</v>
      </c>
      <c r="N30" s="15">
        <v>10.89</v>
      </c>
    </row>
    <row r="31" spans="1:14" ht="20.25" customHeight="1" x14ac:dyDescent="0.15">
      <c r="A31" s="61"/>
      <c r="B31" s="9"/>
      <c r="C31" s="58" t="s">
        <v>29</v>
      </c>
      <c r="D31" s="11" t="s">
        <v>156</v>
      </c>
      <c r="E31" s="10">
        <v>22</v>
      </c>
      <c r="F31" s="10" t="s">
        <v>11</v>
      </c>
      <c r="G31" s="12">
        <v>1439</v>
      </c>
      <c r="H31" s="12">
        <v>1758</v>
      </c>
      <c r="I31" s="51" t="s">
        <v>563</v>
      </c>
      <c r="J31" s="52">
        <v>11</v>
      </c>
      <c r="K31" s="53">
        <f t="shared" si="1"/>
        <v>99.8613</v>
      </c>
      <c r="L31" s="54"/>
      <c r="M31" s="3">
        <v>9.17</v>
      </c>
      <c r="N31" s="15">
        <v>10.89</v>
      </c>
    </row>
    <row r="32" spans="1:14" ht="20.25" customHeight="1" x14ac:dyDescent="0.15">
      <c r="A32" s="60" t="s">
        <v>665</v>
      </c>
      <c r="B32" s="9" t="s">
        <v>131</v>
      </c>
      <c r="C32" s="58" t="s">
        <v>29</v>
      </c>
      <c r="D32" s="11" t="s">
        <v>155</v>
      </c>
      <c r="E32" s="10">
        <v>22</v>
      </c>
      <c r="F32" s="10" t="s">
        <v>11</v>
      </c>
      <c r="G32" s="12">
        <v>1439</v>
      </c>
      <c r="H32" s="12">
        <v>1758</v>
      </c>
      <c r="I32" s="17" t="s">
        <v>666</v>
      </c>
      <c r="J32" s="18">
        <v>17</v>
      </c>
      <c r="K32" s="19">
        <f t="shared" si="1"/>
        <v>149.08410000000001</v>
      </c>
      <c r="L32" s="27"/>
      <c r="M32" s="3">
        <v>13.69</v>
      </c>
      <c r="N32" s="15">
        <v>10.89</v>
      </c>
    </row>
    <row r="33" spans="1:14" ht="20.25" customHeight="1" x14ac:dyDescent="0.15">
      <c r="A33" s="60"/>
      <c r="B33" s="9"/>
      <c r="C33" s="58" t="s">
        <v>29</v>
      </c>
      <c r="D33" s="11" t="s">
        <v>156</v>
      </c>
      <c r="E33" s="10">
        <v>22</v>
      </c>
      <c r="F33" s="10" t="s">
        <v>11</v>
      </c>
      <c r="G33" s="12">
        <v>1439</v>
      </c>
      <c r="H33" s="12">
        <v>1758</v>
      </c>
      <c r="I33" s="17" t="s">
        <v>666</v>
      </c>
      <c r="J33" s="18">
        <v>17</v>
      </c>
      <c r="K33" s="19">
        <f t="shared" si="1"/>
        <v>149.08410000000001</v>
      </c>
      <c r="L33" s="27"/>
      <c r="M33" s="3">
        <v>13.69</v>
      </c>
      <c r="N33" s="15">
        <v>10.89</v>
      </c>
    </row>
    <row r="34" spans="1:14" ht="20.25" customHeight="1" x14ac:dyDescent="0.15">
      <c r="A34" s="60" t="s">
        <v>667</v>
      </c>
      <c r="B34" s="9" t="s">
        <v>178</v>
      </c>
      <c r="C34" s="58" t="s">
        <v>29</v>
      </c>
      <c r="D34" s="11" t="s">
        <v>247</v>
      </c>
      <c r="E34" s="10">
        <v>24</v>
      </c>
      <c r="F34" s="10" t="s">
        <v>11</v>
      </c>
      <c r="G34" s="12">
        <v>1055</v>
      </c>
      <c r="H34" s="12">
        <v>1955</v>
      </c>
      <c r="I34" s="17" t="s">
        <v>561</v>
      </c>
      <c r="J34" s="18">
        <v>20</v>
      </c>
      <c r="K34" s="19">
        <f t="shared" si="1"/>
        <v>405.21690000000001</v>
      </c>
      <c r="L34" s="27"/>
      <c r="M34" s="3">
        <v>37.21</v>
      </c>
      <c r="N34" s="15">
        <v>10.89</v>
      </c>
    </row>
    <row r="35" spans="1:14" ht="20.25" customHeight="1" x14ac:dyDescent="0.15">
      <c r="A35" s="60" t="s">
        <v>649</v>
      </c>
      <c r="B35" s="9" t="s">
        <v>30</v>
      </c>
      <c r="C35" s="58" t="s">
        <v>29</v>
      </c>
      <c r="D35" s="11" t="s">
        <v>329</v>
      </c>
      <c r="E35" s="10">
        <v>27.76</v>
      </c>
      <c r="F35" s="10"/>
      <c r="G35" s="12">
        <v>2031</v>
      </c>
      <c r="H35" s="12">
        <v>2201</v>
      </c>
      <c r="I35" s="17">
        <v>1</v>
      </c>
      <c r="J35" s="18">
        <v>1</v>
      </c>
      <c r="K35" s="19">
        <f t="shared" si="1"/>
        <v>48.6783</v>
      </c>
      <c r="L35" s="27"/>
      <c r="M35" s="3">
        <v>4.47</v>
      </c>
      <c r="N35" s="15">
        <v>10.89</v>
      </c>
    </row>
    <row r="36" spans="1:14" ht="20.25" customHeight="1" x14ac:dyDescent="0.15">
      <c r="A36" s="60" t="s">
        <v>668</v>
      </c>
      <c r="B36" s="9" t="s">
        <v>66</v>
      </c>
      <c r="C36" s="58" t="s">
        <v>29</v>
      </c>
      <c r="D36" s="11" t="s">
        <v>217</v>
      </c>
      <c r="E36" s="10">
        <v>22</v>
      </c>
      <c r="F36" s="10" t="s">
        <v>11</v>
      </c>
      <c r="G36" s="12">
        <v>606</v>
      </c>
      <c r="H36" s="12">
        <v>962</v>
      </c>
      <c r="I36" s="17" t="s">
        <v>366</v>
      </c>
      <c r="J36" s="18">
        <v>4</v>
      </c>
      <c r="K36" s="19">
        <f t="shared" si="1"/>
        <v>50.856300000000005</v>
      </c>
      <c r="L36" s="27"/>
      <c r="M36" s="3">
        <v>4.67</v>
      </c>
      <c r="N36" s="15">
        <v>10.89</v>
      </c>
    </row>
    <row r="37" spans="1:14" ht="20.25" customHeight="1" x14ac:dyDescent="0.15">
      <c r="A37" s="60"/>
      <c r="B37" s="9"/>
      <c r="C37" s="58" t="s">
        <v>29</v>
      </c>
      <c r="D37" s="11" t="s">
        <v>224</v>
      </c>
      <c r="E37" s="10">
        <v>22</v>
      </c>
      <c r="F37" s="10" t="s">
        <v>11</v>
      </c>
      <c r="G37" s="12">
        <v>1643</v>
      </c>
      <c r="H37" s="12">
        <v>1962</v>
      </c>
      <c r="I37" s="17">
        <v>1</v>
      </c>
      <c r="J37" s="18">
        <v>1</v>
      </c>
      <c r="K37" s="19">
        <f t="shared" si="1"/>
        <v>35.065800000000003</v>
      </c>
      <c r="L37" s="27"/>
      <c r="M37" s="3">
        <v>3.22</v>
      </c>
      <c r="N37" s="15">
        <v>10.89</v>
      </c>
    </row>
    <row r="38" spans="1:14" ht="20.25" customHeight="1" x14ac:dyDescent="0.15">
      <c r="A38" s="60"/>
      <c r="B38" s="9"/>
      <c r="C38" s="58"/>
      <c r="D38" s="11"/>
      <c r="E38" s="10"/>
      <c r="F38" s="10"/>
      <c r="G38" s="12"/>
      <c r="H38" s="12"/>
      <c r="I38" s="17"/>
      <c r="J38" s="18"/>
      <c r="K38" s="19">
        <f t="shared" si="1"/>
        <v>0</v>
      </c>
      <c r="L38" s="27"/>
      <c r="N38" s="15">
        <v>10.89</v>
      </c>
    </row>
    <row r="39" spans="1:14" ht="20.25" customHeight="1" x14ac:dyDescent="0.15">
      <c r="A39" s="60"/>
      <c r="B39" s="9"/>
      <c r="C39" s="58"/>
      <c r="D39" s="11"/>
      <c r="E39" s="10"/>
      <c r="F39" s="10"/>
      <c r="G39" s="12"/>
      <c r="H39" s="12"/>
      <c r="I39" s="17"/>
      <c r="J39" s="18"/>
      <c r="K39" s="19">
        <f t="shared" si="1"/>
        <v>0</v>
      </c>
      <c r="L39" s="27"/>
      <c r="N39" s="15">
        <v>10.89</v>
      </c>
    </row>
    <row r="40" spans="1:14" ht="20.25" customHeight="1" x14ac:dyDescent="0.15">
      <c r="A40" s="60"/>
      <c r="B40" s="9"/>
      <c r="C40" s="58"/>
      <c r="D40" s="11"/>
      <c r="E40" s="10"/>
      <c r="F40" s="10"/>
      <c r="G40" s="12"/>
      <c r="H40" s="12"/>
      <c r="I40" s="17"/>
      <c r="J40" s="18"/>
      <c r="K40" s="19">
        <f t="shared" si="1"/>
        <v>0</v>
      </c>
      <c r="L40" s="27"/>
      <c r="N40" s="15">
        <v>10.89</v>
      </c>
    </row>
    <row r="41" spans="1:14" ht="20.25" customHeight="1" x14ac:dyDescent="0.15">
      <c r="A41" s="57"/>
      <c r="B41" s="28"/>
      <c r="C41" s="10"/>
      <c r="D41" s="29"/>
      <c r="E41" s="30"/>
      <c r="F41" s="30"/>
      <c r="G41" s="30"/>
      <c r="H41" s="30"/>
      <c r="I41" s="13"/>
      <c r="J41" s="48">
        <f>SUM(J25:J40)</f>
        <v>725</v>
      </c>
      <c r="K41" s="49">
        <f>SUM(K25:K40)</f>
        <v>6110.7057000000004</v>
      </c>
      <c r="L41" s="31"/>
      <c r="N41" s="32"/>
    </row>
    <row r="42" spans="1:14" ht="20.25" customHeight="1" thickBot="1" x14ac:dyDescent="0.2">
      <c r="A42" s="55"/>
      <c r="B42" s="33"/>
      <c r="C42" s="33"/>
      <c r="D42" s="33"/>
      <c r="E42" s="33"/>
      <c r="F42" s="33"/>
      <c r="G42" s="33"/>
      <c r="H42" s="33"/>
      <c r="I42" s="33"/>
      <c r="J42" s="34"/>
      <c r="K42" s="35"/>
      <c r="L42" s="36"/>
    </row>
    <row r="43" spans="1:14" ht="20.25" customHeight="1" thickBot="1" x14ac:dyDescent="0.2">
      <c r="A43" s="37" t="s">
        <v>19</v>
      </c>
      <c r="B43" s="38" t="s">
        <v>20</v>
      </c>
      <c r="C43" s="77" t="s">
        <v>21</v>
      </c>
      <c r="D43" s="79"/>
      <c r="E43" s="77" t="s">
        <v>22</v>
      </c>
      <c r="F43" s="78"/>
      <c r="G43" s="79"/>
      <c r="H43" s="85" t="s">
        <v>23</v>
      </c>
      <c r="I43" s="86"/>
      <c r="J43" s="77" t="s">
        <v>24</v>
      </c>
      <c r="K43" s="79"/>
      <c r="L43" s="39" t="s">
        <v>13</v>
      </c>
    </row>
    <row r="44" spans="1:14" ht="20.25" customHeight="1" thickBot="1" x14ac:dyDescent="0.2">
      <c r="A44" s="40">
        <f>SUMIF($C$8:$C$42,"U1",$J$8:$J$42)</f>
        <v>0</v>
      </c>
      <c r="B44" s="41">
        <f>SUMIF($C$8:$C$42,"U2",$J$8:$J$42)</f>
        <v>0</v>
      </c>
      <c r="C44" s="77">
        <f>SUMIF($C$8:$C$42,"U3-1",$J$8:$J$42)</f>
        <v>0</v>
      </c>
      <c r="D44" s="79"/>
      <c r="E44" s="77">
        <f>SUMIF($C$8:$C$42,"U3",$J$8:$J$42)</f>
        <v>1403</v>
      </c>
      <c r="F44" s="78"/>
      <c r="G44" s="79"/>
      <c r="H44" s="77">
        <f>SUMIF($C$8:$C$42,"E5",$J$8:$J$42)</f>
        <v>0</v>
      </c>
      <c r="I44" s="79"/>
      <c r="J44" s="77">
        <f>SUM(A44:I44)</f>
        <v>1403</v>
      </c>
      <c r="K44" s="79"/>
      <c r="L44" s="42"/>
    </row>
    <row r="45" spans="1:14" ht="20.25" customHeight="1" thickBot="1" x14ac:dyDescent="0.2">
      <c r="A45" s="43" t="s">
        <v>25</v>
      </c>
      <c r="B45" s="44" t="s">
        <v>26</v>
      </c>
      <c r="C45" s="75">
        <v>13876</v>
      </c>
      <c r="D45" s="76"/>
      <c r="E45" s="77" t="s">
        <v>27</v>
      </c>
      <c r="F45" s="78"/>
      <c r="G45" s="78"/>
      <c r="H45" s="78"/>
      <c r="I45" s="79"/>
      <c r="J45" s="80">
        <v>146744.37</v>
      </c>
      <c r="K45" s="81"/>
      <c r="L45" s="82"/>
    </row>
    <row r="47" spans="1:14" x14ac:dyDescent="0.15">
      <c r="D47" s="45"/>
    </row>
  </sheetData>
  <mergeCells count="26">
    <mergeCell ref="L2:L4"/>
    <mergeCell ref="A1:G3"/>
    <mergeCell ref="H1:H4"/>
    <mergeCell ref="I2:I4"/>
    <mergeCell ref="J2:J4"/>
    <mergeCell ref="K2:K4"/>
    <mergeCell ref="B5:G5"/>
    <mergeCell ref="A6:A7"/>
    <mergeCell ref="B6:B7"/>
    <mergeCell ref="C6:C7"/>
    <mergeCell ref="D6:D7"/>
    <mergeCell ref="E6:E7"/>
    <mergeCell ref="F6:F7"/>
    <mergeCell ref="G6:K6"/>
    <mergeCell ref="C45:D45"/>
    <mergeCell ref="E45:I45"/>
    <mergeCell ref="J45:L45"/>
    <mergeCell ref="L6:L7"/>
    <mergeCell ref="C43:D43"/>
    <mergeCell ref="E43:G43"/>
    <mergeCell ref="H43:I43"/>
    <mergeCell ref="J43:K43"/>
    <mergeCell ref="C44:D44"/>
    <mergeCell ref="E44:G44"/>
    <mergeCell ref="H44:I44"/>
    <mergeCell ref="J44:K44"/>
  </mergeCells>
  <phoneticPr fontId="2" type="noConversion"/>
  <printOptions horizontalCentered="1"/>
  <pageMargins left="0.39370078740157483" right="0.39370078740157483" top="0.74803149606299213" bottom="0.19685039370078741" header="0.31496062992125984" footer="0.15748031496062992"/>
  <pageSetup paperSize="9" scale="84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N50"/>
  <sheetViews>
    <sheetView view="pageBreakPreview" topLeftCell="A10" zoomScaleSheetLayoutView="100" workbookViewId="0">
      <selection activeCell="C30" sqref="C30:E30"/>
    </sheetView>
  </sheetViews>
  <sheetFormatPr defaultColWidth="8.88671875" defaultRowHeight="13.5" x14ac:dyDescent="0.15"/>
  <cols>
    <col min="1" max="1" width="8.44140625" style="3" customWidth="1"/>
    <col min="2" max="2" width="14.77734375" style="3" customWidth="1"/>
    <col min="3" max="3" width="4.109375" style="3" customWidth="1"/>
    <col min="4" max="4" width="15.21875" style="3" customWidth="1"/>
    <col min="5" max="5" width="4.44140625" style="3" customWidth="1"/>
    <col min="6" max="6" width="4" style="3" customWidth="1"/>
    <col min="7" max="7" width="5.5546875" style="3" customWidth="1"/>
    <col min="8" max="8" width="5.44140625" style="3" customWidth="1"/>
    <col min="9" max="9" width="7.88671875" style="3" customWidth="1"/>
    <col min="10" max="10" width="7.109375" style="3" customWidth="1"/>
    <col min="11" max="11" width="7.21875" style="3" customWidth="1"/>
    <col min="12" max="12" width="6.77734375" style="3" customWidth="1"/>
    <col min="13" max="16384" width="8.88671875" style="3"/>
  </cols>
  <sheetData>
    <row r="1" spans="1:14" ht="18.75" customHeight="1" x14ac:dyDescent="0.15">
      <c r="A1" s="101" t="s">
        <v>0</v>
      </c>
      <c r="B1" s="102"/>
      <c r="C1" s="102"/>
      <c r="D1" s="102"/>
      <c r="E1" s="102"/>
      <c r="F1" s="102"/>
      <c r="G1" s="103"/>
      <c r="H1" s="107" t="s">
        <v>1</v>
      </c>
      <c r="I1" s="1" t="s">
        <v>2</v>
      </c>
      <c r="J1" s="1" t="s">
        <v>2</v>
      </c>
      <c r="K1" s="1" t="s">
        <v>3</v>
      </c>
      <c r="L1" s="2" t="s">
        <v>4</v>
      </c>
    </row>
    <row r="2" spans="1:14" ht="13.5" customHeight="1" x14ac:dyDescent="0.15">
      <c r="A2" s="104"/>
      <c r="B2" s="105"/>
      <c r="C2" s="105"/>
      <c r="D2" s="105"/>
      <c r="E2" s="105"/>
      <c r="F2" s="105"/>
      <c r="G2" s="106"/>
      <c r="H2" s="108"/>
      <c r="I2" s="110"/>
      <c r="J2" s="110"/>
      <c r="K2" s="110"/>
      <c r="L2" s="98"/>
    </row>
    <row r="3" spans="1:14" ht="13.5" customHeight="1" x14ac:dyDescent="0.15">
      <c r="A3" s="104"/>
      <c r="B3" s="105"/>
      <c r="C3" s="105"/>
      <c r="D3" s="105"/>
      <c r="E3" s="105"/>
      <c r="F3" s="105"/>
      <c r="G3" s="106"/>
      <c r="H3" s="108"/>
      <c r="I3" s="108"/>
      <c r="J3" s="108"/>
      <c r="K3" s="108"/>
      <c r="L3" s="99"/>
    </row>
    <row r="4" spans="1:14" ht="33" customHeight="1" x14ac:dyDescent="0.15">
      <c r="A4" s="4"/>
      <c r="B4" s="5"/>
      <c r="C4" s="5"/>
      <c r="D4" s="5"/>
      <c r="E4" s="5"/>
      <c r="F4" s="5"/>
      <c r="G4" s="5"/>
      <c r="H4" s="109"/>
      <c r="I4" s="109"/>
      <c r="J4" s="109"/>
      <c r="K4" s="109"/>
      <c r="L4" s="100"/>
    </row>
    <row r="5" spans="1:14" ht="17.25" customHeight="1" x14ac:dyDescent="0.15">
      <c r="A5" s="6" t="s">
        <v>5</v>
      </c>
      <c r="B5" s="87">
        <v>46045</v>
      </c>
      <c r="C5" s="88"/>
      <c r="D5" s="88"/>
      <c r="E5" s="88"/>
      <c r="F5" s="88"/>
      <c r="G5" s="88"/>
      <c r="H5" s="5"/>
      <c r="I5" s="5"/>
      <c r="J5" s="5"/>
      <c r="K5" s="5"/>
      <c r="L5" s="7"/>
    </row>
    <row r="6" spans="1:14" ht="13.5" customHeight="1" x14ac:dyDescent="0.15">
      <c r="A6" s="89" t="s">
        <v>6</v>
      </c>
      <c r="B6" s="91" t="s">
        <v>7</v>
      </c>
      <c r="C6" s="91" t="s">
        <v>8</v>
      </c>
      <c r="D6" s="91" t="s">
        <v>9</v>
      </c>
      <c r="E6" s="93" t="s">
        <v>10</v>
      </c>
      <c r="F6" s="93" t="s">
        <v>11</v>
      </c>
      <c r="G6" s="95" t="s">
        <v>12</v>
      </c>
      <c r="H6" s="96"/>
      <c r="I6" s="96"/>
      <c r="J6" s="96"/>
      <c r="K6" s="97"/>
      <c r="L6" s="83" t="s">
        <v>13</v>
      </c>
    </row>
    <row r="7" spans="1:14" x14ac:dyDescent="0.15">
      <c r="A7" s="90"/>
      <c r="B7" s="92"/>
      <c r="C7" s="92"/>
      <c r="D7" s="92"/>
      <c r="E7" s="94"/>
      <c r="F7" s="94"/>
      <c r="G7" s="8" t="s">
        <v>14</v>
      </c>
      <c r="H7" s="8" t="s">
        <v>15</v>
      </c>
      <c r="I7" s="8" t="s">
        <v>16</v>
      </c>
      <c r="J7" s="8" t="s">
        <v>17</v>
      </c>
      <c r="K7" s="8" t="s">
        <v>18</v>
      </c>
      <c r="L7" s="84"/>
    </row>
    <row r="8" spans="1:14" s="15" customFormat="1" ht="20.25" customHeight="1" x14ac:dyDescent="0.15">
      <c r="A8" s="60" t="s">
        <v>670</v>
      </c>
      <c r="B8" s="9" t="s">
        <v>173</v>
      </c>
      <c r="C8" s="58" t="s">
        <v>29</v>
      </c>
      <c r="D8" s="11" t="s">
        <v>195</v>
      </c>
      <c r="E8" s="10">
        <v>22</v>
      </c>
      <c r="F8" s="58"/>
      <c r="G8" s="12">
        <v>1620</v>
      </c>
      <c r="H8" s="12">
        <v>1885</v>
      </c>
      <c r="I8" s="17" t="s">
        <v>671</v>
      </c>
      <c r="J8" s="18">
        <v>8</v>
      </c>
      <c r="K8" s="19">
        <f>+M8*N8</f>
        <v>43.777799999999999</v>
      </c>
      <c r="L8" s="14"/>
      <c r="M8" s="15">
        <v>4.0199999999999996</v>
      </c>
      <c r="N8" s="15">
        <v>10.89</v>
      </c>
    </row>
    <row r="9" spans="1:14" s="15" customFormat="1" ht="20.25" customHeight="1" x14ac:dyDescent="0.15">
      <c r="A9" s="60" t="s">
        <v>604</v>
      </c>
      <c r="B9" s="9" t="s">
        <v>184</v>
      </c>
      <c r="C9" s="58" t="s">
        <v>29</v>
      </c>
      <c r="D9" s="11" t="s">
        <v>195</v>
      </c>
      <c r="E9" s="10">
        <v>22</v>
      </c>
      <c r="F9" s="58"/>
      <c r="G9" s="12">
        <v>760</v>
      </c>
      <c r="H9" s="12">
        <v>1817</v>
      </c>
      <c r="I9" s="17" t="s">
        <v>672</v>
      </c>
      <c r="J9" s="18">
        <v>113</v>
      </c>
      <c r="K9" s="19">
        <f t="shared" ref="K9:K26" si="0">+M9*N9</f>
        <v>655.36020000000008</v>
      </c>
      <c r="L9" s="14"/>
      <c r="M9" s="15">
        <v>60.18</v>
      </c>
      <c r="N9" s="15">
        <v>10.89</v>
      </c>
    </row>
    <row r="10" spans="1:14" s="15" customFormat="1" ht="20.25" customHeight="1" x14ac:dyDescent="0.15">
      <c r="A10" s="60" t="s">
        <v>673</v>
      </c>
      <c r="B10" s="9" t="s">
        <v>184</v>
      </c>
      <c r="C10" s="58" t="s">
        <v>29</v>
      </c>
      <c r="D10" s="11" t="s">
        <v>201</v>
      </c>
      <c r="E10" s="10">
        <v>22</v>
      </c>
      <c r="F10" s="58"/>
      <c r="G10" s="12">
        <v>1716</v>
      </c>
      <c r="H10" s="12">
        <v>1817</v>
      </c>
      <c r="I10" s="17" t="s">
        <v>450</v>
      </c>
      <c r="J10" s="18">
        <v>180</v>
      </c>
      <c r="K10" s="19">
        <f t="shared" si="0"/>
        <v>1495.1970000000001</v>
      </c>
      <c r="L10" s="14"/>
      <c r="M10" s="15">
        <v>137.30000000000001</v>
      </c>
      <c r="N10" s="15">
        <v>10.89</v>
      </c>
    </row>
    <row r="11" spans="1:14" s="15" customFormat="1" ht="20.25" customHeight="1" x14ac:dyDescent="0.15">
      <c r="A11" s="60"/>
      <c r="B11" s="9"/>
      <c r="C11" s="58" t="s">
        <v>29</v>
      </c>
      <c r="D11" s="11" t="s">
        <v>195</v>
      </c>
      <c r="E11" s="10">
        <v>22</v>
      </c>
      <c r="F11" s="58"/>
      <c r="G11" s="12">
        <v>1716</v>
      </c>
      <c r="H11" s="12">
        <v>1817</v>
      </c>
      <c r="I11" s="17" t="s">
        <v>359</v>
      </c>
      <c r="J11" s="18">
        <v>150</v>
      </c>
      <c r="K11" s="19">
        <f t="shared" si="0"/>
        <v>1285.02</v>
      </c>
      <c r="L11" s="14"/>
      <c r="M11" s="15">
        <v>118</v>
      </c>
      <c r="N11" s="15">
        <v>10.89</v>
      </c>
    </row>
    <row r="12" spans="1:14" s="15" customFormat="1" ht="20.25" customHeight="1" x14ac:dyDescent="0.15">
      <c r="A12" s="60" t="s">
        <v>674</v>
      </c>
      <c r="B12" s="9" t="s">
        <v>53</v>
      </c>
      <c r="C12" s="58" t="s">
        <v>29</v>
      </c>
      <c r="D12" s="11" t="s">
        <v>188</v>
      </c>
      <c r="E12" s="10">
        <v>22</v>
      </c>
      <c r="F12" s="58"/>
      <c r="G12" s="12">
        <v>1700</v>
      </c>
      <c r="H12" s="12">
        <v>1810</v>
      </c>
      <c r="I12" s="17" t="s">
        <v>159</v>
      </c>
      <c r="J12" s="18">
        <v>19</v>
      </c>
      <c r="K12" s="19">
        <f t="shared" si="0"/>
        <v>265.82490000000001</v>
      </c>
      <c r="L12" s="14"/>
      <c r="M12" s="15">
        <v>24.41</v>
      </c>
      <c r="N12" s="15">
        <v>10.89</v>
      </c>
    </row>
    <row r="13" spans="1:14" s="15" customFormat="1" ht="20.25" customHeight="1" x14ac:dyDescent="0.15">
      <c r="A13" s="60"/>
      <c r="B13" s="9"/>
      <c r="C13" s="58" t="s">
        <v>29</v>
      </c>
      <c r="D13" s="11" t="s">
        <v>195</v>
      </c>
      <c r="E13" s="10">
        <v>22</v>
      </c>
      <c r="F13" s="58"/>
      <c r="G13" s="12">
        <v>1700</v>
      </c>
      <c r="H13" s="12">
        <v>1810</v>
      </c>
      <c r="I13" s="17" t="s">
        <v>666</v>
      </c>
      <c r="J13" s="18">
        <v>17</v>
      </c>
      <c r="K13" s="19">
        <f t="shared" si="0"/>
        <v>183.93210000000002</v>
      </c>
      <c r="L13" s="14"/>
      <c r="M13" s="15">
        <v>16.89</v>
      </c>
      <c r="N13" s="15">
        <v>10.89</v>
      </c>
    </row>
    <row r="14" spans="1:14" s="15" customFormat="1" ht="20.25" customHeight="1" x14ac:dyDescent="0.15">
      <c r="A14" s="60"/>
      <c r="B14" s="9"/>
      <c r="C14" s="58" t="s">
        <v>273</v>
      </c>
      <c r="D14" s="11" t="s">
        <v>675</v>
      </c>
      <c r="E14" s="10">
        <v>16</v>
      </c>
      <c r="F14" s="58"/>
      <c r="G14" s="12">
        <v>895</v>
      </c>
      <c r="H14" s="12">
        <v>545</v>
      </c>
      <c r="I14" s="17" t="s">
        <v>170</v>
      </c>
      <c r="J14" s="18">
        <v>4</v>
      </c>
      <c r="K14" s="19">
        <f t="shared" si="0"/>
        <v>20.146500000000003</v>
      </c>
      <c r="L14" s="20"/>
      <c r="M14" s="15">
        <v>1.85</v>
      </c>
      <c r="N14" s="15">
        <v>10.89</v>
      </c>
    </row>
    <row r="15" spans="1:14" s="15" customFormat="1" ht="20.25" customHeight="1" x14ac:dyDescent="0.15">
      <c r="A15" s="60" t="s">
        <v>676</v>
      </c>
      <c r="B15" s="9" t="s">
        <v>182</v>
      </c>
      <c r="C15" s="58" t="s">
        <v>29</v>
      </c>
      <c r="D15" s="11" t="s">
        <v>677</v>
      </c>
      <c r="E15" s="10">
        <v>26</v>
      </c>
      <c r="F15" s="58" t="s">
        <v>11</v>
      </c>
      <c r="G15" s="12">
        <v>617</v>
      </c>
      <c r="H15" s="12">
        <v>1515</v>
      </c>
      <c r="I15" s="17" t="s">
        <v>555</v>
      </c>
      <c r="J15" s="18">
        <v>16</v>
      </c>
      <c r="K15" s="19">
        <f t="shared" si="0"/>
        <v>122.62140000000001</v>
      </c>
      <c r="L15" s="20"/>
      <c r="M15" s="15">
        <v>11.26</v>
      </c>
      <c r="N15" s="15">
        <v>10.89</v>
      </c>
    </row>
    <row r="16" spans="1:14" s="15" customFormat="1" ht="20.25" customHeight="1" x14ac:dyDescent="0.15">
      <c r="A16" s="60"/>
      <c r="B16" s="9"/>
      <c r="C16" s="58" t="s">
        <v>29</v>
      </c>
      <c r="D16" s="11" t="s">
        <v>678</v>
      </c>
      <c r="E16" s="10">
        <v>24</v>
      </c>
      <c r="F16" s="58" t="s">
        <v>11</v>
      </c>
      <c r="G16" s="12">
        <v>460</v>
      </c>
      <c r="H16" s="12">
        <v>290</v>
      </c>
      <c r="I16" s="17">
        <v>4</v>
      </c>
      <c r="J16" s="18">
        <v>4</v>
      </c>
      <c r="K16" s="19">
        <f t="shared" si="0"/>
        <v>12.196800000000001</v>
      </c>
      <c r="L16" s="20"/>
      <c r="M16" s="15">
        <v>1.1200000000000001</v>
      </c>
      <c r="N16" s="15">
        <v>10.89</v>
      </c>
    </row>
    <row r="17" spans="1:14" s="15" customFormat="1" ht="20.25" customHeight="1" x14ac:dyDescent="0.15">
      <c r="A17" s="60" t="s">
        <v>679</v>
      </c>
      <c r="B17" s="9" t="s">
        <v>182</v>
      </c>
      <c r="C17" s="58" t="s">
        <v>29</v>
      </c>
      <c r="D17" s="11" t="s">
        <v>678</v>
      </c>
      <c r="E17" s="10">
        <v>24</v>
      </c>
      <c r="F17" s="58" t="s">
        <v>11</v>
      </c>
      <c r="G17" s="12">
        <v>1115</v>
      </c>
      <c r="H17" s="12">
        <v>2715</v>
      </c>
      <c r="I17" s="17" t="s">
        <v>680</v>
      </c>
      <c r="J17" s="18">
        <v>29</v>
      </c>
      <c r="K17" s="19">
        <f t="shared" si="0"/>
        <v>645.55920000000003</v>
      </c>
      <c r="L17" s="20"/>
      <c r="M17" s="15">
        <v>59.28</v>
      </c>
      <c r="N17" s="15">
        <v>10.89</v>
      </c>
    </row>
    <row r="18" spans="1:14" s="15" customFormat="1" ht="20.25" customHeight="1" x14ac:dyDescent="0.15">
      <c r="A18" s="60" t="s">
        <v>681</v>
      </c>
      <c r="B18" s="9" t="s">
        <v>182</v>
      </c>
      <c r="C18" s="58" t="s">
        <v>29</v>
      </c>
      <c r="D18" s="11" t="s">
        <v>677</v>
      </c>
      <c r="E18" s="10">
        <v>26</v>
      </c>
      <c r="F18" s="58" t="s">
        <v>11</v>
      </c>
      <c r="G18" s="12">
        <v>810</v>
      </c>
      <c r="H18" s="12">
        <v>1367</v>
      </c>
      <c r="I18" s="17" t="s">
        <v>682</v>
      </c>
      <c r="J18" s="18">
        <v>64</v>
      </c>
      <c r="K18" s="19">
        <f t="shared" si="0"/>
        <v>470.99250000000001</v>
      </c>
      <c r="L18" s="20"/>
      <c r="M18" s="15">
        <v>43.25</v>
      </c>
      <c r="N18" s="15">
        <v>10.89</v>
      </c>
    </row>
    <row r="19" spans="1:14" s="15" customFormat="1" ht="20.25" customHeight="1" x14ac:dyDescent="0.15">
      <c r="A19" s="60" t="s">
        <v>683</v>
      </c>
      <c r="B19" s="9" t="s">
        <v>37</v>
      </c>
      <c r="C19" s="58" t="s">
        <v>29</v>
      </c>
      <c r="D19" s="11" t="s">
        <v>684</v>
      </c>
      <c r="E19" s="10">
        <v>22</v>
      </c>
      <c r="F19" s="58"/>
      <c r="G19" s="12">
        <v>733</v>
      </c>
      <c r="H19" s="12">
        <v>1210</v>
      </c>
      <c r="I19" s="17" t="s">
        <v>577</v>
      </c>
      <c r="J19" s="18">
        <v>3</v>
      </c>
      <c r="K19" s="19">
        <f t="shared" si="0"/>
        <v>35.719200000000001</v>
      </c>
      <c r="L19" s="20"/>
      <c r="M19" s="15">
        <v>3.28</v>
      </c>
      <c r="N19" s="15">
        <v>10.89</v>
      </c>
    </row>
    <row r="20" spans="1:14" s="15" customFormat="1" ht="20.25" customHeight="1" x14ac:dyDescent="0.15">
      <c r="A20" s="60" t="s">
        <v>685</v>
      </c>
      <c r="B20" s="9" t="s">
        <v>138</v>
      </c>
      <c r="C20" s="58" t="s">
        <v>29</v>
      </c>
      <c r="D20" s="11" t="s">
        <v>372</v>
      </c>
      <c r="E20" s="10">
        <v>24</v>
      </c>
      <c r="F20" s="58"/>
      <c r="G20" s="12">
        <v>775</v>
      </c>
      <c r="H20" s="12">
        <v>1890</v>
      </c>
      <c r="I20" s="17" t="s">
        <v>686</v>
      </c>
      <c r="J20" s="18">
        <v>9</v>
      </c>
      <c r="K20" s="19">
        <f t="shared" si="0"/>
        <v>142.98570000000001</v>
      </c>
      <c r="L20" s="20"/>
      <c r="M20" s="15">
        <v>13.13</v>
      </c>
      <c r="N20" s="15">
        <v>10.89</v>
      </c>
    </row>
    <row r="21" spans="1:14" s="15" customFormat="1" ht="20.25" customHeight="1" x14ac:dyDescent="0.15">
      <c r="A21" s="60"/>
      <c r="B21" s="9"/>
      <c r="C21" s="58" t="s">
        <v>29</v>
      </c>
      <c r="D21" s="11" t="s">
        <v>336</v>
      </c>
      <c r="E21" s="10">
        <v>24</v>
      </c>
      <c r="F21" s="58"/>
      <c r="G21" s="50">
        <v>775</v>
      </c>
      <c r="H21" s="50">
        <v>1890</v>
      </c>
      <c r="I21" s="17" t="s">
        <v>687</v>
      </c>
      <c r="J21" s="18">
        <v>10</v>
      </c>
      <c r="K21" s="19">
        <f t="shared" si="0"/>
        <v>199.7226</v>
      </c>
      <c r="L21" s="14"/>
      <c r="M21" s="15">
        <v>18.34</v>
      </c>
      <c r="N21" s="15">
        <v>10.89</v>
      </c>
    </row>
    <row r="22" spans="1:14" ht="20.25" customHeight="1" x14ac:dyDescent="0.15">
      <c r="A22" s="61" t="s">
        <v>654</v>
      </c>
      <c r="B22" s="9" t="s">
        <v>138</v>
      </c>
      <c r="C22" s="58" t="s">
        <v>29</v>
      </c>
      <c r="D22" s="11" t="s">
        <v>336</v>
      </c>
      <c r="E22" s="10">
        <v>24</v>
      </c>
      <c r="F22" s="58"/>
      <c r="G22" s="12">
        <v>618</v>
      </c>
      <c r="H22" s="12">
        <v>690</v>
      </c>
      <c r="I22" s="17">
        <v>2</v>
      </c>
      <c r="J22" s="18">
        <v>2</v>
      </c>
      <c r="K22" s="19">
        <f t="shared" si="0"/>
        <v>9.3654000000000011</v>
      </c>
      <c r="L22" s="54"/>
      <c r="M22" s="3">
        <v>0.86</v>
      </c>
      <c r="N22" s="15">
        <v>10.89</v>
      </c>
    </row>
    <row r="23" spans="1:14" ht="20.25" customHeight="1" x14ac:dyDescent="0.15">
      <c r="A23" s="61" t="s">
        <v>688</v>
      </c>
      <c r="B23" s="9" t="s">
        <v>268</v>
      </c>
      <c r="C23" s="58" t="s">
        <v>273</v>
      </c>
      <c r="D23" s="11" t="s">
        <v>383</v>
      </c>
      <c r="E23" s="10">
        <v>16</v>
      </c>
      <c r="F23" s="10"/>
      <c r="G23" s="12">
        <v>626</v>
      </c>
      <c r="H23" s="12">
        <v>1193</v>
      </c>
      <c r="I23" s="17" t="s">
        <v>577</v>
      </c>
      <c r="J23" s="18">
        <v>3</v>
      </c>
      <c r="K23" s="19">
        <f t="shared" si="0"/>
        <v>24.393600000000003</v>
      </c>
      <c r="L23" s="54"/>
      <c r="M23" s="3">
        <v>2.2400000000000002</v>
      </c>
      <c r="N23" s="15">
        <v>10.89</v>
      </c>
    </row>
    <row r="24" spans="1:14" ht="20.25" customHeight="1" x14ac:dyDescent="0.15">
      <c r="A24" s="61" t="s">
        <v>689</v>
      </c>
      <c r="B24" s="9" t="s">
        <v>690</v>
      </c>
      <c r="C24" s="58" t="s">
        <v>231</v>
      </c>
      <c r="D24" s="11" t="s">
        <v>691</v>
      </c>
      <c r="E24" s="10">
        <v>24</v>
      </c>
      <c r="F24" s="10"/>
      <c r="G24" s="12">
        <v>786</v>
      </c>
      <c r="H24" s="12">
        <v>1640</v>
      </c>
      <c r="I24" s="51">
        <v>2</v>
      </c>
      <c r="J24" s="52">
        <v>2</v>
      </c>
      <c r="K24" s="53">
        <f t="shared" si="0"/>
        <v>28.096200000000003</v>
      </c>
      <c r="L24" s="54"/>
      <c r="M24" s="3">
        <v>2.58</v>
      </c>
      <c r="N24" s="15">
        <v>10.89</v>
      </c>
    </row>
    <row r="25" spans="1:14" s="15" customFormat="1" ht="20.25" customHeight="1" x14ac:dyDescent="0.15">
      <c r="A25" s="60"/>
      <c r="B25" s="9"/>
      <c r="C25" s="58" t="s">
        <v>273</v>
      </c>
      <c r="D25" s="11" t="s">
        <v>383</v>
      </c>
      <c r="E25" s="10">
        <v>16</v>
      </c>
      <c r="F25" s="58"/>
      <c r="G25" s="50">
        <v>895</v>
      </c>
      <c r="H25" s="50">
        <v>1155</v>
      </c>
      <c r="I25" s="17" t="s">
        <v>692</v>
      </c>
      <c r="J25" s="18">
        <v>5</v>
      </c>
      <c r="K25" s="19">
        <f t="shared" si="0"/>
        <v>54.45</v>
      </c>
      <c r="L25" s="20"/>
      <c r="M25" s="15">
        <v>5</v>
      </c>
      <c r="N25" s="15">
        <v>10.89</v>
      </c>
    </row>
    <row r="26" spans="1:14" ht="20.25" customHeight="1" x14ac:dyDescent="0.15">
      <c r="A26" s="60"/>
      <c r="B26" s="9"/>
      <c r="C26" s="58"/>
      <c r="D26" s="11"/>
      <c r="E26" s="10"/>
      <c r="F26" s="58"/>
      <c r="G26" s="16"/>
      <c r="H26" s="16"/>
      <c r="I26" s="17"/>
      <c r="J26" s="18"/>
      <c r="K26" s="19">
        <f t="shared" si="0"/>
        <v>0</v>
      </c>
      <c r="L26" s="20"/>
      <c r="N26" s="15">
        <v>10.89</v>
      </c>
    </row>
    <row r="27" spans="1:14" ht="20.25" customHeight="1" thickBot="1" x14ac:dyDescent="0.2">
      <c r="A27" s="56"/>
      <c r="B27" s="21"/>
      <c r="C27" s="59"/>
      <c r="D27" s="22"/>
      <c r="E27" s="23"/>
      <c r="F27" s="23"/>
      <c r="G27" s="24"/>
      <c r="H27" s="24"/>
      <c r="I27" s="25"/>
      <c r="J27" s="46">
        <f>SUM(J8:J26)</f>
        <v>638</v>
      </c>
      <c r="K27" s="47">
        <f>SUM(K8:K26)</f>
        <v>5695.361100000001</v>
      </c>
      <c r="L27" s="26"/>
    </row>
    <row r="28" spans="1:14" ht="20.25" customHeight="1" thickTop="1" x14ac:dyDescent="0.15">
      <c r="A28" s="60" t="s">
        <v>693</v>
      </c>
      <c r="B28" s="9" t="s">
        <v>101</v>
      </c>
      <c r="C28" s="58" t="s">
        <v>29</v>
      </c>
      <c r="D28" s="11" t="s">
        <v>694</v>
      </c>
      <c r="E28" s="10">
        <v>24</v>
      </c>
      <c r="F28" s="10" t="s">
        <v>11</v>
      </c>
      <c r="G28" s="12">
        <v>1075</v>
      </c>
      <c r="H28" s="12">
        <v>2280</v>
      </c>
      <c r="I28" s="17" t="s">
        <v>695</v>
      </c>
      <c r="J28" s="18">
        <v>25</v>
      </c>
      <c r="K28" s="19">
        <f t="shared" ref="K28:K43" si="1">+M28*N28</f>
        <v>215.9487</v>
      </c>
      <c r="L28" s="54"/>
      <c r="M28" s="3">
        <v>19.829999999999998</v>
      </c>
      <c r="N28" s="15">
        <v>10.89</v>
      </c>
    </row>
    <row r="29" spans="1:14" ht="20.25" customHeight="1" x14ac:dyDescent="0.15">
      <c r="A29" s="60" t="s">
        <v>696</v>
      </c>
      <c r="B29" s="9" t="s">
        <v>186</v>
      </c>
      <c r="C29" s="58" t="s">
        <v>29</v>
      </c>
      <c r="D29" s="11" t="s">
        <v>310</v>
      </c>
      <c r="E29" s="10">
        <v>24</v>
      </c>
      <c r="F29" s="10" t="s">
        <v>11</v>
      </c>
      <c r="G29" s="12">
        <v>975</v>
      </c>
      <c r="H29" s="12">
        <v>2365</v>
      </c>
      <c r="I29" s="17" t="s">
        <v>697</v>
      </c>
      <c r="J29" s="18">
        <v>48</v>
      </c>
      <c r="K29" s="19">
        <f t="shared" si="1"/>
        <v>429.17489999999998</v>
      </c>
      <c r="L29" s="54"/>
      <c r="M29" s="3">
        <v>39.409999999999997</v>
      </c>
      <c r="N29" s="15">
        <v>10.89</v>
      </c>
    </row>
    <row r="30" spans="1:14" ht="20.25" customHeight="1" x14ac:dyDescent="0.15">
      <c r="A30" s="61" t="s">
        <v>698</v>
      </c>
      <c r="B30" s="9" t="s">
        <v>186</v>
      </c>
      <c r="C30" s="58" t="s">
        <v>29</v>
      </c>
      <c r="D30" s="11" t="s">
        <v>310</v>
      </c>
      <c r="E30" s="10">
        <v>24</v>
      </c>
      <c r="F30" s="10" t="s">
        <v>11</v>
      </c>
      <c r="G30" s="12">
        <v>1000</v>
      </c>
      <c r="H30" s="12">
        <v>3160</v>
      </c>
      <c r="I30" s="17" t="s">
        <v>699</v>
      </c>
      <c r="J30" s="18">
        <v>186</v>
      </c>
      <c r="K30" s="19">
        <f t="shared" si="1"/>
        <v>2049.1713</v>
      </c>
      <c r="L30" s="54"/>
      <c r="M30" s="3">
        <v>188.17</v>
      </c>
      <c r="N30" s="15">
        <v>10.89</v>
      </c>
    </row>
    <row r="31" spans="1:14" ht="20.25" customHeight="1" x14ac:dyDescent="0.15">
      <c r="A31" s="61" t="s">
        <v>701</v>
      </c>
      <c r="B31" s="9" t="s">
        <v>186</v>
      </c>
      <c r="C31" s="58" t="s">
        <v>29</v>
      </c>
      <c r="D31" s="11" t="s">
        <v>310</v>
      </c>
      <c r="E31" s="10">
        <v>24</v>
      </c>
      <c r="F31" s="10" t="s">
        <v>11</v>
      </c>
      <c r="G31" s="12">
        <v>1435</v>
      </c>
      <c r="H31" s="12">
        <v>1405</v>
      </c>
      <c r="I31" s="17" t="s">
        <v>702</v>
      </c>
      <c r="J31" s="18">
        <v>65</v>
      </c>
      <c r="K31" s="19">
        <f t="shared" si="1"/>
        <v>1078.5456000000001</v>
      </c>
      <c r="L31" s="54"/>
      <c r="M31" s="3">
        <v>99.04</v>
      </c>
      <c r="N31" s="15">
        <v>10.89</v>
      </c>
    </row>
    <row r="32" spans="1:14" ht="20.25" customHeight="1" x14ac:dyDescent="0.15">
      <c r="A32" s="61" t="s">
        <v>667</v>
      </c>
      <c r="B32" s="9" t="s">
        <v>178</v>
      </c>
      <c r="C32" s="58" t="s">
        <v>29</v>
      </c>
      <c r="D32" s="11" t="s">
        <v>247</v>
      </c>
      <c r="E32" s="10">
        <v>24</v>
      </c>
      <c r="F32" s="10" t="s">
        <v>11</v>
      </c>
      <c r="G32" s="12">
        <v>1055</v>
      </c>
      <c r="H32" s="12">
        <v>1955</v>
      </c>
      <c r="I32" s="17" t="s">
        <v>703</v>
      </c>
      <c r="J32" s="18">
        <v>84</v>
      </c>
      <c r="K32" s="19">
        <f t="shared" si="1"/>
        <v>946.44989999999996</v>
      </c>
      <c r="L32" s="54"/>
      <c r="M32" s="3">
        <v>86.91</v>
      </c>
      <c r="N32" s="15">
        <v>10.89</v>
      </c>
    </row>
    <row r="33" spans="1:14" ht="20.25" customHeight="1" x14ac:dyDescent="0.15">
      <c r="A33" s="61" t="s">
        <v>704</v>
      </c>
      <c r="B33" s="9" t="s">
        <v>181</v>
      </c>
      <c r="C33" s="58" t="s">
        <v>29</v>
      </c>
      <c r="D33" s="11" t="s">
        <v>677</v>
      </c>
      <c r="E33" s="10">
        <v>26</v>
      </c>
      <c r="F33" s="10" t="s">
        <v>11</v>
      </c>
      <c r="G33" s="12">
        <v>2023</v>
      </c>
      <c r="H33" s="12">
        <v>296</v>
      </c>
      <c r="I33" s="51" t="s">
        <v>659</v>
      </c>
      <c r="J33" s="52">
        <v>5</v>
      </c>
      <c r="K33" s="53">
        <f t="shared" si="1"/>
        <v>118.2654</v>
      </c>
      <c r="L33" s="54"/>
      <c r="M33" s="3">
        <v>10.86</v>
      </c>
      <c r="N33" s="15">
        <v>10.89</v>
      </c>
    </row>
    <row r="34" spans="1:14" ht="20.25" customHeight="1" x14ac:dyDescent="0.15">
      <c r="A34" s="61" t="s">
        <v>705</v>
      </c>
      <c r="B34" s="9" t="s">
        <v>54</v>
      </c>
      <c r="C34" s="58" t="s">
        <v>29</v>
      </c>
      <c r="D34" s="11" t="s">
        <v>706</v>
      </c>
      <c r="E34" s="10">
        <v>28</v>
      </c>
      <c r="F34" s="10" t="s">
        <v>11</v>
      </c>
      <c r="G34" s="12">
        <v>1185</v>
      </c>
      <c r="H34" s="12">
        <v>1705</v>
      </c>
      <c r="I34" s="51">
        <v>1</v>
      </c>
      <c r="J34" s="52">
        <v>1</v>
      </c>
      <c r="K34" s="53">
        <f t="shared" si="1"/>
        <v>21.997800000000002</v>
      </c>
      <c r="L34" s="54"/>
      <c r="M34" s="3">
        <v>2.02</v>
      </c>
      <c r="N34" s="15">
        <v>10.89</v>
      </c>
    </row>
    <row r="35" spans="1:14" ht="20.25" hidden="1" customHeight="1" x14ac:dyDescent="0.15">
      <c r="A35" s="60"/>
      <c r="B35" s="9"/>
      <c r="C35" s="58"/>
      <c r="D35" s="11"/>
      <c r="E35" s="10"/>
      <c r="F35" s="10"/>
      <c r="G35" s="12"/>
      <c r="H35" s="12"/>
      <c r="I35" s="17"/>
      <c r="J35" s="18"/>
      <c r="K35" s="19">
        <f t="shared" si="1"/>
        <v>0</v>
      </c>
      <c r="L35" s="27"/>
      <c r="N35" s="15">
        <v>10.89</v>
      </c>
    </row>
    <row r="36" spans="1:14" ht="20.25" hidden="1" customHeight="1" x14ac:dyDescent="0.15">
      <c r="A36" s="60"/>
      <c r="B36" s="9"/>
      <c r="C36" s="58"/>
      <c r="D36" s="11"/>
      <c r="E36" s="10"/>
      <c r="F36" s="10"/>
      <c r="G36" s="12"/>
      <c r="H36" s="12"/>
      <c r="I36" s="17"/>
      <c r="J36" s="18"/>
      <c r="K36" s="19">
        <f t="shared" si="1"/>
        <v>0</v>
      </c>
      <c r="L36" s="27"/>
      <c r="N36" s="15">
        <v>10.89</v>
      </c>
    </row>
    <row r="37" spans="1:14" ht="20.25" hidden="1" customHeight="1" x14ac:dyDescent="0.15">
      <c r="A37" s="60"/>
      <c r="B37" s="9"/>
      <c r="C37" s="58"/>
      <c r="D37" s="11"/>
      <c r="E37" s="10"/>
      <c r="F37" s="10"/>
      <c r="G37" s="12"/>
      <c r="H37" s="12"/>
      <c r="I37" s="17"/>
      <c r="J37" s="18"/>
      <c r="K37" s="19">
        <f t="shared" si="1"/>
        <v>0</v>
      </c>
      <c r="L37" s="27"/>
      <c r="N37" s="15">
        <v>10.89</v>
      </c>
    </row>
    <row r="38" spans="1:14" ht="20.25" hidden="1" customHeight="1" x14ac:dyDescent="0.15">
      <c r="A38" s="60"/>
      <c r="B38" s="9"/>
      <c r="C38" s="58"/>
      <c r="D38" s="11"/>
      <c r="E38" s="10"/>
      <c r="F38" s="10"/>
      <c r="G38" s="12"/>
      <c r="H38" s="12"/>
      <c r="I38" s="17"/>
      <c r="J38" s="18"/>
      <c r="K38" s="19">
        <f t="shared" si="1"/>
        <v>0</v>
      </c>
      <c r="L38" s="27"/>
      <c r="N38" s="15">
        <v>10.89</v>
      </c>
    </row>
    <row r="39" spans="1:14" ht="20.25" customHeight="1" x14ac:dyDescent="0.15">
      <c r="A39" s="60"/>
      <c r="B39" s="9"/>
      <c r="C39" s="58"/>
      <c r="D39" s="11"/>
      <c r="E39" s="10"/>
      <c r="F39" s="10"/>
      <c r="G39" s="12"/>
      <c r="H39" s="12"/>
      <c r="I39" s="17"/>
      <c r="J39" s="18"/>
      <c r="K39" s="19">
        <f t="shared" si="1"/>
        <v>0</v>
      </c>
      <c r="L39" s="27"/>
      <c r="N39" s="15">
        <v>10.89</v>
      </c>
    </row>
    <row r="40" spans="1:14" ht="20.25" customHeight="1" x14ac:dyDescent="0.15">
      <c r="A40" s="60"/>
      <c r="B40" s="9"/>
      <c r="C40" s="58"/>
      <c r="D40" s="11"/>
      <c r="E40" s="10"/>
      <c r="F40" s="10"/>
      <c r="G40" s="12"/>
      <c r="H40" s="12"/>
      <c r="I40" s="17"/>
      <c r="J40" s="18"/>
      <c r="K40" s="19">
        <f t="shared" si="1"/>
        <v>0</v>
      </c>
      <c r="L40" s="27"/>
      <c r="N40" s="15">
        <v>10.89</v>
      </c>
    </row>
    <row r="41" spans="1:14" ht="20.25" customHeight="1" x14ac:dyDescent="0.15">
      <c r="A41" s="60"/>
      <c r="B41" s="9"/>
      <c r="C41" s="58"/>
      <c r="D41" s="11"/>
      <c r="E41" s="10"/>
      <c r="F41" s="10"/>
      <c r="G41" s="12"/>
      <c r="H41" s="12"/>
      <c r="I41" s="17"/>
      <c r="J41" s="18"/>
      <c r="K41" s="19">
        <f t="shared" si="1"/>
        <v>0</v>
      </c>
      <c r="L41" s="27"/>
      <c r="N41" s="15">
        <v>10.89</v>
      </c>
    </row>
    <row r="42" spans="1:14" ht="20.25" customHeight="1" x14ac:dyDescent="0.15">
      <c r="A42" s="60"/>
      <c r="B42" s="9"/>
      <c r="C42" s="58"/>
      <c r="D42" s="11"/>
      <c r="E42" s="10"/>
      <c r="F42" s="10"/>
      <c r="G42" s="12"/>
      <c r="H42" s="12"/>
      <c r="I42" s="17"/>
      <c r="J42" s="18"/>
      <c r="K42" s="19">
        <f t="shared" si="1"/>
        <v>0</v>
      </c>
      <c r="L42" s="27"/>
      <c r="N42" s="15">
        <v>10.89</v>
      </c>
    </row>
    <row r="43" spans="1:14" ht="20.25" customHeight="1" x14ac:dyDescent="0.15">
      <c r="A43" s="60"/>
      <c r="B43" s="9"/>
      <c r="C43" s="58"/>
      <c r="D43" s="11"/>
      <c r="E43" s="10"/>
      <c r="F43" s="10"/>
      <c r="G43" s="12"/>
      <c r="H43" s="12"/>
      <c r="I43" s="17"/>
      <c r="J43" s="18"/>
      <c r="K43" s="19">
        <f t="shared" si="1"/>
        <v>0</v>
      </c>
      <c r="L43" s="27"/>
      <c r="N43" s="15">
        <v>10.89</v>
      </c>
    </row>
    <row r="44" spans="1:14" ht="20.25" customHeight="1" x14ac:dyDescent="0.15">
      <c r="A44" s="57"/>
      <c r="B44" s="28"/>
      <c r="C44" s="10"/>
      <c r="D44" s="29"/>
      <c r="E44" s="30"/>
      <c r="F44" s="30"/>
      <c r="G44" s="30"/>
      <c r="H44" s="30"/>
      <c r="I44" s="13"/>
      <c r="J44" s="48">
        <f>SUM(J28:J43)</f>
        <v>414</v>
      </c>
      <c r="K44" s="49">
        <f>SUM(K28:K43)</f>
        <v>4859.5536000000002</v>
      </c>
      <c r="L44" s="31"/>
      <c r="N44" s="32"/>
    </row>
    <row r="45" spans="1:14" ht="20.25" customHeight="1" thickBot="1" x14ac:dyDescent="0.2">
      <c r="A45" s="55"/>
      <c r="B45" s="33"/>
      <c r="C45" s="33"/>
      <c r="D45" s="33"/>
      <c r="E45" s="33"/>
      <c r="F45" s="33"/>
      <c r="G45" s="33"/>
      <c r="H45" s="33"/>
      <c r="I45" s="33"/>
      <c r="J45" s="34"/>
      <c r="K45" s="35"/>
      <c r="L45" s="36"/>
    </row>
    <row r="46" spans="1:14" ht="20.25" customHeight="1" thickBot="1" x14ac:dyDescent="0.2">
      <c r="A46" s="37" t="s">
        <v>19</v>
      </c>
      <c r="B46" s="38" t="s">
        <v>20</v>
      </c>
      <c r="C46" s="77" t="s">
        <v>21</v>
      </c>
      <c r="D46" s="79"/>
      <c r="E46" s="77" t="s">
        <v>22</v>
      </c>
      <c r="F46" s="78"/>
      <c r="G46" s="79"/>
      <c r="H46" s="85" t="s">
        <v>23</v>
      </c>
      <c r="I46" s="86"/>
      <c r="J46" s="77" t="s">
        <v>24</v>
      </c>
      <c r="K46" s="79"/>
      <c r="L46" s="39" t="s">
        <v>13</v>
      </c>
    </row>
    <row r="47" spans="1:14" ht="20.25" customHeight="1" thickBot="1" x14ac:dyDescent="0.2">
      <c r="A47" s="40">
        <f>SUMIF($C$8:$C$45,"U1",$J$8:$J$45)</f>
        <v>12</v>
      </c>
      <c r="B47" s="41">
        <f>SUMIF($C$8:$C$45,"U2",$J$8:$J$45)</f>
        <v>2</v>
      </c>
      <c r="C47" s="77">
        <f>SUMIF($C$8:$C$45,"U3-1",$J$8:$J$45)</f>
        <v>0</v>
      </c>
      <c r="D47" s="79"/>
      <c r="E47" s="77">
        <f>SUMIF($C$8:$C$45,"U3",$J$8:$J$45)</f>
        <v>1038</v>
      </c>
      <c r="F47" s="78"/>
      <c r="G47" s="79"/>
      <c r="H47" s="77">
        <f>SUMIF($C$8:$C$45,"E5",$J$8:$J$45)</f>
        <v>0</v>
      </c>
      <c r="I47" s="79"/>
      <c r="J47" s="77">
        <f>SUM(A47:I47)</f>
        <v>1052</v>
      </c>
      <c r="K47" s="79"/>
      <c r="L47" s="42"/>
    </row>
    <row r="48" spans="1:14" ht="20.25" customHeight="1" thickBot="1" x14ac:dyDescent="0.2">
      <c r="A48" s="43" t="s">
        <v>25</v>
      </c>
      <c r="B48" s="44" t="s">
        <v>26</v>
      </c>
      <c r="C48" s="75">
        <v>13876</v>
      </c>
      <c r="D48" s="76"/>
      <c r="E48" s="77" t="s">
        <v>27</v>
      </c>
      <c r="F48" s="78"/>
      <c r="G48" s="78"/>
      <c r="H48" s="78"/>
      <c r="I48" s="79"/>
      <c r="J48" s="80">
        <v>146744.37</v>
      </c>
      <c r="K48" s="81"/>
      <c r="L48" s="82"/>
    </row>
    <row r="50" spans="4:4" x14ac:dyDescent="0.15">
      <c r="D50" s="45"/>
    </row>
  </sheetData>
  <mergeCells count="26">
    <mergeCell ref="L2:L4"/>
    <mergeCell ref="A1:G3"/>
    <mergeCell ref="H1:H4"/>
    <mergeCell ref="I2:I4"/>
    <mergeCell ref="J2:J4"/>
    <mergeCell ref="K2:K4"/>
    <mergeCell ref="B5:G5"/>
    <mergeCell ref="A6:A7"/>
    <mergeCell ref="B6:B7"/>
    <mergeCell ref="C6:C7"/>
    <mergeCell ref="D6:D7"/>
    <mergeCell ref="E6:E7"/>
    <mergeCell ref="F6:F7"/>
    <mergeCell ref="G6:K6"/>
    <mergeCell ref="C48:D48"/>
    <mergeCell ref="E48:I48"/>
    <mergeCell ref="J48:L48"/>
    <mergeCell ref="L6:L7"/>
    <mergeCell ref="C46:D46"/>
    <mergeCell ref="E46:G46"/>
    <mergeCell ref="H46:I46"/>
    <mergeCell ref="J46:K46"/>
    <mergeCell ref="C47:D47"/>
    <mergeCell ref="E47:G47"/>
    <mergeCell ref="H47:I47"/>
    <mergeCell ref="J47:K47"/>
  </mergeCells>
  <phoneticPr fontId="2" type="noConversion"/>
  <printOptions horizontalCentered="1"/>
  <pageMargins left="0.39370078740157483" right="0.39370078740157483" top="0.74803149606299213" bottom="0.19685039370078741" header="0.31496062992125984" footer="0.15748031496062992"/>
  <pageSetup paperSize="9" scale="84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N47"/>
  <sheetViews>
    <sheetView view="pageBreakPreview" topLeftCell="A7" zoomScaleSheetLayoutView="100" workbookViewId="0">
      <selection activeCell="B25" sqref="B25"/>
    </sheetView>
  </sheetViews>
  <sheetFormatPr defaultColWidth="8.88671875" defaultRowHeight="13.5" x14ac:dyDescent="0.15"/>
  <cols>
    <col min="1" max="1" width="8.44140625" style="3" customWidth="1"/>
    <col min="2" max="2" width="14.77734375" style="3" customWidth="1"/>
    <col min="3" max="3" width="4.109375" style="3" customWidth="1"/>
    <col min="4" max="4" width="15.21875" style="3" customWidth="1"/>
    <col min="5" max="5" width="4.44140625" style="3" customWidth="1"/>
    <col min="6" max="6" width="4" style="3" customWidth="1"/>
    <col min="7" max="7" width="5.5546875" style="3" customWidth="1"/>
    <col min="8" max="8" width="5.44140625" style="3" customWidth="1"/>
    <col min="9" max="9" width="7.88671875" style="3" customWidth="1"/>
    <col min="10" max="10" width="7.109375" style="3" customWidth="1"/>
    <col min="11" max="11" width="7.21875" style="3" customWidth="1"/>
    <col min="12" max="12" width="6.77734375" style="3" customWidth="1"/>
    <col min="13" max="16384" width="8.88671875" style="3"/>
  </cols>
  <sheetData>
    <row r="1" spans="1:14" ht="18.75" customHeight="1" x14ac:dyDescent="0.15">
      <c r="A1" s="101" t="s">
        <v>0</v>
      </c>
      <c r="B1" s="102"/>
      <c r="C1" s="102"/>
      <c r="D1" s="102"/>
      <c r="E1" s="102"/>
      <c r="F1" s="102"/>
      <c r="G1" s="103"/>
      <c r="H1" s="107" t="s">
        <v>1</v>
      </c>
      <c r="I1" s="1" t="s">
        <v>2</v>
      </c>
      <c r="J1" s="1" t="s">
        <v>2</v>
      </c>
      <c r="K1" s="1" t="s">
        <v>3</v>
      </c>
      <c r="L1" s="2" t="s">
        <v>4</v>
      </c>
    </row>
    <row r="2" spans="1:14" ht="13.5" customHeight="1" x14ac:dyDescent="0.15">
      <c r="A2" s="104"/>
      <c r="B2" s="105"/>
      <c r="C2" s="105"/>
      <c r="D2" s="105"/>
      <c r="E2" s="105"/>
      <c r="F2" s="105"/>
      <c r="G2" s="106"/>
      <c r="H2" s="108"/>
      <c r="I2" s="110"/>
      <c r="J2" s="110"/>
      <c r="K2" s="110"/>
      <c r="L2" s="98"/>
    </row>
    <row r="3" spans="1:14" ht="13.5" customHeight="1" x14ac:dyDescent="0.15">
      <c r="A3" s="104"/>
      <c r="B3" s="105"/>
      <c r="C3" s="105"/>
      <c r="D3" s="105"/>
      <c r="E3" s="105"/>
      <c r="F3" s="105"/>
      <c r="G3" s="106"/>
      <c r="H3" s="108"/>
      <c r="I3" s="108"/>
      <c r="J3" s="108"/>
      <c r="K3" s="108"/>
      <c r="L3" s="99"/>
    </row>
    <row r="4" spans="1:14" ht="33" customHeight="1" x14ac:dyDescent="0.15">
      <c r="A4" s="4"/>
      <c r="B4" s="5"/>
      <c r="C4" s="5"/>
      <c r="D4" s="5"/>
      <c r="E4" s="5"/>
      <c r="F4" s="5"/>
      <c r="G4" s="5"/>
      <c r="H4" s="109"/>
      <c r="I4" s="109"/>
      <c r="J4" s="109"/>
      <c r="K4" s="109"/>
      <c r="L4" s="100"/>
    </row>
    <row r="5" spans="1:14" ht="17.25" customHeight="1" x14ac:dyDescent="0.15">
      <c r="A5" s="6" t="s">
        <v>5</v>
      </c>
      <c r="B5" s="87">
        <v>46046</v>
      </c>
      <c r="C5" s="88"/>
      <c r="D5" s="88"/>
      <c r="E5" s="88"/>
      <c r="F5" s="88"/>
      <c r="G5" s="88"/>
      <c r="H5" s="5"/>
      <c r="I5" s="5"/>
      <c r="J5" s="5"/>
      <c r="K5" s="5"/>
      <c r="L5" s="7"/>
    </row>
    <row r="6" spans="1:14" ht="13.5" customHeight="1" x14ac:dyDescent="0.15">
      <c r="A6" s="89" t="s">
        <v>6</v>
      </c>
      <c r="B6" s="91" t="s">
        <v>7</v>
      </c>
      <c r="C6" s="91" t="s">
        <v>8</v>
      </c>
      <c r="D6" s="91" t="s">
        <v>9</v>
      </c>
      <c r="E6" s="93" t="s">
        <v>10</v>
      </c>
      <c r="F6" s="93" t="s">
        <v>11</v>
      </c>
      <c r="G6" s="95" t="s">
        <v>12</v>
      </c>
      <c r="H6" s="96"/>
      <c r="I6" s="96"/>
      <c r="J6" s="96"/>
      <c r="K6" s="97"/>
      <c r="L6" s="83" t="s">
        <v>13</v>
      </c>
    </row>
    <row r="7" spans="1:14" x14ac:dyDescent="0.15">
      <c r="A7" s="90"/>
      <c r="B7" s="92"/>
      <c r="C7" s="92"/>
      <c r="D7" s="92"/>
      <c r="E7" s="94"/>
      <c r="F7" s="94"/>
      <c r="G7" s="8" t="s">
        <v>14</v>
      </c>
      <c r="H7" s="8" t="s">
        <v>15</v>
      </c>
      <c r="I7" s="8" t="s">
        <v>16</v>
      </c>
      <c r="J7" s="8" t="s">
        <v>17</v>
      </c>
      <c r="K7" s="8" t="s">
        <v>18</v>
      </c>
      <c r="L7" s="84"/>
    </row>
    <row r="8" spans="1:14" s="15" customFormat="1" ht="20.25" customHeight="1" x14ac:dyDescent="0.15">
      <c r="A8" s="60" t="s">
        <v>707</v>
      </c>
      <c r="B8" s="9" t="s">
        <v>173</v>
      </c>
      <c r="C8" s="58" t="s">
        <v>29</v>
      </c>
      <c r="D8" s="11" t="s">
        <v>195</v>
      </c>
      <c r="E8" s="10">
        <v>22</v>
      </c>
      <c r="F8" s="58"/>
      <c r="G8" s="12">
        <v>954</v>
      </c>
      <c r="H8" s="12">
        <v>1967</v>
      </c>
      <c r="I8" s="17" t="s">
        <v>708</v>
      </c>
      <c r="J8" s="18">
        <v>105</v>
      </c>
      <c r="K8" s="19">
        <f>+M8*N8</f>
        <v>1036.7280000000001</v>
      </c>
      <c r="L8" s="14"/>
      <c r="M8" s="15">
        <v>95.2</v>
      </c>
      <c r="N8" s="15">
        <v>10.89</v>
      </c>
    </row>
    <row r="9" spans="1:14" s="15" customFormat="1" ht="20.25" customHeight="1" x14ac:dyDescent="0.15">
      <c r="A9" s="60" t="s">
        <v>709</v>
      </c>
      <c r="B9" s="9" t="s">
        <v>173</v>
      </c>
      <c r="C9" s="58" t="s">
        <v>29</v>
      </c>
      <c r="D9" s="11" t="s">
        <v>195</v>
      </c>
      <c r="E9" s="10">
        <v>22</v>
      </c>
      <c r="F9" s="58"/>
      <c r="G9" s="12">
        <v>954</v>
      </c>
      <c r="H9" s="12">
        <v>1967</v>
      </c>
      <c r="I9" s="17" t="s">
        <v>710</v>
      </c>
      <c r="J9" s="18">
        <v>27</v>
      </c>
      <c r="K9" s="19">
        <f t="shared" ref="K9:K23" si="0">+M9*N9</f>
        <v>639.02520000000004</v>
      </c>
      <c r="L9" s="14"/>
      <c r="M9" s="15">
        <v>58.68</v>
      </c>
      <c r="N9" s="15">
        <v>10.89</v>
      </c>
    </row>
    <row r="10" spans="1:14" s="15" customFormat="1" ht="20.25" customHeight="1" x14ac:dyDescent="0.15">
      <c r="A10" s="60" t="s">
        <v>669</v>
      </c>
      <c r="B10" s="9" t="s">
        <v>173</v>
      </c>
      <c r="C10" s="58" t="s">
        <v>29</v>
      </c>
      <c r="D10" s="11" t="s">
        <v>195</v>
      </c>
      <c r="E10" s="10">
        <v>22</v>
      </c>
      <c r="F10" s="58"/>
      <c r="G10" s="12">
        <v>604</v>
      </c>
      <c r="H10" s="12">
        <v>1967</v>
      </c>
      <c r="I10" s="17" t="s">
        <v>711</v>
      </c>
      <c r="J10" s="18">
        <v>112</v>
      </c>
      <c r="K10" s="19">
        <f t="shared" si="0"/>
        <v>843.75720000000013</v>
      </c>
      <c r="L10" s="14"/>
      <c r="M10" s="15">
        <v>77.48</v>
      </c>
      <c r="N10" s="15">
        <v>10.89</v>
      </c>
    </row>
    <row r="11" spans="1:14" s="15" customFormat="1" ht="20.25" customHeight="1" x14ac:dyDescent="0.15">
      <c r="A11" s="60" t="s">
        <v>712</v>
      </c>
      <c r="B11" s="9" t="s">
        <v>186</v>
      </c>
      <c r="C11" s="58" t="s">
        <v>29</v>
      </c>
      <c r="D11" s="11" t="s">
        <v>310</v>
      </c>
      <c r="E11" s="10">
        <v>24</v>
      </c>
      <c r="F11" s="58" t="s">
        <v>11</v>
      </c>
      <c r="G11" s="12">
        <v>605</v>
      </c>
      <c r="H11" s="12">
        <v>2410</v>
      </c>
      <c r="I11" s="17" t="s">
        <v>713</v>
      </c>
      <c r="J11" s="18">
        <v>64</v>
      </c>
      <c r="K11" s="19">
        <f t="shared" si="0"/>
        <v>410.6619</v>
      </c>
      <c r="L11" s="14"/>
      <c r="M11" s="15">
        <v>37.71</v>
      </c>
      <c r="N11" s="15">
        <v>10.89</v>
      </c>
    </row>
    <row r="12" spans="1:14" s="15" customFormat="1" ht="20.25" customHeight="1" x14ac:dyDescent="0.15">
      <c r="A12" s="60" t="s">
        <v>714</v>
      </c>
      <c r="B12" s="9" t="s">
        <v>186</v>
      </c>
      <c r="C12" s="58" t="s">
        <v>29</v>
      </c>
      <c r="D12" s="11" t="s">
        <v>310</v>
      </c>
      <c r="E12" s="10">
        <v>24</v>
      </c>
      <c r="F12" s="58" t="s">
        <v>11</v>
      </c>
      <c r="G12" s="12">
        <v>985</v>
      </c>
      <c r="H12" s="12">
        <v>2925</v>
      </c>
      <c r="I12" s="17" t="s">
        <v>715</v>
      </c>
      <c r="J12" s="18">
        <v>52</v>
      </c>
      <c r="K12" s="19">
        <f t="shared" si="0"/>
        <v>534.59010000000012</v>
      </c>
      <c r="L12" s="14"/>
      <c r="M12" s="15">
        <v>49.09</v>
      </c>
      <c r="N12" s="15">
        <v>10.89</v>
      </c>
    </row>
    <row r="13" spans="1:14" s="15" customFormat="1" ht="20.25" customHeight="1" x14ac:dyDescent="0.15">
      <c r="A13" s="60" t="s">
        <v>716</v>
      </c>
      <c r="B13" s="9" t="s">
        <v>186</v>
      </c>
      <c r="C13" s="58" t="s">
        <v>29</v>
      </c>
      <c r="D13" s="11" t="s">
        <v>310</v>
      </c>
      <c r="E13" s="10">
        <v>24</v>
      </c>
      <c r="F13" s="58" t="s">
        <v>11</v>
      </c>
      <c r="G13" s="12">
        <v>890</v>
      </c>
      <c r="H13" s="12">
        <v>2910</v>
      </c>
      <c r="I13" s="17" t="s">
        <v>717</v>
      </c>
      <c r="J13" s="18">
        <v>68</v>
      </c>
      <c r="K13" s="19">
        <f t="shared" si="0"/>
        <v>1009.2852000000001</v>
      </c>
      <c r="L13" s="14"/>
      <c r="M13" s="15">
        <v>92.68</v>
      </c>
      <c r="N13" s="15">
        <v>10.89</v>
      </c>
    </row>
    <row r="14" spans="1:14" s="15" customFormat="1" ht="20.25" customHeight="1" x14ac:dyDescent="0.15">
      <c r="A14" s="60"/>
      <c r="B14" s="9"/>
      <c r="C14" s="58"/>
      <c r="D14" s="11"/>
      <c r="E14" s="10"/>
      <c r="F14" s="58"/>
      <c r="G14" s="12"/>
      <c r="H14" s="12"/>
      <c r="I14" s="17"/>
      <c r="J14" s="18"/>
      <c r="K14" s="19">
        <f t="shared" si="0"/>
        <v>0</v>
      </c>
      <c r="L14" s="20"/>
      <c r="N14" s="15">
        <v>10.89</v>
      </c>
    </row>
    <row r="15" spans="1:14" s="15" customFormat="1" ht="20.25" customHeight="1" x14ac:dyDescent="0.15">
      <c r="A15" s="60"/>
      <c r="B15" s="9"/>
      <c r="C15" s="58"/>
      <c r="D15" s="11"/>
      <c r="E15" s="10"/>
      <c r="F15" s="58"/>
      <c r="G15" s="12"/>
      <c r="H15" s="12"/>
      <c r="I15" s="17"/>
      <c r="J15" s="18"/>
      <c r="K15" s="19">
        <f t="shared" si="0"/>
        <v>0</v>
      </c>
      <c r="L15" s="20"/>
      <c r="N15" s="15">
        <v>10.89</v>
      </c>
    </row>
    <row r="16" spans="1:14" s="15" customFormat="1" ht="20.25" customHeight="1" x14ac:dyDescent="0.15">
      <c r="A16" s="60"/>
      <c r="B16" s="9"/>
      <c r="C16" s="58"/>
      <c r="D16" s="11"/>
      <c r="E16" s="10"/>
      <c r="F16" s="58"/>
      <c r="G16" s="12"/>
      <c r="H16" s="12"/>
      <c r="I16" s="17"/>
      <c r="J16" s="18"/>
      <c r="K16" s="19">
        <f t="shared" si="0"/>
        <v>0</v>
      </c>
      <c r="L16" s="20"/>
      <c r="N16" s="15">
        <v>10.89</v>
      </c>
    </row>
    <row r="17" spans="1:14" s="15" customFormat="1" ht="20.25" customHeight="1" x14ac:dyDescent="0.15">
      <c r="A17" s="60"/>
      <c r="B17" s="9"/>
      <c r="C17" s="58"/>
      <c r="D17" s="11"/>
      <c r="E17" s="10"/>
      <c r="F17" s="58"/>
      <c r="G17" s="12"/>
      <c r="H17" s="12"/>
      <c r="I17" s="17"/>
      <c r="J17" s="18"/>
      <c r="K17" s="19">
        <f t="shared" si="0"/>
        <v>0</v>
      </c>
      <c r="L17" s="20"/>
      <c r="N17" s="15">
        <v>10.89</v>
      </c>
    </row>
    <row r="18" spans="1:14" s="15" customFormat="1" ht="20.25" customHeight="1" x14ac:dyDescent="0.15">
      <c r="A18" s="60"/>
      <c r="B18" s="9"/>
      <c r="C18" s="58"/>
      <c r="D18" s="11"/>
      <c r="E18" s="10"/>
      <c r="F18" s="58"/>
      <c r="G18" s="12"/>
      <c r="H18" s="12"/>
      <c r="I18" s="17"/>
      <c r="J18" s="18"/>
      <c r="K18" s="19">
        <f t="shared" si="0"/>
        <v>0</v>
      </c>
      <c r="L18" s="20"/>
      <c r="N18" s="15">
        <v>10.89</v>
      </c>
    </row>
    <row r="19" spans="1:14" s="15" customFormat="1" ht="20.25" customHeight="1" x14ac:dyDescent="0.15">
      <c r="A19" s="60"/>
      <c r="B19" s="9"/>
      <c r="C19" s="58"/>
      <c r="D19" s="11"/>
      <c r="E19" s="10"/>
      <c r="F19" s="58"/>
      <c r="G19" s="12"/>
      <c r="H19" s="12"/>
      <c r="I19" s="17"/>
      <c r="J19" s="18"/>
      <c r="K19" s="19">
        <f t="shared" si="0"/>
        <v>0</v>
      </c>
      <c r="L19" s="20"/>
      <c r="N19" s="15">
        <v>10.89</v>
      </c>
    </row>
    <row r="20" spans="1:14" s="15" customFormat="1" ht="20.25" customHeight="1" x14ac:dyDescent="0.15">
      <c r="A20" s="60"/>
      <c r="B20" s="9"/>
      <c r="C20" s="58"/>
      <c r="D20" s="11"/>
      <c r="E20" s="10"/>
      <c r="F20" s="58"/>
      <c r="G20" s="12"/>
      <c r="H20" s="12"/>
      <c r="I20" s="17"/>
      <c r="J20" s="18"/>
      <c r="K20" s="19">
        <f t="shared" si="0"/>
        <v>0</v>
      </c>
      <c r="L20" s="20"/>
      <c r="N20" s="15">
        <v>10.89</v>
      </c>
    </row>
    <row r="21" spans="1:14" s="15" customFormat="1" ht="20.25" customHeight="1" x14ac:dyDescent="0.15">
      <c r="A21" s="60"/>
      <c r="B21" s="9"/>
      <c r="C21" s="58"/>
      <c r="D21" s="11"/>
      <c r="E21" s="10"/>
      <c r="F21" s="58"/>
      <c r="G21" s="50"/>
      <c r="H21" s="50"/>
      <c r="I21" s="17"/>
      <c r="J21" s="18"/>
      <c r="K21" s="19">
        <f t="shared" si="0"/>
        <v>0</v>
      </c>
      <c r="L21" s="20"/>
      <c r="N21" s="15">
        <v>10.89</v>
      </c>
    </row>
    <row r="22" spans="1:14" s="15" customFormat="1" ht="20.25" customHeight="1" x14ac:dyDescent="0.15">
      <c r="A22" s="60"/>
      <c r="B22" s="9"/>
      <c r="C22" s="58"/>
      <c r="D22" s="11"/>
      <c r="E22" s="10"/>
      <c r="F22" s="58"/>
      <c r="G22" s="50"/>
      <c r="H22" s="50"/>
      <c r="I22" s="17"/>
      <c r="J22" s="18"/>
      <c r="K22" s="19">
        <f t="shared" si="0"/>
        <v>0</v>
      </c>
      <c r="L22" s="20"/>
      <c r="N22" s="15">
        <v>10.89</v>
      </c>
    </row>
    <row r="23" spans="1:14" ht="20.25" customHeight="1" x14ac:dyDescent="0.15">
      <c r="A23" s="60"/>
      <c r="B23" s="9"/>
      <c r="C23" s="58"/>
      <c r="D23" s="11"/>
      <c r="E23" s="10"/>
      <c r="F23" s="58"/>
      <c r="G23" s="16"/>
      <c r="H23" s="16"/>
      <c r="I23" s="17"/>
      <c r="J23" s="18"/>
      <c r="K23" s="19">
        <f t="shared" si="0"/>
        <v>0</v>
      </c>
      <c r="L23" s="20"/>
      <c r="N23" s="15">
        <v>10.89</v>
      </c>
    </row>
    <row r="24" spans="1:14" ht="20.25" customHeight="1" thickBot="1" x14ac:dyDescent="0.2">
      <c r="A24" s="56"/>
      <c r="B24" s="21"/>
      <c r="C24" s="59"/>
      <c r="D24" s="22"/>
      <c r="E24" s="23"/>
      <c r="F24" s="23"/>
      <c r="G24" s="24"/>
      <c r="H24" s="24"/>
      <c r="I24" s="25"/>
      <c r="J24" s="46">
        <f>SUM(J8:J23)</f>
        <v>428</v>
      </c>
      <c r="K24" s="47">
        <f>SUM(K8:K23)</f>
        <v>4474.0476000000008</v>
      </c>
      <c r="L24" s="26"/>
    </row>
    <row r="25" spans="1:14" ht="20.25" customHeight="1" thickTop="1" x14ac:dyDescent="0.15">
      <c r="A25" s="60" t="s">
        <v>420</v>
      </c>
      <c r="B25" s="9" t="s">
        <v>101</v>
      </c>
      <c r="C25" s="58" t="s">
        <v>29</v>
      </c>
      <c r="D25" s="11" t="s">
        <v>332</v>
      </c>
      <c r="E25" s="10">
        <v>22</v>
      </c>
      <c r="F25" s="10"/>
      <c r="G25" s="12">
        <v>640</v>
      </c>
      <c r="H25" s="12">
        <v>805</v>
      </c>
      <c r="I25" s="17" t="s">
        <v>718</v>
      </c>
      <c r="J25" s="18">
        <v>174</v>
      </c>
      <c r="K25" s="19">
        <f t="shared" ref="K25:K40" si="1">+M25*N25</f>
        <v>985.32720000000006</v>
      </c>
      <c r="L25" s="54"/>
      <c r="M25" s="3">
        <v>90.48</v>
      </c>
      <c r="N25" s="15">
        <v>10.89</v>
      </c>
    </row>
    <row r="26" spans="1:14" ht="20.25" customHeight="1" x14ac:dyDescent="0.15">
      <c r="A26" s="60"/>
      <c r="B26" s="9"/>
      <c r="C26" s="58" t="s">
        <v>29</v>
      </c>
      <c r="D26" s="11" t="s">
        <v>331</v>
      </c>
      <c r="E26" s="10">
        <v>22</v>
      </c>
      <c r="F26" s="10"/>
      <c r="G26" s="12">
        <v>637</v>
      </c>
      <c r="H26" s="12">
        <v>1764</v>
      </c>
      <c r="I26" s="17" t="s">
        <v>719</v>
      </c>
      <c r="J26" s="18">
        <v>210</v>
      </c>
      <c r="K26" s="19">
        <f t="shared" si="1"/>
        <v>2561.328</v>
      </c>
      <c r="L26" s="54"/>
      <c r="M26" s="3">
        <v>235.2</v>
      </c>
      <c r="N26" s="15">
        <v>10.89</v>
      </c>
    </row>
    <row r="27" spans="1:14" ht="20.25" customHeight="1" x14ac:dyDescent="0.15">
      <c r="A27" s="61" t="s">
        <v>693</v>
      </c>
      <c r="B27" s="9" t="s">
        <v>101</v>
      </c>
      <c r="C27" s="58" t="s">
        <v>29</v>
      </c>
      <c r="D27" s="11" t="s">
        <v>694</v>
      </c>
      <c r="E27" s="10">
        <v>24</v>
      </c>
      <c r="F27" s="10" t="s">
        <v>11</v>
      </c>
      <c r="G27" s="12">
        <v>1053</v>
      </c>
      <c r="H27" s="12">
        <v>987</v>
      </c>
      <c r="I27" s="17">
        <v>1</v>
      </c>
      <c r="J27" s="18">
        <v>1</v>
      </c>
      <c r="K27" s="19">
        <f t="shared" si="1"/>
        <v>11.325600000000001</v>
      </c>
      <c r="L27" s="54"/>
      <c r="M27" s="3">
        <v>1.04</v>
      </c>
      <c r="N27" s="15">
        <v>10.89</v>
      </c>
    </row>
    <row r="28" spans="1:14" ht="20.25" customHeight="1" x14ac:dyDescent="0.15">
      <c r="A28" s="61" t="s">
        <v>701</v>
      </c>
      <c r="B28" s="9" t="s">
        <v>186</v>
      </c>
      <c r="C28" s="58" t="s">
        <v>29</v>
      </c>
      <c r="D28" s="11" t="s">
        <v>310</v>
      </c>
      <c r="E28" s="10">
        <v>24</v>
      </c>
      <c r="F28" s="10" t="s">
        <v>11</v>
      </c>
      <c r="G28" s="12">
        <v>705</v>
      </c>
      <c r="H28" s="12">
        <v>1405</v>
      </c>
      <c r="I28" s="17" t="s">
        <v>720</v>
      </c>
      <c r="J28" s="18">
        <v>79</v>
      </c>
      <c r="K28" s="19">
        <f t="shared" si="1"/>
        <v>608.53320000000008</v>
      </c>
      <c r="L28" s="54"/>
      <c r="M28" s="3">
        <v>55.88</v>
      </c>
      <c r="N28" s="15">
        <v>10.89</v>
      </c>
    </row>
    <row r="29" spans="1:14" ht="20.25" customHeight="1" x14ac:dyDescent="0.15">
      <c r="A29" s="61"/>
      <c r="B29" s="9"/>
      <c r="C29" s="58"/>
      <c r="D29" s="11"/>
      <c r="E29" s="10"/>
      <c r="F29" s="10"/>
      <c r="G29" s="12"/>
      <c r="H29" s="12"/>
      <c r="I29" s="17"/>
      <c r="J29" s="18"/>
      <c r="K29" s="19">
        <f t="shared" si="1"/>
        <v>0</v>
      </c>
      <c r="L29" s="54"/>
      <c r="N29" s="15">
        <v>10.89</v>
      </c>
    </row>
    <row r="30" spans="1:14" ht="20.25" customHeight="1" x14ac:dyDescent="0.15">
      <c r="A30" s="61"/>
      <c r="B30" s="9"/>
      <c r="C30" s="58"/>
      <c r="D30" s="11"/>
      <c r="E30" s="10"/>
      <c r="F30" s="10"/>
      <c r="G30" s="12"/>
      <c r="H30" s="12"/>
      <c r="I30" s="51"/>
      <c r="J30" s="52"/>
      <c r="K30" s="53">
        <f t="shared" si="1"/>
        <v>0</v>
      </c>
      <c r="L30" s="54"/>
      <c r="N30" s="15">
        <v>10.89</v>
      </c>
    </row>
    <row r="31" spans="1:14" ht="20.25" customHeight="1" x14ac:dyDescent="0.15">
      <c r="A31" s="61"/>
      <c r="B31" s="9"/>
      <c r="C31" s="58"/>
      <c r="D31" s="11"/>
      <c r="E31" s="10"/>
      <c r="F31" s="10"/>
      <c r="G31" s="12"/>
      <c r="H31" s="12"/>
      <c r="I31" s="51"/>
      <c r="J31" s="52"/>
      <c r="K31" s="53">
        <f t="shared" si="1"/>
        <v>0</v>
      </c>
      <c r="L31" s="54"/>
      <c r="N31" s="15">
        <v>10.89</v>
      </c>
    </row>
    <row r="32" spans="1:14" ht="20.25" customHeight="1" x14ac:dyDescent="0.15">
      <c r="A32" s="60"/>
      <c r="B32" s="9"/>
      <c r="C32" s="58"/>
      <c r="D32" s="11"/>
      <c r="E32" s="10"/>
      <c r="F32" s="10"/>
      <c r="G32" s="12"/>
      <c r="H32" s="12"/>
      <c r="I32" s="17"/>
      <c r="J32" s="18"/>
      <c r="K32" s="19">
        <f t="shared" si="1"/>
        <v>0</v>
      </c>
      <c r="L32" s="27"/>
      <c r="N32" s="15">
        <v>10.89</v>
      </c>
    </row>
    <row r="33" spans="1:14" ht="20.25" customHeight="1" x14ac:dyDescent="0.15">
      <c r="A33" s="60"/>
      <c r="B33" s="9"/>
      <c r="C33" s="58"/>
      <c r="D33" s="11"/>
      <c r="E33" s="10"/>
      <c r="F33" s="10"/>
      <c r="G33" s="12"/>
      <c r="H33" s="12"/>
      <c r="I33" s="17"/>
      <c r="J33" s="18"/>
      <c r="K33" s="19">
        <f t="shared" si="1"/>
        <v>0</v>
      </c>
      <c r="L33" s="27"/>
      <c r="N33" s="15">
        <v>10.89</v>
      </c>
    </row>
    <row r="34" spans="1:14" ht="20.25" customHeight="1" x14ac:dyDescent="0.15">
      <c r="A34" s="60"/>
      <c r="B34" s="9"/>
      <c r="C34" s="58"/>
      <c r="D34" s="11"/>
      <c r="E34" s="10"/>
      <c r="F34" s="10"/>
      <c r="G34" s="12"/>
      <c r="H34" s="12"/>
      <c r="I34" s="17"/>
      <c r="J34" s="18"/>
      <c r="K34" s="19">
        <f t="shared" si="1"/>
        <v>0</v>
      </c>
      <c r="L34" s="27"/>
      <c r="N34" s="15">
        <v>10.89</v>
      </c>
    </row>
    <row r="35" spans="1:14" ht="20.25" customHeight="1" x14ac:dyDescent="0.15">
      <c r="A35" s="60"/>
      <c r="B35" s="9"/>
      <c r="C35" s="58"/>
      <c r="D35" s="11"/>
      <c r="E35" s="10"/>
      <c r="F35" s="10"/>
      <c r="G35" s="12"/>
      <c r="H35" s="12"/>
      <c r="I35" s="17"/>
      <c r="J35" s="18"/>
      <c r="K35" s="19">
        <f t="shared" si="1"/>
        <v>0</v>
      </c>
      <c r="L35" s="27"/>
      <c r="N35" s="15">
        <v>10.89</v>
      </c>
    </row>
    <row r="36" spans="1:14" ht="20.25" customHeight="1" x14ac:dyDescent="0.15">
      <c r="A36" s="60"/>
      <c r="B36" s="9"/>
      <c r="C36" s="58"/>
      <c r="D36" s="11"/>
      <c r="E36" s="10"/>
      <c r="F36" s="10"/>
      <c r="G36" s="12"/>
      <c r="H36" s="12"/>
      <c r="I36" s="17"/>
      <c r="J36" s="18"/>
      <c r="K36" s="19">
        <f t="shared" si="1"/>
        <v>0</v>
      </c>
      <c r="L36" s="27"/>
      <c r="N36" s="15">
        <v>10.89</v>
      </c>
    </row>
    <row r="37" spans="1:14" ht="20.25" customHeight="1" x14ac:dyDescent="0.15">
      <c r="A37" s="60"/>
      <c r="B37" s="9"/>
      <c r="C37" s="58"/>
      <c r="D37" s="11"/>
      <c r="E37" s="10"/>
      <c r="F37" s="10"/>
      <c r="G37" s="12"/>
      <c r="H37" s="12"/>
      <c r="I37" s="17"/>
      <c r="J37" s="18"/>
      <c r="K37" s="19">
        <f t="shared" si="1"/>
        <v>0</v>
      </c>
      <c r="L37" s="27"/>
      <c r="N37" s="15">
        <v>10.89</v>
      </c>
    </row>
    <row r="38" spans="1:14" ht="20.25" customHeight="1" x14ac:dyDescent="0.15">
      <c r="A38" s="60"/>
      <c r="B38" s="9"/>
      <c r="C38" s="58"/>
      <c r="D38" s="11"/>
      <c r="E38" s="10"/>
      <c r="F38" s="10"/>
      <c r="G38" s="12"/>
      <c r="H38" s="12"/>
      <c r="I38" s="17"/>
      <c r="J38" s="18"/>
      <c r="K38" s="19">
        <f t="shared" si="1"/>
        <v>0</v>
      </c>
      <c r="L38" s="27"/>
      <c r="N38" s="15">
        <v>10.89</v>
      </c>
    </row>
    <row r="39" spans="1:14" ht="20.25" customHeight="1" x14ac:dyDescent="0.15">
      <c r="A39" s="60"/>
      <c r="B39" s="9"/>
      <c r="C39" s="58"/>
      <c r="D39" s="11"/>
      <c r="E39" s="10"/>
      <c r="F39" s="10"/>
      <c r="G39" s="12"/>
      <c r="H39" s="12"/>
      <c r="I39" s="17"/>
      <c r="J39" s="18"/>
      <c r="K39" s="19">
        <f t="shared" si="1"/>
        <v>0</v>
      </c>
      <c r="L39" s="27"/>
      <c r="N39" s="15">
        <v>10.89</v>
      </c>
    </row>
    <row r="40" spans="1:14" ht="20.25" customHeight="1" x14ac:dyDescent="0.15">
      <c r="A40" s="60"/>
      <c r="B40" s="9"/>
      <c r="C40" s="58"/>
      <c r="D40" s="11"/>
      <c r="E40" s="10"/>
      <c r="F40" s="10"/>
      <c r="G40" s="12"/>
      <c r="H40" s="12"/>
      <c r="I40" s="17"/>
      <c r="J40" s="18"/>
      <c r="K40" s="19">
        <f t="shared" si="1"/>
        <v>0</v>
      </c>
      <c r="L40" s="27"/>
      <c r="N40" s="15">
        <v>10.89</v>
      </c>
    </row>
    <row r="41" spans="1:14" ht="20.25" customHeight="1" x14ac:dyDescent="0.15">
      <c r="A41" s="57"/>
      <c r="B41" s="28"/>
      <c r="C41" s="10"/>
      <c r="D41" s="29"/>
      <c r="E41" s="30"/>
      <c r="F41" s="30"/>
      <c r="G41" s="30"/>
      <c r="H41" s="30"/>
      <c r="I41" s="13"/>
      <c r="J41" s="48">
        <f>SUM(J25:J40)</f>
        <v>464</v>
      </c>
      <c r="K41" s="49">
        <f>SUM(K25:K40)</f>
        <v>4166.5140000000001</v>
      </c>
      <c r="L41" s="31"/>
      <c r="N41" s="32"/>
    </row>
    <row r="42" spans="1:14" ht="20.25" customHeight="1" thickBot="1" x14ac:dyDescent="0.2">
      <c r="A42" s="55"/>
      <c r="B42" s="33"/>
      <c r="C42" s="33"/>
      <c r="D42" s="33"/>
      <c r="E42" s="33"/>
      <c r="F42" s="33"/>
      <c r="G42" s="33"/>
      <c r="H42" s="33"/>
      <c r="I42" s="33"/>
      <c r="J42" s="34"/>
      <c r="K42" s="35"/>
      <c r="L42" s="36"/>
    </row>
    <row r="43" spans="1:14" ht="20.25" customHeight="1" thickBot="1" x14ac:dyDescent="0.2">
      <c r="A43" s="37" t="s">
        <v>19</v>
      </c>
      <c r="B43" s="38" t="s">
        <v>20</v>
      </c>
      <c r="C43" s="77" t="s">
        <v>21</v>
      </c>
      <c r="D43" s="79"/>
      <c r="E43" s="77" t="s">
        <v>22</v>
      </c>
      <c r="F43" s="78"/>
      <c r="G43" s="79"/>
      <c r="H43" s="85" t="s">
        <v>23</v>
      </c>
      <c r="I43" s="86"/>
      <c r="J43" s="77" t="s">
        <v>24</v>
      </c>
      <c r="K43" s="79"/>
      <c r="L43" s="39" t="s">
        <v>13</v>
      </c>
    </row>
    <row r="44" spans="1:14" ht="20.25" customHeight="1" thickBot="1" x14ac:dyDescent="0.2">
      <c r="A44" s="40">
        <f>SUMIF($C$8:$C$42,"U1",$J$8:$J$42)</f>
        <v>0</v>
      </c>
      <c r="B44" s="41">
        <f>SUMIF($C$8:$C$42,"U2",$J$8:$J$42)</f>
        <v>0</v>
      </c>
      <c r="C44" s="77">
        <f>SUMIF($C$8:$C$42,"U3-1",$J$8:$J$42)</f>
        <v>0</v>
      </c>
      <c r="D44" s="79"/>
      <c r="E44" s="77">
        <f>SUMIF($C$8:$C$42,"U3",$J$8:$J$42)</f>
        <v>892</v>
      </c>
      <c r="F44" s="78"/>
      <c r="G44" s="79"/>
      <c r="H44" s="77">
        <f>SUMIF($C$8:$C$42,"E5",$J$8:$J$42)</f>
        <v>0</v>
      </c>
      <c r="I44" s="79"/>
      <c r="J44" s="77">
        <f>SUM(A44:I44)</f>
        <v>892</v>
      </c>
      <c r="K44" s="79"/>
      <c r="L44" s="42"/>
    </row>
    <row r="45" spans="1:14" ht="20.25" customHeight="1" thickBot="1" x14ac:dyDescent="0.2">
      <c r="A45" s="43" t="s">
        <v>25</v>
      </c>
      <c r="B45" s="44" t="s">
        <v>26</v>
      </c>
      <c r="C45" s="75">
        <v>13876</v>
      </c>
      <c r="D45" s="76"/>
      <c r="E45" s="77" t="s">
        <v>27</v>
      </c>
      <c r="F45" s="78"/>
      <c r="G45" s="78"/>
      <c r="H45" s="78"/>
      <c r="I45" s="79"/>
      <c r="J45" s="80">
        <v>146744.37</v>
      </c>
      <c r="K45" s="81"/>
      <c r="L45" s="82"/>
    </row>
    <row r="47" spans="1:14" x14ac:dyDescent="0.15">
      <c r="D47" s="45"/>
    </row>
  </sheetData>
  <mergeCells count="26">
    <mergeCell ref="L2:L4"/>
    <mergeCell ref="A1:G3"/>
    <mergeCell ref="H1:H4"/>
    <mergeCell ref="I2:I4"/>
    <mergeCell ref="J2:J4"/>
    <mergeCell ref="K2:K4"/>
    <mergeCell ref="B5:G5"/>
    <mergeCell ref="A6:A7"/>
    <mergeCell ref="B6:B7"/>
    <mergeCell ref="C6:C7"/>
    <mergeCell ref="D6:D7"/>
    <mergeCell ref="E6:E7"/>
    <mergeCell ref="F6:F7"/>
    <mergeCell ref="G6:K6"/>
    <mergeCell ref="C45:D45"/>
    <mergeCell ref="E45:I45"/>
    <mergeCell ref="J45:L45"/>
    <mergeCell ref="L6:L7"/>
    <mergeCell ref="C43:D43"/>
    <mergeCell ref="E43:G43"/>
    <mergeCell ref="H43:I43"/>
    <mergeCell ref="J43:K43"/>
    <mergeCell ref="C44:D44"/>
    <mergeCell ref="E44:G44"/>
    <mergeCell ref="H44:I44"/>
    <mergeCell ref="J44:K44"/>
  </mergeCells>
  <phoneticPr fontId="2" type="noConversion"/>
  <printOptions horizontalCentered="1"/>
  <pageMargins left="0.39370078740157483" right="0.39370078740157483" top="0.74803149606299213" bottom="0.19685039370078741" header="0.31496062992125984" footer="0.15748031496062992"/>
  <pageSetup paperSize="9" scale="84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N47"/>
  <sheetViews>
    <sheetView view="pageBreakPreview" zoomScaleSheetLayoutView="100" workbookViewId="0">
      <selection activeCell="C11" sqref="C11:F11"/>
    </sheetView>
  </sheetViews>
  <sheetFormatPr defaultColWidth="8.88671875" defaultRowHeight="13.5" x14ac:dyDescent="0.15"/>
  <cols>
    <col min="1" max="1" width="8.44140625" style="3" customWidth="1"/>
    <col min="2" max="2" width="14.77734375" style="3" customWidth="1"/>
    <col min="3" max="3" width="4.109375" style="3" customWidth="1"/>
    <col min="4" max="4" width="15.21875" style="3" customWidth="1"/>
    <col min="5" max="5" width="4.44140625" style="3" customWidth="1"/>
    <col min="6" max="6" width="4" style="3" customWidth="1"/>
    <col min="7" max="7" width="5.5546875" style="3" customWidth="1"/>
    <col min="8" max="8" width="5.44140625" style="3" customWidth="1"/>
    <col min="9" max="9" width="7.88671875" style="3" customWidth="1"/>
    <col min="10" max="10" width="7.109375" style="3" customWidth="1"/>
    <col min="11" max="11" width="7.21875" style="3" customWidth="1"/>
    <col min="12" max="12" width="6.77734375" style="3" customWidth="1"/>
    <col min="13" max="16384" width="8.88671875" style="3"/>
  </cols>
  <sheetData>
    <row r="1" spans="1:14" ht="18.75" customHeight="1" x14ac:dyDescent="0.15">
      <c r="A1" s="101" t="s">
        <v>0</v>
      </c>
      <c r="B1" s="102"/>
      <c r="C1" s="102"/>
      <c r="D1" s="102"/>
      <c r="E1" s="102"/>
      <c r="F1" s="102"/>
      <c r="G1" s="103"/>
      <c r="H1" s="107" t="s">
        <v>1</v>
      </c>
      <c r="I1" s="1" t="s">
        <v>2</v>
      </c>
      <c r="J1" s="1" t="s">
        <v>2</v>
      </c>
      <c r="K1" s="1" t="s">
        <v>3</v>
      </c>
      <c r="L1" s="2" t="s">
        <v>4</v>
      </c>
    </row>
    <row r="2" spans="1:14" ht="13.5" customHeight="1" x14ac:dyDescent="0.15">
      <c r="A2" s="104"/>
      <c r="B2" s="105"/>
      <c r="C2" s="105"/>
      <c r="D2" s="105"/>
      <c r="E2" s="105"/>
      <c r="F2" s="105"/>
      <c r="G2" s="106"/>
      <c r="H2" s="108"/>
      <c r="I2" s="110"/>
      <c r="J2" s="110"/>
      <c r="K2" s="110"/>
      <c r="L2" s="98"/>
    </row>
    <row r="3" spans="1:14" ht="13.5" customHeight="1" x14ac:dyDescent="0.15">
      <c r="A3" s="104"/>
      <c r="B3" s="105"/>
      <c r="C3" s="105"/>
      <c r="D3" s="105"/>
      <c r="E3" s="105"/>
      <c r="F3" s="105"/>
      <c r="G3" s="106"/>
      <c r="H3" s="108"/>
      <c r="I3" s="108"/>
      <c r="J3" s="108"/>
      <c r="K3" s="108"/>
      <c r="L3" s="99"/>
    </row>
    <row r="4" spans="1:14" ht="33" customHeight="1" x14ac:dyDescent="0.15">
      <c r="A4" s="4"/>
      <c r="B4" s="5"/>
      <c r="C4" s="5"/>
      <c r="D4" s="5"/>
      <c r="E4" s="5"/>
      <c r="F4" s="5"/>
      <c r="G4" s="5"/>
      <c r="H4" s="109"/>
      <c r="I4" s="109"/>
      <c r="J4" s="109"/>
      <c r="K4" s="109"/>
      <c r="L4" s="100"/>
    </row>
    <row r="5" spans="1:14" ht="17.25" customHeight="1" x14ac:dyDescent="0.15">
      <c r="A5" s="6" t="s">
        <v>5</v>
      </c>
      <c r="B5" s="87">
        <v>46048</v>
      </c>
      <c r="C5" s="88"/>
      <c r="D5" s="88"/>
      <c r="E5" s="88"/>
      <c r="F5" s="88"/>
      <c r="G5" s="88"/>
      <c r="H5" s="5"/>
      <c r="I5" s="5"/>
      <c r="J5" s="5"/>
      <c r="K5" s="5"/>
      <c r="L5" s="7"/>
    </row>
    <row r="6" spans="1:14" ht="13.5" customHeight="1" x14ac:dyDescent="0.15">
      <c r="A6" s="89" t="s">
        <v>6</v>
      </c>
      <c r="B6" s="91" t="s">
        <v>7</v>
      </c>
      <c r="C6" s="91" t="s">
        <v>8</v>
      </c>
      <c r="D6" s="91" t="s">
        <v>9</v>
      </c>
      <c r="E6" s="93" t="s">
        <v>10</v>
      </c>
      <c r="F6" s="93" t="s">
        <v>11</v>
      </c>
      <c r="G6" s="95" t="s">
        <v>12</v>
      </c>
      <c r="H6" s="96"/>
      <c r="I6" s="96"/>
      <c r="J6" s="96"/>
      <c r="K6" s="97"/>
      <c r="L6" s="83" t="s">
        <v>13</v>
      </c>
    </row>
    <row r="7" spans="1:14" x14ac:dyDescent="0.15">
      <c r="A7" s="90"/>
      <c r="B7" s="92"/>
      <c r="C7" s="92"/>
      <c r="D7" s="92"/>
      <c r="E7" s="94"/>
      <c r="F7" s="94"/>
      <c r="G7" s="8" t="s">
        <v>14</v>
      </c>
      <c r="H7" s="8" t="s">
        <v>15</v>
      </c>
      <c r="I7" s="8" t="s">
        <v>16</v>
      </c>
      <c r="J7" s="8" t="s">
        <v>17</v>
      </c>
      <c r="K7" s="8" t="s">
        <v>18</v>
      </c>
      <c r="L7" s="84"/>
    </row>
    <row r="8" spans="1:14" s="15" customFormat="1" ht="20.25" customHeight="1" x14ac:dyDescent="0.15">
      <c r="A8" s="60" t="s">
        <v>707</v>
      </c>
      <c r="B8" s="9" t="s">
        <v>173</v>
      </c>
      <c r="C8" s="58" t="s">
        <v>29</v>
      </c>
      <c r="D8" s="11" t="s">
        <v>279</v>
      </c>
      <c r="E8" s="10">
        <v>25.76</v>
      </c>
      <c r="F8" s="58"/>
      <c r="G8" s="12">
        <v>1445</v>
      </c>
      <c r="H8" s="12">
        <v>690</v>
      </c>
      <c r="I8" s="17" t="s">
        <v>281</v>
      </c>
      <c r="J8" s="18">
        <v>45</v>
      </c>
      <c r="K8" s="19">
        <f>+M8*N8</f>
        <v>284.22900000000004</v>
      </c>
      <c r="L8" s="14"/>
      <c r="M8" s="15">
        <v>26.1</v>
      </c>
      <c r="N8" s="15">
        <v>10.89</v>
      </c>
    </row>
    <row r="9" spans="1:14" s="15" customFormat="1" ht="20.25" customHeight="1" x14ac:dyDescent="0.15">
      <c r="A9" s="60"/>
      <c r="B9" s="9"/>
      <c r="C9" s="58" t="s">
        <v>29</v>
      </c>
      <c r="D9" s="11" t="s">
        <v>188</v>
      </c>
      <c r="E9" s="10">
        <v>22</v>
      </c>
      <c r="F9" s="58"/>
      <c r="G9" s="12">
        <v>1440</v>
      </c>
      <c r="H9" s="12">
        <v>1238</v>
      </c>
      <c r="I9" s="17" t="s">
        <v>189</v>
      </c>
      <c r="J9" s="18">
        <v>15</v>
      </c>
      <c r="K9" s="19">
        <f t="shared" ref="K9:K23" si="0">+M9*N9</f>
        <v>179.685</v>
      </c>
      <c r="L9" s="14"/>
      <c r="M9" s="15">
        <v>16.5</v>
      </c>
      <c r="N9" s="15">
        <v>10.89</v>
      </c>
    </row>
    <row r="10" spans="1:14" s="15" customFormat="1" ht="20.25" customHeight="1" x14ac:dyDescent="0.15">
      <c r="A10" s="60" t="s">
        <v>721</v>
      </c>
      <c r="B10" s="9" t="s">
        <v>173</v>
      </c>
      <c r="C10" s="58" t="s">
        <v>29</v>
      </c>
      <c r="D10" s="11" t="s">
        <v>188</v>
      </c>
      <c r="E10" s="10">
        <v>22</v>
      </c>
      <c r="F10" s="58"/>
      <c r="G10" s="12">
        <v>1665</v>
      </c>
      <c r="H10" s="12">
        <v>1238</v>
      </c>
      <c r="I10" s="17" t="s">
        <v>205</v>
      </c>
      <c r="J10" s="18">
        <v>20</v>
      </c>
      <c r="K10" s="19">
        <f t="shared" si="0"/>
        <v>307.09800000000001</v>
      </c>
      <c r="L10" s="14"/>
      <c r="M10" s="15">
        <v>28.2</v>
      </c>
      <c r="N10" s="15">
        <v>10.89</v>
      </c>
    </row>
    <row r="11" spans="1:14" s="15" customFormat="1" ht="20.25" customHeight="1" x14ac:dyDescent="0.15">
      <c r="A11" s="60"/>
      <c r="B11" s="9"/>
      <c r="C11" s="58" t="s">
        <v>29</v>
      </c>
      <c r="D11" s="11" t="s">
        <v>195</v>
      </c>
      <c r="E11" s="10">
        <v>22</v>
      </c>
      <c r="F11" s="58"/>
      <c r="G11" s="12">
        <v>604</v>
      </c>
      <c r="H11" s="12">
        <v>1967</v>
      </c>
      <c r="I11" s="17" t="s">
        <v>722</v>
      </c>
      <c r="J11" s="18">
        <v>173</v>
      </c>
      <c r="K11" s="19">
        <f t="shared" si="0"/>
        <v>1189.4058</v>
      </c>
      <c r="L11" s="14"/>
      <c r="M11" s="15">
        <v>109.22</v>
      </c>
      <c r="N11" s="15">
        <v>10.89</v>
      </c>
    </row>
    <row r="12" spans="1:14" s="15" customFormat="1" ht="20.25" customHeight="1" x14ac:dyDescent="0.15">
      <c r="A12" s="60" t="s">
        <v>670</v>
      </c>
      <c r="B12" s="9" t="s">
        <v>173</v>
      </c>
      <c r="C12" s="58" t="s">
        <v>29</v>
      </c>
      <c r="D12" s="11" t="s">
        <v>279</v>
      </c>
      <c r="E12" s="10">
        <v>25.76</v>
      </c>
      <c r="F12" s="58"/>
      <c r="G12" s="12">
        <v>800</v>
      </c>
      <c r="H12" s="12">
        <v>690</v>
      </c>
      <c r="I12" s="17" t="s">
        <v>723</v>
      </c>
      <c r="J12" s="18">
        <v>23</v>
      </c>
      <c r="K12" s="19">
        <f t="shared" si="0"/>
        <v>123.71040000000001</v>
      </c>
      <c r="L12" s="14"/>
      <c r="M12" s="15">
        <v>11.36</v>
      </c>
      <c r="N12" s="15">
        <v>10.89</v>
      </c>
    </row>
    <row r="13" spans="1:14" s="15" customFormat="1" ht="20.25" customHeight="1" x14ac:dyDescent="0.15">
      <c r="A13" s="60"/>
      <c r="B13" s="9"/>
      <c r="C13" s="58" t="s">
        <v>29</v>
      </c>
      <c r="D13" s="11" t="s">
        <v>188</v>
      </c>
      <c r="E13" s="10">
        <v>22</v>
      </c>
      <c r="F13" s="58"/>
      <c r="G13" s="12">
        <v>1665</v>
      </c>
      <c r="H13" s="12">
        <v>1238</v>
      </c>
      <c r="I13" s="17" t="s">
        <v>191</v>
      </c>
      <c r="J13" s="18">
        <v>10</v>
      </c>
      <c r="K13" s="19">
        <f t="shared" si="0"/>
        <v>153.54900000000001</v>
      </c>
      <c r="L13" s="14"/>
      <c r="M13" s="15">
        <v>14.1</v>
      </c>
      <c r="N13" s="15">
        <v>10.89</v>
      </c>
    </row>
    <row r="14" spans="1:14" s="15" customFormat="1" ht="20.25" customHeight="1" x14ac:dyDescent="0.15">
      <c r="A14" s="60" t="s">
        <v>724</v>
      </c>
      <c r="B14" s="9" t="s">
        <v>173</v>
      </c>
      <c r="C14" s="58" t="s">
        <v>29</v>
      </c>
      <c r="D14" s="11" t="s">
        <v>188</v>
      </c>
      <c r="E14" s="10">
        <v>22</v>
      </c>
      <c r="F14" s="58"/>
      <c r="G14" s="12">
        <v>1440</v>
      </c>
      <c r="H14" s="12">
        <v>1238</v>
      </c>
      <c r="I14" s="17" t="s">
        <v>189</v>
      </c>
      <c r="J14" s="18">
        <v>15</v>
      </c>
      <c r="K14" s="19">
        <f t="shared" si="0"/>
        <v>179.685</v>
      </c>
      <c r="L14" s="20"/>
      <c r="M14" s="15">
        <v>16.5</v>
      </c>
      <c r="N14" s="15">
        <v>10.89</v>
      </c>
    </row>
    <row r="15" spans="1:14" s="15" customFormat="1" ht="20.25" customHeight="1" x14ac:dyDescent="0.15">
      <c r="A15" s="60"/>
      <c r="B15" s="9"/>
      <c r="C15" s="58" t="s">
        <v>29</v>
      </c>
      <c r="D15" s="11" t="s">
        <v>195</v>
      </c>
      <c r="E15" s="10">
        <v>22</v>
      </c>
      <c r="F15" s="58"/>
      <c r="G15" s="12">
        <v>754</v>
      </c>
      <c r="H15" s="12">
        <v>1967</v>
      </c>
      <c r="I15" s="17" t="s">
        <v>725</v>
      </c>
      <c r="J15" s="18">
        <v>125</v>
      </c>
      <c r="K15" s="19">
        <f t="shared" si="0"/>
        <v>1175.5755000000001</v>
      </c>
      <c r="L15" s="20"/>
      <c r="M15" s="15">
        <v>107.95</v>
      </c>
      <c r="N15" s="15">
        <v>10.89</v>
      </c>
    </row>
    <row r="16" spans="1:14" s="15" customFormat="1" ht="20.25" customHeight="1" x14ac:dyDescent="0.15">
      <c r="A16" s="60" t="s">
        <v>726</v>
      </c>
      <c r="B16" s="9" t="s">
        <v>173</v>
      </c>
      <c r="C16" s="58" t="s">
        <v>29</v>
      </c>
      <c r="D16" s="11" t="s">
        <v>188</v>
      </c>
      <c r="E16" s="10">
        <v>22</v>
      </c>
      <c r="F16" s="58"/>
      <c r="G16" s="12">
        <v>1949</v>
      </c>
      <c r="H16" s="12">
        <v>1957</v>
      </c>
      <c r="I16" s="17" t="s">
        <v>727</v>
      </c>
      <c r="J16" s="18">
        <v>29</v>
      </c>
      <c r="K16" s="19">
        <f t="shared" si="0"/>
        <v>817.9479</v>
      </c>
      <c r="L16" s="20"/>
      <c r="M16" s="15">
        <v>75.11</v>
      </c>
      <c r="N16" s="15">
        <v>10.89</v>
      </c>
    </row>
    <row r="17" spans="1:14" s="15" customFormat="1" ht="20.25" customHeight="1" x14ac:dyDescent="0.15">
      <c r="A17" s="60"/>
      <c r="B17" s="9"/>
      <c r="C17" s="58" t="s">
        <v>29</v>
      </c>
      <c r="D17" s="11" t="s">
        <v>195</v>
      </c>
      <c r="E17" s="10">
        <v>22</v>
      </c>
      <c r="F17" s="58"/>
      <c r="G17" s="12">
        <v>1949</v>
      </c>
      <c r="H17" s="12">
        <v>1957</v>
      </c>
      <c r="I17" s="17" t="s">
        <v>450</v>
      </c>
      <c r="J17" s="18">
        <v>180</v>
      </c>
      <c r="K17" s="19">
        <f t="shared" si="0"/>
        <v>2255.319</v>
      </c>
      <c r="L17" s="20"/>
      <c r="M17" s="15">
        <v>207.1</v>
      </c>
      <c r="N17" s="15">
        <v>10.89</v>
      </c>
    </row>
    <row r="18" spans="1:14" s="15" customFormat="1" ht="20.25" customHeight="1" x14ac:dyDescent="0.15">
      <c r="A18" s="60" t="s">
        <v>714</v>
      </c>
      <c r="B18" s="9" t="s">
        <v>186</v>
      </c>
      <c r="C18" s="58" t="s">
        <v>29</v>
      </c>
      <c r="D18" s="11" t="s">
        <v>310</v>
      </c>
      <c r="E18" s="10">
        <v>24</v>
      </c>
      <c r="F18" s="58" t="s">
        <v>11</v>
      </c>
      <c r="G18" s="12">
        <v>770</v>
      </c>
      <c r="H18" s="12">
        <v>440</v>
      </c>
      <c r="I18" s="17">
        <v>1</v>
      </c>
      <c r="J18" s="18">
        <v>1</v>
      </c>
      <c r="K18" s="19">
        <f t="shared" si="0"/>
        <v>3.7026000000000003</v>
      </c>
      <c r="L18" s="20"/>
      <c r="M18" s="15">
        <v>0.34</v>
      </c>
      <c r="N18" s="15">
        <v>10.89</v>
      </c>
    </row>
    <row r="19" spans="1:14" ht="20.25" customHeight="1" x14ac:dyDescent="0.15">
      <c r="A19" s="60"/>
      <c r="B19" s="9"/>
      <c r="C19" s="58"/>
      <c r="D19" s="11"/>
      <c r="E19" s="10"/>
      <c r="F19" s="10"/>
      <c r="G19" s="12"/>
      <c r="H19" s="12"/>
      <c r="I19" s="17"/>
      <c r="J19" s="18"/>
      <c r="K19" s="19">
        <f>+M19*N19</f>
        <v>0</v>
      </c>
      <c r="L19" s="27"/>
      <c r="N19" s="15">
        <v>10.89</v>
      </c>
    </row>
    <row r="20" spans="1:14" ht="20.25" customHeight="1" x14ac:dyDescent="0.15">
      <c r="A20" s="60"/>
      <c r="B20" s="9"/>
      <c r="C20" s="58"/>
      <c r="D20" s="11"/>
      <c r="E20" s="10"/>
      <c r="F20" s="10"/>
      <c r="G20" s="12"/>
      <c r="H20" s="12"/>
      <c r="I20" s="17"/>
      <c r="J20" s="18"/>
      <c r="K20" s="19">
        <f>+M20*N20</f>
        <v>0</v>
      </c>
      <c r="L20" s="27"/>
      <c r="N20" s="15">
        <v>10.89</v>
      </c>
    </row>
    <row r="21" spans="1:14" ht="20.25" customHeight="1" x14ac:dyDescent="0.15">
      <c r="A21" s="60"/>
      <c r="B21" s="9"/>
      <c r="C21" s="58"/>
      <c r="D21" s="11"/>
      <c r="E21" s="10"/>
      <c r="F21" s="10"/>
      <c r="G21" s="12"/>
      <c r="H21" s="12"/>
      <c r="I21" s="17"/>
      <c r="J21" s="18"/>
      <c r="K21" s="19">
        <f>+M21*N21</f>
        <v>0</v>
      </c>
      <c r="L21" s="27"/>
      <c r="N21" s="15">
        <v>10.89</v>
      </c>
    </row>
    <row r="22" spans="1:14" ht="20.25" customHeight="1" x14ac:dyDescent="0.15">
      <c r="A22" s="60"/>
      <c r="B22" s="9"/>
      <c r="C22" s="58"/>
      <c r="D22" s="11"/>
      <c r="E22" s="10"/>
      <c r="F22" s="10"/>
      <c r="G22" s="12"/>
      <c r="H22" s="12"/>
      <c r="I22" s="17"/>
      <c r="J22" s="18"/>
      <c r="K22" s="19">
        <f>+M22*N22</f>
        <v>0</v>
      </c>
      <c r="L22" s="27"/>
      <c r="N22" s="15">
        <v>10.89</v>
      </c>
    </row>
    <row r="23" spans="1:14" ht="20.25" customHeight="1" x14ac:dyDescent="0.15">
      <c r="A23" s="60"/>
      <c r="B23" s="9"/>
      <c r="C23" s="58"/>
      <c r="D23" s="11"/>
      <c r="E23" s="10"/>
      <c r="F23" s="58"/>
      <c r="G23" s="16"/>
      <c r="H23" s="16"/>
      <c r="I23" s="17"/>
      <c r="J23" s="18"/>
      <c r="K23" s="19">
        <f t="shared" si="0"/>
        <v>0</v>
      </c>
      <c r="L23" s="20"/>
      <c r="N23" s="15">
        <v>10.89</v>
      </c>
    </row>
    <row r="24" spans="1:14" ht="20.25" customHeight="1" thickBot="1" x14ac:dyDescent="0.2">
      <c r="A24" s="56"/>
      <c r="B24" s="21"/>
      <c r="C24" s="59"/>
      <c r="D24" s="22"/>
      <c r="E24" s="23"/>
      <c r="F24" s="23"/>
      <c r="G24" s="24"/>
      <c r="H24" s="24"/>
      <c r="I24" s="25"/>
      <c r="J24" s="46">
        <f>SUM(J8:J23)</f>
        <v>636</v>
      </c>
      <c r="K24" s="47">
        <f>SUM(K8:K23)</f>
        <v>6669.9072000000006</v>
      </c>
      <c r="L24" s="26"/>
    </row>
    <row r="25" spans="1:14" ht="20.25" customHeight="1" thickTop="1" x14ac:dyDescent="0.15">
      <c r="A25" s="60" t="s">
        <v>728</v>
      </c>
      <c r="B25" s="9" t="s">
        <v>101</v>
      </c>
      <c r="C25" s="58" t="s">
        <v>29</v>
      </c>
      <c r="D25" s="11" t="s">
        <v>729</v>
      </c>
      <c r="E25" s="10">
        <v>27.76</v>
      </c>
      <c r="F25" s="10"/>
      <c r="G25" s="12">
        <v>690</v>
      </c>
      <c r="H25" s="12">
        <v>846</v>
      </c>
      <c r="I25" s="17" t="s">
        <v>730</v>
      </c>
      <c r="J25" s="18">
        <v>208</v>
      </c>
      <c r="K25" s="19">
        <f t="shared" ref="K25:K40" si="1">+M25*N25</f>
        <v>1313.7696000000001</v>
      </c>
      <c r="L25" s="54"/>
      <c r="M25" s="3">
        <v>120.64</v>
      </c>
      <c r="N25" s="15">
        <v>10.89</v>
      </c>
    </row>
    <row r="26" spans="1:14" ht="20.25" customHeight="1" x14ac:dyDescent="0.15">
      <c r="A26" s="60"/>
      <c r="B26" s="9"/>
      <c r="C26" s="58" t="s">
        <v>29</v>
      </c>
      <c r="D26" s="11" t="s">
        <v>332</v>
      </c>
      <c r="E26" s="10">
        <v>22</v>
      </c>
      <c r="F26" s="10"/>
      <c r="G26" s="12">
        <v>640</v>
      </c>
      <c r="H26" s="12">
        <v>805</v>
      </c>
      <c r="I26" s="17">
        <v>34</v>
      </c>
      <c r="J26" s="18">
        <v>34</v>
      </c>
      <c r="K26" s="19">
        <f t="shared" si="1"/>
        <v>192.5352</v>
      </c>
      <c r="L26" s="54"/>
      <c r="M26" s="3">
        <v>17.68</v>
      </c>
      <c r="N26" s="15">
        <v>10.89</v>
      </c>
    </row>
    <row r="27" spans="1:14" ht="20.25" customHeight="1" x14ac:dyDescent="0.15">
      <c r="A27" s="61" t="s">
        <v>698</v>
      </c>
      <c r="B27" s="9" t="s">
        <v>186</v>
      </c>
      <c r="C27" s="58" t="s">
        <v>29</v>
      </c>
      <c r="D27" s="11" t="s">
        <v>310</v>
      </c>
      <c r="E27" s="10">
        <v>24</v>
      </c>
      <c r="F27" s="10" t="s">
        <v>11</v>
      </c>
      <c r="G27" s="12">
        <v>1000</v>
      </c>
      <c r="H27" s="12">
        <v>3160</v>
      </c>
      <c r="I27" s="17" t="s">
        <v>663</v>
      </c>
      <c r="J27" s="18">
        <v>15</v>
      </c>
      <c r="K27" s="19">
        <f t="shared" si="1"/>
        <v>135.4716</v>
      </c>
      <c r="L27" s="54"/>
      <c r="M27" s="3">
        <v>12.44</v>
      </c>
      <c r="N27" s="15">
        <v>10.89</v>
      </c>
    </row>
    <row r="28" spans="1:14" ht="20.25" customHeight="1" x14ac:dyDescent="0.15">
      <c r="A28" s="61" t="s">
        <v>700</v>
      </c>
      <c r="B28" s="9" t="s">
        <v>186</v>
      </c>
      <c r="C28" s="58" t="s">
        <v>29</v>
      </c>
      <c r="D28" s="11" t="s">
        <v>310</v>
      </c>
      <c r="E28" s="10">
        <v>24</v>
      </c>
      <c r="F28" s="10" t="s">
        <v>11</v>
      </c>
      <c r="G28" s="12">
        <v>1435</v>
      </c>
      <c r="H28" s="12">
        <v>1405</v>
      </c>
      <c r="I28" s="17" t="s">
        <v>731</v>
      </c>
      <c r="J28" s="18">
        <v>14</v>
      </c>
      <c r="K28" s="19">
        <f t="shared" si="1"/>
        <v>190.2483</v>
      </c>
      <c r="L28" s="54"/>
      <c r="M28" s="3">
        <v>17.47</v>
      </c>
      <c r="N28" s="15">
        <v>10.89</v>
      </c>
    </row>
    <row r="29" spans="1:14" s="15" customFormat="1" ht="20.25" customHeight="1" x14ac:dyDescent="0.15">
      <c r="A29" s="60" t="s">
        <v>732</v>
      </c>
      <c r="B29" s="9" t="s">
        <v>173</v>
      </c>
      <c r="C29" s="58" t="s">
        <v>29</v>
      </c>
      <c r="D29" s="11" t="s">
        <v>733</v>
      </c>
      <c r="E29" s="10">
        <v>22</v>
      </c>
      <c r="F29" s="58" t="s">
        <v>11</v>
      </c>
      <c r="G29" s="12">
        <v>760</v>
      </c>
      <c r="H29" s="12">
        <v>1956</v>
      </c>
      <c r="I29" s="17" t="s">
        <v>337</v>
      </c>
      <c r="J29" s="18">
        <v>2</v>
      </c>
      <c r="K29" s="19">
        <f>+M29*N29</f>
        <v>26.462700000000002</v>
      </c>
      <c r="L29" s="20"/>
      <c r="M29" s="15">
        <v>2.4300000000000002</v>
      </c>
      <c r="N29" s="15">
        <v>10.89</v>
      </c>
    </row>
    <row r="30" spans="1:14" s="15" customFormat="1" ht="20.25" customHeight="1" x14ac:dyDescent="0.15">
      <c r="A30" s="60"/>
      <c r="B30" s="9"/>
      <c r="C30" s="58" t="s">
        <v>29</v>
      </c>
      <c r="D30" s="11" t="s">
        <v>675</v>
      </c>
      <c r="E30" s="10">
        <v>16</v>
      </c>
      <c r="F30" s="58"/>
      <c r="G30" s="12">
        <v>670</v>
      </c>
      <c r="H30" s="12">
        <v>21242</v>
      </c>
      <c r="I30" s="17">
        <v>1</v>
      </c>
      <c r="J30" s="18">
        <v>1</v>
      </c>
      <c r="K30" s="19">
        <f>+M30*N30</f>
        <v>15.6816</v>
      </c>
      <c r="L30" s="20"/>
      <c r="M30" s="15">
        <v>1.44</v>
      </c>
      <c r="N30" s="15">
        <v>10.89</v>
      </c>
    </row>
    <row r="31" spans="1:14" s="15" customFormat="1" ht="20.25" customHeight="1" x14ac:dyDescent="0.15">
      <c r="A31" s="60"/>
      <c r="B31" s="9"/>
      <c r="C31" s="58" t="s">
        <v>29</v>
      </c>
      <c r="D31" s="11" t="s">
        <v>734</v>
      </c>
      <c r="E31" s="10">
        <v>16</v>
      </c>
      <c r="F31" s="58"/>
      <c r="G31" s="50">
        <v>670</v>
      </c>
      <c r="H31" s="50">
        <v>2142</v>
      </c>
      <c r="I31" s="17">
        <v>1</v>
      </c>
      <c r="J31" s="18">
        <v>1</v>
      </c>
      <c r="K31" s="19">
        <f>+M31*N31</f>
        <v>15.6816</v>
      </c>
      <c r="L31" s="20"/>
      <c r="M31" s="15">
        <v>1.44</v>
      </c>
      <c r="N31" s="15">
        <v>10.89</v>
      </c>
    </row>
    <row r="32" spans="1:14" s="15" customFormat="1" ht="20.25" customHeight="1" x14ac:dyDescent="0.15">
      <c r="A32" s="60" t="s">
        <v>735</v>
      </c>
      <c r="B32" s="9" t="s">
        <v>187</v>
      </c>
      <c r="C32" s="58" t="s">
        <v>29</v>
      </c>
      <c r="D32" s="11" t="s">
        <v>297</v>
      </c>
      <c r="E32" s="10">
        <v>24</v>
      </c>
      <c r="F32" s="58" t="s">
        <v>11</v>
      </c>
      <c r="G32" s="50">
        <v>1280</v>
      </c>
      <c r="H32" s="50">
        <v>2335</v>
      </c>
      <c r="I32" s="17" t="s">
        <v>736</v>
      </c>
      <c r="J32" s="18">
        <v>56</v>
      </c>
      <c r="K32" s="19">
        <f>+M32*N32</f>
        <v>1008.5229</v>
      </c>
      <c r="L32" s="14"/>
      <c r="M32" s="15">
        <v>92.61</v>
      </c>
      <c r="N32" s="15">
        <v>10.89</v>
      </c>
    </row>
    <row r="33" spans="1:14" ht="20.25" customHeight="1" x14ac:dyDescent="0.15">
      <c r="A33" s="61" t="s">
        <v>737</v>
      </c>
      <c r="B33" s="9" t="s">
        <v>178</v>
      </c>
      <c r="C33" s="58" t="s">
        <v>29</v>
      </c>
      <c r="D33" s="11" t="s">
        <v>247</v>
      </c>
      <c r="E33" s="10">
        <v>24</v>
      </c>
      <c r="F33" s="10" t="s">
        <v>11</v>
      </c>
      <c r="G33" s="12">
        <v>950</v>
      </c>
      <c r="H33" s="12">
        <v>1943</v>
      </c>
      <c r="I33" s="17" t="s">
        <v>738</v>
      </c>
      <c r="J33" s="18">
        <f>48+81</f>
        <v>129</v>
      </c>
      <c r="K33" s="19">
        <f t="shared" si="1"/>
        <v>1679.8914</v>
      </c>
      <c r="L33" s="54"/>
      <c r="M33" s="3">
        <v>154.26</v>
      </c>
      <c r="N33" s="15">
        <v>10.89</v>
      </c>
    </row>
    <row r="34" spans="1:14" ht="20.25" customHeight="1" x14ac:dyDescent="0.15">
      <c r="A34" s="61" t="s">
        <v>739</v>
      </c>
      <c r="B34" s="9" t="s">
        <v>178</v>
      </c>
      <c r="C34" s="58" t="s">
        <v>29</v>
      </c>
      <c r="D34" s="11" t="s">
        <v>247</v>
      </c>
      <c r="E34" s="10">
        <v>24</v>
      </c>
      <c r="F34" s="10" t="s">
        <v>11</v>
      </c>
      <c r="G34" s="12">
        <v>950</v>
      </c>
      <c r="H34" s="12">
        <v>1985</v>
      </c>
      <c r="I34" s="51" t="s">
        <v>740</v>
      </c>
      <c r="J34" s="52">
        <v>21</v>
      </c>
      <c r="K34" s="53">
        <f t="shared" si="1"/>
        <v>323.97750000000002</v>
      </c>
      <c r="L34" s="54"/>
      <c r="M34" s="3">
        <v>29.75</v>
      </c>
      <c r="N34" s="15">
        <v>10.89</v>
      </c>
    </row>
    <row r="35" spans="1:14" ht="20.25" customHeight="1" x14ac:dyDescent="0.15">
      <c r="A35" s="61" t="s">
        <v>741</v>
      </c>
      <c r="B35" s="9" t="s">
        <v>175</v>
      </c>
      <c r="C35" s="58" t="s">
        <v>29</v>
      </c>
      <c r="D35" s="11" t="s">
        <v>414</v>
      </c>
      <c r="E35" s="10">
        <v>24</v>
      </c>
      <c r="F35" s="10" t="s">
        <v>11</v>
      </c>
      <c r="G35" s="12">
        <v>970</v>
      </c>
      <c r="H35" s="12">
        <v>3020</v>
      </c>
      <c r="I35" s="51" t="s">
        <v>742</v>
      </c>
      <c r="J35" s="52">
        <v>73</v>
      </c>
      <c r="K35" s="53">
        <f t="shared" si="1"/>
        <v>1600.5033000000001</v>
      </c>
      <c r="L35" s="54"/>
      <c r="M35" s="3">
        <v>146.97</v>
      </c>
      <c r="N35" s="15">
        <v>10.89</v>
      </c>
    </row>
    <row r="36" spans="1:14" ht="20.25" customHeight="1" x14ac:dyDescent="0.15">
      <c r="A36" s="60"/>
      <c r="B36" s="9"/>
      <c r="C36" s="58" t="s">
        <v>29</v>
      </c>
      <c r="D36" s="11" t="s">
        <v>415</v>
      </c>
      <c r="E36" s="10">
        <v>28</v>
      </c>
      <c r="F36" s="10" t="s">
        <v>11</v>
      </c>
      <c r="G36" s="12">
        <v>905</v>
      </c>
      <c r="H36" s="12">
        <v>445</v>
      </c>
      <c r="I36" s="17">
        <v>2</v>
      </c>
      <c r="J36" s="18">
        <v>2</v>
      </c>
      <c r="K36" s="19">
        <f t="shared" si="1"/>
        <v>8.7120000000000015</v>
      </c>
      <c r="L36" s="27"/>
      <c r="M36" s="3">
        <v>0.8</v>
      </c>
      <c r="N36" s="15">
        <v>10.89</v>
      </c>
    </row>
    <row r="37" spans="1:14" ht="20.25" customHeight="1" x14ac:dyDescent="0.15">
      <c r="A37" s="60"/>
      <c r="B37" s="9"/>
      <c r="C37" s="58"/>
      <c r="D37" s="11"/>
      <c r="E37" s="10"/>
      <c r="F37" s="10"/>
      <c r="G37" s="12"/>
      <c r="H37" s="12"/>
      <c r="I37" s="17"/>
      <c r="J37" s="18"/>
      <c r="K37" s="19">
        <f t="shared" si="1"/>
        <v>0</v>
      </c>
      <c r="L37" s="27"/>
      <c r="N37" s="15">
        <v>10.89</v>
      </c>
    </row>
    <row r="38" spans="1:14" ht="20.25" customHeight="1" x14ac:dyDescent="0.15">
      <c r="A38" s="60"/>
      <c r="B38" s="9"/>
      <c r="C38" s="58"/>
      <c r="D38" s="11"/>
      <c r="E38" s="10"/>
      <c r="F38" s="10"/>
      <c r="G38" s="12"/>
      <c r="H38" s="12"/>
      <c r="I38" s="17"/>
      <c r="J38" s="18"/>
      <c r="K38" s="19">
        <f t="shared" si="1"/>
        <v>0</v>
      </c>
      <c r="L38" s="27"/>
      <c r="N38" s="15">
        <v>10.89</v>
      </c>
    </row>
    <row r="39" spans="1:14" ht="20.25" customHeight="1" x14ac:dyDescent="0.15">
      <c r="A39" s="60"/>
      <c r="B39" s="9"/>
      <c r="C39" s="58"/>
      <c r="D39" s="11"/>
      <c r="E39" s="10"/>
      <c r="F39" s="10"/>
      <c r="G39" s="12"/>
      <c r="H39" s="12"/>
      <c r="I39" s="17"/>
      <c r="J39" s="18"/>
      <c r="K39" s="19">
        <f t="shared" si="1"/>
        <v>0</v>
      </c>
      <c r="L39" s="27"/>
      <c r="N39" s="15">
        <v>10.89</v>
      </c>
    </row>
    <row r="40" spans="1:14" ht="20.25" customHeight="1" x14ac:dyDescent="0.15">
      <c r="A40" s="60"/>
      <c r="B40" s="9"/>
      <c r="C40" s="58"/>
      <c r="D40" s="11"/>
      <c r="E40" s="10"/>
      <c r="F40" s="10"/>
      <c r="G40" s="12"/>
      <c r="H40" s="12"/>
      <c r="I40" s="17"/>
      <c r="J40" s="18"/>
      <c r="K40" s="19">
        <f t="shared" si="1"/>
        <v>0</v>
      </c>
      <c r="L40" s="27"/>
      <c r="N40" s="15">
        <v>10.89</v>
      </c>
    </row>
    <row r="41" spans="1:14" ht="20.25" customHeight="1" x14ac:dyDescent="0.15">
      <c r="A41" s="57"/>
      <c r="B41" s="28"/>
      <c r="C41" s="10"/>
      <c r="D41" s="29"/>
      <c r="E41" s="30"/>
      <c r="F41" s="30"/>
      <c r="G41" s="30"/>
      <c r="H41" s="30"/>
      <c r="I41" s="13"/>
      <c r="J41" s="48">
        <f>SUM(J25:J40)</f>
        <v>556</v>
      </c>
      <c r="K41" s="49">
        <f>SUM(K25:K40)</f>
        <v>6511.4577000000008</v>
      </c>
      <c r="L41" s="31"/>
      <c r="N41" s="32"/>
    </row>
    <row r="42" spans="1:14" ht="20.25" customHeight="1" thickBot="1" x14ac:dyDescent="0.2">
      <c r="A42" s="55"/>
      <c r="B42" s="33"/>
      <c r="C42" s="33"/>
      <c r="D42" s="33"/>
      <c r="E42" s="33"/>
      <c r="F42" s="33"/>
      <c r="G42" s="33"/>
      <c r="H42" s="33"/>
      <c r="I42" s="33"/>
      <c r="J42" s="34"/>
      <c r="K42" s="35"/>
      <c r="L42" s="36"/>
    </row>
    <row r="43" spans="1:14" ht="20.25" customHeight="1" thickBot="1" x14ac:dyDescent="0.2">
      <c r="A43" s="37" t="s">
        <v>19</v>
      </c>
      <c r="B43" s="38" t="s">
        <v>20</v>
      </c>
      <c r="C43" s="77" t="s">
        <v>21</v>
      </c>
      <c r="D43" s="79"/>
      <c r="E43" s="77" t="s">
        <v>22</v>
      </c>
      <c r="F43" s="78"/>
      <c r="G43" s="79"/>
      <c r="H43" s="85" t="s">
        <v>23</v>
      </c>
      <c r="I43" s="86"/>
      <c r="J43" s="77" t="s">
        <v>24</v>
      </c>
      <c r="K43" s="79"/>
      <c r="L43" s="39" t="s">
        <v>13</v>
      </c>
    </row>
    <row r="44" spans="1:14" ht="20.25" customHeight="1" thickBot="1" x14ac:dyDescent="0.2">
      <c r="A44" s="40">
        <f>SUMIF($C$8:$C$42,"U1",$J$8:$J$42)</f>
        <v>0</v>
      </c>
      <c r="B44" s="41">
        <f>SUMIF($C$8:$C$42,"U2",$J$8:$J$42)</f>
        <v>0</v>
      </c>
      <c r="C44" s="77">
        <f>SUMIF($C$8:$C$42,"U3-1",$J$8:$J$42)</f>
        <v>0</v>
      </c>
      <c r="D44" s="79"/>
      <c r="E44" s="77">
        <f>SUMIF($C$8:$C$42,"U3",$J$8:$J$42)</f>
        <v>1192</v>
      </c>
      <c r="F44" s="78"/>
      <c r="G44" s="79"/>
      <c r="H44" s="77">
        <f>SUMIF($C$8:$C$42,"E5",$J$8:$J$42)</f>
        <v>0</v>
      </c>
      <c r="I44" s="79"/>
      <c r="J44" s="77">
        <f>SUM(A44:I44)</f>
        <v>1192</v>
      </c>
      <c r="K44" s="79"/>
      <c r="L44" s="42"/>
    </row>
    <row r="45" spans="1:14" ht="20.25" customHeight="1" thickBot="1" x14ac:dyDescent="0.2">
      <c r="A45" s="43" t="s">
        <v>25</v>
      </c>
      <c r="B45" s="44" t="s">
        <v>26</v>
      </c>
      <c r="C45" s="75">
        <v>13876</v>
      </c>
      <c r="D45" s="76"/>
      <c r="E45" s="77" t="s">
        <v>27</v>
      </c>
      <c r="F45" s="78"/>
      <c r="G45" s="78"/>
      <c r="H45" s="78"/>
      <c r="I45" s="79"/>
      <c r="J45" s="80">
        <v>146744.37</v>
      </c>
      <c r="K45" s="81"/>
      <c r="L45" s="82"/>
    </row>
    <row r="47" spans="1:14" x14ac:dyDescent="0.15">
      <c r="D47" s="45"/>
    </row>
  </sheetData>
  <mergeCells count="26">
    <mergeCell ref="L2:L4"/>
    <mergeCell ref="A1:G3"/>
    <mergeCell ref="H1:H4"/>
    <mergeCell ref="I2:I4"/>
    <mergeCell ref="J2:J4"/>
    <mergeCell ref="K2:K4"/>
    <mergeCell ref="B5:G5"/>
    <mergeCell ref="A6:A7"/>
    <mergeCell ref="B6:B7"/>
    <mergeCell ref="C6:C7"/>
    <mergeCell ref="D6:D7"/>
    <mergeCell ref="E6:E7"/>
    <mergeCell ref="F6:F7"/>
    <mergeCell ref="G6:K6"/>
    <mergeCell ref="C45:D45"/>
    <mergeCell ref="E45:I45"/>
    <mergeCell ref="J45:L45"/>
    <mergeCell ref="L6:L7"/>
    <mergeCell ref="C43:D43"/>
    <mergeCell ref="E43:G43"/>
    <mergeCell ref="H43:I43"/>
    <mergeCell ref="J43:K43"/>
    <mergeCell ref="C44:D44"/>
    <mergeCell ref="E44:G44"/>
    <mergeCell ref="H44:I44"/>
    <mergeCell ref="J44:K44"/>
  </mergeCells>
  <phoneticPr fontId="2" type="noConversion"/>
  <printOptions horizontalCentered="1"/>
  <pageMargins left="0.39370078740157483" right="0.39370078740157483" top="0.74803149606299213" bottom="0.19685039370078741" header="0.31496062992125984" footer="0.15748031496062992"/>
  <pageSetup paperSize="9" scale="84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N47"/>
  <sheetViews>
    <sheetView view="pageBreakPreview" topLeftCell="A7" zoomScaleSheetLayoutView="100" workbookViewId="0">
      <selection activeCell="J19" sqref="J19"/>
    </sheetView>
  </sheetViews>
  <sheetFormatPr defaultColWidth="8.88671875" defaultRowHeight="13.5" x14ac:dyDescent="0.15"/>
  <cols>
    <col min="1" max="1" width="8.44140625" style="3" customWidth="1"/>
    <col min="2" max="2" width="14.77734375" style="3" customWidth="1"/>
    <col min="3" max="3" width="4.109375" style="3" customWidth="1"/>
    <col min="4" max="4" width="15.21875" style="3" customWidth="1"/>
    <col min="5" max="5" width="4.44140625" style="3" customWidth="1"/>
    <col min="6" max="6" width="4" style="3" customWidth="1"/>
    <col min="7" max="7" width="5.5546875" style="3" customWidth="1"/>
    <col min="8" max="8" width="5.44140625" style="3" customWidth="1"/>
    <col min="9" max="9" width="7.88671875" style="3" customWidth="1"/>
    <col min="10" max="10" width="7.109375" style="3" customWidth="1"/>
    <col min="11" max="11" width="7.21875" style="3" customWidth="1"/>
    <col min="12" max="12" width="6.77734375" style="3" customWidth="1"/>
    <col min="13" max="16384" width="8.88671875" style="3"/>
  </cols>
  <sheetData>
    <row r="1" spans="1:14" ht="18.75" customHeight="1" x14ac:dyDescent="0.15">
      <c r="A1" s="101" t="s">
        <v>0</v>
      </c>
      <c r="B1" s="102"/>
      <c r="C1" s="102"/>
      <c r="D1" s="102"/>
      <c r="E1" s="102"/>
      <c r="F1" s="102"/>
      <c r="G1" s="103"/>
      <c r="H1" s="107" t="s">
        <v>1</v>
      </c>
      <c r="I1" s="1" t="s">
        <v>2</v>
      </c>
      <c r="J1" s="1" t="s">
        <v>2</v>
      </c>
      <c r="K1" s="1" t="s">
        <v>3</v>
      </c>
      <c r="L1" s="2" t="s">
        <v>4</v>
      </c>
    </row>
    <row r="2" spans="1:14" ht="13.5" customHeight="1" x14ac:dyDescent="0.15">
      <c r="A2" s="104"/>
      <c r="B2" s="105"/>
      <c r="C2" s="105"/>
      <c r="D2" s="105"/>
      <c r="E2" s="105"/>
      <c r="F2" s="105"/>
      <c r="G2" s="106"/>
      <c r="H2" s="108"/>
      <c r="I2" s="110"/>
      <c r="J2" s="110"/>
      <c r="K2" s="110"/>
      <c r="L2" s="98"/>
    </row>
    <row r="3" spans="1:14" ht="13.5" customHeight="1" x14ac:dyDescent="0.15">
      <c r="A3" s="104"/>
      <c r="B3" s="105"/>
      <c r="C3" s="105"/>
      <c r="D3" s="105"/>
      <c r="E3" s="105"/>
      <c r="F3" s="105"/>
      <c r="G3" s="106"/>
      <c r="H3" s="108"/>
      <c r="I3" s="108"/>
      <c r="J3" s="108"/>
      <c r="K3" s="108"/>
      <c r="L3" s="99"/>
    </row>
    <row r="4" spans="1:14" ht="33" customHeight="1" x14ac:dyDescent="0.15">
      <c r="A4" s="4"/>
      <c r="B4" s="5"/>
      <c r="C4" s="5"/>
      <c r="D4" s="5"/>
      <c r="E4" s="5"/>
      <c r="F4" s="5"/>
      <c r="G4" s="5"/>
      <c r="H4" s="109"/>
      <c r="I4" s="109"/>
      <c r="J4" s="109"/>
      <c r="K4" s="109"/>
      <c r="L4" s="100"/>
    </row>
    <row r="5" spans="1:14" ht="17.25" customHeight="1" x14ac:dyDescent="0.15">
      <c r="A5" s="6" t="s">
        <v>5</v>
      </c>
      <c r="B5" s="87">
        <v>46049</v>
      </c>
      <c r="C5" s="88"/>
      <c r="D5" s="88"/>
      <c r="E5" s="88"/>
      <c r="F5" s="88"/>
      <c r="G5" s="88"/>
      <c r="H5" s="5"/>
      <c r="I5" s="5"/>
      <c r="J5" s="5"/>
      <c r="K5" s="5"/>
      <c r="L5" s="7"/>
    </row>
    <row r="6" spans="1:14" ht="13.5" customHeight="1" x14ac:dyDescent="0.15">
      <c r="A6" s="89" t="s">
        <v>6</v>
      </c>
      <c r="B6" s="91" t="s">
        <v>7</v>
      </c>
      <c r="C6" s="91" t="s">
        <v>8</v>
      </c>
      <c r="D6" s="91" t="s">
        <v>9</v>
      </c>
      <c r="E6" s="93" t="s">
        <v>10</v>
      </c>
      <c r="F6" s="93" t="s">
        <v>11</v>
      </c>
      <c r="G6" s="95" t="s">
        <v>12</v>
      </c>
      <c r="H6" s="96"/>
      <c r="I6" s="96"/>
      <c r="J6" s="96"/>
      <c r="K6" s="97"/>
      <c r="L6" s="83" t="s">
        <v>13</v>
      </c>
    </row>
    <row r="7" spans="1:14" x14ac:dyDescent="0.15">
      <c r="A7" s="90"/>
      <c r="B7" s="92"/>
      <c r="C7" s="92"/>
      <c r="D7" s="92"/>
      <c r="E7" s="94"/>
      <c r="F7" s="94"/>
      <c r="G7" s="8" t="s">
        <v>14</v>
      </c>
      <c r="H7" s="8" t="s">
        <v>15</v>
      </c>
      <c r="I7" s="8" t="s">
        <v>16</v>
      </c>
      <c r="J7" s="8" t="s">
        <v>17</v>
      </c>
      <c r="K7" s="8" t="s">
        <v>18</v>
      </c>
      <c r="L7" s="84"/>
    </row>
    <row r="8" spans="1:14" s="15" customFormat="1" ht="20.25" customHeight="1" x14ac:dyDescent="0.15">
      <c r="A8" s="60" t="s">
        <v>743</v>
      </c>
      <c r="B8" s="9" t="s">
        <v>173</v>
      </c>
      <c r="C8" s="58" t="s">
        <v>29</v>
      </c>
      <c r="D8" s="11" t="s">
        <v>279</v>
      </c>
      <c r="E8" s="10">
        <v>25.76</v>
      </c>
      <c r="F8" s="58"/>
      <c r="G8" s="12">
        <v>800</v>
      </c>
      <c r="H8" s="12">
        <v>690</v>
      </c>
      <c r="I8" s="17" t="s">
        <v>744</v>
      </c>
      <c r="J8" s="18">
        <v>88</v>
      </c>
      <c r="K8" s="19">
        <f>+M8*N8</f>
        <v>469.7946</v>
      </c>
      <c r="L8" s="14"/>
      <c r="M8" s="15">
        <v>43.14</v>
      </c>
      <c r="N8" s="15">
        <v>10.89</v>
      </c>
    </row>
    <row r="9" spans="1:14" s="15" customFormat="1" ht="20.25" customHeight="1" x14ac:dyDescent="0.15">
      <c r="A9" s="60" t="s">
        <v>669</v>
      </c>
      <c r="B9" s="9" t="s">
        <v>173</v>
      </c>
      <c r="C9" s="58" t="s">
        <v>29</v>
      </c>
      <c r="D9" s="11" t="s">
        <v>279</v>
      </c>
      <c r="E9" s="10">
        <v>25.76</v>
      </c>
      <c r="F9" s="58"/>
      <c r="G9" s="12">
        <v>640</v>
      </c>
      <c r="H9" s="12">
        <v>670</v>
      </c>
      <c r="I9" s="17">
        <v>10</v>
      </c>
      <c r="J9" s="18">
        <v>10</v>
      </c>
      <c r="K9" s="19">
        <f t="shared" ref="K9:K19" si="0">+M9*N9</f>
        <v>46.826999999999998</v>
      </c>
      <c r="L9" s="14"/>
      <c r="M9" s="15">
        <v>4.3</v>
      </c>
      <c r="N9" s="15">
        <v>10.89</v>
      </c>
    </row>
    <row r="10" spans="1:14" s="15" customFormat="1" ht="20.25" customHeight="1" x14ac:dyDescent="0.15">
      <c r="A10" s="60" t="s">
        <v>745</v>
      </c>
      <c r="B10" s="9" t="s">
        <v>173</v>
      </c>
      <c r="C10" s="58" t="s">
        <v>29</v>
      </c>
      <c r="D10" s="11" t="s">
        <v>279</v>
      </c>
      <c r="E10" s="10">
        <v>25.76</v>
      </c>
      <c r="F10" s="58"/>
      <c r="G10" s="12">
        <v>1445</v>
      </c>
      <c r="H10" s="12">
        <v>690</v>
      </c>
      <c r="I10" s="17" t="s">
        <v>746</v>
      </c>
      <c r="J10" s="18">
        <v>35</v>
      </c>
      <c r="K10" s="19">
        <f t="shared" si="0"/>
        <v>226.51200000000003</v>
      </c>
      <c r="L10" s="14"/>
      <c r="M10" s="15">
        <v>20.8</v>
      </c>
      <c r="N10" s="15">
        <v>10.89</v>
      </c>
    </row>
    <row r="11" spans="1:14" s="15" customFormat="1" ht="20.25" customHeight="1" x14ac:dyDescent="0.15">
      <c r="A11" s="60" t="s">
        <v>747</v>
      </c>
      <c r="B11" s="9" t="s">
        <v>173</v>
      </c>
      <c r="C11" s="58" t="s">
        <v>29</v>
      </c>
      <c r="D11" s="11" t="s">
        <v>195</v>
      </c>
      <c r="E11" s="10">
        <v>22</v>
      </c>
      <c r="F11" s="58"/>
      <c r="G11" s="12">
        <v>954</v>
      </c>
      <c r="H11" s="12">
        <v>1967</v>
      </c>
      <c r="I11" s="17" t="s">
        <v>748</v>
      </c>
      <c r="J11" s="18">
        <v>210</v>
      </c>
      <c r="K11" s="19">
        <f t="shared" si="0"/>
        <v>2073.4560000000001</v>
      </c>
      <c r="L11" s="14"/>
      <c r="M11" s="15">
        <v>190.4</v>
      </c>
      <c r="N11" s="15">
        <v>10.89</v>
      </c>
    </row>
    <row r="12" spans="1:14" s="15" customFormat="1" ht="20.25" customHeight="1" x14ac:dyDescent="0.15">
      <c r="A12" s="60" t="s">
        <v>749</v>
      </c>
      <c r="B12" s="9" t="s">
        <v>173</v>
      </c>
      <c r="C12" s="58" t="s">
        <v>29</v>
      </c>
      <c r="D12" s="11" t="s">
        <v>195</v>
      </c>
      <c r="E12" s="10">
        <v>22</v>
      </c>
      <c r="F12" s="58"/>
      <c r="G12" s="12">
        <v>754</v>
      </c>
      <c r="H12" s="12">
        <v>1967</v>
      </c>
      <c r="I12" s="17" t="s">
        <v>750</v>
      </c>
      <c r="J12" s="18">
        <v>25</v>
      </c>
      <c r="K12" s="19">
        <f t="shared" si="0"/>
        <v>487.87200000000001</v>
      </c>
      <c r="L12" s="14"/>
      <c r="M12" s="15">
        <v>44.8</v>
      </c>
      <c r="N12" s="15">
        <v>10.89</v>
      </c>
    </row>
    <row r="13" spans="1:14" s="15" customFormat="1" ht="20.25" customHeight="1" x14ac:dyDescent="0.15">
      <c r="A13" s="60" t="s">
        <v>751</v>
      </c>
      <c r="B13" s="9" t="s">
        <v>173</v>
      </c>
      <c r="C13" s="58" t="s">
        <v>29</v>
      </c>
      <c r="D13" s="11" t="s">
        <v>279</v>
      </c>
      <c r="E13" s="10">
        <v>25.76</v>
      </c>
      <c r="F13" s="58"/>
      <c r="G13" s="12">
        <v>590</v>
      </c>
      <c r="H13" s="12">
        <v>670</v>
      </c>
      <c r="I13" s="17" t="s">
        <v>752</v>
      </c>
      <c r="J13" s="18">
        <v>30</v>
      </c>
      <c r="K13" s="19">
        <f t="shared" si="0"/>
        <v>142.55010000000001</v>
      </c>
      <c r="L13" s="14"/>
      <c r="M13" s="15">
        <f>11.6+1.49</f>
        <v>13.09</v>
      </c>
      <c r="N13" s="15">
        <v>10.89</v>
      </c>
    </row>
    <row r="14" spans="1:14" s="15" customFormat="1" ht="20.25" customHeight="1" x14ac:dyDescent="0.15">
      <c r="A14" s="60" t="s">
        <v>753</v>
      </c>
      <c r="B14" s="9" t="s">
        <v>127</v>
      </c>
      <c r="C14" s="58" t="s">
        <v>29</v>
      </c>
      <c r="D14" s="11" t="s">
        <v>460</v>
      </c>
      <c r="E14" s="10">
        <v>28</v>
      </c>
      <c r="F14" s="58" t="s">
        <v>11</v>
      </c>
      <c r="G14" s="12">
        <v>985</v>
      </c>
      <c r="H14" s="12">
        <v>2605</v>
      </c>
      <c r="I14" s="17" t="s">
        <v>754</v>
      </c>
      <c r="J14" s="18">
        <v>61</v>
      </c>
      <c r="K14" s="19">
        <f t="shared" si="0"/>
        <v>1098.2565</v>
      </c>
      <c r="L14" s="20"/>
      <c r="M14" s="15">
        <v>100.85</v>
      </c>
      <c r="N14" s="15">
        <v>10.89</v>
      </c>
    </row>
    <row r="15" spans="1:14" s="15" customFormat="1" ht="20.25" customHeight="1" x14ac:dyDescent="0.15">
      <c r="A15" s="60" t="s">
        <v>755</v>
      </c>
      <c r="B15" s="9" t="s">
        <v>127</v>
      </c>
      <c r="C15" s="58" t="s">
        <v>29</v>
      </c>
      <c r="D15" s="11" t="s">
        <v>378</v>
      </c>
      <c r="E15" s="10">
        <v>28</v>
      </c>
      <c r="F15" s="58" t="s">
        <v>11</v>
      </c>
      <c r="G15" s="12">
        <v>1023</v>
      </c>
      <c r="H15" s="12">
        <v>2353</v>
      </c>
      <c r="I15" s="17" t="s">
        <v>756</v>
      </c>
      <c r="J15" s="18">
        <v>42</v>
      </c>
      <c r="K15" s="19">
        <f t="shared" si="0"/>
        <v>699.02909999999997</v>
      </c>
      <c r="L15" s="20"/>
      <c r="M15" s="15">
        <v>64.19</v>
      </c>
      <c r="N15" s="15">
        <v>10.89</v>
      </c>
    </row>
    <row r="16" spans="1:14" s="15" customFormat="1" ht="20.25" customHeight="1" x14ac:dyDescent="0.15">
      <c r="A16" s="60" t="s">
        <v>757</v>
      </c>
      <c r="B16" s="9" t="s">
        <v>173</v>
      </c>
      <c r="C16" s="58" t="s">
        <v>29</v>
      </c>
      <c r="D16" s="11" t="s">
        <v>195</v>
      </c>
      <c r="E16" s="10">
        <v>22</v>
      </c>
      <c r="F16" s="58"/>
      <c r="G16" s="12">
        <v>304</v>
      </c>
      <c r="H16" s="12">
        <v>967</v>
      </c>
      <c r="I16" s="17" t="s">
        <v>758</v>
      </c>
      <c r="J16" s="18">
        <v>60</v>
      </c>
      <c r="K16" s="19">
        <f t="shared" si="0"/>
        <v>189.48599999999999</v>
      </c>
      <c r="L16" s="20"/>
      <c r="M16" s="15">
        <v>17.399999999999999</v>
      </c>
      <c r="N16" s="15">
        <v>10.89</v>
      </c>
    </row>
    <row r="17" spans="1:14" s="15" customFormat="1" ht="20.25" customHeight="1" x14ac:dyDescent="0.15">
      <c r="A17" s="60" t="s">
        <v>759</v>
      </c>
      <c r="B17" s="9" t="s">
        <v>53</v>
      </c>
      <c r="C17" s="58" t="s">
        <v>29</v>
      </c>
      <c r="D17" s="11" t="s">
        <v>188</v>
      </c>
      <c r="E17" s="10">
        <v>22</v>
      </c>
      <c r="F17" s="58"/>
      <c r="G17" s="12">
        <v>1700</v>
      </c>
      <c r="H17" s="12">
        <v>1810</v>
      </c>
      <c r="I17" s="17" t="s">
        <v>760</v>
      </c>
      <c r="J17" s="18">
        <v>13</v>
      </c>
      <c r="K17" s="19">
        <f t="shared" si="0"/>
        <v>150.28200000000001</v>
      </c>
      <c r="L17" s="20"/>
      <c r="M17" s="15">
        <v>13.8</v>
      </c>
      <c r="N17" s="15">
        <v>10.89</v>
      </c>
    </row>
    <row r="18" spans="1:14" s="15" customFormat="1" ht="20.25" customHeight="1" x14ac:dyDescent="0.15">
      <c r="A18" s="60"/>
      <c r="B18" s="9"/>
      <c r="C18" s="58" t="s">
        <v>29</v>
      </c>
      <c r="D18" s="11" t="s">
        <v>195</v>
      </c>
      <c r="E18" s="10">
        <v>22</v>
      </c>
      <c r="F18" s="58"/>
      <c r="G18" s="12">
        <v>1400</v>
      </c>
      <c r="H18" s="12">
        <v>1810</v>
      </c>
      <c r="I18" s="17" t="s">
        <v>761</v>
      </c>
      <c r="J18" s="18">
        <v>15</v>
      </c>
      <c r="K18" s="19">
        <f t="shared" si="0"/>
        <v>169.23060000000001</v>
      </c>
      <c r="L18" s="20"/>
      <c r="M18" s="15">
        <v>15.54</v>
      </c>
      <c r="N18" s="15">
        <v>10.89</v>
      </c>
    </row>
    <row r="19" spans="1:14" s="15" customFormat="1" ht="20.25" customHeight="1" x14ac:dyDescent="0.15">
      <c r="A19" s="60" t="s">
        <v>762</v>
      </c>
      <c r="B19" s="9" t="s">
        <v>37</v>
      </c>
      <c r="C19" s="58" t="s">
        <v>29</v>
      </c>
      <c r="D19" s="11" t="s">
        <v>684</v>
      </c>
      <c r="E19" s="10"/>
      <c r="F19" s="58" t="s">
        <v>11</v>
      </c>
      <c r="G19" s="12">
        <v>1703</v>
      </c>
      <c r="H19" s="12">
        <v>1790</v>
      </c>
      <c r="I19" s="17">
        <v>1</v>
      </c>
      <c r="J19" s="18">
        <v>1</v>
      </c>
      <c r="K19" s="19">
        <f t="shared" si="0"/>
        <v>33.214500000000001</v>
      </c>
      <c r="L19" s="20"/>
      <c r="M19" s="15">
        <v>3.05</v>
      </c>
      <c r="N19" s="15">
        <v>10.89</v>
      </c>
    </row>
    <row r="20" spans="1:14" ht="20.25" customHeight="1" x14ac:dyDescent="0.15">
      <c r="A20" s="60"/>
      <c r="B20" s="9"/>
      <c r="C20" s="58"/>
      <c r="D20" s="11"/>
      <c r="E20" s="10"/>
      <c r="F20" s="58"/>
      <c r="G20" s="16"/>
      <c r="H20" s="16"/>
      <c r="I20" s="17"/>
      <c r="J20" s="18"/>
      <c r="K20" s="19">
        <f>+M20*N20</f>
        <v>0</v>
      </c>
      <c r="L20" s="14"/>
      <c r="N20" s="15">
        <v>10.89</v>
      </c>
    </row>
    <row r="21" spans="1:14" ht="20.25" customHeight="1" thickBot="1" x14ac:dyDescent="0.2">
      <c r="A21" s="56"/>
      <c r="B21" s="21"/>
      <c r="C21" s="59"/>
      <c r="D21" s="22"/>
      <c r="E21" s="23"/>
      <c r="F21" s="23"/>
      <c r="G21" s="24"/>
      <c r="H21" s="24"/>
      <c r="I21" s="25"/>
      <c r="J21" s="46">
        <f>SUM(J8:J20)</f>
        <v>590</v>
      </c>
      <c r="K21" s="47">
        <f>SUM(K8:K20)</f>
        <v>5786.5104000000001</v>
      </c>
      <c r="L21" s="26"/>
    </row>
    <row r="22" spans="1:14" ht="20.25" customHeight="1" thickTop="1" x14ac:dyDescent="0.15">
      <c r="A22" s="60" t="s">
        <v>763</v>
      </c>
      <c r="B22" s="9" t="s">
        <v>173</v>
      </c>
      <c r="C22" s="58" t="s">
        <v>29</v>
      </c>
      <c r="D22" s="11" t="s">
        <v>280</v>
      </c>
      <c r="E22" s="10">
        <v>46.76</v>
      </c>
      <c r="F22" s="10" t="s">
        <v>11</v>
      </c>
      <c r="G22" s="12">
        <v>886</v>
      </c>
      <c r="H22" s="12">
        <v>508</v>
      </c>
      <c r="I22" s="17">
        <v>5</v>
      </c>
      <c r="J22" s="18">
        <v>5</v>
      </c>
      <c r="K22" s="19">
        <f t="shared" ref="K22:K40" si="1">+M22*N22</f>
        <v>24.502500000000001</v>
      </c>
      <c r="L22" s="54"/>
      <c r="M22" s="3">
        <v>2.25</v>
      </c>
      <c r="N22" s="15">
        <v>10.89</v>
      </c>
    </row>
    <row r="23" spans="1:14" ht="20.25" customHeight="1" x14ac:dyDescent="0.15">
      <c r="A23" s="60" t="s">
        <v>709</v>
      </c>
      <c r="B23" s="9" t="s">
        <v>173</v>
      </c>
      <c r="C23" s="58" t="s">
        <v>29</v>
      </c>
      <c r="D23" s="11" t="s">
        <v>280</v>
      </c>
      <c r="E23" s="10">
        <v>46.76</v>
      </c>
      <c r="F23" s="10" t="s">
        <v>11</v>
      </c>
      <c r="G23" s="12">
        <v>786</v>
      </c>
      <c r="H23" s="12">
        <v>508</v>
      </c>
      <c r="I23" s="17">
        <v>10</v>
      </c>
      <c r="J23" s="18">
        <v>10</v>
      </c>
      <c r="K23" s="19">
        <f t="shared" si="1"/>
        <v>43.56</v>
      </c>
      <c r="L23" s="54"/>
      <c r="M23" s="3">
        <v>4</v>
      </c>
      <c r="N23" s="15">
        <v>10.89</v>
      </c>
    </row>
    <row r="24" spans="1:14" ht="20.25" customHeight="1" x14ac:dyDescent="0.15">
      <c r="A24" s="60" t="s">
        <v>669</v>
      </c>
      <c r="B24" s="9" t="s">
        <v>173</v>
      </c>
      <c r="C24" s="58" t="s">
        <v>29</v>
      </c>
      <c r="D24" s="11" t="s">
        <v>280</v>
      </c>
      <c r="E24" s="10">
        <v>46.76</v>
      </c>
      <c r="F24" s="10" t="s">
        <v>11</v>
      </c>
      <c r="G24" s="12">
        <v>886</v>
      </c>
      <c r="H24" s="12">
        <v>508</v>
      </c>
      <c r="I24" s="17">
        <v>5</v>
      </c>
      <c r="J24" s="18">
        <v>5</v>
      </c>
      <c r="K24" s="19">
        <f t="shared" si="1"/>
        <v>24.502500000000001</v>
      </c>
      <c r="L24" s="54"/>
      <c r="M24" s="3">
        <v>2.25</v>
      </c>
      <c r="N24" s="15">
        <v>10.89</v>
      </c>
    </row>
    <row r="25" spans="1:14" ht="20.25" customHeight="1" x14ac:dyDescent="0.15">
      <c r="A25" s="60" t="s">
        <v>745</v>
      </c>
      <c r="B25" s="9" t="s">
        <v>173</v>
      </c>
      <c r="C25" s="58" t="s">
        <v>29</v>
      </c>
      <c r="D25" s="11" t="s">
        <v>280</v>
      </c>
      <c r="E25" s="10">
        <v>46.76</v>
      </c>
      <c r="F25" s="10" t="s">
        <v>11</v>
      </c>
      <c r="G25" s="12">
        <v>886</v>
      </c>
      <c r="H25" s="12">
        <v>508</v>
      </c>
      <c r="I25" s="17">
        <v>5</v>
      </c>
      <c r="J25" s="18">
        <v>5</v>
      </c>
      <c r="K25" s="19">
        <f t="shared" si="1"/>
        <v>24.502500000000001</v>
      </c>
      <c r="L25" s="54"/>
      <c r="M25" s="3">
        <v>2.25</v>
      </c>
      <c r="N25" s="15">
        <v>10.89</v>
      </c>
    </row>
    <row r="26" spans="1:14" ht="20.25" customHeight="1" x14ac:dyDescent="0.15">
      <c r="A26" s="61" t="s">
        <v>751</v>
      </c>
      <c r="B26" s="9" t="s">
        <v>173</v>
      </c>
      <c r="C26" s="58" t="s">
        <v>29</v>
      </c>
      <c r="D26" s="11" t="s">
        <v>280</v>
      </c>
      <c r="E26" s="10">
        <v>46.76</v>
      </c>
      <c r="F26" s="10" t="s">
        <v>11</v>
      </c>
      <c r="G26" s="12">
        <v>886</v>
      </c>
      <c r="H26" s="12">
        <v>508</v>
      </c>
      <c r="I26" s="17">
        <v>5</v>
      </c>
      <c r="J26" s="18">
        <v>5</v>
      </c>
      <c r="K26" s="19">
        <f t="shared" si="1"/>
        <v>24.502500000000001</v>
      </c>
      <c r="L26" s="54"/>
      <c r="M26" s="3">
        <v>2.25</v>
      </c>
      <c r="N26" s="15">
        <v>10.89</v>
      </c>
    </row>
    <row r="27" spans="1:14" ht="20.25" customHeight="1" x14ac:dyDescent="0.15">
      <c r="A27" s="61" t="s">
        <v>764</v>
      </c>
      <c r="B27" s="9" t="s">
        <v>148</v>
      </c>
      <c r="C27" s="58" t="s">
        <v>29</v>
      </c>
      <c r="D27" s="11" t="s">
        <v>217</v>
      </c>
      <c r="E27" s="10">
        <v>22</v>
      </c>
      <c r="F27" s="10" t="s">
        <v>11</v>
      </c>
      <c r="G27" s="12">
        <v>1433</v>
      </c>
      <c r="H27" s="12">
        <v>1875</v>
      </c>
      <c r="I27" s="51" t="s">
        <v>766</v>
      </c>
      <c r="J27" s="52">
        <v>44</v>
      </c>
      <c r="K27" s="53">
        <f t="shared" si="1"/>
        <v>457.92449999999997</v>
      </c>
      <c r="L27" s="54"/>
      <c r="M27" s="3">
        <v>42.05</v>
      </c>
      <c r="N27" s="15">
        <v>10.89</v>
      </c>
    </row>
    <row r="28" spans="1:14" ht="20.25" customHeight="1" x14ac:dyDescent="0.15">
      <c r="A28" s="61"/>
      <c r="B28" s="9"/>
      <c r="C28" s="58" t="s">
        <v>29</v>
      </c>
      <c r="D28" s="11" t="s">
        <v>765</v>
      </c>
      <c r="E28" s="10">
        <v>22</v>
      </c>
      <c r="F28" s="10" t="s">
        <v>11</v>
      </c>
      <c r="G28" s="12">
        <v>465</v>
      </c>
      <c r="H28" s="12">
        <v>2075</v>
      </c>
      <c r="I28" s="51" t="s">
        <v>767</v>
      </c>
      <c r="J28" s="52">
        <v>3</v>
      </c>
      <c r="K28" s="53">
        <f t="shared" si="1"/>
        <v>16.552800000000001</v>
      </c>
      <c r="L28" s="54"/>
      <c r="M28" s="3">
        <v>1.52</v>
      </c>
      <c r="N28" s="15">
        <v>10.89</v>
      </c>
    </row>
    <row r="29" spans="1:14" ht="20.25" customHeight="1" x14ac:dyDescent="0.15">
      <c r="A29" s="60" t="s">
        <v>768</v>
      </c>
      <c r="B29" s="9" t="s">
        <v>187</v>
      </c>
      <c r="C29" s="58" t="s">
        <v>29</v>
      </c>
      <c r="D29" s="11" t="s">
        <v>769</v>
      </c>
      <c r="E29" s="10">
        <v>24</v>
      </c>
      <c r="F29" s="10" t="s">
        <v>11</v>
      </c>
      <c r="G29" s="12">
        <v>1140</v>
      </c>
      <c r="H29" s="12">
        <v>473</v>
      </c>
      <c r="I29" s="17" t="s">
        <v>770</v>
      </c>
      <c r="J29" s="18">
        <f>4+38</f>
        <v>42</v>
      </c>
      <c r="K29" s="19">
        <f t="shared" si="1"/>
        <v>431.35290000000003</v>
      </c>
      <c r="L29" s="27"/>
      <c r="M29" s="3">
        <v>39.61</v>
      </c>
      <c r="N29" s="15">
        <v>10.89</v>
      </c>
    </row>
    <row r="30" spans="1:14" ht="20.25" customHeight="1" x14ac:dyDescent="0.15">
      <c r="A30" s="60" t="s">
        <v>771</v>
      </c>
      <c r="B30" s="9" t="s">
        <v>148</v>
      </c>
      <c r="C30" s="58" t="s">
        <v>29</v>
      </c>
      <c r="D30" s="11" t="s">
        <v>765</v>
      </c>
      <c r="E30" s="10">
        <v>24</v>
      </c>
      <c r="F30" s="10" t="s">
        <v>11</v>
      </c>
      <c r="G30" s="12">
        <v>465</v>
      </c>
      <c r="H30" s="12">
        <v>215</v>
      </c>
      <c r="I30" s="17" t="s">
        <v>767</v>
      </c>
      <c r="J30" s="18">
        <v>3</v>
      </c>
      <c r="K30" s="19">
        <f t="shared" si="1"/>
        <v>16.552800000000001</v>
      </c>
      <c r="L30" s="27"/>
      <c r="M30" s="3">
        <v>1.52</v>
      </c>
      <c r="N30" s="15">
        <v>10.89</v>
      </c>
    </row>
    <row r="31" spans="1:14" ht="20.25" customHeight="1" x14ac:dyDescent="0.15">
      <c r="A31" s="60" t="s">
        <v>772</v>
      </c>
      <c r="B31" s="9" t="s">
        <v>773</v>
      </c>
      <c r="C31" s="58" t="s">
        <v>29</v>
      </c>
      <c r="D31" s="11" t="s">
        <v>774</v>
      </c>
      <c r="E31" s="10">
        <v>43</v>
      </c>
      <c r="F31" s="10" t="s">
        <v>11</v>
      </c>
      <c r="G31" s="12">
        <v>884</v>
      </c>
      <c r="H31" s="12">
        <v>2074</v>
      </c>
      <c r="I31" s="17" t="s">
        <v>775</v>
      </c>
      <c r="J31" s="18">
        <f>4+47</f>
        <v>51</v>
      </c>
      <c r="K31" s="19">
        <f t="shared" si="1"/>
        <v>655.36020000000008</v>
      </c>
      <c r="L31" s="27"/>
      <c r="M31" s="3">
        <v>60.18</v>
      </c>
      <c r="N31" s="15">
        <v>10.89</v>
      </c>
    </row>
    <row r="32" spans="1:14" ht="20.25" customHeight="1" x14ac:dyDescent="0.15">
      <c r="A32" s="60" t="s">
        <v>776</v>
      </c>
      <c r="B32" s="9" t="s">
        <v>773</v>
      </c>
      <c r="C32" s="58" t="s">
        <v>29</v>
      </c>
      <c r="D32" s="11" t="s">
        <v>774</v>
      </c>
      <c r="E32" s="10">
        <v>43</v>
      </c>
      <c r="F32" s="10" t="s">
        <v>11</v>
      </c>
      <c r="G32" s="12">
        <v>994</v>
      </c>
      <c r="H32" s="12">
        <v>2074</v>
      </c>
      <c r="I32" s="17" t="s">
        <v>777</v>
      </c>
      <c r="J32" s="18">
        <v>98</v>
      </c>
      <c r="K32" s="19">
        <f t="shared" si="1"/>
        <v>901.47420000000011</v>
      </c>
      <c r="L32" s="27"/>
      <c r="M32" s="3">
        <v>82.78</v>
      </c>
      <c r="N32" s="15">
        <v>10.89</v>
      </c>
    </row>
    <row r="33" spans="1:14" ht="20.25" customHeight="1" x14ac:dyDescent="0.15">
      <c r="A33" s="60" t="s">
        <v>778</v>
      </c>
      <c r="B33" s="9" t="s">
        <v>773</v>
      </c>
      <c r="C33" s="58" t="s">
        <v>29</v>
      </c>
      <c r="D33" s="11" t="s">
        <v>774</v>
      </c>
      <c r="E33" s="10">
        <v>43</v>
      </c>
      <c r="F33" s="10" t="s">
        <v>11</v>
      </c>
      <c r="G33" s="12">
        <v>736</v>
      </c>
      <c r="H33" s="12">
        <v>1879</v>
      </c>
      <c r="I33" s="17" t="s">
        <v>779</v>
      </c>
      <c r="J33" s="18">
        <v>37</v>
      </c>
      <c r="K33" s="19">
        <f t="shared" si="1"/>
        <v>453.02400000000006</v>
      </c>
      <c r="L33" s="27"/>
      <c r="M33" s="3">
        <v>41.6</v>
      </c>
      <c r="N33" s="15">
        <v>10.89</v>
      </c>
    </row>
    <row r="34" spans="1:14" ht="20.25" customHeight="1" x14ac:dyDescent="0.15">
      <c r="A34" s="60" t="s">
        <v>780</v>
      </c>
      <c r="B34" s="9" t="s">
        <v>178</v>
      </c>
      <c r="C34" s="58" t="s">
        <v>29</v>
      </c>
      <c r="D34" s="11" t="s">
        <v>247</v>
      </c>
      <c r="E34" s="10">
        <v>24</v>
      </c>
      <c r="F34" s="10" t="s">
        <v>11</v>
      </c>
      <c r="G34" s="12">
        <v>950</v>
      </c>
      <c r="H34" s="12">
        <v>945</v>
      </c>
      <c r="I34" s="17">
        <v>2</v>
      </c>
      <c r="J34" s="18">
        <v>2</v>
      </c>
      <c r="K34" s="19">
        <f t="shared" si="1"/>
        <v>19.602</v>
      </c>
      <c r="L34" s="27"/>
      <c r="M34" s="3">
        <v>1.8</v>
      </c>
      <c r="N34" s="15">
        <v>10.89</v>
      </c>
    </row>
    <row r="35" spans="1:14" ht="20.25" customHeight="1" x14ac:dyDescent="0.15">
      <c r="A35" s="60" t="s">
        <v>739</v>
      </c>
      <c r="B35" s="9" t="s">
        <v>178</v>
      </c>
      <c r="C35" s="58" t="s">
        <v>29</v>
      </c>
      <c r="D35" s="11" t="s">
        <v>247</v>
      </c>
      <c r="E35" s="10">
        <v>24</v>
      </c>
      <c r="F35" s="10" t="s">
        <v>11</v>
      </c>
      <c r="G35" s="12">
        <v>950</v>
      </c>
      <c r="H35" s="12">
        <v>1943</v>
      </c>
      <c r="I35" s="17" t="s">
        <v>781</v>
      </c>
      <c r="J35" s="18">
        <v>8</v>
      </c>
      <c r="K35" s="19">
        <f t="shared" si="1"/>
        <v>66.646799999999999</v>
      </c>
      <c r="L35" s="27"/>
      <c r="M35" s="3">
        <v>6.12</v>
      </c>
      <c r="N35" s="15">
        <v>10.89</v>
      </c>
    </row>
    <row r="36" spans="1:14" ht="20.25" customHeight="1" x14ac:dyDescent="0.15">
      <c r="A36" s="60" t="s">
        <v>782</v>
      </c>
      <c r="B36" s="9" t="s">
        <v>175</v>
      </c>
      <c r="C36" s="58" t="s">
        <v>29</v>
      </c>
      <c r="D36" s="11" t="s">
        <v>415</v>
      </c>
      <c r="E36" s="10">
        <v>28</v>
      </c>
      <c r="F36" s="10" t="s">
        <v>11</v>
      </c>
      <c r="G36" s="12">
        <v>905</v>
      </c>
      <c r="H36" s="12">
        <v>445</v>
      </c>
      <c r="I36" s="17">
        <v>1</v>
      </c>
      <c r="J36" s="18">
        <v>1</v>
      </c>
      <c r="K36" s="19">
        <f t="shared" si="1"/>
        <v>4.3560000000000008</v>
      </c>
      <c r="L36" s="27"/>
      <c r="M36" s="3">
        <v>0.4</v>
      </c>
      <c r="N36" s="15">
        <v>10.89</v>
      </c>
    </row>
    <row r="37" spans="1:14" s="15" customFormat="1" ht="20.25" customHeight="1" x14ac:dyDescent="0.15">
      <c r="A37" s="60" t="s">
        <v>783</v>
      </c>
      <c r="B37" s="9" t="s">
        <v>80</v>
      </c>
      <c r="C37" s="58" t="s">
        <v>29</v>
      </c>
      <c r="D37" s="11" t="s">
        <v>243</v>
      </c>
      <c r="E37" s="10">
        <v>24</v>
      </c>
      <c r="F37" s="58" t="s">
        <v>11</v>
      </c>
      <c r="G37" s="12">
        <v>1065</v>
      </c>
      <c r="H37" s="12">
        <v>1385</v>
      </c>
      <c r="I37" s="17" t="s">
        <v>784</v>
      </c>
      <c r="J37" s="18">
        <v>2</v>
      </c>
      <c r="K37" s="19">
        <f>+M37*N37</f>
        <v>35.501399999999997</v>
      </c>
      <c r="L37" s="20"/>
      <c r="M37" s="15">
        <v>3.26</v>
      </c>
      <c r="N37" s="15">
        <v>10.89</v>
      </c>
    </row>
    <row r="38" spans="1:14" s="15" customFormat="1" ht="20.25" customHeight="1" x14ac:dyDescent="0.15">
      <c r="A38" s="60" t="s">
        <v>785</v>
      </c>
      <c r="B38" s="9" t="s">
        <v>152</v>
      </c>
      <c r="C38" s="58" t="s">
        <v>29</v>
      </c>
      <c r="D38" s="11" t="s">
        <v>276</v>
      </c>
      <c r="E38" s="10">
        <v>24</v>
      </c>
      <c r="F38" s="58" t="s">
        <v>11</v>
      </c>
      <c r="G38" s="50">
        <v>1370</v>
      </c>
      <c r="H38" s="50">
        <v>2105</v>
      </c>
      <c r="I38" s="17" t="s">
        <v>786</v>
      </c>
      <c r="J38" s="18">
        <v>4</v>
      </c>
      <c r="K38" s="19">
        <f>+M38*N38</f>
        <v>52.054200000000009</v>
      </c>
      <c r="L38" s="20"/>
      <c r="M38" s="15">
        <v>4.78</v>
      </c>
      <c r="N38" s="15">
        <v>10.89</v>
      </c>
    </row>
    <row r="39" spans="1:14" s="15" customFormat="1" ht="20.25" customHeight="1" x14ac:dyDescent="0.15">
      <c r="A39" s="60" t="s">
        <v>787</v>
      </c>
      <c r="B39" s="9" t="s">
        <v>182</v>
      </c>
      <c r="C39" s="58" t="s">
        <v>29</v>
      </c>
      <c r="D39" s="11" t="s">
        <v>677</v>
      </c>
      <c r="E39" s="10">
        <v>26</v>
      </c>
      <c r="F39" s="58" t="s">
        <v>11</v>
      </c>
      <c r="G39" s="50">
        <v>765</v>
      </c>
      <c r="H39" s="50">
        <v>2715</v>
      </c>
      <c r="I39" s="17" t="s">
        <v>788</v>
      </c>
      <c r="J39" s="18">
        <v>8</v>
      </c>
      <c r="K39" s="19">
        <f>+M39*N39</f>
        <v>134.05590000000001</v>
      </c>
      <c r="L39" s="20"/>
      <c r="M39" s="15">
        <v>12.31</v>
      </c>
      <c r="N39" s="15">
        <v>10.89</v>
      </c>
    </row>
    <row r="40" spans="1:14" ht="20.25" customHeight="1" x14ac:dyDescent="0.15">
      <c r="A40" s="60"/>
      <c r="B40" s="9"/>
      <c r="C40" s="58"/>
      <c r="D40" s="11"/>
      <c r="E40" s="10"/>
      <c r="F40" s="10"/>
      <c r="G40" s="12"/>
      <c r="H40" s="12"/>
      <c r="I40" s="17"/>
      <c r="J40" s="18"/>
      <c r="K40" s="19">
        <f t="shared" si="1"/>
        <v>0</v>
      </c>
      <c r="L40" s="27"/>
      <c r="N40" s="15">
        <v>10.89</v>
      </c>
    </row>
    <row r="41" spans="1:14" ht="20.25" customHeight="1" x14ac:dyDescent="0.15">
      <c r="A41" s="57"/>
      <c r="B41" s="28"/>
      <c r="C41" s="10"/>
      <c r="D41" s="29"/>
      <c r="E41" s="30"/>
      <c r="F41" s="30"/>
      <c r="G41" s="30"/>
      <c r="H41" s="30"/>
      <c r="I41" s="13"/>
      <c r="J41" s="48">
        <f>SUM(J22:J40)</f>
        <v>333</v>
      </c>
      <c r="K41" s="49">
        <f>SUM(K22:K40)</f>
        <v>3386.0277000000001</v>
      </c>
      <c r="L41" s="31"/>
      <c r="N41" s="32"/>
    </row>
    <row r="42" spans="1:14" ht="20.25" customHeight="1" thickBot="1" x14ac:dyDescent="0.2">
      <c r="A42" s="55"/>
      <c r="B42" s="33"/>
      <c r="C42" s="33"/>
      <c r="D42" s="33"/>
      <c r="E42" s="33"/>
      <c r="F42" s="33"/>
      <c r="G42" s="33"/>
      <c r="H42" s="33"/>
      <c r="I42" s="33"/>
      <c r="J42" s="34"/>
      <c r="K42" s="35"/>
      <c r="L42" s="36"/>
    </row>
    <row r="43" spans="1:14" ht="20.25" customHeight="1" thickBot="1" x14ac:dyDescent="0.2">
      <c r="A43" s="37" t="s">
        <v>19</v>
      </c>
      <c r="B43" s="38" t="s">
        <v>20</v>
      </c>
      <c r="C43" s="77" t="s">
        <v>21</v>
      </c>
      <c r="D43" s="79"/>
      <c r="E43" s="77" t="s">
        <v>22</v>
      </c>
      <c r="F43" s="78"/>
      <c r="G43" s="79"/>
      <c r="H43" s="85" t="s">
        <v>23</v>
      </c>
      <c r="I43" s="86"/>
      <c r="J43" s="77" t="s">
        <v>24</v>
      </c>
      <c r="K43" s="79"/>
      <c r="L43" s="39" t="s">
        <v>13</v>
      </c>
    </row>
    <row r="44" spans="1:14" ht="20.25" customHeight="1" thickBot="1" x14ac:dyDescent="0.2">
      <c r="A44" s="40">
        <f>SUMIF($C$8:$C$42,"U1",$J$8:$J$42)</f>
        <v>0</v>
      </c>
      <c r="B44" s="41">
        <f>SUMIF($C$8:$C$42,"U2",$J$8:$J$42)</f>
        <v>0</v>
      </c>
      <c r="C44" s="77">
        <f>SUMIF($C$8:$C$42,"U3-1",$J$8:$J$42)</f>
        <v>0</v>
      </c>
      <c r="D44" s="79"/>
      <c r="E44" s="77">
        <f>SUMIF($C$8:$C$42,"U3",$J$8:$J$42)</f>
        <v>923</v>
      </c>
      <c r="F44" s="78"/>
      <c r="G44" s="79"/>
      <c r="H44" s="77">
        <f>SUMIF($C$8:$C$42,"E5",$J$8:$J$42)</f>
        <v>0</v>
      </c>
      <c r="I44" s="79"/>
      <c r="J44" s="77">
        <f>SUM(A44:I44)</f>
        <v>923</v>
      </c>
      <c r="K44" s="79"/>
      <c r="L44" s="42"/>
    </row>
    <row r="45" spans="1:14" ht="20.25" customHeight="1" thickBot="1" x14ac:dyDescent="0.2">
      <c r="A45" s="43" t="s">
        <v>25</v>
      </c>
      <c r="B45" s="44" t="s">
        <v>26</v>
      </c>
      <c r="C45" s="75">
        <v>13876</v>
      </c>
      <c r="D45" s="76"/>
      <c r="E45" s="77" t="s">
        <v>27</v>
      </c>
      <c r="F45" s="78"/>
      <c r="G45" s="78"/>
      <c r="H45" s="78"/>
      <c r="I45" s="79"/>
      <c r="J45" s="80">
        <v>146744.37</v>
      </c>
      <c r="K45" s="81"/>
      <c r="L45" s="82"/>
    </row>
    <row r="47" spans="1:14" x14ac:dyDescent="0.15">
      <c r="D47" s="45"/>
    </row>
  </sheetData>
  <mergeCells count="26">
    <mergeCell ref="L2:L4"/>
    <mergeCell ref="A1:G3"/>
    <mergeCell ref="H1:H4"/>
    <mergeCell ref="I2:I4"/>
    <mergeCell ref="J2:J4"/>
    <mergeCell ref="K2:K4"/>
    <mergeCell ref="B5:G5"/>
    <mergeCell ref="A6:A7"/>
    <mergeCell ref="B6:B7"/>
    <mergeCell ref="C6:C7"/>
    <mergeCell ref="D6:D7"/>
    <mergeCell ref="E6:E7"/>
    <mergeCell ref="F6:F7"/>
    <mergeCell ref="G6:K6"/>
    <mergeCell ref="C45:D45"/>
    <mergeCell ref="E45:I45"/>
    <mergeCell ref="J45:L45"/>
    <mergeCell ref="L6:L7"/>
    <mergeCell ref="C43:D43"/>
    <mergeCell ref="E43:G43"/>
    <mergeCell ref="H43:I43"/>
    <mergeCell ref="J43:K43"/>
    <mergeCell ref="C44:D44"/>
    <mergeCell ref="E44:G44"/>
    <mergeCell ref="H44:I44"/>
    <mergeCell ref="J44:K44"/>
  </mergeCells>
  <phoneticPr fontId="2" type="noConversion"/>
  <printOptions horizontalCentered="1"/>
  <pageMargins left="0.39370078740157483" right="0.39370078740157483" top="0.74803149606299213" bottom="0.19685039370078741" header="0.31496062992125984" footer="0.15748031496062992"/>
  <pageSetup paperSize="9" scale="84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N47"/>
  <sheetViews>
    <sheetView view="pageBreakPreview" zoomScaleSheetLayoutView="100" workbookViewId="0">
      <selection activeCell="K24" sqref="K24"/>
    </sheetView>
  </sheetViews>
  <sheetFormatPr defaultColWidth="8.88671875" defaultRowHeight="13.5" x14ac:dyDescent="0.15"/>
  <cols>
    <col min="1" max="1" width="8.44140625" style="3" customWidth="1"/>
    <col min="2" max="2" width="14.77734375" style="3" customWidth="1"/>
    <col min="3" max="3" width="4.109375" style="3" customWidth="1"/>
    <col min="4" max="4" width="15.21875" style="3" customWidth="1"/>
    <col min="5" max="5" width="4.44140625" style="3" customWidth="1"/>
    <col min="6" max="6" width="4" style="3" customWidth="1"/>
    <col min="7" max="7" width="5.5546875" style="3" customWidth="1"/>
    <col min="8" max="8" width="5.44140625" style="3" customWidth="1"/>
    <col min="9" max="9" width="7.88671875" style="3" customWidth="1"/>
    <col min="10" max="10" width="7.109375" style="3" customWidth="1"/>
    <col min="11" max="11" width="7.21875" style="3" customWidth="1"/>
    <col min="12" max="12" width="6.77734375" style="3" customWidth="1"/>
    <col min="13" max="16384" width="8.88671875" style="3"/>
  </cols>
  <sheetData>
    <row r="1" spans="1:14" ht="18.75" customHeight="1" x14ac:dyDescent="0.15">
      <c r="A1" s="101" t="s">
        <v>0</v>
      </c>
      <c r="B1" s="102"/>
      <c r="C1" s="102"/>
      <c r="D1" s="102"/>
      <c r="E1" s="102"/>
      <c r="F1" s="102"/>
      <c r="G1" s="103"/>
      <c r="H1" s="107" t="s">
        <v>1</v>
      </c>
      <c r="I1" s="1" t="s">
        <v>2</v>
      </c>
      <c r="J1" s="1" t="s">
        <v>2</v>
      </c>
      <c r="K1" s="1" t="s">
        <v>3</v>
      </c>
      <c r="L1" s="2" t="s">
        <v>4</v>
      </c>
    </row>
    <row r="2" spans="1:14" ht="13.5" customHeight="1" x14ac:dyDescent="0.15">
      <c r="A2" s="104"/>
      <c r="B2" s="105"/>
      <c r="C2" s="105"/>
      <c r="D2" s="105"/>
      <c r="E2" s="105"/>
      <c r="F2" s="105"/>
      <c r="G2" s="106"/>
      <c r="H2" s="108"/>
      <c r="I2" s="110"/>
      <c r="J2" s="110"/>
      <c r="K2" s="110"/>
      <c r="L2" s="98"/>
    </row>
    <row r="3" spans="1:14" ht="13.5" customHeight="1" x14ac:dyDescent="0.15">
      <c r="A3" s="104"/>
      <c r="B3" s="105"/>
      <c r="C3" s="105"/>
      <c r="D3" s="105"/>
      <c r="E3" s="105"/>
      <c r="F3" s="105"/>
      <c r="G3" s="106"/>
      <c r="H3" s="108"/>
      <c r="I3" s="108"/>
      <c r="J3" s="108"/>
      <c r="K3" s="108"/>
      <c r="L3" s="99"/>
    </row>
    <row r="4" spans="1:14" ht="33" customHeight="1" x14ac:dyDescent="0.15">
      <c r="A4" s="4"/>
      <c r="B4" s="5"/>
      <c r="C4" s="5"/>
      <c r="D4" s="5"/>
      <c r="E4" s="5"/>
      <c r="F4" s="5"/>
      <c r="G4" s="5"/>
      <c r="H4" s="109"/>
      <c r="I4" s="109"/>
      <c r="J4" s="109"/>
      <c r="K4" s="109"/>
      <c r="L4" s="100"/>
    </row>
    <row r="5" spans="1:14" ht="17.25" customHeight="1" x14ac:dyDescent="0.15">
      <c r="A5" s="6" t="s">
        <v>5</v>
      </c>
      <c r="B5" s="87">
        <v>46050</v>
      </c>
      <c r="C5" s="88"/>
      <c r="D5" s="88"/>
      <c r="E5" s="88"/>
      <c r="F5" s="88"/>
      <c r="G5" s="88"/>
      <c r="H5" s="5"/>
      <c r="I5" s="5"/>
      <c r="J5" s="5"/>
      <c r="K5" s="5"/>
      <c r="L5" s="7"/>
    </row>
    <row r="6" spans="1:14" ht="13.5" customHeight="1" x14ac:dyDescent="0.15">
      <c r="A6" s="89" t="s">
        <v>6</v>
      </c>
      <c r="B6" s="91" t="s">
        <v>7</v>
      </c>
      <c r="C6" s="91" t="s">
        <v>8</v>
      </c>
      <c r="D6" s="91" t="s">
        <v>9</v>
      </c>
      <c r="E6" s="93" t="s">
        <v>10</v>
      </c>
      <c r="F6" s="93" t="s">
        <v>11</v>
      </c>
      <c r="G6" s="95" t="s">
        <v>12</v>
      </c>
      <c r="H6" s="96"/>
      <c r="I6" s="96"/>
      <c r="J6" s="96"/>
      <c r="K6" s="97"/>
      <c r="L6" s="83" t="s">
        <v>13</v>
      </c>
    </row>
    <row r="7" spans="1:14" x14ac:dyDescent="0.15">
      <c r="A7" s="90"/>
      <c r="B7" s="92"/>
      <c r="C7" s="92"/>
      <c r="D7" s="92"/>
      <c r="E7" s="94"/>
      <c r="F7" s="94"/>
      <c r="G7" s="8" t="s">
        <v>14</v>
      </c>
      <c r="H7" s="8" t="s">
        <v>15</v>
      </c>
      <c r="I7" s="8" t="s">
        <v>16</v>
      </c>
      <c r="J7" s="8" t="s">
        <v>17</v>
      </c>
      <c r="K7" s="8" t="s">
        <v>18</v>
      </c>
      <c r="L7" s="84"/>
    </row>
    <row r="8" spans="1:14" s="15" customFormat="1" ht="20.25" customHeight="1" x14ac:dyDescent="0.15">
      <c r="A8" s="60" t="s">
        <v>789</v>
      </c>
      <c r="B8" s="9" t="s">
        <v>173</v>
      </c>
      <c r="C8" s="58" t="s">
        <v>29</v>
      </c>
      <c r="D8" s="11" t="s">
        <v>195</v>
      </c>
      <c r="E8" s="10">
        <v>22</v>
      </c>
      <c r="F8" s="58"/>
      <c r="G8" s="12">
        <v>710</v>
      </c>
      <c r="H8" s="12">
        <v>1885</v>
      </c>
      <c r="I8" s="17" t="s">
        <v>790</v>
      </c>
      <c r="J8" s="18">
        <v>75</v>
      </c>
      <c r="K8" s="19">
        <f>+M8*N8</f>
        <v>456.291</v>
      </c>
      <c r="L8" s="14"/>
      <c r="M8" s="15">
        <v>41.9</v>
      </c>
      <c r="N8" s="15">
        <v>10.89</v>
      </c>
    </row>
    <row r="9" spans="1:14" s="15" customFormat="1" ht="20.25" customHeight="1" x14ac:dyDescent="0.15">
      <c r="A9" s="60" t="s">
        <v>791</v>
      </c>
      <c r="B9" s="9" t="s">
        <v>173</v>
      </c>
      <c r="C9" s="58" t="s">
        <v>29</v>
      </c>
      <c r="D9" s="11" t="s">
        <v>195</v>
      </c>
      <c r="E9" s="10">
        <v>22</v>
      </c>
      <c r="F9" s="58"/>
      <c r="G9" s="12">
        <v>604</v>
      </c>
      <c r="H9" s="12">
        <v>1967</v>
      </c>
      <c r="I9" s="17" t="s">
        <v>792</v>
      </c>
      <c r="J9" s="18">
        <v>120</v>
      </c>
      <c r="K9" s="19">
        <f t="shared" ref="K9:K23" si="0">+M9*N9</f>
        <v>1053.6075000000001</v>
      </c>
      <c r="L9" s="14"/>
      <c r="M9" s="15">
        <v>96.75</v>
      </c>
      <c r="N9" s="15">
        <v>10.89</v>
      </c>
    </row>
    <row r="10" spans="1:14" s="15" customFormat="1" ht="20.25" customHeight="1" x14ac:dyDescent="0.15">
      <c r="A10" s="60" t="s">
        <v>793</v>
      </c>
      <c r="B10" s="9" t="s">
        <v>173</v>
      </c>
      <c r="C10" s="58" t="s">
        <v>29</v>
      </c>
      <c r="D10" s="11" t="s">
        <v>195</v>
      </c>
      <c r="E10" s="10">
        <v>22</v>
      </c>
      <c r="F10" s="58"/>
      <c r="G10" s="12">
        <v>754</v>
      </c>
      <c r="H10" s="12">
        <v>1967</v>
      </c>
      <c r="I10" s="17" t="s">
        <v>750</v>
      </c>
      <c r="J10" s="18">
        <v>125</v>
      </c>
      <c r="K10" s="19">
        <f t="shared" si="0"/>
        <v>1175.5755000000001</v>
      </c>
      <c r="L10" s="14"/>
      <c r="M10" s="15">
        <v>107.95</v>
      </c>
      <c r="N10" s="15">
        <v>10.89</v>
      </c>
    </row>
    <row r="11" spans="1:14" s="15" customFormat="1" ht="20.25" customHeight="1" x14ac:dyDescent="0.15">
      <c r="A11" s="60" t="s">
        <v>794</v>
      </c>
      <c r="B11" s="9" t="s">
        <v>127</v>
      </c>
      <c r="C11" s="58" t="s">
        <v>29</v>
      </c>
      <c r="D11" s="11" t="s">
        <v>554</v>
      </c>
      <c r="E11" s="10">
        <v>28</v>
      </c>
      <c r="F11" s="58" t="s">
        <v>11</v>
      </c>
      <c r="G11" s="12">
        <v>1011</v>
      </c>
      <c r="H11" s="12">
        <v>3905</v>
      </c>
      <c r="I11" s="17" t="s">
        <v>795</v>
      </c>
      <c r="J11" s="18">
        <v>33</v>
      </c>
      <c r="K11" s="19">
        <f t="shared" si="0"/>
        <v>1361.9034000000001</v>
      </c>
      <c r="L11" s="14"/>
      <c r="M11" s="15">
        <v>125.06</v>
      </c>
      <c r="N11" s="15">
        <v>10.89</v>
      </c>
    </row>
    <row r="12" spans="1:14" s="15" customFormat="1" ht="20.25" customHeight="1" x14ac:dyDescent="0.15">
      <c r="A12" s="60" t="s">
        <v>796</v>
      </c>
      <c r="B12" s="9" t="s">
        <v>127</v>
      </c>
      <c r="C12" s="58" t="s">
        <v>29</v>
      </c>
      <c r="D12" s="11" t="s">
        <v>554</v>
      </c>
      <c r="E12" s="10">
        <v>28</v>
      </c>
      <c r="F12" s="58" t="s">
        <v>11</v>
      </c>
      <c r="G12" s="12">
        <v>985</v>
      </c>
      <c r="H12" s="12">
        <v>3905</v>
      </c>
      <c r="I12" s="17" t="s">
        <v>797</v>
      </c>
      <c r="J12" s="18">
        <v>19</v>
      </c>
      <c r="K12" s="19">
        <f t="shared" si="0"/>
        <v>754.24140000000011</v>
      </c>
      <c r="L12" s="14"/>
      <c r="M12" s="15">
        <v>69.260000000000005</v>
      </c>
      <c r="N12" s="15">
        <v>10.89</v>
      </c>
    </row>
    <row r="13" spans="1:14" s="15" customFormat="1" ht="20.25" customHeight="1" x14ac:dyDescent="0.15">
      <c r="A13" s="60"/>
      <c r="B13" s="9"/>
      <c r="C13" s="58" t="s">
        <v>29</v>
      </c>
      <c r="D13" s="11" t="s">
        <v>798</v>
      </c>
      <c r="E13" s="10">
        <v>28</v>
      </c>
      <c r="F13" s="58" t="s">
        <v>11</v>
      </c>
      <c r="G13" s="12">
        <v>985</v>
      </c>
      <c r="H13" s="12">
        <v>3901</v>
      </c>
      <c r="I13" s="17" t="s">
        <v>786</v>
      </c>
      <c r="J13" s="18">
        <v>4</v>
      </c>
      <c r="K13" s="19">
        <f t="shared" si="0"/>
        <v>141.6789</v>
      </c>
      <c r="L13" s="14"/>
      <c r="M13" s="15">
        <v>13.01</v>
      </c>
      <c r="N13" s="15">
        <v>10.89</v>
      </c>
    </row>
    <row r="14" spans="1:14" s="15" customFormat="1" ht="20.25" customHeight="1" x14ac:dyDescent="0.15">
      <c r="A14" s="60" t="s">
        <v>800</v>
      </c>
      <c r="B14" s="9" t="s">
        <v>127</v>
      </c>
      <c r="C14" s="58" t="s">
        <v>29</v>
      </c>
      <c r="D14" s="11" t="s">
        <v>554</v>
      </c>
      <c r="E14" s="10">
        <v>28</v>
      </c>
      <c r="F14" s="58" t="s">
        <v>11</v>
      </c>
      <c r="G14" s="12">
        <v>985</v>
      </c>
      <c r="H14" s="12">
        <v>3905</v>
      </c>
      <c r="I14" s="17" t="s">
        <v>801</v>
      </c>
      <c r="J14" s="18">
        <v>24</v>
      </c>
      <c r="K14" s="19">
        <f t="shared" si="0"/>
        <v>880.0209000000001</v>
      </c>
      <c r="L14" s="20"/>
      <c r="M14" s="15">
        <v>80.81</v>
      </c>
      <c r="N14" s="15">
        <v>10.89</v>
      </c>
    </row>
    <row r="15" spans="1:14" s="15" customFormat="1" ht="20.25" customHeight="1" x14ac:dyDescent="0.15">
      <c r="A15" s="60"/>
      <c r="B15" s="9"/>
      <c r="C15" s="58"/>
      <c r="D15" s="11"/>
      <c r="E15" s="10"/>
      <c r="F15" s="58"/>
      <c r="G15" s="12"/>
      <c r="H15" s="12"/>
      <c r="I15" s="17"/>
      <c r="J15" s="18"/>
      <c r="K15" s="19">
        <f t="shared" si="0"/>
        <v>0</v>
      </c>
      <c r="L15" s="20"/>
      <c r="N15" s="15">
        <v>10.89</v>
      </c>
    </row>
    <row r="16" spans="1:14" s="15" customFormat="1" ht="20.25" customHeight="1" x14ac:dyDescent="0.15">
      <c r="A16" s="60"/>
      <c r="B16" s="9"/>
      <c r="C16" s="58"/>
      <c r="D16" s="11"/>
      <c r="E16" s="10"/>
      <c r="F16" s="58"/>
      <c r="G16" s="12"/>
      <c r="H16" s="12"/>
      <c r="I16" s="17"/>
      <c r="J16" s="18"/>
      <c r="K16" s="19">
        <f t="shared" si="0"/>
        <v>0</v>
      </c>
      <c r="L16" s="20"/>
      <c r="N16" s="15">
        <v>10.89</v>
      </c>
    </row>
    <row r="17" spans="1:14" s="15" customFormat="1" ht="20.25" customHeight="1" x14ac:dyDescent="0.15">
      <c r="A17" s="60"/>
      <c r="B17" s="9"/>
      <c r="C17" s="58"/>
      <c r="D17" s="11"/>
      <c r="E17" s="10"/>
      <c r="F17" s="58"/>
      <c r="G17" s="12"/>
      <c r="H17" s="12"/>
      <c r="I17" s="17"/>
      <c r="J17" s="18"/>
      <c r="K17" s="19">
        <f t="shared" si="0"/>
        <v>0</v>
      </c>
      <c r="L17" s="20"/>
      <c r="N17" s="15">
        <v>10.89</v>
      </c>
    </row>
    <row r="18" spans="1:14" s="15" customFormat="1" ht="20.25" customHeight="1" x14ac:dyDescent="0.15">
      <c r="A18" s="60"/>
      <c r="B18" s="9"/>
      <c r="C18" s="58"/>
      <c r="D18" s="11"/>
      <c r="E18" s="10"/>
      <c r="F18" s="58"/>
      <c r="G18" s="12"/>
      <c r="H18" s="12"/>
      <c r="I18" s="17"/>
      <c r="J18" s="18"/>
      <c r="K18" s="19">
        <f t="shared" si="0"/>
        <v>0</v>
      </c>
      <c r="L18" s="20"/>
      <c r="N18" s="15">
        <v>10.89</v>
      </c>
    </row>
    <row r="19" spans="1:14" s="15" customFormat="1" ht="20.25" customHeight="1" x14ac:dyDescent="0.15">
      <c r="A19" s="60"/>
      <c r="B19" s="9"/>
      <c r="C19" s="58"/>
      <c r="D19" s="11"/>
      <c r="E19" s="10"/>
      <c r="F19" s="58"/>
      <c r="G19" s="12"/>
      <c r="H19" s="12"/>
      <c r="I19" s="17"/>
      <c r="J19" s="18"/>
      <c r="K19" s="19">
        <f t="shared" si="0"/>
        <v>0</v>
      </c>
      <c r="L19" s="20"/>
      <c r="N19" s="15">
        <v>10.89</v>
      </c>
    </row>
    <row r="20" spans="1:14" s="15" customFormat="1" ht="20.25" customHeight="1" x14ac:dyDescent="0.15">
      <c r="A20" s="60"/>
      <c r="B20" s="9"/>
      <c r="C20" s="58"/>
      <c r="D20" s="11"/>
      <c r="E20" s="10"/>
      <c r="F20" s="58"/>
      <c r="G20" s="12"/>
      <c r="H20" s="12"/>
      <c r="I20" s="17"/>
      <c r="J20" s="18"/>
      <c r="K20" s="19">
        <f t="shared" si="0"/>
        <v>0</v>
      </c>
      <c r="L20" s="20"/>
      <c r="N20" s="15">
        <v>10.89</v>
      </c>
    </row>
    <row r="21" spans="1:14" s="15" customFormat="1" ht="20.25" customHeight="1" x14ac:dyDescent="0.15">
      <c r="A21" s="60"/>
      <c r="B21" s="9"/>
      <c r="C21" s="58"/>
      <c r="D21" s="11"/>
      <c r="E21" s="10"/>
      <c r="F21" s="58"/>
      <c r="G21" s="50"/>
      <c r="H21" s="50"/>
      <c r="I21" s="17"/>
      <c r="J21" s="18"/>
      <c r="K21" s="19">
        <f t="shared" si="0"/>
        <v>0</v>
      </c>
      <c r="L21" s="20"/>
      <c r="N21" s="15">
        <v>10.89</v>
      </c>
    </row>
    <row r="22" spans="1:14" s="15" customFormat="1" ht="20.25" customHeight="1" x14ac:dyDescent="0.15">
      <c r="A22" s="60"/>
      <c r="B22" s="9"/>
      <c r="C22" s="58"/>
      <c r="D22" s="11"/>
      <c r="E22" s="10"/>
      <c r="F22" s="58"/>
      <c r="G22" s="50"/>
      <c r="H22" s="50"/>
      <c r="I22" s="17"/>
      <c r="J22" s="18"/>
      <c r="K22" s="19">
        <f t="shared" si="0"/>
        <v>0</v>
      </c>
      <c r="L22" s="20"/>
      <c r="N22" s="15">
        <v>10.89</v>
      </c>
    </row>
    <row r="23" spans="1:14" ht="20.25" customHeight="1" x14ac:dyDescent="0.15">
      <c r="A23" s="60"/>
      <c r="B23" s="9"/>
      <c r="C23" s="58"/>
      <c r="D23" s="11"/>
      <c r="E23" s="10"/>
      <c r="F23" s="58"/>
      <c r="G23" s="16"/>
      <c r="H23" s="16"/>
      <c r="I23" s="17"/>
      <c r="J23" s="18"/>
      <c r="K23" s="19">
        <f t="shared" si="0"/>
        <v>0</v>
      </c>
      <c r="L23" s="20"/>
      <c r="N23" s="15">
        <v>10.89</v>
      </c>
    </row>
    <row r="24" spans="1:14" ht="20.25" customHeight="1" thickBot="1" x14ac:dyDescent="0.2">
      <c r="A24" s="56"/>
      <c r="B24" s="21"/>
      <c r="C24" s="59"/>
      <c r="D24" s="22"/>
      <c r="E24" s="23"/>
      <c r="F24" s="23"/>
      <c r="G24" s="24"/>
      <c r="H24" s="24"/>
      <c r="I24" s="25"/>
      <c r="J24" s="46">
        <f>SUM(J8:J23)</f>
        <v>400</v>
      </c>
      <c r="K24" s="47">
        <f>SUM(K8:K23)</f>
        <v>5823.3186000000005</v>
      </c>
      <c r="L24" s="26"/>
    </row>
    <row r="25" spans="1:14" ht="20.25" customHeight="1" thickTop="1" x14ac:dyDescent="0.15">
      <c r="A25" s="60" t="s">
        <v>802</v>
      </c>
      <c r="B25" s="9" t="s">
        <v>803</v>
      </c>
      <c r="C25" s="58" t="s">
        <v>29</v>
      </c>
      <c r="D25" s="11" t="s">
        <v>613</v>
      </c>
      <c r="E25" s="10">
        <v>43</v>
      </c>
      <c r="F25" s="10" t="s">
        <v>11</v>
      </c>
      <c r="G25" s="12">
        <v>1510</v>
      </c>
      <c r="H25" s="12">
        <v>1600</v>
      </c>
      <c r="I25" s="17">
        <v>1</v>
      </c>
      <c r="J25" s="18">
        <v>1</v>
      </c>
      <c r="K25" s="19">
        <f t="shared" ref="K25:K40" si="1">+M25*N25</f>
        <v>26.3538</v>
      </c>
      <c r="L25" s="54"/>
      <c r="M25" s="3">
        <v>2.42</v>
      </c>
      <c r="N25" s="15">
        <v>10.89</v>
      </c>
    </row>
    <row r="26" spans="1:14" ht="20.25" customHeight="1" x14ac:dyDescent="0.15">
      <c r="A26" s="60" t="s">
        <v>804</v>
      </c>
      <c r="B26" s="9" t="s">
        <v>131</v>
      </c>
      <c r="C26" s="58" t="s">
        <v>29</v>
      </c>
      <c r="D26" s="11" t="s">
        <v>155</v>
      </c>
      <c r="E26" s="10">
        <v>22</v>
      </c>
      <c r="F26" s="10" t="s">
        <v>11</v>
      </c>
      <c r="G26" s="12">
        <v>1723</v>
      </c>
      <c r="H26" s="12">
        <v>1763</v>
      </c>
      <c r="I26" s="17" t="s">
        <v>805</v>
      </c>
      <c r="J26" s="18">
        <v>275</v>
      </c>
      <c r="K26" s="19">
        <f t="shared" si="1"/>
        <v>2350.0620000000004</v>
      </c>
      <c r="L26" s="54"/>
      <c r="M26" s="3">
        <v>215.8</v>
      </c>
      <c r="N26" s="15">
        <v>10.89</v>
      </c>
    </row>
    <row r="27" spans="1:14" ht="20.25" customHeight="1" x14ac:dyDescent="0.15">
      <c r="A27" s="61" t="s">
        <v>806</v>
      </c>
      <c r="B27" s="9" t="s">
        <v>773</v>
      </c>
      <c r="C27" s="58" t="s">
        <v>29</v>
      </c>
      <c r="D27" s="11" t="s">
        <v>774</v>
      </c>
      <c r="E27" s="10">
        <v>43</v>
      </c>
      <c r="F27" s="10" t="s">
        <v>11</v>
      </c>
      <c r="G27" s="12">
        <v>514</v>
      </c>
      <c r="H27" s="12">
        <v>794</v>
      </c>
      <c r="I27" s="17">
        <v>1</v>
      </c>
      <c r="J27" s="18">
        <v>1</v>
      </c>
      <c r="K27" s="19">
        <f t="shared" si="1"/>
        <v>11.652300000000002</v>
      </c>
      <c r="L27" s="54"/>
      <c r="M27" s="3">
        <v>1.07</v>
      </c>
      <c r="N27" s="15">
        <v>10.89</v>
      </c>
    </row>
    <row r="28" spans="1:14" ht="20.25" customHeight="1" x14ac:dyDescent="0.15">
      <c r="A28" s="61" t="s">
        <v>776</v>
      </c>
      <c r="B28" s="9" t="s">
        <v>773</v>
      </c>
      <c r="C28" s="58" t="s">
        <v>29</v>
      </c>
      <c r="D28" s="11" t="s">
        <v>774</v>
      </c>
      <c r="E28" s="10">
        <v>43</v>
      </c>
      <c r="F28" s="10" t="s">
        <v>11</v>
      </c>
      <c r="G28" s="12">
        <v>578</v>
      </c>
      <c r="H28" s="12">
        <v>1146</v>
      </c>
      <c r="I28" s="17" t="s">
        <v>784</v>
      </c>
      <c r="J28" s="18">
        <v>2</v>
      </c>
      <c r="K28" s="19">
        <f t="shared" si="1"/>
        <v>18.730800000000002</v>
      </c>
      <c r="L28" s="54"/>
      <c r="M28" s="3">
        <v>1.72</v>
      </c>
      <c r="N28" s="15">
        <v>10.89</v>
      </c>
    </row>
    <row r="29" spans="1:14" ht="20.25" customHeight="1" x14ac:dyDescent="0.15">
      <c r="A29" s="61" t="s">
        <v>778</v>
      </c>
      <c r="B29" s="9" t="s">
        <v>773</v>
      </c>
      <c r="C29" s="58" t="s">
        <v>29</v>
      </c>
      <c r="D29" s="11" t="s">
        <v>774</v>
      </c>
      <c r="E29" s="10">
        <v>43</v>
      </c>
      <c r="F29" s="10" t="s">
        <v>11</v>
      </c>
      <c r="G29" s="12">
        <v>763</v>
      </c>
      <c r="H29" s="12">
        <v>1146</v>
      </c>
      <c r="I29" s="17" t="s">
        <v>807</v>
      </c>
      <c r="J29" s="18">
        <v>89</v>
      </c>
      <c r="K29" s="19">
        <f t="shared" si="1"/>
        <v>722.11590000000001</v>
      </c>
      <c r="L29" s="54"/>
      <c r="M29" s="3">
        <v>66.31</v>
      </c>
      <c r="N29" s="15">
        <v>10.89</v>
      </c>
    </row>
    <row r="30" spans="1:14" ht="20.25" customHeight="1" x14ac:dyDescent="0.15">
      <c r="A30" s="61" t="s">
        <v>808</v>
      </c>
      <c r="B30" s="9" t="s">
        <v>773</v>
      </c>
      <c r="C30" s="58" t="s">
        <v>29</v>
      </c>
      <c r="D30" s="11" t="s">
        <v>774</v>
      </c>
      <c r="E30" s="10">
        <v>43</v>
      </c>
      <c r="F30" s="10" t="s">
        <v>11</v>
      </c>
      <c r="G30" s="12">
        <v>1390</v>
      </c>
      <c r="H30" s="12">
        <v>1566</v>
      </c>
      <c r="I30" s="51" t="s">
        <v>809</v>
      </c>
      <c r="J30" s="52">
        <v>77</v>
      </c>
      <c r="K30" s="53">
        <f t="shared" si="1"/>
        <v>637.93619999999999</v>
      </c>
      <c r="L30" s="54"/>
      <c r="M30" s="3">
        <v>58.58</v>
      </c>
      <c r="N30" s="15">
        <v>10.89</v>
      </c>
    </row>
    <row r="31" spans="1:14" ht="20.25" customHeight="1" x14ac:dyDescent="0.15">
      <c r="A31" s="61" t="s">
        <v>810</v>
      </c>
      <c r="B31" s="9" t="s">
        <v>773</v>
      </c>
      <c r="C31" s="58" t="s">
        <v>29</v>
      </c>
      <c r="D31" s="11" t="s">
        <v>774</v>
      </c>
      <c r="E31" s="10">
        <v>43</v>
      </c>
      <c r="F31" s="10" t="s">
        <v>11</v>
      </c>
      <c r="G31" s="12">
        <v>1391</v>
      </c>
      <c r="H31" s="12">
        <v>1576</v>
      </c>
      <c r="I31" s="51" t="s">
        <v>811</v>
      </c>
      <c r="J31" s="52">
        <v>28</v>
      </c>
      <c r="K31" s="53">
        <f t="shared" si="1"/>
        <v>254.93490000000003</v>
      </c>
      <c r="L31" s="54"/>
      <c r="M31" s="3">
        <v>23.41</v>
      </c>
      <c r="N31" s="15">
        <v>10.89</v>
      </c>
    </row>
    <row r="32" spans="1:14" ht="20.25" customHeight="1" x14ac:dyDescent="0.15">
      <c r="A32" s="60" t="s">
        <v>812</v>
      </c>
      <c r="B32" s="9" t="s">
        <v>803</v>
      </c>
      <c r="C32" s="58" t="s">
        <v>231</v>
      </c>
      <c r="D32" s="11" t="s">
        <v>813</v>
      </c>
      <c r="E32" s="10">
        <v>24</v>
      </c>
      <c r="F32" s="10" t="s">
        <v>11</v>
      </c>
      <c r="G32" s="12">
        <v>624</v>
      </c>
      <c r="H32" s="12">
        <v>1920</v>
      </c>
      <c r="I32" s="17">
        <v>1</v>
      </c>
      <c r="J32" s="18">
        <v>1</v>
      </c>
      <c r="K32" s="19">
        <f t="shared" si="1"/>
        <v>13.068</v>
      </c>
      <c r="L32" s="27"/>
      <c r="M32" s="3">
        <v>1.2</v>
      </c>
      <c r="N32" s="15">
        <v>10.89</v>
      </c>
    </row>
    <row r="33" spans="1:14" ht="20.25" customHeight="1" x14ac:dyDescent="0.15">
      <c r="A33" s="60" t="s">
        <v>814</v>
      </c>
      <c r="B33" s="9" t="s">
        <v>58</v>
      </c>
      <c r="C33" s="58" t="s">
        <v>231</v>
      </c>
      <c r="D33" s="11" t="s">
        <v>312</v>
      </c>
      <c r="E33" s="10">
        <v>22</v>
      </c>
      <c r="F33" s="10"/>
      <c r="G33" s="12">
        <v>430</v>
      </c>
      <c r="H33" s="12">
        <v>1722</v>
      </c>
      <c r="I33" s="17">
        <v>3</v>
      </c>
      <c r="J33" s="18">
        <v>3</v>
      </c>
      <c r="K33" s="19">
        <f t="shared" si="1"/>
        <v>24.175800000000002</v>
      </c>
      <c r="L33" s="27"/>
      <c r="M33" s="3">
        <v>2.2200000000000002</v>
      </c>
      <c r="N33" s="15">
        <v>10.89</v>
      </c>
    </row>
    <row r="34" spans="1:14" ht="20.25" customHeight="1" x14ac:dyDescent="0.15">
      <c r="A34" s="60"/>
      <c r="B34" s="9"/>
      <c r="C34" s="58" t="s">
        <v>29</v>
      </c>
      <c r="D34" s="11" t="s">
        <v>195</v>
      </c>
      <c r="E34" s="10">
        <v>22</v>
      </c>
      <c r="F34" s="10"/>
      <c r="G34" s="12">
        <v>1050</v>
      </c>
      <c r="H34" s="12">
        <v>2155</v>
      </c>
      <c r="I34" s="17">
        <v>1</v>
      </c>
      <c r="J34" s="18">
        <v>1</v>
      </c>
      <c r="K34" s="19">
        <f t="shared" si="1"/>
        <v>24.6114</v>
      </c>
      <c r="L34" s="27"/>
      <c r="M34" s="3">
        <v>2.2599999999999998</v>
      </c>
      <c r="N34" s="15">
        <v>10.89</v>
      </c>
    </row>
    <row r="35" spans="1:14" ht="20.25" customHeight="1" x14ac:dyDescent="0.15">
      <c r="A35" s="60"/>
      <c r="B35" s="9"/>
      <c r="C35" s="58"/>
      <c r="D35" s="11"/>
      <c r="E35" s="10"/>
      <c r="F35" s="10"/>
      <c r="G35" s="12"/>
      <c r="H35" s="12"/>
      <c r="I35" s="17"/>
      <c r="J35" s="18"/>
      <c r="K35" s="19">
        <f t="shared" si="1"/>
        <v>0</v>
      </c>
      <c r="L35" s="27"/>
      <c r="N35" s="15">
        <v>10.89</v>
      </c>
    </row>
    <row r="36" spans="1:14" ht="20.25" customHeight="1" x14ac:dyDescent="0.15">
      <c r="A36" s="60"/>
      <c r="B36" s="9"/>
      <c r="C36" s="58"/>
      <c r="D36" s="11"/>
      <c r="E36" s="10"/>
      <c r="F36" s="10"/>
      <c r="G36" s="12"/>
      <c r="H36" s="12"/>
      <c r="I36" s="17"/>
      <c r="J36" s="18"/>
      <c r="K36" s="19">
        <f t="shared" si="1"/>
        <v>0</v>
      </c>
      <c r="L36" s="27"/>
      <c r="N36" s="15">
        <v>10.89</v>
      </c>
    </row>
    <row r="37" spans="1:14" ht="20.25" customHeight="1" x14ac:dyDescent="0.15">
      <c r="A37" s="60"/>
      <c r="B37" s="9"/>
      <c r="C37" s="58"/>
      <c r="D37" s="11"/>
      <c r="E37" s="10"/>
      <c r="F37" s="10"/>
      <c r="G37" s="12"/>
      <c r="H37" s="12"/>
      <c r="I37" s="17"/>
      <c r="J37" s="18"/>
      <c r="K37" s="19">
        <f t="shared" si="1"/>
        <v>0</v>
      </c>
      <c r="L37" s="27"/>
      <c r="N37" s="15">
        <v>10.89</v>
      </c>
    </row>
    <row r="38" spans="1:14" ht="20.25" customHeight="1" x14ac:dyDescent="0.15">
      <c r="A38" s="60"/>
      <c r="B38" s="9"/>
      <c r="C38" s="58"/>
      <c r="D38" s="11"/>
      <c r="E38" s="10"/>
      <c r="F38" s="10"/>
      <c r="G38" s="12"/>
      <c r="H38" s="12"/>
      <c r="I38" s="17"/>
      <c r="J38" s="18"/>
      <c r="K38" s="19">
        <f t="shared" si="1"/>
        <v>0</v>
      </c>
      <c r="L38" s="27"/>
      <c r="N38" s="15">
        <v>10.89</v>
      </c>
    </row>
    <row r="39" spans="1:14" ht="20.25" customHeight="1" x14ac:dyDescent="0.15">
      <c r="A39" s="60"/>
      <c r="B39" s="9"/>
      <c r="C39" s="58"/>
      <c r="D39" s="11"/>
      <c r="E39" s="10"/>
      <c r="F39" s="10"/>
      <c r="G39" s="12"/>
      <c r="H39" s="12"/>
      <c r="I39" s="17"/>
      <c r="J39" s="18"/>
      <c r="K39" s="19">
        <f t="shared" si="1"/>
        <v>0</v>
      </c>
      <c r="L39" s="27"/>
      <c r="N39" s="15">
        <v>10.89</v>
      </c>
    </row>
    <row r="40" spans="1:14" ht="20.25" customHeight="1" x14ac:dyDescent="0.15">
      <c r="A40" s="60"/>
      <c r="B40" s="9"/>
      <c r="C40" s="58"/>
      <c r="D40" s="11"/>
      <c r="E40" s="10"/>
      <c r="F40" s="10"/>
      <c r="G40" s="12"/>
      <c r="H40" s="12"/>
      <c r="I40" s="17"/>
      <c r="J40" s="18"/>
      <c r="K40" s="19">
        <f t="shared" si="1"/>
        <v>0</v>
      </c>
      <c r="L40" s="27"/>
      <c r="N40" s="15">
        <v>10.89</v>
      </c>
    </row>
    <row r="41" spans="1:14" ht="20.25" customHeight="1" x14ac:dyDescent="0.15">
      <c r="A41" s="57"/>
      <c r="B41" s="28"/>
      <c r="C41" s="10"/>
      <c r="D41" s="29"/>
      <c r="E41" s="30"/>
      <c r="F41" s="30"/>
      <c r="G41" s="30"/>
      <c r="H41" s="30"/>
      <c r="I41" s="13"/>
      <c r="J41" s="48">
        <f>SUM(J25:J40)</f>
        <v>478</v>
      </c>
      <c r="K41" s="49">
        <f>SUM(K25:K40)</f>
        <v>4083.6411000000007</v>
      </c>
      <c r="L41" s="31"/>
      <c r="N41" s="32"/>
    </row>
    <row r="42" spans="1:14" ht="20.25" customHeight="1" thickBot="1" x14ac:dyDescent="0.2">
      <c r="A42" s="55"/>
      <c r="B42" s="33"/>
      <c r="C42" s="33"/>
      <c r="D42" s="33"/>
      <c r="E42" s="33"/>
      <c r="F42" s="33"/>
      <c r="G42" s="33"/>
      <c r="H42" s="33"/>
      <c r="I42" s="33"/>
      <c r="J42" s="34"/>
      <c r="K42" s="35"/>
      <c r="L42" s="36"/>
    </row>
    <row r="43" spans="1:14" ht="20.25" customHeight="1" thickBot="1" x14ac:dyDescent="0.2">
      <c r="A43" s="37" t="s">
        <v>19</v>
      </c>
      <c r="B43" s="38" t="s">
        <v>20</v>
      </c>
      <c r="C43" s="77" t="s">
        <v>21</v>
      </c>
      <c r="D43" s="79"/>
      <c r="E43" s="77" t="s">
        <v>22</v>
      </c>
      <c r="F43" s="78"/>
      <c r="G43" s="79"/>
      <c r="H43" s="85" t="s">
        <v>23</v>
      </c>
      <c r="I43" s="86"/>
      <c r="J43" s="77" t="s">
        <v>24</v>
      </c>
      <c r="K43" s="79"/>
      <c r="L43" s="39" t="s">
        <v>13</v>
      </c>
    </row>
    <row r="44" spans="1:14" ht="20.25" customHeight="1" thickBot="1" x14ac:dyDescent="0.2">
      <c r="A44" s="40">
        <f>SUMIF($C$8:$C$42,"U1",$J$8:$J$42)</f>
        <v>0</v>
      </c>
      <c r="B44" s="41">
        <f>SUMIF($C$8:$C$42,"U2",$J$8:$J$42)</f>
        <v>4</v>
      </c>
      <c r="C44" s="77">
        <f>SUMIF($C$8:$C$42,"U3-1",$J$8:$J$42)</f>
        <v>0</v>
      </c>
      <c r="D44" s="79"/>
      <c r="E44" s="77">
        <f>SUMIF($C$8:$C$42,"U3",$J$8:$J$42)</f>
        <v>874</v>
      </c>
      <c r="F44" s="78"/>
      <c r="G44" s="79"/>
      <c r="H44" s="77">
        <f>SUMIF($C$8:$C$42,"E5",$J$8:$J$42)</f>
        <v>0</v>
      </c>
      <c r="I44" s="79"/>
      <c r="J44" s="77">
        <f>SUM(A44:I44)</f>
        <v>878</v>
      </c>
      <c r="K44" s="79"/>
      <c r="L44" s="42"/>
    </row>
    <row r="45" spans="1:14" ht="20.25" customHeight="1" thickBot="1" x14ac:dyDescent="0.2">
      <c r="A45" s="43" t="s">
        <v>25</v>
      </c>
      <c r="B45" s="44" t="s">
        <v>26</v>
      </c>
      <c r="C45" s="75">
        <v>13876</v>
      </c>
      <c r="D45" s="76"/>
      <c r="E45" s="77" t="s">
        <v>27</v>
      </c>
      <c r="F45" s="78"/>
      <c r="G45" s="78"/>
      <c r="H45" s="78"/>
      <c r="I45" s="79"/>
      <c r="J45" s="80">
        <v>146744.37</v>
      </c>
      <c r="K45" s="81"/>
      <c r="L45" s="82"/>
    </row>
    <row r="47" spans="1:14" x14ac:dyDescent="0.15">
      <c r="D47" s="45"/>
    </row>
  </sheetData>
  <mergeCells count="26">
    <mergeCell ref="L2:L4"/>
    <mergeCell ref="A1:G3"/>
    <mergeCell ref="H1:H4"/>
    <mergeCell ref="I2:I4"/>
    <mergeCell ref="J2:J4"/>
    <mergeCell ref="K2:K4"/>
    <mergeCell ref="B5:G5"/>
    <mergeCell ref="A6:A7"/>
    <mergeCell ref="B6:B7"/>
    <mergeCell ref="C6:C7"/>
    <mergeCell ref="D6:D7"/>
    <mergeCell ref="E6:E7"/>
    <mergeCell ref="F6:F7"/>
    <mergeCell ref="G6:K6"/>
    <mergeCell ref="C45:D45"/>
    <mergeCell ref="E45:I45"/>
    <mergeCell ref="J45:L45"/>
    <mergeCell ref="L6:L7"/>
    <mergeCell ref="C43:D43"/>
    <mergeCell ref="E43:G43"/>
    <mergeCell ref="H43:I43"/>
    <mergeCell ref="J43:K43"/>
    <mergeCell ref="C44:D44"/>
    <mergeCell ref="E44:G44"/>
    <mergeCell ref="H44:I44"/>
    <mergeCell ref="J44:K44"/>
  </mergeCells>
  <phoneticPr fontId="2" type="noConversion"/>
  <printOptions horizontalCentered="1"/>
  <pageMargins left="0.39370078740157483" right="0.39370078740157483" top="0.74803149606299213" bottom="0.19685039370078741" header="0.31496062992125984" footer="0.15748031496062992"/>
  <pageSetup paperSize="9" scale="84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N49"/>
  <sheetViews>
    <sheetView view="pageBreakPreview" topLeftCell="A4" zoomScaleSheetLayoutView="100" workbookViewId="0">
      <selection activeCell="K30" sqref="K30"/>
    </sheetView>
  </sheetViews>
  <sheetFormatPr defaultColWidth="8.88671875" defaultRowHeight="13.5" x14ac:dyDescent="0.15"/>
  <cols>
    <col min="1" max="1" width="8.44140625" style="3" customWidth="1"/>
    <col min="2" max="2" width="14.77734375" style="3" customWidth="1"/>
    <col min="3" max="3" width="4.109375" style="3" customWidth="1"/>
    <col min="4" max="4" width="15.21875" style="3" customWidth="1"/>
    <col min="5" max="5" width="4.44140625" style="3" customWidth="1"/>
    <col min="6" max="6" width="4" style="3" customWidth="1"/>
    <col min="7" max="7" width="5.5546875" style="3" customWidth="1"/>
    <col min="8" max="8" width="5.44140625" style="3" customWidth="1"/>
    <col min="9" max="9" width="7.88671875" style="3" customWidth="1"/>
    <col min="10" max="10" width="7.109375" style="3" customWidth="1"/>
    <col min="11" max="11" width="7.21875" style="3" customWidth="1"/>
    <col min="12" max="12" width="6.77734375" style="3" customWidth="1"/>
    <col min="13" max="16384" width="8.88671875" style="3"/>
  </cols>
  <sheetData>
    <row r="1" spans="1:14" ht="18.75" customHeight="1" x14ac:dyDescent="0.15">
      <c r="A1" s="101" t="s">
        <v>0</v>
      </c>
      <c r="B1" s="102"/>
      <c r="C1" s="102"/>
      <c r="D1" s="102"/>
      <c r="E1" s="102"/>
      <c r="F1" s="102"/>
      <c r="G1" s="103"/>
      <c r="H1" s="107" t="s">
        <v>1</v>
      </c>
      <c r="I1" s="1" t="s">
        <v>2</v>
      </c>
      <c r="J1" s="1" t="s">
        <v>2</v>
      </c>
      <c r="K1" s="1" t="s">
        <v>3</v>
      </c>
      <c r="L1" s="2" t="s">
        <v>4</v>
      </c>
    </row>
    <row r="2" spans="1:14" ht="13.5" customHeight="1" x14ac:dyDescent="0.15">
      <c r="A2" s="104"/>
      <c r="B2" s="105"/>
      <c r="C2" s="105"/>
      <c r="D2" s="105"/>
      <c r="E2" s="105"/>
      <c r="F2" s="105"/>
      <c r="G2" s="106"/>
      <c r="H2" s="108"/>
      <c r="I2" s="110"/>
      <c r="J2" s="110"/>
      <c r="K2" s="110"/>
      <c r="L2" s="98"/>
    </row>
    <row r="3" spans="1:14" ht="13.5" customHeight="1" x14ac:dyDescent="0.15">
      <c r="A3" s="104"/>
      <c r="B3" s="105"/>
      <c r="C3" s="105"/>
      <c r="D3" s="105"/>
      <c r="E3" s="105"/>
      <c r="F3" s="105"/>
      <c r="G3" s="106"/>
      <c r="H3" s="108"/>
      <c r="I3" s="108"/>
      <c r="J3" s="108"/>
      <c r="K3" s="108"/>
      <c r="L3" s="99"/>
    </row>
    <row r="4" spans="1:14" ht="17.25" customHeight="1" x14ac:dyDescent="0.15">
      <c r="A4" s="4"/>
      <c r="B4" s="5"/>
      <c r="C4" s="5"/>
      <c r="D4" s="5"/>
      <c r="E4" s="5"/>
      <c r="F4" s="5"/>
      <c r="G4" s="5"/>
      <c r="H4" s="109"/>
      <c r="I4" s="109"/>
      <c r="J4" s="109"/>
      <c r="K4" s="109"/>
      <c r="L4" s="100"/>
    </row>
    <row r="5" spans="1:14" ht="17.25" customHeight="1" x14ac:dyDescent="0.15">
      <c r="A5" s="6" t="s">
        <v>5</v>
      </c>
      <c r="B5" s="87">
        <v>46051</v>
      </c>
      <c r="C5" s="88"/>
      <c r="D5" s="88"/>
      <c r="E5" s="88"/>
      <c r="F5" s="88"/>
      <c r="G5" s="88"/>
      <c r="H5" s="5"/>
      <c r="I5" s="5"/>
      <c r="J5" s="5"/>
      <c r="K5" s="5"/>
      <c r="L5" s="7"/>
    </row>
    <row r="6" spans="1:14" ht="13.5" customHeight="1" x14ac:dyDescent="0.15">
      <c r="A6" s="89" t="s">
        <v>6</v>
      </c>
      <c r="B6" s="91" t="s">
        <v>7</v>
      </c>
      <c r="C6" s="91" t="s">
        <v>8</v>
      </c>
      <c r="D6" s="91" t="s">
        <v>9</v>
      </c>
      <c r="E6" s="93" t="s">
        <v>10</v>
      </c>
      <c r="F6" s="93" t="s">
        <v>11</v>
      </c>
      <c r="G6" s="95" t="s">
        <v>12</v>
      </c>
      <c r="H6" s="96"/>
      <c r="I6" s="96"/>
      <c r="J6" s="96"/>
      <c r="K6" s="97"/>
      <c r="L6" s="83" t="s">
        <v>13</v>
      </c>
    </row>
    <row r="7" spans="1:14" x14ac:dyDescent="0.15">
      <c r="A7" s="90"/>
      <c r="B7" s="92"/>
      <c r="C7" s="92"/>
      <c r="D7" s="92"/>
      <c r="E7" s="94"/>
      <c r="F7" s="94"/>
      <c r="G7" s="8" t="s">
        <v>14</v>
      </c>
      <c r="H7" s="8" t="s">
        <v>15</v>
      </c>
      <c r="I7" s="8" t="s">
        <v>16</v>
      </c>
      <c r="J7" s="8" t="s">
        <v>17</v>
      </c>
      <c r="K7" s="8" t="s">
        <v>18</v>
      </c>
      <c r="L7" s="84"/>
    </row>
    <row r="8" spans="1:14" s="15" customFormat="1" ht="20.25" customHeight="1" x14ac:dyDescent="0.15">
      <c r="A8" s="60" t="s">
        <v>815</v>
      </c>
      <c r="B8" s="9" t="s">
        <v>127</v>
      </c>
      <c r="C8" s="58" t="s">
        <v>29</v>
      </c>
      <c r="D8" s="11" t="s">
        <v>554</v>
      </c>
      <c r="E8" s="10">
        <v>28</v>
      </c>
      <c r="F8" s="58" t="s">
        <v>11</v>
      </c>
      <c r="G8" s="12">
        <v>915</v>
      </c>
      <c r="H8" s="12">
        <v>1485</v>
      </c>
      <c r="I8" s="17" t="s">
        <v>663</v>
      </c>
      <c r="J8" s="18">
        <v>15</v>
      </c>
      <c r="K8" s="19">
        <f>+M8*N8</f>
        <v>150.28200000000001</v>
      </c>
      <c r="L8" s="14"/>
      <c r="M8" s="15">
        <v>13.8</v>
      </c>
      <c r="N8" s="15">
        <v>10.89</v>
      </c>
    </row>
    <row r="9" spans="1:14" s="15" customFormat="1" ht="20.25" customHeight="1" x14ac:dyDescent="0.15">
      <c r="A9" s="60" t="s">
        <v>816</v>
      </c>
      <c r="B9" s="9" t="s">
        <v>127</v>
      </c>
      <c r="C9" s="58" t="s">
        <v>29</v>
      </c>
      <c r="D9" s="11" t="s">
        <v>554</v>
      </c>
      <c r="E9" s="10">
        <v>28</v>
      </c>
      <c r="F9" s="58" t="s">
        <v>11</v>
      </c>
      <c r="G9" s="12">
        <v>887</v>
      </c>
      <c r="H9" s="12">
        <v>1959</v>
      </c>
      <c r="I9" s="17" t="s">
        <v>817</v>
      </c>
      <c r="J9" s="18">
        <v>21</v>
      </c>
      <c r="K9" s="19">
        <f t="shared" ref="K9:K21" si="0">+M9*N9</f>
        <v>258.52859999999998</v>
      </c>
      <c r="L9" s="14"/>
      <c r="M9" s="15">
        <v>23.74</v>
      </c>
      <c r="N9" s="15">
        <v>10.89</v>
      </c>
    </row>
    <row r="10" spans="1:14" s="15" customFormat="1" ht="20.25" customHeight="1" x14ac:dyDescent="0.15">
      <c r="A10" s="60" t="s">
        <v>721</v>
      </c>
      <c r="B10" s="9" t="s">
        <v>173</v>
      </c>
      <c r="C10" s="58" t="s">
        <v>29</v>
      </c>
      <c r="D10" s="11" t="s">
        <v>279</v>
      </c>
      <c r="E10" s="10">
        <v>25.76</v>
      </c>
      <c r="F10" s="58"/>
      <c r="G10" s="12">
        <v>640</v>
      </c>
      <c r="H10" s="12">
        <v>670</v>
      </c>
      <c r="I10" s="17">
        <v>2</v>
      </c>
      <c r="J10" s="18">
        <v>2</v>
      </c>
      <c r="K10" s="19">
        <f t="shared" si="0"/>
        <v>9.3654000000000011</v>
      </c>
      <c r="L10" s="14"/>
      <c r="M10" s="15">
        <v>0.86</v>
      </c>
      <c r="N10" s="15">
        <v>10.89</v>
      </c>
    </row>
    <row r="11" spans="1:14" s="15" customFormat="1" ht="20.25" customHeight="1" x14ac:dyDescent="0.15">
      <c r="A11" s="60" t="s">
        <v>669</v>
      </c>
      <c r="B11" s="9" t="s">
        <v>173</v>
      </c>
      <c r="C11" s="58" t="s">
        <v>29</v>
      </c>
      <c r="D11" s="11" t="s">
        <v>279</v>
      </c>
      <c r="E11" s="10">
        <v>25.76</v>
      </c>
      <c r="F11" s="58"/>
      <c r="G11" s="12">
        <v>760</v>
      </c>
      <c r="H11" s="12">
        <v>690</v>
      </c>
      <c r="I11" s="17">
        <v>2</v>
      </c>
      <c r="J11" s="18">
        <v>2</v>
      </c>
      <c r="K11" s="19">
        <f t="shared" si="0"/>
        <v>11.325600000000001</v>
      </c>
      <c r="L11" s="14"/>
      <c r="M11" s="15">
        <v>1.04</v>
      </c>
      <c r="N11" s="15">
        <v>10.89</v>
      </c>
    </row>
    <row r="12" spans="1:14" s="15" customFormat="1" ht="20.25" customHeight="1" x14ac:dyDescent="0.15">
      <c r="A12" s="60" t="s">
        <v>818</v>
      </c>
      <c r="B12" s="9" t="s">
        <v>173</v>
      </c>
      <c r="C12" s="58" t="s">
        <v>29</v>
      </c>
      <c r="D12" s="11" t="s">
        <v>279</v>
      </c>
      <c r="E12" s="10">
        <v>25.76</v>
      </c>
      <c r="F12" s="58"/>
      <c r="G12" s="12">
        <v>1445</v>
      </c>
      <c r="H12" s="12">
        <v>690</v>
      </c>
      <c r="I12" s="17" t="s">
        <v>819</v>
      </c>
      <c r="J12" s="18">
        <v>79</v>
      </c>
      <c r="K12" s="19">
        <f t="shared" si="0"/>
        <v>492.22800000000007</v>
      </c>
      <c r="L12" s="14"/>
      <c r="M12" s="15">
        <v>45.2</v>
      </c>
      <c r="N12" s="15">
        <v>10.89</v>
      </c>
    </row>
    <row r="13" spans="1:14" s="15" customFormat="1" ht="20.25" customHeight="1" x14ac:dyDescent="0.15">
      <c r="A13" s="60"/>
      <c r="B13" s="9"/>
      <c r="C13" s="58" t="s">
        <v>29</v>
      </c>
      <c r="D13" s="11" t="s">
        <v>188</v>
      </c>
      <c r="E13" s="10">
        <v>22</v>
      </c>
      <c r="F13" s="58"/>
      <c r="G13" s="12">
        <v>1440</v>
      </c>
      <c r="H13" s="12">
        <v>1238</v>
      </c>
      <c r="I13" s="17" t="s">
        <v>189</v>
      </c>
      <c r="J13" s="18">
        <v>15</v>
      </c>
      <c r="K13" s="19">
        <f t="shared" si="0"/>
        <v>179.685</v>
      </c>
      <c r="L13" s="14"/>
      <c r="M13" s="15">
        <v>16.5</v>
      </c>
      <c r="N13" s="15">
        <v>10.89</v>
      </c>
    </row>
    <row r="14" spans="1:14" s="15" customFormat="1" ht="20.25" customHeight="1" x14ac:dyDescent="0.15">
      <c r="A14" s="60"/>
      <c r="B14" s="9"/>
      <c r="C14" s="58" t="s">
        <v>29</v>
      </c>
      <c r="D14" s="11" t="s">
        <v>364</v>
      </c>
      <c r="E14" s="10">
        <v>22</v>
      </c>
      <c r="F14" s="58"/>
      <c r="G14" s="12">
        <v>1440</v>
      </c>
      <c r="H14" s="12">
        <v>1248</v>
      </c>
      <c r="I14" s="17" t="s">
        <v>189</v>
      </c>
      <c r="J14" s="18">
        <v>15</v>
      </c>
      <c r="K14" s="19">
        <f t="shared" si="0"/>
        <v>181.863</v>
      </c>
      <c r="L14" s="20"/>
      <c r="M14" s="15">
        <v>16.7</v>
      </c>
      <c r="N14" s="15">
        <v>10.89</v>
      </c>
    </row>
    <row r="15" spans="1:14" s="15" customFormat="1" ht="20.25" customHeight="1" x14ac:dyDescent="0.15">
      <c r="A15" s="60" t="s">
        <v>820</v>
      </c>
      <c r="B15" s="9" t="s">
        <v>173</v>
      </c>
      <c r="C15" s="58" t="s">
        <v>29</v>
      </c>
      <c r="D15" s="11" t="s">
        <v>279</v>
      </c>
      <c r="E15" s="10">
        <v>25.76</v>
      </c>
      <c r="F15" s="58"/>
      <c r="G15" s="12">
        <v>952</v>
      </c>
      <c r="H15" s="12">
        <v>690</v>
      </c>
      <c r="I15" s="17" t="s">
        <v>821</v>
      </c>
      <c r="J15" s="18">
        <v>43</v>
      </c>
      <c r="K15" s="19">
        <f t="shared" si="0"/>
        <v>242.1936</v>
      </c>
      <c r="L15" s="20"/>
      <c r="M15" s="15">
        <v>22.24</v>
      </c>
      <c r="N15" s="15">
        <v>10.89</v>
      </c>
    </row>
    <row r="16" spans="1:14" s="15" customFormat="1" ht="20.25" customHeight="1" x14ac:dyDescent="0.15">
      <c r="A16" s="60"/>
      <c r="B16" s="9"/>
      <c r="C16" s="58" t="s">
        <v>29</v>
      </c>
      <c r="D16" s="11" t="s">
        <v>188</v>
      </c>
      <c r="E16" s="10">
        <v>22</v>
      </c>
      <c r="F16" s="58"/>
      <c r="G16" s="12">
        <v>1967</v>
      </c>
      <c r="H16" s="12">
        <v>1238</v>
      </c>
      <c r="I16" s="17" t="s">
        <v>191</v>
      </c>
      <c r="J16" s="18">
        <v>10</v>
      </c>
      <c r="K16" s="19">
        <f t="shared" si="0"/>
        <v>174.24</v>
      </c>
      <c r="L16" s="20"/>
      <c r="M16" s="15">
        <v>16</v>
      </c>
      <c r="N16" s="15">
        <v>10.89</v>
      </c>
    </row>
    <row r="17" spans="1:14" s="15" customFormat="1" ht="20.25" customHeight="1" x14ac:dyDescent="0.15">
      <c r="A17" s="60" t="s">
        <v>822</v>
      </c>
      <c r="B17" s="9" t="s">
        <v>173</v>
      </c>
      <c r="C17" s="58" t="s">
        <v>29</v>
      </c>
      <c r="D17" s="11" t="s">
        <v>279</v>
      </c>
      <c r="E17" s="10">
        <v>25.76</v>
      </c>
      <c r="F17" s="58"/>
      <c r="G17" s="12">
        <v>800</v>
      </c>
      <c r="H17" s="12">
        <v>690</v>
      </c>
      <c r="I17" s="17" t="s">
        <v>823</v>
      </c>
      <c r="J17" s="18">
        <v>35</v>
      </c>
      <c r="K17" s="19">
        <f t="shared" si="0"/>
        <v>181.863</v>
      </c>
      <c r="L17" s="20"/>
      <c r="M17" s="15">
        <v>16.7</v>
      </c>
      <c r="N17" s="15">
        <v>10.89</v>
      </c>
    </row>
    <row r="18" spans="1:14" s="15" customFormat="1" ht="20.25" customHeight="1" x14ac:dyDescent="0.15">
      <c r="A18" s="60"/>
      <c r="B18" s="9"/>
      <c r="C18" s="58" t="s">
        <v>29</v>
      </c>
      <c r="D18" s="11" t="s">
        <v>188</v>
      </c>
      <c r="E18" s="10">
        <v>22</v>
      </c>
      <c r="F18" s="58"/>
      <c r="G18" s="12">
        <v>1665</v>
      </c>
      <c r="H18" s="12">
        <v>1238</v>
      </c>
      <c r="I18" s="17" t="s">
        <v>191</v>
      </c>
      <c r="J18" s="18">
        <v>10</v>
      </c>
      <c r="K18" s="19">
        <f t="shared" si="0"/>
        <v>153.54900000000001</v>
      </c>
      <c r="L18" s="20"/>
      <c r="M18" s="15">
        <v>14.1</v>
      </c>
      <c r="N18" s="15">
        <v>10.89</v>
      </c>
    </row>
    <row r="19" spans="1:14" s="15" customFormat="1" ht="20.25" customHeight="1" x14ac:dyDescent="0.15">
      <c r="A19" s="60" t="s">
        <v>824</v>
      </c>
      <c r="B19" s="9" t="s">
        <v>173</v>
      </c>
      <c r="C19" s="58" t="s">
        <v>29</v>
      </c>
      <c r="D19" s="11" t="s">
        <v>279</v>
      </c>
      <c r="E19" s="10">
        <v>25.76</v>
      </c>
      <c r="F19" s="58"/>
      <c r="G19" s="12">
        <v>1445</v>
      </c>
      <c r="H19" s="12">
        <v>690</v>
      </c>
      <c r="I19" s="17" t="s">
        <v>392</v>
      </c>
      <c r="J19" s="18">
        <v>35</v>
      </c>
      <c r="K19" s="19">
        <f t="shared" si="0"/>
        <v>226.51200000000003</v>
      </c>
      <c r="L19" s="20"/>
      <c r="M19" s="15">
        <v>20.8</v>
      </c>
      <c r="N19" s="15">
        <v>10.89</v>
      </c>
    </row>
    <row r="20" spans="1:14" s="15" customFormat="1" ht="20.25" customHeight="1" x14ac:dyDescent="0.15">
      <c r="A20" s="60"/>
      <c r="B20" s="9"/>
      <c r="C20" s="58" t="s">
        <v>29</v>
      </c>
      <c r="D20" s="11" t="s">
        <v>188</v>
      </c>
      <c r="E20" s="10">
        <v>22</v>
      </c>
      <c r="F20" s="58"/>
      <c r="G20" s="12">
        <v>1440</v>
      </c>
      <c r="H20" s="12">
        <v>1238</v>
      </c>
      <c r="I20" s="17" t="s">
        <v>189</v>
      </c>
      <c r="J20" s="18">
        <v>15</v>
      </c>
      <c r="K20" s="19">
        <f t="shared" si="0"/>
        <v>179.685</v>
      </c>
      <c r="L20" s="20"/>
      <c r="M20" s="15">
        <v>16.5</v>
      </c>
      <c r="N20" s="15">
        <v>10.89</v>
      </c>
    </row>
    <row r="21" spans="1:14" s="15" customFormat="1" ht="20.25" customHeight="1" x14ac:dyDescent="0.15">
      <c r="A21" s="60" t="s">
        <v>726</v>
      </c>
      <c r="B21" s="9" t="s">
        <v>173</v>
      </c>
      <c r="C21" s="58" t="s">
        <v>29</v>
      </c>
      <c r="D21" s="11" t="s">
        <v>279</v>
      </c>
      <c r="E21" s="10">
        <v>25.76</v>
      </c>
      <c r="F21" s="58"/>
      <c r="G21" s="50">
        <v>590</v>
      </c>
      <c r="H21" s="50">
        <v>670</v>
      </c>
      <c r="I21" s="17">
        <v>1</v>
      </c>
      <c r="J21" s="18">
        <v>1</v>
      </c>
      <c r="K21" s="19">
        <f t="shared" si="0"/>
        <v>4.3560000000000008</v>
      </c>
      <c r="L21" s="20"/>
      <c r="M21" s="15">
        <v>0.4</v>
      </c>
      <c r="N21" s="15">
        <v>10.89</v>
      </c>
    </row>
    <row r="22" spans="1:14" s="15" customFormat="1" ht="20.25" customHeight="1" x14ac:dyDescent="0.15">
      <c r="A22" s="60" t="s">
        <v>825</v>
      </c>
      <c r="B22" s="9" t="s">
        <v>127</v>
      </c>
      <c r="C22" s="58" t="s">
        <v>29</v>
      </c>
      <c r="D22" s="11" t="s">
        <v>554</v>
      </c>
      <c r="E22" s="10">
        <v>28</v>
      </c>
      <c r="F22" s="58" t="s">
        <v>11</v>
      </c>
      <c r="G22" s="50">
        <v>1265</v>
      </c>
      <c r="H22" s="50">
        <v>1285</v>
      </c>
      <c r="I22" s="17" t="s">
        <v>826</v>
      </c>
      <c r="J22" s="18">
        <v>45</v>
      </c>
      <c r="K22" s="19">
        <f t="shared" ref="K22:K29" si="1">+M22*N22</f>
        <v>531.75869999999998</v>
      </c>
      <c r="L22" s="20"/>
      <c r="M22" s="15">
        <v>48.83</v>
      </c>
      <c r="N22" s="15">
        <v>10.89</v>
      </c>
    </row>
    <row r="23" spans="1:14" s="15" customFormat="1" ht="20.25" customHeight="1" x14ac:dyDescent="0.15">
      <c r="A23" s="60" t="s">
        <v>827</v>
      </c>
      <c r="B23" s="9" t="s">
        <v>127</v>
      </c>
      <c r="C23" s="58" t="s">
        <v>29</v>
      </c>
      <c r="D23" s="11" t="s">
        <v>554</v>
      </c>
      <c r="E23" s="10">
        <v>28</v>
      </c>
      <c r="F23" s="58" t="s">
        <v>11</v>
      </c>
      <c r="G23" s="50">
        <v>1265</v>
      </c>
      <c r="H23" s="50">
        <v>1285</v>
      </c>
      <c r="I23" s="17" t="s">
        <v>828</v>
      </c>
      <c r="J23" s="18">
        <v>27</v>
      </c>
      <c r="K23" s="19">
        <f t="shared" si="1"/>
        <v>309.71160000000003</v>
      </c>
      <c r="L23" s="20"/>
      <c r="M23" s="15">
        <v>28.44</v>
      </c>
      <c r="N23" s="15">
        <v>10.89</v>
      </c>
    </row>
    <row r="24" spans="1:14" s="15" customFormat="1" ht="20.25" customHeight="1" x14ac:dyDescent="0.15">
      <c r="A24" s="60" t="s">
        <v>799</v>
      </c>
      <c r="B24" s="9" t="s">
        <v>127</v>
      </c>
      <c r="C24" s="58" t="s">
        <v>29</v>
      </c>
      <c r="D24" s="11" t="s">
        <v>554</v>
      </c>
      <c r="E24" s="10">
        <v>28</v>
      </c>
      <c r="F24" s="58" t="s">
        <v>11</v>
      </c>
      <c r="G24" s="50">
        <v>1265</v>
      </c>
      <c r="H24" s="50">
        <v>1285</v>
      </c>
      <c r="I24" s="17" t="s">
        <v>829</v>
      </c>
      <c r="J24" s="18">
        <v>30</v>
      </c>
      <c r="K24" s="19">
        <f t="shared" si="1"/>
        <v>347.28210000000001</v>
      </c>
      <c r="L24" s="20"/>
      <c r="M24" s="15">
        <v>31.89</v>
      </c>
      <c r="N24" s="15">
        <v>10.89</v>
      </c>
    </row>
    <row r="25" spans="1:14" s="15" customFormat="1" ht="20.25" customHeight="1" x14ac:dyDescent="0.15">
      <c r="A25" s="60"/>
      <c r="B25" s="9"/>
      <c r="C25" s="58" t="s">
        <v>29</v>
      </c>
      <c r="D25" s="11" t="s">
        <v>798</v>
      </c>
      <c r="E25" s="10">
        <v>28</v>
      </c>
      <c r="F25" s="58" t="s">
        <v>11</v>
      </c>
      <c r="G25" s="50">
        <v>985</v>
      </c>
      <c r="H25" s="50">
        <v>1282</v>
      </c>
      <c r="I25" s="17" t="s">
        <v>366</v>
      </c>
      <c r="J25" s="18">
        <v>4</v>
      </c>
      <c r="K25" s="19">
        <f t="shared" si="1"/>
        <v>33.759</v>
      </c>
      <c r="L25" s="20"/>
      <c r="M25" s="15">
        <v>3.1</v>
      </c>
      <c r="N25" s="15">
        <v>10.89</v>
      </c>
    </row>
    <row r="26" spans="1:14" s="15" customFormat="1" ht="20.25" customHeight="1" x14ac:dyDescent="0.15">
      <c r="A26" s="60" t="s">
        <v>830</v>
      </c>
      <c r="B26" s="9" t="s">
        <v>131</v>
      </c>
      <c r="C26" s="58" t="s">
        <v>29</v>
      </c>
      <c r="D26" s="11" t="s">
        <v>155</v>
      </c>
      <c r="E26" s="10">
        <v>22</v>
      </c>
      <c r="F26" s="58" t="s">
        <v>11</v>
      </c>
      <c r="G26" s="50">
        <v>1434</v>
      </c>
      <c r="H26" s="50">
        <v>1927</v>
      </c>
      <c r="I26" s="17" t="s">
        <v>831</v>
      </c>
      <c r="J26" s="18">
        <v>112</v>
      </c>
      <c r="K26" s="19">
        <f t="shared" si="1"/>
        <v>1029.3227999999999</v>
      </c>
      <c r="L26" s="20"/>
      <c r="M26" s="15">
        <v>94.52</v>
      </c>
      <c r="N26" s="15">
        <v>10.89</v>
      </c>
    </row>
    <row r="27" spans="1:14" s="15" customFormat="1" ht="20.25" customHeight="1" x14ac:dyDescent="0.15">
      <c r="A27" s="60"/>
      <c r="B27" s="9"/>
      <c r="C27" s="58" t="s">
        <v>29</v>
      </c>
      <c r="D27" s="11" t="s">
        <v>156</v>
      </c>
      <c r="E27" s="10">
        <v>22</v>
      </c>
      <c r="F27" s="58" t="s">
        <v>11</v>
      </c>
      <c r="G27" s="50">
        <v>1434</v>
      </c>
      <c r="H27" s="50">
        <v>1927</v>
      </c>
      <c r="I27" s="17" t="s">
        <v>832</v>
      </c>
      <c r="J27" s="18">
        <v>24</v>
      </c>
      <c r="K27" s="19">
        <f t="shared" si="1"/>
        <v>465.43860000000006</v>
      </c>
      <c r="L27" s="20"/>
      <c r="M27" s="15">
        <v>42.74</v>
      </c>
      <c r="N27" s="15">
        <v>10.89</v>
      </c>
    </row>
    <row r="28" spans="1:14" s="15" customFormat="1" ht="20.25" customHeight="1" x14ac:dyDescent="0.15">
      <c r="A28" s="60" t="s">
        <v>833</v>
      </c>
      <c r="B28" s="9" t="s">
        <v>127</v>
      </c>
      <c r="C28" s="58" t="s">
        <v>29</v>
      </c>
      <c r="D28" s="11" t="s">
        <v>378</v>
      </c>
      <c r="E28" s="10">
        <v>28</v>
      </c>
      <c r="F28" s="58" t="s">
        <v>11</v>
      </c>
      <c r="G28" s="50">
        <v>1208</v>
      </c>
      <c r="H28" s="50">
        <v>538</v>
      </c>
      <c r="I28" s="17" t="s">
        <v>218</v>
      </c>
      <c r="J28" s="18">
        <v>3</v>
      </c>
      <c r="K28" s="19">
        <f t="shared" si="1"/>
        <v>18.6219</v>
      </c>
      <c r="L28" s="20"/>
      <c r="M28" s="15">
        <v>1.71</v>
      </c>
      <c r="N28" s="15">
        <v>10.89</v>
      </c>
    </row>
    <row r="29" spans="1:14" s="15" customFormat="1" ht="20.25" customHeight="1" x14ac:dyDescent="0.15">
      <c r="A29" s="60" t="s">
        <v>834</v>
      </c>
      <c r="B29" s="9" t="s">
        <v>56</v>
      </c>
      <c r="C29" s="58" t="s">
        <v>29</v>
      </c>
      <c r="D29" s="11" t="s">
        <v>279</v>
      </c>
      <c r="E29" s="10">
        <v>25.76</v>
      </c>
      <c r="F29" s="58"/>
      <c r="G29" s="50">
        <v>1724</v>
      </c>
      <c r="H29" s="50">
        <v>1738</v>
      </c>
      <c r="I29" s="17">
        <v>1</v>
      </c>
      <c r="J29" s="18">
        <v>1</v>
      </c>
      <c r="K29" s="19">
        <f t="shared" si="1"/>
        <v>32.67</v>
      </c>
      <c r="L29" s="20"/>
      <c r="M29" s="15">
        <v>3</v>
      </c>
      <c r="N29" s="15">
        <v>10.89</v>
      </c>
    </row>
    <row r="30" spans="1:14" ht="20.25" customHeight="1" thickBot="1" x14ac:dyDescent="0.2">
      <c r="A30" s="56"/>
      <c r="B30" s="21"/>
      <c r="C30" s="59"/>
      <c r="D30" s="22"/>
      <c r="E30" s="23"/>
      <c r="F30" s="23"/>
      <c r="G30" s="24"/>
      <c r="H30" s="24"/>
      <c r="I30" s="25"/>
      <c r="J30" s="46">
        <f>SUM(J8:J29)</f>
        <v>544</v>
      </c>
      <c r="K30" s="47">
        <f>SUM(K8:K29)</f>
        <v>5214.2409000000007</v>
      </c>
      <c r="L30" s="26"/>
    </row>
    <row r="31" spans="1:14" ht="20.25" customHeight="1" thickTop="1" x14ac:dyDescent="0.15">
      <c r="A31" s="60" t="s">
        <v>818</v>
      </c>
      <c r="B31" s="9" t="s">
        <v>173</v>
      </c>
      <c r="C31" s="58" t="s">
        <v>29</v>
      </c>
      <c r="D31" s="11" t="s">
        <v>280</v>
      </c>
      <c r="E31" s="10">
        <v>46.76</v>
      </c>
      <c r="F31" s="10" t="s">
        <v>11</v>
      </c>
      <c r="G31" s="12">
        <v>886</v>
      </c>
      <c r="H31" s="12">
        <v>508</v>
      </c>
      <c r="I31" s="17">
        <v>10</v>
      </c>
      <c r="J31" s="18">
        <v>10</v>
      </c>
      <c r="K31" s="19">
        <f t="shared" ref="K31:K42" si="2">+M31*N31</f>
        <v>49.005000000000003</v>
      </c>
      <c r="L31" s="54"/>
      <c r="M31" s="3">
        <v>4.5</v>
      </c>
      <c r="N31" s="15">
        <v>10.89</v>
      </c>
    </row>
    <row r="32" spans="1:14" s="15" customFormat="1" ht="20.25" customHeight="1" x14ac:dyDescent="0.15">
      <c r="A32" s="60" t="s">
        <v>749</v>
      </c>
      <c r="B32" s="9" t="s">
        <v>173</v>
      </c>
      <c r="C32" s="58" t="s">
        <v>29</v>
      </c>
      <c r="D32" s="11" t="s">
        <v>280</v>
      </c>
      <c r="E32" s="10">
        <v>46.76</v>
      </c>
      <c r="F32" s="10" t="s">
        <v>11</v>
      </c>
      <c r="G32" s="50">
        <v>786</v>
      </c>
      <c r="H32" s="50">
        <v>508</v>
      </c>
      <c r="I32" s="17">
        <v>5</v>
      </c>
      <c r="J32" s="18">
        <v>5</v>
      </c>
      <c r="K32" s="19">
        <f>+M32*N32</f>
        <v>21.78</v>
      </c>
      <c r="L32" s="20"/>
      <c r="M32" s="15">
        <v>2</v>
      </c>
      <c r="N32" s="15">
        <v>10.89</v>
      </c>
    </row>
    <row r="33" spans="1:14" s="15" customFormat="1" ht="20.25" customHeight="1" x14ac:dyDescent="0.15">
      <c r="A33" s="60" t="s">
        <v>791</v>
      </c>
      <c r="B33" s="9" t="s">
        <v>173</v>
      </c>
      <c r="C33" s="58" t="s">
        <v>29</v>
      </c>
      <c r="D33" s="11" t="s">
        <v>280</v>
      </c>
      <c r="E33" s="10">
        <v>46.76</v>
      </c>
      <c r="F33" s="58" t="s">
        <v>11</v>
      </c>
      <c r="G33" s="50">
        <v>886</v>
      </c>
      <c r="H33" s="50">
        <v>508</v>
      </c>
      <c r="I33" s="17">
        <v>5</v>
      </c>
      <c r="J33" s="18">
        <v>5</v>
      </c>
      <c r="K33" s="19">
        <f>+M33*N33</f>
        <v>24.502500000000001</v>
      </c>
      <c r="L33" s="14"/>
      <c r="M33" s="15">
        <v>2.25</v>
      </c>
      <c r="N33" s="15">
        <v>10.89</v>
      </c>
    </row>
    <row r="34" spans="1:14" ht="20.25" customHeight="1" x14ac:dyDescent="0.15">
      <c r="A34" s="60" t="s">
        <v>728</v>
      </c>
      <c r="B34" s="9" t="s">
        <v>101</v>
      </c>
      <c r="C34" s="58" t="s">
        <v>29</v>
      </c>
      <c r="D34" s="11" t="s">
        <v>729</v>
      </c>
      <c r="E34" s="10">
        <v>27.76</v>
      </c>
      <c r="F34" s="10"/>
      <c r="G34" s="12">
        <v>690</v>
      </c>
      <c r="H34" s="12">
        <v>846</v>
      </c>
      <c r="I34" s="17">
        <v>2</v>
      </c>
      <c r="J34" s="18">
        <v>2</v>
      </c>
      <c r="K34" s="19">
        <f t="shared" si="2"/>
        <v>12.632400000000001</v>
      </c>
      <c r="L34" s="54"/>
      <c r="M34" s="3">
        <v>1.1599999999999999</v>
      </c>
      <c r="N34" s="15">
        <v>10.89</v>
      </c>
    </row>
    <row r="35" spans="1:14" ht="20.25" customHeight="1" x14ac:dyDescent="0.15">
      <c r="A35" s="61"/>
      <c r="B35" s="9"/>
      <c r="C35" s="58" t="s">
        <v>29</v>
      </c>
      <c r="D35" s="11" t="s">
        <v>332</v>
      </c>
      <c r="E35" s="10">
        <v>22</v>
      </c>
      <c r="F35" s="10"/>
      <c r="G35" s="12">
        <v>640</v>
      </c>
      <c r="H35" s="12">
        <v>805</v>
      </c>
      <c r="I35" s="17">
        <v>2</v>
      </c>
      <c r="J35" s="18">
        <v>2</v>
      </c>
      <c r="K35" s="19">
        <f t="shared" si="2"/>
        <v>11.325600000000001</v>
      </c>
      <c r="L35" s="54"/>
      <c r="M35" s="3">
        <v>1.04</v>
      </c>
      <c r="N35" s="15">
        <v>10.89</v>
      </c>
    </row>
    <row r="36" spans="1:14" ht="20.25" customHeight="1" x14ac:dyDescent="0.15">
      <c r="A36" s="61" t="s">
        <v>835</v>
      </c>
      <c r="B36" s="9" t="s">
        <v>131</v>
      </c>
      <c r="C36" s="58" t="s">
        <v>29</v>
      </c>
      <c r="D36" s="11" t="s">
        <v>156</v>
      </c>
      <c r="E36" s="10">
        <v>22</v>
      </c>
      <c r="F36" s="10" t="s">
        <v>11</v>
      </c>
      <c r="G36" s="12">
        <v>1723</v>
      </c>
      <c r="H36" s="12">
        <v>1763</v>
      </c>
      <c r="I36" s="17" t="s">
        <v>473</v>
      </c>
      <c r="J36" s="18">
        <v>275</v>
      </c>
      <c r="K36" s="19">
        <f t="shared" si="2"/>
        <v>2350.0620000000004</v>
      </c>
      <c r="L36" s="54"/>
      <c r="M36" s="3">
        <v>215.8</v>
      </c>
      <c r="N36" s="15">
        <v>10.89</v>
      </c>
    </row>
    <row r="37" spans="1:14" ht="20.25" customHeight="1" x14ac:dyDescent="0.15">
      <c r="A37" s="61" t="s">
        <v>836</v>
      </c>
      <c r="B37" s="9" t="s">
        <v>131</v>
      </c>
      <c r="C37" s="58" t="s">
        <v>29</v>
      </c>
      <c r="D37" s="11" t="s">
        <v>155</v>
      </c>
      <c r="E37" s="10">
        <v>22</v>
      </c>
      <c r="F37" s="10" t="s">
        <v>11</v>
      </c>
      <c r="G37" s="12">
        <v>1723</v>
      </c>
      <c r="H37" s="12">
        <v>1763</v>
      </c>
      <c r="I37" s="17" t="s">
        <v>473</v>
      </c>
      <c r="J37" s="18">
        <v>275</v>
      </c>
      <c r="K37" s="19">
        <f t="shared" si="2"/>
        <v>2350.0620000000004</v>
      </c>
      <c r="L37" s="54"/>
      <c r="M37" s="3">
        <v>215.8</v>
      </c>
      <c r="N37" s="15">
        <v>10.89</v>
      </c>
    </row>
    <row r="38" spans="1:14" ht="20.25" customHeight="1" x14ac:dyDescent="0.15">
      <c r="A38" s="61"/>
      <c r="B38" s="9"/>
      <c r="C38" s="58" t="s">
        <v>29</v>
      </c>
      <c r="D38" s="11" t="s">
        <v>156</v>
      </c>
      <c r="E38" s="10">
        <v>22</v>
      </c>
      <c r="F38" s="10" t="s">
        <v>11</v>
      </c>
      <c r="G38" s="12">
        <v>1723</v>
      </c>
      <c r="H38" s="12">
        <v>1763</v>
      </c>
      <c r="I38" s="51" t="s">
        <v>837</v>
      </c>
      <c r="J38" s="52">
        <f>15+76</f>
        <v>91</v>
      </c>
      <c r="K38" s="53">
        <f t="shared" si="2"/>
        <v>1536.1434000000002</v>
      </c>
      <c r="L38" s="54"/>
      <c r="M38" s="3">
        <v>141.06</v>
      </c>
      <c r="N38" s="15">
        <v>10.89</v>
      </c>
    </row>
    <row r="39" spans="1:14" ht="20.25" customHeight="1" x14ac:dyDescent="0.15">
      <c r="A39" s="61" t="s">
        <v>838</v>
      </c>
      <c r="B39" s="9" t="s">
        <v>132</v>
      </c>
      <c r="C39" s="58" t="s">
        <v>29</v>
      </c>
      <c r="D39" s="11" t="s">
        <v>276</v>
      </c>
      <c r="E39" s="10">
        <v>24</v>
      </c>
      <c r="F39" s="10" t="s">
        <v>11</v>
      </c>
      <c r="G39" s="12">
        <v>891</v>
      </c>
      <c r="H39" s="12">
        <v>1870</v>
      </c>
      <c r="I39" s="51">
        <v>1</v>
      </c>
      <c r="J39" s="52">
        <v>1</v>
      </c>
      <c r="K39" s="53">
        <f t="shared" si="2"/>
        <v>18.186299999999999</v>
      </c>
      <c r="L39" s="54"/>
      <c r="M39" s="3">
        <v>1.67</v>
      </c>
      <c r="N39" s="15">
        <v>10.89</v>
      </c>
    </row>
    <row r="40" spans="1:14" ht="20.25" customHeight="1" x14ac:dyDescent="0.15">
      <c r="A40" s="60"/>
      <c r="B40" s="9"/>
      <c r="C40" s="58" t="s">
        <v>29</v>
      </c>
      <c r="D40" s="11" t="s">
        <v>310</v>
      </c>
      <c r="E40" s="10">
        <v>24</v>
      </c>
      <c r="F40" s="10" t="s">
        <v>11</v>
      </c>
      <c r="G40" s="12">
        <v>435</v>
      </c>
      <c r="H40" s="12">
        <v>2055</v>
      </c>
      <c r="I40" s="17" t="s">
        <v>218</v>
      </c>
      <c r="J40" s="18">
        <v>3</v>
      </c>
      <c r="K40" s="19">
        <f t="shared" si="2"/>
        <v>19.928700000000003</v>
      </c>
      <c r="L40" s="27"/>
      <c r="M40" s="3">
        <v>1.83</v>
      </c>
      <c r="N40" s="15">
        <v>10.89</v>
      </c>
    </row>
    <row r="41" spans="1:14" ht="20.25" customHeight="1" x14ac:dyDescent="0.15">
      <c r="A41" s="60" t="s">
        <v>839</v>
      </c>
      <c r="B41" s="9" t="s">
        <v>840</v>
      </c>
      <c r="C41" s="58" t="s">
        <v>29</v>
      </c>
      <c r="D41" s="11" t="s">
        <v>841</v>
      </c>
      <c r="E41" s="10">
        <v>22</v>
      </c>
      <c r="F41" s="10"/>
      <c r="G41" s="12">
        <v>665</v>
      </c>
      <c r="H41" s="12">
        <v>1875</v>
      </c>
      <c r="I41" s="17">
        <v>10</v>
      </c>
      <c r="J41" s="18">
        <v>10</v>
      </c>
      <c r="K41" s="19">
        <f t="shared" si="2"/>
        <v>136.125</v>
      </c>
      <c r="L41" s="27"/>
      <c r="M41" s="3">
        <v>12.5</v>
      </c>
      <c r="N41" s="15">
        <v>10.89</v>
      </c>
    </row>
    <row r="42" spans="1:14" ht="20.25" customHeight="1" x14ac:dyDescent="0.15">
      <c r="A42" s="60" t="s">
        <v>842</v>
      </c>
      <c r="B42" s="9" t="s">
        <v>773</v>
      </c>
      <c r="C42" s="58" t="s">
        <v>29</v>
      </c>
      <c r="D42" s="11" t="s">
        <v>774</v>
      </c>
      <c r="E42" s="10">
        <v>43</v>
      </c>
      <c r="F42" s="10" t="s">
        <v>11</v>
      </c>
      <c r="G42" s="12">
        <v>984</v>
      </c>
      <c r="H42" s="12">
        <v>824</v>
      </c>
      <c r="I42" s="17">
        <v>1</v>
      </c>
      <c r="J42" s="18">
        <v>1</v>
      </c>
      <c r="K42" s="19">
        <f t="shared" si="2"/>
        <v>8.8209000000000017</v>
      </c>
      <c r="L42" s="27"/>
      <c r="M42" s="3">
        <v>0.81</v>
      </c>
      <c r="N42" s="15">
        <v>10.89</v>
      </c>
    </row>
    <row r="43" spans="1:14" ht="20.25" customHeight="1" x14ac:dyDescent="0.15">
      <c r="A43" s="57"/>
      <c r="B43" s="28"/>
      <c r="C43" s="10"/>
      <c r="D43" s="29"/>
      <c r="E43" s="30"/>
      <c r="F43" s="30"/>
      <c r="G43" s="30"/>
      <c r="H43" s="30"/>
      <c r="I43" s="13"/>
      <c r="J43" s="48">
        <f>SUM(J31:J42)</f>
        <v>680</v>
      </c>
      <c r="K43" s="49">
        <f>SUM(K31:K42)</f>
        <v>6538.573800000001</v>
      </c>
      <c r="L43" s="31"/>
      <c r="N43" s="32"/>
    </row>
    <row r="44" spans="1:14" ht="20.25" customHeight="1" thickBot="1" x14ac:dyDescent="0.2">
      <c r="A44" s="55"/>
      <c r="B44" s="33"/>
      <c r="C44" s="33"/>
      <c r="D44" s="33"/>
      <c r="E44" s="33"/>
      <c r="F44" s="33"/>
      <c r="G44" s="33"/>
      <c r="H44" s="33"/>
      <c r="I44" s="33"/>
      <c r="J44" s="34"/>
      <c r="K44" s="35"/>
      <c r="L44" s="36"/>
    </row>
    <row r="45" spans="1:14" ht="20.25" customHeight="1" thickBot="1" x14ac:dyDescent="0.2">
      <c r="A45" s="37" t="s">
        <v>19</v>
      </c>
      <c r="B45" s="38" t="s">
        <v>20</v>
      </c>
      <c r="C45" s="77" t="s">
        <v>21</v>
      </c>
      <c r="D45" s="79"/>
      <c r="E45" s="77" t="s">
        <v>22</v>
      </c>
      <c r="F45" s="78"/>
      <c r="G45" s="79"/>
      <c r="H45" s="85" t="s">
        <v>23</v>
      </c>
      <c r="I45" s="86"/>
      <c r="J45" s="77" t="s">
        <v>24</v>
      </c>
      <c r="K45" s="79"/>
      <c r="L45" s="39" t="s">
        <v>13</v>
      </c>
    </row>
    <row r="46" spans="1:14" ht="20.25" customHeight="1" thickBot="1" x14ac:dyDescent="0.2">
      <c r="A46" s="40">
        <f>SUMIF($C$8:$C$44,"U1",$J$8:$J$44)</f>
        <v>0</v>
      </c>
      <c r="B46" s="41">
        <f>SUMIF($C$8:$C$44,"U2",$J$8:$J$44)</f>
        <v>0</v>
      </c>
      <c r="C46" s="77">
        <f>SUMIF($C$8:$C$44,"U3-1",$J$8:$J$44)</f>
        <v>0</v>
      </c>
      <c r="D46" s="79"/>
      <c r="E46" s="77">
        <f>SUMIF($C$8:$C$44,"U3",$J$8:$J$44)</f>
        <v>1224</v>
      </c>
      <c r="F46" s="78"/>
      <c r="G46" s="79"/>
      <c r="H46" s="77">
        <f>SUMIF($C$8:$C$44,"E5",$J$8:$J$44)</f>
        <v>0</v>
      </c>
      <c r="I46" s="79"/>
      <c r="J46" s="77">
        <f>SUM(A46:I46)</f>
        <v>1224</v>
      </c>
      <c r="K46" s="79"/>
      <c r="L46" s="42"/>
    </row>
    <row r="47" spans="1:14" ht="20.25" customHeight="1" thickBot="1" x14ac:dyDescent="0.2">
      <c r="A47" s="43" t="s">
        <v>25</v>
      </c>
      <c r="B47" s="44" t="s">
        <v>26</v>
      </c>
      <c r="C47" s="75">
        <v>13876</v>
      </c>
      <c r="D47" s="76"/>
      <c r="E47" s="77" t="s">
        <v>27</v>
      </c>
      <c r="F47" s="78"/>
      <c r="G47" s="78"/>
      <c r="H47" s="78"/>
      <c r="I47" s="79"/>
      <c r="J47" s="80">
        <v>146744.37</v>
      </c>
      <c r="K47" s="81"/>
      <c r="L47" s="82"/>
    </row>
    <row r="49" spans="4:4" x14ac:dyDescent="0.15">
      <c r="D49" s="45"/>
    </row>
  </sheetData>
  <mergeCells count="26">
    <mergeCell ref="C47:D47"/>
    <mergeCell ref="E47:I47"/>
    <mergeCell ref="J47:L47"/>
    <mergeCell ref="L6:L7"/>
    <mergeCell ref="C45:D45"/>
    <mergeCell ref="E45:G45"/>
    <mergeCell ref="H45:I45"/>
    <mergeCell ref="J45:K45"/>
    <mergeCell ref="C46:D46"/>
    <mergeCell ref="E46:G46"/>
    <mergeCell ref="H46:I46"/>
    <mergeCell ref="J46:K46"/>
    <mergeCell ref="B5:G5"/>
    <mergeCell ref="A6:A7"/>
    <mergeCell ref="B6:B7"/>
    <mergeCell ref="C6:C7"/>
    <mergeCell ref="D6:D7"/>
    <mergeCell ref="E6:E7"/>
    <mergeCell ref="F6:F7"/>
    <mergeCell ref="G6:K6"/>
    <mergeCell ref="L2:L4"/>
    <mergeCell ref="A1:G3"/>
    <mergeCell ref="H1:H4"/>
    <mergeCell ref="I2:I4"/>
    <mergeCell ref="J2:J4"/>
    <mergeCell ref="K2:K4"/>
  </mergeCells>
  <phoneticPr fontId="2" type="noConversion"/>
  <printOptions horizontalCentered="1"/>
  <pageMargins left="0.39370078740157483" right="0.39370078740157483" top="0.74803149606299213" bottom="0.19685039370078741" header="0.31496062992125984" footer="0.15748031496062992"/>
  <pageSetup paperSize="9" scale="84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N47"/>
  <sheetViews>
    <sheetView view="pageBreakPreview" topLeftCell="A13" zoomScaleSheetLayoutView="100" workbookViewId="0">
      <selection activeCell="B30" sqref="B30:E30"/>
    </sheetView>
  </sheetViews>
  <sheetFormatPr defaultColWidth="8.88671875" defaultRowHeight="13.5" x14ac:dyDescent="0.15"/>
  <cols>
    <col min="1" max="1" width="8.44140625" style="3" customWidth="1"/>
    <col min="2" max="2" width="14.77734375" style="3" customWidth="1"/>
    <col min="3" max="3" width="4.109375" style="3" customWidth="1"/>
    <col min="4" max="4" width="15.21875" style="3" customWidth="1"/>
    <col min="5" max="5" width="4.44140625" style="3" customWidth="1"/>
    <col min="6" max="6" width="4" style="3" customWidth="1"/>
    <col min="7" max="7" width="5.5546875" style="3" customWidth="1"/>
    <col min="8" max="8" width="5.44140625" style="3" customWidth="1"/>
    <col min="9" max="9" width="7.88671875" style="3" customWidth="1"/>
    <col min="10" max="10" width="7.109375" style="3" customWidth="1"/>
    <col min="11" max="11" width="7.21875" style="3" customWidth="1"/>
    <col min="12" max="12" width="6.77734375" style="3" customWidth="1"/>
    <col min="13" max="16384" width="8.88671875" style="3"/>
  </cols>
  <sheetData>
    <row r="1" spans="1:14" ht="18.75" customHeight="1" x14ac:dyDescent="0.15">
      <c r="A1" s="101" t="s">
        <v>0</v>
      </c>
      <c r="B1" s="102"/>
      <c r="C1" s="102"/>
      <c r="D1" s="102"/>
      <c r="E1" s="102"/>
      <c r="F1" s="102"/>
      <c r="G1" s="103"/>
      <c r="H1" s="107" t="s">
        <v>1</v>
      </c>
      <c r="I1" s="1" t="s">
        <v>2</v>
      </c>
      <c r="J1" s="1" t="s">
        <v>2</v>
      </c>
      <c r="K1" s="1" t="s">
        <v>3</v>
      </c>
      <c r="L1" s="2" t="s">
        <v>4</v>
      </c>
    </row>
    <row r="2" spans="1:14" ht="13.5" customHeight="1" x14ac:dyDescent="0.15">
      <c r="A2" s="104"/>
      <c r="B2" s="105"/>
      <c r="C2" s="105"/>
      <c r="D2" s="105"/>
      <c r="E2" s="105"/>
      <c r="F2" s="105"/>
      <c r="G2" s="106"/>
      <c r="H2" s="108"/>
      <c r="I2" s="110"/>
      <c r="J2" s="110"/>
      <c r="K2" s="110"/>
      <c r="L2" s="98"/>
    </row>
    <row r="3" spans="1:14" ht="13.5" customHeight="1" x14ac:dyDescent="0.15">
      <c r="A3" s="104"/>
      <c r="B3" s="105"/>
      <c r="C3" s="105"/>
      <c r="D3" s="105"/>
      <c r="E3" s="105"/>
      <c r="F3" s="105"/>
      <c r="G3" s="106"/>
      <c r="H3" s="108"/>
      <c r="I3" s="108"/>
      <c r="J3" s="108"/>
      <c r="K3" s="108"/>
      <c r="L3" s="99"/>
    </row>
    <row r="4" spans="1:14" ht="33" customHeight="1" x14ac:dyDescent="0.15">
      <c r="A4" s="4"/>
      <c r="B4" s="5"/>
      <c r="C4" s="5"/>
      <c r="D4" s="5"/>
      <c r="E4" s="5"/>
      <c r="F4" s="5"/>
      <c r="G4" s="5"/>
      <c r="H4" s="109"/>
      <c r="I4" s="109"/>
      <c r="J4" s="109"/>
      <c r="K4" s="109"/>
      <c r="L4" s="100"/>
    </row>
    <row r="5" spans="1:14" ht="17.25" customHeight="1" x14ac:dyDescent="0.15">
      <c r="A5" s="6" t="s">
        <v>5</v>
      </c>
      <c r="B5" s="87">
        <v>46052</v>
      </c>
      <c r="C5" s="88"/>
      <c r="D5" s="88"/>
      <c r="E5" s="88"/>
      <c r="F5" s="88"/>
      <c r="G5" s="88"/>
      <c r="H5" s="5"/>
      <c r="I5" s="5"/>
      <c r="J5" s="5"/>
      <c r="K5" s="5"/>
      <c r="L5" s="7"/>
    </row>
    <row r="6" spans="1:14" ht="13.5" customHeight="1" x14ac:dyDescent="0.15">
      <c r="A6" s="89" t="s">
        <v>6</v>
      </c>
      <c r="B6" s="91" t="s">
        <v>7</v>
      </c>
      <c r="C6" s="91" t="s">
        <v>8</v>
      </c>
      <c r="D6" s="91" t="s">
        <v>9</v>
      </c>
      <c r="E6" s="93" t="s">
        <v>10</v>
      </c>
      <c r="F6" s="93" t="s">
        <v>11</v>
      </c>
      <c r="G6" s="95" t="s">
        <v>12</v>
      </c>
      <c r="H6" s="96"/>
      <c r="I6" s="96"/>
      <c r="J6" s="96"/>
      <c r="K6" s="97"/>
      <c r="L6" s="83" t="s">
        <v>13</v>
      </c>
    </row>
    <row r="7" spans="1:14" x14ac:dyDescent="0.15">
      <c r="A7" s="90"/>
      <c r="B7" s="92"/>
      <c r="C7" s="92"/>
      <c r="D7" s="92"/>
      <c r="E7" s="94"/>
      <c r="F7" s="94"/>
      <c r="G7" s="8" t="s">
        <v>14</v>
      </c>
      <c r="H7" s="8" t="s">
        <v>15</v>
      </c>
      <c r="I7" s="8" t="s">
        <v>16</v>
      </c>
      <c r="J7" s="8" t="s">
        <v>17</v>
      </c>
      <c r="K7" s="8" t="s">
        <v>18</v>
      </c>
      <c r="L7" s="84"/>
    </row>
    <row r="8" spans="1:14" s="15" customFormat="1" ht="20.25" customHeight="1" x14ac:dyDescent="0.15">
      <c r="A8" s="60" t="s">
        <v>830</v>
      </c>
      <c r="B8" s="9" t="s">
        <v>131</v>
      </c>
      <c r="C8" s="58" t="s">
        <v>29</v>
      </c>
      <c r="D8" s="11" t="s">
        <v>156</v>
      </c>
      <c r="E8" s="10">
        <v>22</v>
      </c>
      <c r="F8" s="58" t="s">
        <v>11</v>
      </c>
      <c r="G8" s="12">
        <v>893</v>
      </c>
      <c r="H8" s="12">
        <v>1927</v>
      </c>
      <c r="I8" s="17" t="s">
        <v>843</v>
      </c>
      <c r="J8" s="18">
        <v>88</v>
      </c>
      <c r="K8" s="19">
        <f>+M8*N8</f>
        <v>563.88420000000008</v>
      </c>
      <c r="L8" s="14"/>
      <c r="M8" s="15">
        <v>51.78</v>
      </c>
      <c r="N8" s="15">
        <v>10.89</v>
      </c>
    </row>
    <row r="9" spans="1:14" s="15" customFormat="1" ht="20.25" customHeight="1" x14ac:dyDescent="0.15">
      <c r="A9" s="60" t="s">
        <v>844</v>
      </c>
      <c r="B9" s="9" t="s">
        <v>131</v>
      </c>
      <c r="C9" s="58" t="s">
        <v>29</v>
      </c>
      <c r="D9" s="11" t="s">
        <v>155</v>
      </c>
      <c r="E9" s="10">
        <v>22</v>
      </c>
      <c r="F9" s="58" t="s">
        <v>11</v>
      </c>
      <c r="G9" s="12">
        <v>1723</v>
      </c>
      <c r="H9" s="12">
        <v>1763</v>
      </c>
      <c r="I9" s="17" t="s">
        <v>845</v>
      </c>
      <c r="J9" s="18">
        <v>255</v>
      </c>
      <c r="K9" s="19">
        <f t="shared" ref="K9:K23" si="0">+M9*N9</f>
        <v>2276.0100000000002</v>
      </c>
      <c r="L9" s="14"/>
      <c r="M9" s="15">
        <v>209</v>
      </c>
      <c r="N9" s="15">
        <v>10.89</v>
      </c>
    </row>
    <row r="10" spans="1:14" s="15" customFormat="1" ht="20.25" customHeight="1" x14ac:dyDescent="0.15">
      <c r="A10" s="60"/>
      <c r="B10" s="9"/>
      <c r="C10" s="58" t="s">
        <v>29</v>
      </c>
      <c r="D10" s="11" t="s">
        <v>156</v>
      </c>
      <c r="E10" s="10">
        <v>22</v>
      </c>
      <c r="F10" s="58" t="s">
        <v>11</v>
      </c>
      <c r="G10" s="12">
        <v>1723</v>
      </c>
      <c r="H10" s="12">
        <v>1763</v>
      </c>
      <c r="I10" s="17" t="s">
        <v>845</v>
      </c>
      <c r="J10" s="18">
        <v>255</v>
      </c>
      <c r="K10" s="19">
        <f t="shared" si="0"/>
        <v>2276.0100000000002</v>
      </c>
      <c r="L10" s="14"/>
      <c r="M10" s="15">
        <v>209</v>
      </c>
      <c r="N10" s="15">
        <v>10.89</v>
      </c>
    </row>
    <row r="11" spans="1:14" s="15" customFormat="1" ht="20.25" customHeight="1" x14ac:dyDescent="0.15">
      <c r="A11" s="60" t="s">
        <v>846</v>
      </c>
      <c r="B11" s="9" t="s">
        <v>131</v>
      </c>
      <c r="C11" s="58" t="s">
        <v>29</v>
      </c>
      <c r="D11" s="11" t="s">
        <v>155</v>
      </c>
      <c r="E11" s="10">
        <v>22</v>
      </c>
      <c r="F11" s="58" t="s">
        <v>11</v>
      </c>
      <c r="G11" s="12">
        <v>1723</v>
      </c>
      <c r="H11" s="12">
        <v>1763</v>
      </c>
      <c r="I11" s="17" t="s">
        <v>847</v>
      </c>
      <c r="J11" s="18">
        <v>85</v>
      </c>
      <c r="K11" s="19">
        <f t="shared" si="0"/>
        <v>1489.7520000000002</v>
      </c>
      <c r="L11" s="14"/>
      <c r="M11" s="15">
        <v>136.80000000000001</v>
      </c>
      <c r="N11" s="15">
        <v>10.89</v>
      </c>
    </row>
    <row r="12" spans="1:14" s="15" customFormat="1" ht="20.25" customHeight="1" x14ac:dyDescent="0.15">
      <c r="A12" s="60" t="s">
        <v>848</v>
      </c>
      <c r="B12" s="9" t="s">
        <v>61</v>
      </c>
      <c r="C12" s="58" t="s">
        <v>29</v>
      </c>
      <c r="D12" s="11" t="s">
        <v>849</v>
      </c>
      <c r="E12" s="10">
        <v>22</v>
      </c>
      <c r="F12" s="58" t="s">
        <v>11</v>
      </c>
      <c r="G12" s="12">
        <v>636</v>
      </c>
      <c r="H12" s="12">
        <v>2319</v>
      </c>
      <c r="I12" s="17">
        <v>1</v>
      </c>
      <c r="J12" s="18">
        <v>1</v>
      </c>
      <c r="K12" s="19">
        <f t="shared" si="0"/>
        <v>16.008300000000002</v>
      </c>
      <c r="L12" s="14"/>
      <c r="M12" s="15">
        <v>1.47</v>
      </c>
      <c r="N12" s="15">
        <v>10.89</v>
      </c>
    </row>
    <row r="13" spans="1:14" s="15" customFormat="1" ht="20.25" customHeight="1" x14ac:dyDescent="0.15">
      <c r="A13" s="60"/>
      <c r="B13" s="9"/>
      <c r="C13" s="58"/>
      <c r="D13" s="11"/>
      <c r="E13" s="10"/>
      <c r="F13" s="58"/>
      <c r="G13" s="12"/>
      <c r="H13" s="12"/>
      <c r="I13" s="17"/>
      <c r="J13" s="18"/>
      <c r="K13" s="19">
        <f t="shared" si="0"/>
        <v>0</v>
      </c>
      <c r="L13" s="14"/>
      <c r="N13" s="15">
        <v>10.89</v>
      </c>
    </row>
    <row r="14" spans="1:14" s="15" customFormat="1" ht="20.25" customHeight="1" x14ac:dyDescent="0.15">
      <c r="A14" s="60"/>
      <c r="B14" s="9"/>
      <c r="C14" s="58"/>
      <c r="D14" s="11"/>
      <c r="E14" s="10"/>
      <c r="F14" s="58"/>
      <c r="G14" s="12"/>
      <c r="H14" s="12"/>
      <c r="I14" s="17"/>
      <c r="J14" s="18"/>
      <c r="K14" s="19">
        <f t="shared" si="0"/>
        <v>0</v>
      </c>
      <c r="L14" s="20"/>
      <c r="N14" s="15">
        <v>10.89</v>
      </c>
    </row>
    <row r="15" spans="1:14" s="15" customFormat="1" ht="20.25" customHeight="1" x14ac:dyDescent="0.15">
      <c r="A15" s="60"/>
      <c r="B15" s="9"/>
      <c r="C15" s="58"/>
      <c r="D15" s="11"/>
      <c r="E15" s="10"/>
      <c r="F15" s="58"/>
      <c r="G15" s="12"/>
      <c r="H15" s="12"/>
      <c r="I15" s="17"/>
      <c r="J15" s="18"/>
      <c r="K15" s="19">
        <f t="shared" si="0"/>
        <v>0</v>
      </c>
      <c r="L15" s="20"/>
      <c r="N15" s="15">
        <v>10.89</v>
      </c>
    </row>
    <row r="16" spans="1:14" s="15" customFormat="1" ht="20.25" customHeight="1" x14ac:dyDescent="0.15">
      <c r="A16" s="60"/>
      <c r="B16" s="9"/>
      <c r="C16" s="58"/>
      <c r="D16" s="11"/>
      <c r="E16" s="10"/>
      <c r="F16" s="58"/>
      <c r="G16" s="12"/>
      <c r="H16" s="12"/>
      <c r="I16" s="17"/>
      <c r="J16" s="18"/>
      <c r="K16" s="19">
        <f t="shared" si="0"/>
        <v>0</v>
      </c>
      <c r="L16" s="20"/>
      <c r="N16" s="15">
        <v>10.89</v>
      </c>
    </row>
    <row r="17" spans="1:14" s="15" customFormat="1" ht="20.25" customHeight="1" x14ac:dyDescent="0.15">
      <c r="A17" s="60"/>
      <c r="B17" s="9"/>
      <c r="C17" s="58"/>
      <c r="D17" s="11"/>
      <c r="E17" s="10"/>
      <c r="F17" s="58"/>
      <c r="G17" s="12"/>
      <c r="H17" s="12"/>
      <c r="I17" s="17"/>
      <c r="J17" s="18"/>
      <c r="K17" s="19">
        <f t="shared" si="0"/>
        <v>0</v>
      </c>
      <c r="L17" s="20"/>
      <c r="N17" s="15">
        <v>10.89</v>
      </c>
    </row>
    <row r="18" spans="1:14" s="15" customFormat="1" ht="20.25" customHeight="1" x14ac:dyDescent="0.15">
      <c r="A18" s="60"/>
      <c r="B18" s="9"/>
      <c r="C18" s="58"/>
      <c r="D18" s="11"/>
      <c r="E18" s="10"/>
      <c r="F18" s="58"/>
      <c r="G18" s="12"/>
      <c r="H18" s="12"/>
      <c r="I18" s="17"/>
      <c r="J18" s="18"/>
      <c r="K18" s="19">
        <f t="shared" si="0"/>
        <v>0</v>
      </c>
      <c r="L18" s="20"/>
      <c r="N18" s="15">
        <v>10.89</v>
      </c>
    </row>
    <row r="19" spans="1:14" s="15" customFormat="1" ht="20.25" customHeight="1" x14ac:dyDescent="0.15">
      <c r="A19" s="60"/>
      <c r="B19" s="9"/>
      <c r="C19" s="58"/>
      <c r="D19" s="11"/>
      <c r="E19" s="10"/>
      <c r="F19" s="58"/>
      <c r="G19" s="12"/>
      <c r="H19" s="12"/>
      <c r="I19" s="17"/>
      <c r="J19" s="18"/>
      <c r="K19" s="19">
        <f t="shared" si="0"/>
        <v>0</v>
      </c>
      <c r="L19" s="20"/>
      <c r="N19" s="15">
        <v>10.89</v>
      </c>
    </row>
    <row r="20" spans="1:14" s="15" customFormat="1" ht="20.25" customHeight="1" x14ac:dyDescent="0.15">
      <c r="A20" s="60"/>
      <c r="B20" s="9"/>
      <c r="C20" s="58"/>
      <c r="D20" s="11"/>
      <c r="E20" s="10"/>
      <c r="F20" s="58"/>
      <c r="G20" s="12"/>
      <c r="H20" s="12"/>
      <c r="I20" s="17"/>
      <c r="J20" s="18"/>
      <c r="K20" s="19">
        <f t="shared" si="0"/>
        <v>0</v>
      </c>
      <c r="L20" s="20"/>
      <c r="N20" s="15">
        <v>10.89</v>
      </c>
    </row>
    <row r="21" spans="1:14" s="15" customFormat="1" ht="20.25" customHeight="1" x14ac:dyDescent="0.15">
      <c r="A21" s="60"/>
      <c r="B21" s="9"/>
      <c r="C21" s="58"/>
      <c r="D21" s="11"/>
      <c r="E21" s="10"/>
      <c r="F21" s="58"/>
      <c r="G21" s="50"/>
      <c r="H21" s="50"/>
      <c r="I21" s="17"/>
      <c r="J21" s="18"/>
      <c r="K21" s="19">
        <f t="shared" si="0"/>
        <v>0</v>
      </c>
      <c r="L21" s="20"/>
      <c r="N21" s="15">
        <v>10.89</v>
      </c>
    </row>
    <row r="22" spans="1:14" s="15" customFormat="1" ht="20.25" customHeight="1" x14ac:dyDescent="0.15">
      <c r="A22" s="60"/>
      <c r="B22" s="9"/>
      <c r="C22" s="58"/>
      <c r="D22" s="11"/>
      <c r="E22" s="10"/>
      <c r="F22" s="58"/>
      <c r="G22" s="50"/>
      <c r="H22" s="50"/>
      <c r="I22" s="17"/>
      <c r="J22" s="18"/>
      <c r="K22" s="19">
        <f t="shared" si="0"/>
        <v>0</v>
      </c>
      <c r="L22" s="20"/>
      <c r="N22" s="15">
        <v>10.89</v>
      </c>
    </row>
    <row r="23" spans="1:14" ht="20.25" customHeight="1" x14ac:dyDescent="0.15">
      <c r="A23" s="60"/>
      <c r="B23" s="9"/>
      <c r="C23" s="58"/>
      <c r="D23" s="11"/>
      <c r="E23" s="10"/>
      <c r="F23" s="58"/>
      <c r="G23" s="16"/>
      <c r="H23" s="16"/>
      <c r="I23" s="17"/>
      <c r="J23" s="18"/>
      <c r="K23" s="19">
        <f t="shared" si="0"/>
        <v>0</v>
      </c>
      <c r="L23" s="20"/>
      <c r="N23" s="15">
        <v>10.89</v>
      </c>
    </row>
    <row r="24" spans="1:14" ht="20.25" customHeight="1" thickBot="1" x14ac:dyDescent="0.2">
      <c r="A24" s="56"/>
      <c r="B24" s="21"/>
      <c r="C24" s="59"/>
      <c r="D24" s="22"/>
      <c r="E24" s="23"/>
      <c r="F24" s="23"/>
      <c r="G24" s="24"/>
      <c r="H24" s="24"/>
      <c r="I24" s="25"/>
      <c r="J24" s="46">
        <f>SUM(J8:J23)</f>
        <v>684</v>
      </c>
      <c r="K24" s="47">
        <f>SUM(K8:K23)</f>
        <v>6621.6645000000017</v>
      </c>
      <c r="L24" s="26"/>
    </row>
    <row r="25" spans="1:14" ht="20.25" customHeight="1" thickTop="1" x14ac:dyDescent="0.15">
      <c r="A25" s="60" t="s">
        <v>850</v>
      </c>
      <c r="B25" s="9" t="s">
        <v>131</v>
      </c>
      <c r="C25" s="58" t="s">
        <v>29</v>
      </c>
      <c r="D25" s="11" t="s">
        <v>156</v>
      </c>
      <c r="E25" s="10">
        <v>22</v>
      </c>
      <c r="F25" s="10" t="s">
        <v>11</v>
      </c>
      <c r="G25" s="12">
        <v>764</v>
      </c>
      <c r="H25" s="12">
        <v>933</v>
      </c>
      <c r="I25" s="17" t="s">
        <v>851</v>
      </c>
      <c r="J25" s="18">
        <f>34+150</f>
        <v>184</v>
      </c>
      <c r="K25" s="19">
        <f t="shared" ref="K25:K40" si="1">+M25*N25</f>
        <v>813.91859999999997</v>
      </c>
      <c r="L25" s="54"/>
      <c r="M25" s="3">
        <v>74.739999999999995</v>
      </c>
      <c r="N25" s="15">
        <v>10.89</v>
      </c>
    </row>
    <row r="26" spans="1:14" ht="20.25" customHeight="1" x14ac:dyDescent="0.15">
      <c r="A26" s="60" t="s">
        <v>852</v>
      </c>
      <c r="B26" s="9" t="s">
        <v>131</v>
      </c>
      <c r="C26" s="58" t="s">
        <v>29</v>
      </c>
      <c r="D26" s="11" t="s">
        <v>155</v>
      </c>
      <c r="E26" s="10">
        <v>22</v>
      </c>
      <c r="F26" s="10" t="s">
        <v>11</v>
      </c>
      <c r="G26" s="12">
        <v>1421</v>
      </c>
      <c r="H26" s="12">
        <v>1763</v>
      </c>
      <c r="I26" s="17" t="s">
        <v>550</v>
      </c>
      <c r="J26" s="18">
        <v>140</v>
      </c>
      <c r="K26" s="19">
        <f t="shared" si="1"/>
        <v>1252.3500000000001</v>
      </c>
      <c r="L26" s="54"/>
      <c r="M26" s="3">
        <v>115</v>
      </c>
      <c r="N26" s="15">
        <v>10.89</v>
      </c>
    </row>
    <row r="27" spans="1:14" ht="20.25" customHeight="1" x14ac:dyDescent="0.15">
      <c r="A27" s="61"/>
      <c r="B27" s="9"/>
      <c r="C27" s="58" t="s">
        <v>29</v>
      </c>
      <c r="D27" s="11" t="s">
        <v>156</v>
      </c>
      <c r="E27" s="10">
        <v>22</v>
      </c>
      <c r="F27" s="10" t="s">
        <v>11</v>
      </c>
      <c r="G27" s="12">
        <v>1421</v>
      </c>
      <c r="H27" s="12">
        <v>1763</v>
      </c>
      <c r="I27" s="17" t="s">
        <v>550</v>
      </c>
      <c r="J27" s="18">
        <v>140</v>
      </c>
      <c r="K27" s="19">
        <f t="shared" si="1"/>
        <v>1252.3500000000001</v>
      </c>
      <c r="L27" s="54"/>
      <c r="M27" s="3">
        <v>115</v>
      </c>
      <c r="N27" s="15">
        <v>10.89</v>
      </c>
    </row>
    <row r="28" spans="1:14" ht="20.25" customHeight="1" x14ac:dyDescent="0.15">
      <c r="A28" s="61" t="s">
        <v>853</v>
      </c>
      <c r="B28" s="9" t="s">
        <v>131</v>
      </c>
      <c r="C28" s="58" t="s">
        <v>29</v>
      </c>
      <c r="D28" s="11" t="s">
        <v>155</v>
      </c>
      <c r="E28" s="10">
        <v>22</v>
      </c>
      <c r="F28" s="10" t="s">
        <v>11</v>
      </c>
      <c r="G28" s="12">
        <v>1421</v>
      </c>
      <c r="H28" s="12">
        <v>1763</v>
      </c>
      <c r="I28" s="17" t="s">
        <v>854</v>
      </c>
      <c r="J28" s="18">
        <v>112</v>
      </c>
      <c r="K28" s="19">
        <f t="shared" si="1"/>
        <v>1001.8800000000001</v>
      </c>
      <c r="L28" s="54"/>
      <c r="M28" s="3">
        <v>92</v>
      </c>
      <c r="N28" s="15">
        <v>10.89</v>
      </c>
    </row>
    <row r="29" spans="1:14" ht="20.25" customHeight="1" x14ac:dyDescent="0.15">
      <c r="A29" s="61"/>
      <c r="B29" s="9"/>
      <c r="C29" s="58" t="s">
        <v>29</v>
      </c>
      <c r="D29" s="11" t="s">
        <v>156</v>
      </c>
      <c r="E29" s="10">
        <v>22</v>
      </c>
      <c r="F29" s="10" t="s">
        <v>11</v>
      </c>
      <c r="G29" s="12">
        <v>1421</v>
      </c>
      <c r="H29" s="12">
        <v>1763</v>
      </c>
      <c r="I29" s="17" t="s">
        <v>854</v>
      </c>
      <c r="J29" s="18">
        <v>112</v>
      </c>
      <c r="K29" s="19">
        <f t="shared" si="1"/>
        <v>1001.8800000000001</v>
      </c>
      <c r="L29" s="54"/>
      <c r="M29" s="3">
        <v>92</v>
      </c>
      <c r="N29" s="15">
        <v>10.89</v>
      </c>
    </row>
    <row r="30" spans="1:14" ht="20.25" customHeight="1" x14ac:dyDescent="0.15">
      <c r="A30" s="61" t="s">
        <v>855</v>
      </c>
      <c r="B30" s="9" t="s">
        <v>150</v>
      </c>
      <c r="C30" s="58" t="s">
        <v>29</v>
      </c>
      <c r="D30" s="11" t="s">
        <v>856</v>
      </c>
      <c r="E30" s="10">
        <v>43</v>
      </c>
      <c r="F30" s="10" t="s">
        <v>11</v>
      </c>
      <c r="G30" s="12">
        <v>392</v>
      </c>
      <c r="H30" s="12">
        <v>2062</v>
      </c>
      <c r="I30" s="51">
        <v>9</v>
      </c>
      <c r="J30" s="52">
        <v>9</v>
      </c>
      <c r="K30" s="53">
        <f t="shared" si="1"/>
        <v>79.388100000000009</v>
      </c>
      <c r="L30" s="54"/>
      <c r="M30" s="3">
        <v>7.29</v>
      </c>
      <c r="N30" s="15">
        <v>10.89</v>
      </c>
    </row>
    <row r="31" spans="1:14" ht="20.25" customHeight="1" x14ac:dyDescent="0.15">
      <c r="A31" s="61" t="s">
        <v>517</v>
      </c>
      <c r="B31" s="9" t="s">
        <v>182</v>
      </c>
      <c r="C31" s="58" t="s">
        <v>29</v>
      </c>
      <c r="D31" s="11" t="s">
        <v>677</v>
      </c>
      <c r="E31" s="10">
        <v>26</v>
      </c>
      <c r="F31" s="10" t="s">
        <v>11</v>
      </c>
      <c r="G31" s="12">
        <v>1128</v>
      </c>
      <c r="H31" s="12">
        <v>2123</v>
      </c>
      <c r="I31" s="51" t="s">
        <v>857</v>
      </c>
      <c r="J31" s="52">
        <v>18</v>
      </c>
      <c r="K31" s="53">
        <f t="shared" si="1"/>
        <v>463.26060000000001</v>
      </c>
      <c r="L31" s="54"/>
      <c r="M31" s="3">
        <v>42.54</v>
      </c>
      <c r="N31" s="15">
        <v>10.89</v>
      </c>
    </row>
    <row r="32" spans="1:14" ht="20.25" customHeight="1" x14ac:dyDescent="0.15">
      <c r="A32" s="60"/>
      <c r="B32" s="9"/>
      <c r="C32" s="58"/>
      <c r="D32" s="11"/>
      <c r="E32" s="10"/>
      <c r="F32" s="10"/>
      <c r="G32" s="12"/>
      <c r="H32" s="12"/>
      <c r="I32" s="17"/>
      <c r="J32" s="18"/>
      <c r="K32" s="19">
        <f t="shared" si="1"/>
        <v>0</v>
      </c>
      <c r="L32" s="27"/>
      <c r="N32" s="15">
        <v>10.89</v>
      </c>
    </row>
    <row r="33" spans="1:14" ht="20.25" customHeight="1" x14ac:dyDescent="0.15">
      <c r="A33" s="60"/>
      <c r="B33" s="9"/>
      <c r="C33" s="58"/>
      <c r="D33" s="11"/>
      <c r="E33" s="10"/>
      <c r="F33" s="10"/>
      <c r="G33" s="12"/>
      <c r="H33" s="12"/>
      <c r="I33" s="17"/>
      <c r="J33" s="18"/>
      <c r="K33" s="19">
        <f t="shared" si="1"/>
        <v>0</v>
      </c>
      <c r="L33" s="27"/>
      <c r="N33" s="15">
        <v>10.89</v>
      </c>
    </row>
    <row r="34" spans="1:14" ht="20.25" customHeight="1" x14ac:dyDescent="0.15">
      <c r="A34" s="60"/>
      <c r="B34" s="9"/>
      <c r="C34" s="58"/>
      <c r="D34" s="11"/>
      <c r="E34" s="10"/>
      <c r="F34" s="10"/>
      <c r="G34" s="12"/>
      <c r="H34" s="12"/>
      <c r="I34" s="17"/>
      <c r="J34" s="18"/>
      <c r="K34" s="19">
        <f t="shared" si="1"/>
        <v>0</v>
      </c>
      <c r="L34" s="27"/>
      <c r="N34" s="15">
        <v>10.89</v>
      </c>
    </row>
    <row r="35" spans="1:14" ht="20.25" customHeight="1" x14ac:dyDescent="0.15">
      <c r="A35" s="60"/>
      <c r="B35" s="9"/>
      <c r="C35" s="58"/>
      <c r="D35" s="11"/>
      <c r="E35" s="10"/>
      <c r="F35" s="10"/>
      <c r="G35" s="12"/>
      <c r="H35" s="12"/>
      <c r="I35" s="17"/>
      <c r="J35" s="18"/>
      <c r="K35" s="19">
        <f t="shared" si="1"/>
        <v>0</v>
      </c>
      <c r="L35" s="27"/>
      <c r="N35" s="15">
        <v>10.89</v>
      </c>
    </row>
    <row r="36" spans="1:14" ht="20.25" customHeight="1" x14ac:dyDescent="0.15">
      <c r="A36" s="60"/>
      <c r="B36" s="9"/>
      <c r="C36" s="58"/>
      <c r="D36" s="11"/>
      <c r="E36" s="10"/>
      <c r="F36" s="10"/>
      <c r="G36" s="12"/>
      <c r="H36" s="12"/>
      <c r="I36" s="17"/>
      <c r="J36" s="18"/>
      <c r="K36" s="19">
        <f t="shared" si="1"/>
        <v>0</v>
      </c>
      <c r="L36" s="27"/>
      <c r="N36" s="15">
        <v>10.89</v>
      </c>
    </row>
    <row r="37" spans="1:14" ht="20.25" customHeight="1" x14ac:dyDescent="0.15">
      <c r="A37" s="60"/>
      <c r="B37" s="9"/>
      <c r="C37" s="58"/>
      <c r="D37" s="11"/>
      <c r="E37" s="10"/>
      <c r="F37" s="10"/>
      <c r="G37" s="12"/>
      <c r="H37" s="12"/>
      <c r="I37" s="17"/>
      <c r="J37" s="18"/>
      <c r="K37" s="19">
        <f t="shared" si="1"/>
        <v>0</v>
      </c>
      <c r="L37" s="27"/>
      <c r="N37" s="15">
        <v>10.89</v>
      </c>
    </row>
    <row r="38" spans="1:14" ht="20.25" customHeight="1" x14ac:dyDescent="0.15">
      <c r="A38" s="60"/>
      <c r="B38" s="9"/>
      <c r="C38" s="58"/>
      <c r="D38" s="11"/>
      <c r="E38" s="10"/>
      <c r="F38" s="10"/>
      <c r="G38" s="12"/>
      <c r="H38" s="12"/>
      <c r="I38" s="17"/>
      <c r="J38" s="18"/>
      <c r="K38" s="19">
        <f t="shared" si="1"/>
        <v>0</v>
      </c>
      <c r="L38" s="27"/>
      <c r="N38" s="15">
        <v>10.89</v>
      </c>
    </row>
    <row r="39" spans="1:14" ht="20.25" customHeight="1" x14ac:dyDescent="0.15">
      <c r="A39" s="60"/>
      <c r="B39" s="9"/>
      <c r="C39" s="58"/>
      <c r="D39" s="11"/>
      <c r="E39" s="10"/>
      <c r="F39" s="10"/>
      <c r="G39" s="12"/>
      <c r="H39" s="12"/>
      <c r="I39" s="17"/>
      <c r="J39" s="18"/>
      <c r="K39" s="19">
        <f t="shared" si="1"/>
        <v>0</v>
      </c>
      <c r="L39" s="27"/>
      <c r="N39" s="15">
        <v>10.89</v>
      </c>
    </row>
    <row r="40" spans="1:14" ht="20.25" customHeight="1" x14ac:dyDescent="0.15">
      <c r="A40" s="60"/>
      <c r="B40" s="9"/>
      <c r="C40" s="58"/>
      <c r="D40" s="11"/>
      <c r="E40" s="10"/>
      <c r="F40" s="10"/>
      <c r="G40" s="12"/>
      <c r="H40" s="12"/>
      <c r="I40" s="17"/>
      <c r="J40" s="18"/>
      <c r="K40" s="19">
        <f t="shared" si="1"/>
        <v>0</v>
      </c>
      <c r="L40" s="27"/>
      <c r="N40" s="15">
        <v>10.89</v>
      </c>
    </row>
    <row r="41" spans="1:14" ht="20.25" customHeight="1" x14ac:dyDescent="0.15">
      <c r="A41" s="57"/>
      <c r="B41" s="28"/>
      <c r="C41" s="10"/>
      <c r="D41" s="29"/>
      <c r="E41" s="30"/>
      <c r="F41" s="30"/>
      <c r="G41" s="30"/>
      <c r="H41" s="30"/>
      <c r="I41" s="13"/>
      <c r="J41" s="48">
        <f>SUM(J25:J40)</f>
        <v>715</v>
      </c>
      <c r="K41" s="49">
        <f>SUM(K25:K40)</f>
        <v>5865.0273000000007</v>
      </c>
      <c r="L41" s="31"/>
      <c r="N41" s="32"/>
    </row>
    <row r="42" spans="1:14" ht="20.25" customHeight="1" thickBot="1" x14ac:dyDescent="0.2">
      <c r="A42" s="55"/>
      <c r="B42" s="33"/>
      <c r="C42" s="33"/>
      <c r="D42" s="33"/>
      <c r="E42" s="33"/>
      <c r="F42" s="33"/>
      <c r="G42" s="33"/>
      <c r="H42" s="33"/>
      <c r="I42" s="33"/>
      <c r="J42" s="34"/>
      <c r="K42" s="35"/>
      <c r="L42" s="36"/>
    </row>
    <row r="43" spans="1:14" ht="20.25" customHeight="1" thickBot="1" x14ac:dyDescent="0.2">
      <c r="A43" s="37" t="s">
        <v>19</v>
      </c>
      <c r="B43" s="38" t="s">
        <v>20</v>
      </c>
      <c r="C43" s="77" t="s">
        <v>21</v>
      </c>
      <c r="D43" s="79"/>
      <c r="E43" s="77" t="s">
        <v>22</v>
      </c>
      <c r="F43" s="78"/>
      <c r="G43" s="79"/>
      <c r="H43" s="85" t="s">
        <v>23</v>
      </c>
      <c r="I43" s="86"/>
      <c r="J43" s="77" t="s">
        <v>24</v>
      </c>
      <c r="K43" s="79"/>
      <c r="L43" s="39" t="s">
        <v>13</v>
      </c>
    </row>
    <row r="44" spans="1:14" ht="20.25" customHeight="1" thickBot="1" x14ac:dyDescent="0.2">
      <c r="A44" s="40">
        <f>SUMIF($C$8:$C$42,"U1",$J$8:$J$42)</f>
        <v>0</v>
      </c>
      <c r="B44" s="41">
        <f>SUMIF($C$8:$C$42,"U2",$J$8:$J$42)</f>
        <v>0</v>
      </c>
      <c r="C44" s="77">
        <f>SUMIF($C$8:$C$42,"U3-1",$J$8:$J$42)</f>
        <v>0</v>
      </c>
      <c r="D44" s="79"/>
      <c r="E44" s="77">
        <f>SUMIF($C$8:$C$42,"U3",$J$8:$J$42)</f>
        <v>1399</v>
      </c>
      <c r="F44" s="78"/>
      <c r="G44" s="79"/>
      <c r="H44" s="77">
        <f>SUMIF($C$8:$C$42,"E5",$J$8:$J$42)</f>
        <v>0</v>
      </c>
      <c r="I44" s="79"/>
      <c r="J44" s="77">
        <f>SUM(A44:I44)</f>
        <v>1399</v>
      </c>
      <c r="K44" s="79"/>
      <c r="L44" s="42"/>
    </row>
    <row r="45" spans="1:14" ht="20.25" customHeight="1" thickBot="1" x14ac:dyDescent="0.2">
      <c r="A45" s="43" t="s">
        <v>25</v>
      </c>
      <c r="B45" s="44" t="s">
        <v>26</v>
      </c>
      <c r="C45" s="75">
        <v>13876</v>
      </c>
      <c r="D45" s="76"/>
      <c r="E45" s="77" t="s">
        <v>27</v>
      </c>
      <c r="F45" s="78"/>
      <c r="G45" s="78"/>
      <c r="H45" s="78"/>
      <c r="I45" s="79"/>
      <c r="J45" s="80">
        <v>146744.37</v>
      </c>
      <c r="K45" s="81"/>
      <c r="L45" s="82"/>
    </row>
    <row r="47" spans="1:14" x14ac:dyDescent="0.15">
      <c r="D47" s="45"/>
    </row>
  </sheetData>
  <mergeCells count="26">
    <mergeCell ref="C45:D45"/>
    <mergeCell ref="E45:I45"/>
    <mergeCell ref="J45:L45"/>
    <mergeCell ref="L6:L7"/>
    <mergeCell ref="C43:D43"/>
    <mergeCell ref="E43:G43"/>
    <mergeCell ref="H43:I43"/>
    <mergeCell ref="J43:K43"/>
    <mergeCell ref="C44:D44"/>
    <mergeCell ref="E44:G44"/>
    <mergeCell ref="H44:I44"/>
    <mergeCell ref="J44:K44"/>
    <mergeCell ref="B5:G5"/>
    <mergeCell ref="A6:A7"/>
    <mergeCell ref="B6:B7"/>
    <mergeCell ref="C6:C7"/>
    <mergeCell ref="D6:D7"/>
    <mergeCell ref="E6:E7"/>
    <mergeCell ref="F6:F7"/>
    <mergeCell ref="G6:K6"/>
    <mergeCell ref="L2:L4"/>
    <mergeCell ref="A1:G3"/>
    <mergeCell ref="H1:H4"/>
    <mergeCell ref="I2:I4"/>
    <mergeCell ref="J2:J4"/>
    <mergeCell ref="K2:K4"/>
  </mergeCells>
  <phoneticPr fontId="2" type="noConversion"/>
  <printOptions horizontalCentered="1"/>
  <pageMargins left="0.39370078740157483" right="0.39370078740157483" top="0.74803149606299213" bottom="0.19685039370078741" header="0.31496062992125984" footer="0.15748031496062992"/>
  <pageSetup paperSize="9" scale="84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N47"/>
  <sheetViews>
    <sheetView view="pageBreakPreview" topLeftCell="A7" zoomScaleSheetLayoutView="100" workbookViewId="0">
      <selection activeCell="B25" sqref="B25:E25"/>
    </sheetView>
  </sheetViews>
  <sheetFormatPr defaultColWidth="8.88671875" defaultRowHeight="13.5" x14ac:dyDescent="0.15"/>
  <cols>
    <col min="1" max="1" width="8.44140625" style="3" customWidth="1"/>
    <col min="2" max="2" width="14.77734375" style="3" customWidth="1"/>
    <col min="3" max="3" width="4.109375" style="3" customWidth="1"/>
    <col min="4" max="4" width="15.21875" style="3" customWidth="1"/>
    <col min="5" max="5" width="4.44140625" style="3" customWidth="1"/>
    <col min="6" max="6" width="4" style="3" customWidth="1"/>
    <col min="7" max="7" width="5.5546875" style="3" customWidth="1"/>
    <col min="8" max="8" width="5.44140625" style="3" customWidth="1"/>
    <col min="9" max="9" width="7.88671875" style="3" customWidth="1"/>
    <col min="10" max="10" width="7.109375" style="3" customWidth="1"/>
    <col min="11" max="11" width="7.21875" style="3" customWidth="1"/>
    <col min="12" max="12" width="6.77734375" style="3" customWidth="1"/>
    <col min="13" max="16384" width="8.88671875" style="3"/>
  </cols>
  <sheetData>
    <row r="1" spans="1:14" ht="18.75" customHeight="1" x14ac:dyDescent="0.15">
      <c r="A1" s="101" t="s">
        <v>0</v>
      </c>
      <c r="B1" s="102"/>
      <c r="C1" s="102"/>
      <c r="D1" s="102"/>
      <c r="E1" s="102"/>
      <c r="F1" s="102"/>
      <c r="G1" s="103"/>
      <c r="H1" s="107" t="s">
        <v>1</v>
      </c>
      <c r="I1" s="1" t="s">
        <v>2</v>
      </c>
      <c r="J1" s="1" t="s">
        <v>2</v>
      </c>
      <c r="K1" s="1" t="s">
        <v>3</v>
      </c>
      <c r="L1" s="2" t="s">
        <v>4</v>
      </c>
    </row>
    <row r="2" spans="1:14" ht="13.5" customHeight="1" x14ac:dyDescent="0.15">
      <c r="A2" s="104"/>
      <c r="B2" s="105"/>
      <c r="C2" s="105"/>
      <c r="D2" s="105"/>
      <c r="E2" s="105"/>
      <c r="F2" s="105"/>
      <c r="G2" s="106"/>
      <c r="H2" s="108"/>
      <c r="I2" s="110"/>
      <c r="J2" s="110"/>
      <c r="K2" s="110"/>
      <c r="L2" s="98"/>
    </row>
    <row r="3" spans="1:14" ht="13.5" customHeight="1" x14ac:dyDescent="0.15">
      <c r="A3" s="104"/>
      <c r="B3" s="105"/>
      <c r="C3" s="105"/>
      <c r="D3" s="105"/>
      <c r="E3" s="105"/>
      <c r="F3" s="105"/>
      <c r="G3" s="106"/>
      <c r="H3" s="108"/>
      <c r="I3" s="108"/>
      <c r="J3" s="108"/>
      <c r="K3" s="108"/>
      <c r="L3" s="99"/>
    </row>
    <row r="4" spans="1:14" ht="33" customHeight="1" x14ac:dyDescent="0.15">
      <c r="A4" s="4"/>
      <c r="B4" s="5"/>
      <c r="C4" s="5"/>
      <c r="D4" s="5"/>
      <c r="E4" s="5"/>
      <c r="F4" s="5"/>
      <c r="G4" s="5"/>
      <c r="H4" s="109"/>
      <c r="I4" s="109"/>
      <c r="J4" s="109"/>
      <c r="K4" s="109"/>
      <c r="L4" s="100"/>
    </row>
    <row r="5" spans="1:14" ht="17.25" customHeight="1" x14ac:dyDescent="0.15">
      <c r="A5" s="6" t="s">
        <v>5</v>
      </c>
      <c r="B5" s="87">
        <v>46053</v>
      </c>
      <c r="C5" s="88"/>
      <c r="D5" s="88"/>
      <c r="E5" s="88"/>
      <c r="F5" s="88"/>
      <c r="G5" s="88"/>
      <c r="H5" s="5"/>
      <c r="I5" s="5"/>
      <c r="J5" s="5"/>
      <c r="K5" s="5"/>
      <c r="L5" s="7"/>
    </row>
    <row r="6" spans="1:14" ht="13.5" customHeight="1" x14ac:dyDescent="0.15">
      <c r="A6" s="89" t="s">
        <v>6</v>
      </c>
      <c r="B6" s="91" t="s">
        <v>7</v>
      </c>
      <c r="C6" s="91" t="s">
        <v>8</v>
      </c>
      <c r="D6" s="91" t="s">
        <v>9</v>
      </c>
      <c r="E6" s="93" t="s">
        <v>10</v>
      </c>
      <c r="F6" s="93" t="s">
        <v>11</v>
      </c>
      <c r="G6" s="95" t="s">
        <v>12</v>
      </c>
      <c r="H6" s="96"/>
      <c r="I6" s="96"/>
      <c r="J6" s="96"/>
      <c r="K6" s="97"/>
      <c r="L6" s="83" t="s">
        <v>13</v>
      </c>
    </row>
    <row r="7" spans="1:14" x14ac:dyDescent="0.15">
      <c r="A7" s="90"/>
      <c r="B7" s="92"/>
      <c r="C7" s="92"/>
      <c r="D7" s="92"/>
      <c r="E7" s="94"/>
      <c r="F7" s="94"/>
      <c r="G7" s="8" t="s">
        <v>14</v>
      </c>
      <c r="H7" s="8" t="s">
        <v>15</v>
      </c>
      <c r="I7" s="8" t="s">
        <v>16</v>
      </c>
      <c r="J7" s="8" t="s">
        <v>17</v>
      </c>
      <c r="K7" s="8" t="s">
        <v>18</v>
      </c>
      <c r="L7" s="84"/>
    </row>
    <row r="8" spans="1:14" s="15" customFormat="1" ht="20.25" customHeight="1" x14ac:dyDescent="0.15">
      <c r="A8" s="60" t="s">
        <v>846</v>
      </c>
      <c r="B8" s="9" t="s">
        <v>131</v>
      </c>
      <c r="C8" s="58" t="s">
        <v>29</v>
      </c>
      <c r="D8" s="11" t="s">
        <v>155</v>
      </c>
      <c r="E8" s="10">
        <v>22</v>
      </c>
      <c r="F8" s="58" t="s">
        <v>11</v>
      </c>
      <c r="G8" s="12">
        <v>764</v>
      </c>
      <c r="H8" s="12">
        <v>933</v>
      </c>
      <c r="I8" s="17" t="s">
        <v>858</v>
      </c>
      <c r="J8" s="18">
        <v>190</v>
      </c>
      <c r="K8" s="19">
        <f>+M8*N8</f>
        <v>860.31000000000006</v>
      </c>
      <c r="L8" s="14"/>
      <c r="M8" s="15">
        <v>79</v>
      </c>
      <c r="N8" s="15">
        <v>10.89</v>
      </c>
    </row>
    <row r="9" spans="1:14" s="15" customFormat="1" ht="20.25" customHeight="1" x14ac:dyDescent="0.15">
      <c r="A9" s="60"/>
      <c r="B9" s="9"/>
      <c r="C9" s="58" t="s">
        <v>29</v>
      </c>
      <c r="D9" s="11" t="s">
        <v>156</v>
      </c>
      <c r="E9" s="10">
        <v>22</v>
      </c>
      <c r="F9" s="58" t="s">
        <v>11</v>
      </c>
      <c r="G9" s="12">
        <v>1723</v>
      </c>
      <c r="H9" s="12">
        <v>1763</v>
      </c>
      <c r="I9" s="17" t="s">
        <v>473</v>
      </c>
      <c r="J9" s="18">
        <v>275</v>
      </c>
      <c r="K9" s="19">
        <f t="shared" ref="K9:K23" si="0">+M9*N9</f>
        <v>2350.0620000000004</v>
      </c>
      <c r="L9" s="14"/>
      <c r="M9" s="15">
        <v>215.8</v>
      </c>
      <c r="N9" s="15">
        <v>10.89</v>
      </c>
    </row>
    <row r="10" spans="1:14" s="15" customFormat="1" ht="20.25" customHeight="1" x14ac:dyDescent="0.15">
      <c r="A10" s="60" t="s">
        <v>859</v>
      </c>
      <c r="B10" s="9" t="s">
        <v>131</v>
      </c>
      <c r="C10" s="58" t="s">
        <v>29</v>
      </c>
      <c r="D10" s="11" t="s">
        <v>155</v>
      </c>
      <c r="E10" s="10">
        <v>22</v>
      </c>
      <c r="F10" s="58" t="s">
        <v>11</v>
      </c>
      <c r="G10" s="12">
        <v>1421</v>
      </c>
      <c r="H10" s="12">
        <v>1763</v>
      </c>
      <c r="I10" s="17" t="s">
        <v>860</v>
      </c>
      <c r="J10" s="18">
        <v>24</v>
      </c>
      <c r="K10" s="19">
        <f t="shared" si="0"/>
        <v>448.23239999999998</v>
      </c>
      <c r="L10" s="14"/>
      <c r="M10" s="15">
        <v>41.16</v>
      </c>
      <c r="N10" s="15">
        <v>10.89</v>
      </c>
    </row>
    <row r="11" spans="1:14" s="15" customFormat="1" ht="20.25" customHeight="1" x14ac:dyDescent="0.15">
      <c r="A11" s="60"/>
      <c r="B11" s="9"/>
      <c r="C11" s="58"/>
      <c r="D11" s="11"/>
      <c r="E11" s="10"/>
      <c r="F11" s="58"/>
      <c r="G11" s="12"/>
      <c r="H11" s="12"/>
      <c r="I11" s="17"/>
      <c r="J11" s="18"/>
      <c r="K11" s="19">
        <f t="shared" si="0"/>
        <v>0</v>
      </c>
      <c r="L11" s="14"/>
      <c r="N11" s="15">
        <v>10.89</v>
      </c>
    </row>
    <row r="12" spans="1:14" s="15" customFormat="1" ht="20.25" customHeight="1" x14ac:dyDescent="0.15">
      <c r="A12" s="60"/>
      <c r="B12" s="9"/>
      <c r="C12" s="58"/>
      <c r="D12" s="11"/>
      <c r="E12" s="10"/>
      <c r="F12" s="58"/>
      <c r="G12" s="12"/>
      <c r="H12" s="12"/>
      <c r="I12" s="17"/>
      <c r="J12" s="18"/>
      <c r="K12" s="19">
        <f t="shared" si="0"/>
        <v>0</v>
      </c>
      <c r="L12" s="14"/>
      <c r="N12" s="15">
        <v>10.89</v>
      </c>
    </row>
    <row r="13" spans="1:14" s="15" customFormat="1" ht="20.25" customHeight="1" x14ac:dyDescent="0.15">
      <c r="A13" s="60"/>
      <c r="B13" s="9"/>
      <c r="C13" s="58"/>
      <c r="D13" s="11"/>
      <c r="E13" s="10"/>
      <c r="F13" s="58"/>
      <c r="G13" s="12"/>
      <c r="H13" s="12"/>
      <c r="I13" s="17"/>
      <c r="J13" s="18"/>
      <c r="K13" s="19">
        <f t="shared" si="0"/>
        <v>0</v>
      </c>
      <c r="L13" s="14"/>
      <c r="N13" s="15">
        <v>10.89</v>
      </c>
    </row>
    <row r="14" spans="1:14" s="15" customFormat="1" ht="20.25" customHeight="1" x14ac:dyDescent="0.15">
      <c r="A14" s="60"/>
      <c r="B14" s="9"/>
      <c r="C14" s="58"/>
      <c r="D14" s="11"/>
      <c r="E14" s="10"/>
      <c r="F14" s="58"/>
      <c r="G14" s="12"/>
      <c r="H14" s="12"/>
      <c r="I14" s="17"/>
      <c r="J14" s="18"/>
      <c r="K14" s="19">
        <f t="shared" si="0"/>
        <v>0</v>
      </c>
      <c r="L14" s="20"/>
      <c r="N14" s="15">
        <v>10.89</v>
      </c>
    </row>
    <row r="15" spans="1:14" s="15" customFormat="1" ht="20.25" customHeight="1" x14ac:dyDescent="0.15">
      <c r="A15" s="60"/>
      <c r="B15" s="9"/>
      <c r="C15" s="58"/>
      <c r="D15" s="11"/>
      <c r="E15" s="10"/>
      <c r="F15" s="58"/>
      <c r="G15" s="12"/>
      <c r="H15" s="12"/>
      <c r="I15" s="17"/>
      <c r="J15" s="18"/>
      <c r="K15" s="19">
        <f t="shared" si="0"/>
        <v>0</v>
      </c>
      <c r="L15" s="20"/>
      <c r="N15" s="15">
        <v>10.89</v>
      </c>
    </row>
    <row r="16" spans="1:14" s="15" customFormat="1" ht="20.25" customHeight="1" x14ac:dyDescent="0.15">
      <c r="A16" s="60"/>
      <c r="B16" s="9"/>
      <c r="C16" s="58"/>
      <c r="D16" s="11"/>
      <c r="E16" s="10"/>
      <c r="F16" s="58"/>
      <c r="G16" s="12"/>
      <c r="H16" s="12"/>
      <c r="I16" s="17"/>
      <c r="J16" s="18"/>
      <c r="K16" s="19">
        <f t="shared" si="0"/>
        <v>0</v>
      </c>
      <c r="L16" s="20"/>
      <c r="N16" s="15">
        <v>10.89</v>
      </c>
    </row>
    <row r="17" spans="1:14" s="15" customFormat="1" ht="20.25" customHeight="1" x14ac:dyDescent="0.15">
      <c r="A17" s="60"/>
      <c r="B17" s="9"/>
      <c r="C17" s="58"/>
      <c r="D17" s="11"/>
      <c r="E17" s="10"/>
      <c r="F17" s="58"/>
      <c r="G17" s="12"/>
      <c r="H17" s="12"/>
      <c r="I17" s="17"/>
      <c r="J17" s="18"/>
      <c r="K17" s="19">
        <f t="shared" si="0"/>
        <v>0</v>
      </c>
      <c r="L17" s="20"/>
      <c r="N17" s="15">
        <v>10.89</v>
      </c>
    </row>
    <row r="18" spans="1:14" s="15" customFormat="1" ht="20.25" customHeight="1" x14ac:dyDescent="0.15">
      <c r="A18" s="60"/>
      <c r="B18" s="9"/>
      <c r="C18" s="58"/>
      <c r="D18" s="11"/>
      <c r="E18" s="10"/>
      <c r="F18" s="58"/>
      <c r="G18" s="12"/>
      <c r="H18" s="12"/>
      <c r="I18" s="17"/>
      <c r="J18" s="18"/>
      <c r="K18" s="19">
        <f t="shared" si="0"/>
        <v>0</v>
      </c>
      <c r="L18" s="20"/>
      <c r="N18" s="15">
        <v>10.89</v>
      </c>
    </row>
    <row r="19" spans="1:14" s="15" customFormat="1" ht="20.25" customHeight="1" x14ac:dyDescent="0.15">
      <c r="A19" s="60"/>
      <c r="B19" s="9"/>
      <c r="C19" s="58"/>
      <c r="D19" s="11"/>
      <c r="E19" s="10"/>
      <c r="F19" s="58"/>
      <c r="G19" s="12"/>
      <c r="H19" s="12"/>
      <c r="I19" s="17"/>
      <c r="J19" s="18"/>
      <c r="K19" s="19">
        <f t="shared" si="0"/>
        <v>0</v>
      </c>
      <c r="L19" s="20"/>
      <c r="N19" s="15">
        <v>10.89</v>
      </c>
    </row>
    <row r="20" spans="1:14" s="15" customFormat="1" ht="20.25" customHeight="1" x14ac:dyDescent="0.15">
      <c r="A20" s="60"/>
      <c r="B20" s="9"/>
      <c r="C20" s="58"/>
      <c r="D20" s="11"/>
      <c r="E20" s="10"/>
      <c r="F20" s="58"/>
      <c r="G20" s="12"/>
      <c r="H20" s="12"/>
      <c r="I20" s="17"/>
      <c r="J20" s="18"/>
      <c r="K20" s="19">
        <f t="shared" si="0"/>
        <v>0</v>
      </c>
      <c r="L20" s="20"/>
      <c r="N20" s="15">
        <v>10.89</v>
      </c>
    </row>
    <row r="21" spans="1:14" s="15" customFormat="1" ht="20.25" customHeight="1" x14ac:dyDescent="0.15">
      <c r="A21" s="60"/>
      <c r="B21" s="9"/>
      <c r="C21" s="58"/>
      <c r="D21" s="11"/>
      <c r="E21" s="10"/>
      <c r="F21" s="58"/>
      <c r="G21" s="50"/>
      <c r="H21" s="50"/>
      <c r="I21" s="17"/>
      <c r="J21" s="18"/>
      <c r="K21" s="19">
        <f t="shared" si="0"/>
        <v>0</v>
      </c>
      <c r="L21" s="20"/>
      <c r="N21" s="15">
        <v>10.89</v>
      </c>
    </row>
    <row r="22" spans="1:14" s="15" customFormat="1" ht="20.25" customHeight="1" x14ac:dyDescent="0.15">
      <c r="A22" s="60"/>
      <c r="B22" s="9"/>
      <c r="C22" s="58"/>
      <c r="D22" s="11"/>
      <c r="E22" s="10"/>
      <c r="F22" s="58"/>
      <c r="G22" s="50"/>
      <c r="H22" s="50"/>
      <c r="I22" s="17"/>
      <c r="J22" s="18"/>
      <c r="K22" s="19">
        <f t="shared" si="0"/>
        <v>0</v>
      </c>
      <c r="L22" s="20"/>
      <c r="N22" s="15">
        <v>10.89</v>
      </c>
    </row>
    <row r="23" spans="1:14" ht="20.25" customHeight="1" x14ac:dyDescent="0.15">
      <c r="A23" s="60"/>
      <c r="B23" s="9"/>
      <c r="C23" s="58"/>
      <c r="D23" s="11"/>
      <c r="E23" s="10"/>
      <c r="F23" s="58"/>
      <c r="G23" s="16"/>
      <c r="H23" s="16"/>
      <c r="I23" s="17"/>
      <c r="J23" s="18"/>
      <c r="K23" s="19">
        <f t="shared" si="0"/>
        <v>0</v>
      </c>
      <c r="L23" s="20"/>
      <c r="N23" s="15">
        <v>10.89</v>
      </c>
    </row>
    <row r="24" spans="1:14" ht="20.25" customHeight="1" thickBot="1" x14ac:dyDescent="0.2">
      <c r="A24" s="56"/>
      <c r="B24" s="21"/>
      <c r="C24" s="59"/>
      <c r="D24" s="22"/>
      <c r="E24" s="23"/>
      <c r="F24" s="23"/>
      <c r="G24" s="24"/>
      <c r="H24" s="24"/>
      <c r="I24" s="25"/>
      <c r="J24" s="46">
        <f>SUM(J8:J23)</f>
        <v>489</v>
      </c>
      <c r="K24" s="47">
        <f>SUM(K8:K23)</f>
        <v>3658.6044000000002</v>
      </c>
      <c r="L24" s="26"/>
    </row>
    <row r="25" spans="1:14" ht="20.25" customHeight="1" thickTop="1" x14ac:dyDescent="0.15">
      <c r="A25" s="60" t="s">
        <v>861</v>
      </c>
      <c r="B25" s="9" t="s">
        <v>178</v>
      </c>
      <c r="C25" s="58" t="s">
        <v>29</v>
      </c>
      <c r="D25" s="11" t="s">
        <v>247</v>
      </c>
      <c r="E25" s="10">
        <v>24</v>
      </c>
      <c r="F25" s="10" t="s">
        <v>11</v>
      </c>
      <c r="G25" s="12">
        <v>950</v>
      </c>
      <c r="H25" s="12">
        <v>1943</v>
      </c>
      <c r="I25" s="17" t="s">
        <v>862</v>
      </c>
      <c r="J25" s="18">
        <f>46+81</f>
        <v>127</v>
      </c>
      <c r="K25" s="19">
        <f t="shared" ref="K25:K40" si="1">+M25*N25</f>
        <v>1719.0954000000002</v>
      </c>
      <c r="L25" s="54"/>
      <c r="M25" s="3">
        <v>157.86000000000001</v>
      </c>
      <c r="N25" s="15">
        <v>10.89</v>
      </c>
    </row>
    <row r="26" spans="1:14" ht="20.25" customHeight="1" x14ac:dyDescent="0.15">
      <c r="A26" s="60" t="s">
        <v>863</v>
      </c>
      <c r="B26" s="9" t="s">
        <v>178</v>
      </c>
      <c r="C26" s="58" t="s">
        <v>29</v>
      </c>
      <c r="D26" s="11" t="s">
        <v>247</v>
      </c>
      <c r="E26" s="10">
        <v>24</v>
      </c>
      <c r="F26" s="10" t="s">
        <v>11</v>
      </c>
      <c r="G26" s="12">
        <v>935</v>
      </c>
      <c r="H26" s="12">
        <v>1260</v>
      </c>
      <c r="I26" s="17" t="s">
        <v>864</v>
      </c>
      <c r="J26" s="18">
        <v>100</v>
      </c>
      <c r="K26" s="19">
        <f t="shared" si="1"/>
        <v>916.28460000000007</v>
      </c>
      <c r="L26" s="54"/>
      <c r="M26" s="3">
        <v>84.14</v>
      </c>
      <c r="N26" s="15">
        <v>10.89</v>
      </c>
    </row>
    <row r="27" spans="1:14" ht="20.25" customHeight="1" x14ac:dyDescent="0.15">
      <c r="A27" s="61" t="s">
        <v>866</v>
      </c>
      <c r="B27" s="9" t="s">
        <v>178</v>
      </c>
      <c r="C27" s="58" t="s">
        <v>29</v>
      </c>
      <c r="D27" s="11" t="s">
        <v>247</v>
      </c>
      <c r="E27" s="10">
        <v>24</v>
      </c>
      <c r="F27" s="10" t="s">
        <v>11</v>
      </c>
      <c r="G27" s="12">
        <v>985</v>
      </c>
      <c r="H27" s="12">
        <v>1980</v>
      </c>
      <c r="I27" s="17" t="s">
        <v>867</v>
      </c>
      <c r="J27" s="18">
        <v>134</v>
      </c>
      <c r="K27" s="19">
        <f t="shared" si="1"/>
        <v>1915.1154000000001</v>
      </c>
      <c r="L27" s="54"/>
      <c r="M27" s="3">
        <v>175.86</v>
      </c>
      <c r="N27" s="15">
        <v>10.89</v>
      </c>
    </row>
    <row r="28" spans="1:14" ht="20.25" customHeight="1" x14ac:dyDescent="0.15">
      <c r="A28" s="61" t="s">
        <v>869</v>
      </c>
      <c r="B28" s="9" t="s">
        <v>178</v>
      </c>
      <c r="C28" s="58" t="s">
        <v>29</v>
      </c>
      <c r="D28" s="11" t="s">
        <v>247</v>
      </c>
      <c r="E28" s="10">
        <v>24</v>
      </c>
      <c r="F28" s="10" t="s">
        <v>11</v>
      </c>
      <c r="G28" s="12">
        <v>1035</v>
      </c>
      <c r="H28" s="12">
        <v>1980</v>
      </c>
      <c r="I28" s="17" t="s">
        <v>870</v>
      </c>
      <c r="J28" s="18">
        <v>49</v>
      </c>
      <c r="K28" s="19">
        <f t="shared" si="1"/>
        <v>829.27350000000013</v>
      </c>
      <c r="L28" s="54"/>
      <c r="M28" s="3">
        <v>76.150000000000006</v>
      </c>
      <c r="N28" s="15">
        <v>10.89</v>
      </c>
    </row>
    <row r="29" spans="1:14" ht="20.25" customHeight="1" x14ac:dyDescent="0.15">
      <c r="A29" s="61" t="s">
        <v>855</v>
      </c>
      <c r="B29" s="9" t="s">
        <v>150</v>
      </c>
      <c r="C29" s="58" t="s">
        <v>29</v>
      </c>
      <c r="D29" s="11" t="s">
        <v>856</v>
      </c>
      <c r="E29" s="10">
        <v>43</v>
      </c>
      <c r="F29" s="10" t="s">
        <v>11</v>
      </c>
      <c r="G29" s="12">
        <v>392</v>
      </c>
      <c r="H29" s="12">
        <v>2062</v>
      </c>
      <c r="I29" s="17">
        <v>1</v>
      </c>
      <c r="J29" s="18">
        <v>1</v>
      </c>
      <c r="K29" s="19">
        <f t="shared" si="1"/>
        <v>8.8209000000000017</v>
      </c>
      <c r="L29" s="54"/>
      <c r="M29" s="3">
        <v>0.81</v>
      </c>
      <c r="N29" s="15">
        <v>10.89</v>
      </c>
    </row>
    <row r="30" spans="1:14" ht="20.25" customHeight="1" x14ac:dyDescent="0.15">
      <c r="A30" s="61" t="s">
        <v>871</v>
      </c>
      <c r="B30" s="9" t="s">
        <v>182</v>
      </c>
      <c r="C30" s="58" t="s">
        <v>29</v>
      </c>
      <c r="D30" s="11" t="s">
        <v>677</v>
      </c>
      <c r="E30" s="10">
        <v>26</v>
      </c>
      <c r="F30" s="10" t="s">
        <v>11</v>
      </c>
      <c r="G30" s="12">
        <v>1092</v>
      </c>
      <c r="H30" s="12">
        <v>2092</v>
      </c>
      <c r="I30" s="51" t="s">
        <v>680</v>
      </c>
      <c r="J30" s="52">
        <v>29</v>
      </c>
      <c r="K30" s="53">
        <f t="shared" si="1"/>
        <v>189.48599999999999</v>
      </c>
      <c r="L30" s="54"/>
      <c r="M30" s="3">
        <v>17.399999999999999</v>
      </c>
      <c r="N30" s="15">
        <v>10.89</v>
      </c>
    </row>
    <row r="31" spans="1:14" ht="20.25" customHeight="1" x14ac:dyDescent="0.15">
      <c r="A31" s="61"/>
      <c r="B31" s="9"/>
      <c r="C31" s="58"/>
      <c r="D31" s="11"/>
      <c r="E31" s="10"/>
      <c r="F31" s="10"/>
      <c r="G31" s="12"/>
      <c r="H31" s="12"/>
      <c r="I31" s="51"/>
      <c r="J31" s="52"/>
      <c r="K31" s="53">
        <f t="shared" si="1"/>
        <v>0</v>
      </c>
      <c r="L31" s="54"/>
      <c r="N31" s="15">
        <v>10.89</v>
      </c>
    </row>
    <row r="32" spans="1:14" ht="20.25" customHeight="1" x14ac:dyDescent="0.15">
      <c r="A32" s="60"/>
      <c r="B32" s="9"/>
      <c r="C32" s="58"/>
      <c r="D32" s="11"/>
      <c r="E32" s="10"/>
      <c r="F32" s="10"/>
      <c r="G32" s="12"/>
      <c r="H32" s="12"/>
      <c r="I32" s="17"/>
      <c r="J32" s="18"/>
      <c r="K32" s="19">
        <f t="shared" si="1"/>
        <v>0</v>
      </c>
      <c r="L32" s="27"/>
      <c r="N32" s="15">
        <v>10.89</v>
      </c>
    </row>
    <row r="33" spans="1:14" ht="20.25" customHeight="1" x14ac:dyDescent="0.15">
      <c r="A33" s="60"/>
      <c r="B33" s="9"/>
      <c r="C33" s="58"/>
      <c r="D33" s="11"/>
      <c r="E33" s="10"/>
      <c r="F33" s="10"/>
      <c r="G33" s="12"/>
      <c r="H33" s="12"/>
      <c r="I33" s="17"/>
      <c r="J33" s="18"/>
      <c r="K33" s="19">
        <f t="shared" si="1"/>
        <v>0</v>
      </c>
      <c r="L33" s="27"/>
      <c r="N33" s="15">
        <v>10.89</v>
      </c>
    </row>
    <row r="34" spans="1:14" ht="20.25" customHeight="1" x14ac:dyDescent="0.15">
      <c r="A34" s="60"/>
      <c r="B34" s="9"/>
      <c r="C34" s="58"/>
      <c r="D34" s="11"/>
      <c r="E34" s="10"/>
      <c r="F34" s="10"/>
      <c r="G34" s="12"/>
      <c r="H34" s="12"/>
      <c r="I34" s="17"/>
      <c r="J34" s="18"/>
      <c r="K34" s="19">
        <f t="shared" si="1"/>
        <v>0</v>
      </c>
      <c r="L34" s="27"/>
      <c r="N34" s="15">
        <v>10.89</v>
      </c>
    </row>
    <row r="35" spans="1:14" ht="20.25" customHeight="1" x14ac:dyDescent="0.15">
      <c r="A35" s="60"/>
      <c r="B35" s="9"/>
      <c r="C35" s="58"/>
      <c r="D35" s="11"/>
      <c r="E35" s="10"/>
      <c r="F35" s="10"/>
      <c r="G35" s="12"/>
      <c r="H35" s="12"/>
      <c r="I35" s="17"/>
      <c r="J35" s="18"/>
      <c r="K35" s="19">
        <f t="shared" si="1"/>
        <v>0</v>
      </c>
      <c r="L35" s="27"/>
      <c r="N35" s="15">
        <v>10.89</v>
      </c>
    </row>
    <row r="36" spans="1:14" ht="20.25" customHeight="1" x14ac:dyDescent="0.15">
      <c r="A36" s="60"/>
      <c r="B36" s="9"/>
      <c r="C36" s="58"/>
      <c r="D36" s="11"/>
      <c r="E36" s="10"/>
      <c r="F36" s="10"/>
      <c r="G36" s="12"/>
      <c r="H36" s="12"/>
      <c r="I36" s="17"/>
      <c r="J36" s="18"/>
      <c r="K36" s="19">
        <f t="shared" si="1"/>
        <v>0</v>
      </c>
      <c r="L36" s="27"/>
      <c r="N36" s="15">
        <v>10.89</v>
      </c>
    </row>
    <row r="37" spans="1:14" ht="20.25" customHeight="1" x14ac:dyDescent="0.15">
      <c r="A37" s="60"/>
      <c r="B37" s="9"/>
      <c r="C37" s="58"/>
      <c r="D37" s="11"/>
      <c r="E37" s="10"/>
      <c r="F37" s="10"/>
      <c r="G37" s="12"/>
      <c r="H37" s="12"/>
      <c r="I37" s="17"/>
      <c r="J37" s="18"/>
      <c r="K37" s="19">
        <f t="shared" si="1"/>
        <v>0</v>
      </c>
      <c r="L37" s="27"/>
      <c r="N37" s="15">
        <v>10.89</v>
      </c>
    </row>
    <row r="38" spans="1:14" ht="20.25" customHeight="1" x14ac:dyDescent="0.15">
      <c r="A38" s="60"/>
      <c r="B38" s="9"/>
      <c r="C38" s="58"/>
      <c r="D38" s="11"/>
      <c r="E38" s="10"/>
      <c r="F38" s="10"/>
      <c r="G38" s="12"/>
      <c r="H38" s="12"/>
      <c r="I38" s="17"/>
      <c r="J38" s="18"/>
      <c r="K38" s="19">
        <f t="shared" si="1"/>
        <v>0</v>
      </c>
      <c r="L38" s="27"/>
      <c r="N38" s="15">
        <v>10.89</v>
      </c>
    </row>
    <row r="39" spans="1:14" ht="20.25" customHeight="1" x14ac:dyDescent="0.15">
      <c r="A39" s="60"/>
      <c r="B39" s="9"/>
      <c r="C39" s="58"/>
      <c r="D39" s="11"/>
      <c r="E39" s="10"/>
      <c r="F39" s="10"/>
      <c r="G39" s="12"/>
      <c r="H39" s="12"/>
      <c r="I39" s="17"/>
      <c r="J39" s="18"/>
      <c r="K39" s="19">
        <f t="shared" si="1"/>
        <v>0</v>
      </c>
      <c r="L39" s="27"/>
      <c r="N39" s="15">
        <v>10.89</v>
      </c>
    </row>
    <row r="40" spans="1:14" ht="20.25" customHeight="1" x14ac:dyDescent="0.15">
      <c r="A40" s="60"/>
      <c r="B40" s="9"/>
      <c r="C40" s="58"/>
      <c r="D40" s="11"/>
      <c r="E40" s="10"/>
      <c r="F40" s="10"/>
      <c r="G40" s="12"/>
      <c r="H40" s="12"/>
      <c r="I40" s="17"/>
      <c r="J40" s="18"/>
      <c r="K40" s="19">
        <f t="shared" si="1"/>
        <v>0</v>
      </c>
      <c r="L40" s="27"/>
      <c r="N40" s="15">
        <v>10.89</v>
      </c>
    </row>
    <row r="41" spans="1:14" ht="20.25" customHeight="1" x14ac:dyDescent="0.15">
      <c r="A41" s="57"/>
      <c r="B41" s="28"/>
      <c r="C41" s="10"/>
      <c r="D41" s="29"/>
      <c r="E41" s="30"/>
      <c r="F41" s="30"/>
      <c r="G41" s="30"/>
      <c r="H41" s="30"/>
      <c r="I41" s="13"/>
      <c r="J41" s="48">
        <f>SUM(J25:J40)</f>
        <v>440</v>
      </c>
      <c r="K41" s="49">
        <f>SUM(K25:K40)</f>
        <v>5578.0757999999996</v>
      </c>
      <c r="L41" s="31"/>
      <c r="N41" s="32"/>
    </row>
    <row r="42" spans="1:14" ht="20.25" customHeight="1" thickBot="1" x14ac:dyDescent="0.2">
      <c r="A42" s="55"/>
      <c r="B42" s="33"/>
      <c r="C42" s="33"/>
      <c r="D42" s="33"/>
      <c r="E42" s="33"/>
      <c r="F42" s="33"/>
      <c r="G42" s="33"/>
      <c r="H42" s="33"/>
      <c r="I42" s="33"/>
      <c r="J42" s="34"/>
      <c r="K42" s="35"/>
      <c r="L42" s="36"/>
    </row>
    <row r="43" spans="1:14" ht="20.25" customHeight="1" thickBot="1" x14ac:dyDescent="0.2">
      <c r="A43" s="37" t="s">
        <v>19</v>
      </c>
      <c r="B43" s="38" t="s">
        <v>20</v>
      </c>
      <c r="C43" s="77" t="s">
        <v>21</v>
      </c>
      <c r="D43" s="79"/>
      <c r="E43" s="77" t="s">
        <v>22</v>
      </c>
      <c r="F43" s="78"/>
      <c r="G43" s="79"/>
      <c r="H43" s="85" t="s">
        <v>23</v>
      </c>
      <c r="I43" s="86"/>
      <c r="J43" s="77" t="s">
        <v>24</v>
      </c>
      <c r="K43" s="79"/>
      <c r="L43" s="39" t="s">
        <v>13</v>
      </c>
    </row>
    <row r="44" spans="1:14" ht="20.25" customHeight="1" thickBot="1" x14ac:dyDescent="0.2">
      <c r="A44" s="40">
        <f>SUMIF($C$8:$C$42,"U1",$J$8:$J$42)</f>
        <v>0</v>
      </c>
      <c r="B44" s="41">
        <f>SUMIF($C$8:$C$42,"U2",$J$8:$J$42)</f>
        <v>0</v>
      </c>
      <c r="C44" s="77">
        <f>SUMIF($C$8:$C$42,"U3-1",$J$8:$J$42)</f>
        <v>0</v>
      </c>
      <c r="D44" s="79"/>
      <c r="E44" s="77">
        <f>SUMIF($C$8:$C$42,"U3",$J$8:$J$42)</f>
        <v>929</v>
      </c>
      <c r="F44" s="78"/>
      <c r="G44" s="79"/>
      <c r="H44" s="77">
        <f>SUMIF($C$8:$C$42,"E5",$J$8:$J$42)</f>
        <v>0</v>
      </c>
      <c r="I44" s="79"/>
      <c r="J44" s="77">
        <f>SUM(A44:I44)</f>
        <v>929</v>
      </c>
      <c r="K44" s="79"/>
      <c r="L44" s="42"/>
    </row>
    <row r="45" spans="1:14" ht="20.25" customHeight="1" thickBot="1" x14ac:dyDescent="0.2">
      <c r="A45" s="43" t="s">
        <v>25</v>
      </c>
      <c r="B45" s="44" t="s">
        <v>26</v>
      </c>
      <c r="C45" s="75">
        <v>13876</v>
      </c>
      <c r="D45" s="76"/>
      <c r="E45" s="77" t="s">
        <v>27</v>
      </c>
      <c r="F45" s="78"/>
      <c r="G45" s="78"/>
      <c r="H45" s="78"/>
      <c r="I45" s="79"/>
      <c r="J45" s="80">
        <v>146744.37</v>
      </c>
      <c r="K45" s="81"/>
      <c r="L45" s="82"/>
    </row>
    <row r="47" spans="1:14" x14ac:dyDescent="0.15">
      <c r="D47" s="45"/>
    </row>
  </sheetData>
  <mergeCells count="26">
    <mergeCell ref="C45:D45"/>
    <mergeCell ref="E45:I45"/>
    <mergeCell ref="J45:L45"/>
    <mergeCell ref="L6:L7"/>
    <mergeCell ref="C43:D43"/>
    <mergeCell ref="E43:G43"/>
    <mergeCell ref="H43:I43"/>
    <mergeCell ref="J43:K43"/>
    <mergeCell ref="C44:D44"/>
    <mergeCell ref="E44:G44"/>
    <mergeCell ref="H44:I44"/>
    <mergeCell ref="J44:K44"/>
    <mergeCell ref="B5:G5"/>
    <mergeCell ref="A6:A7"/>
    <mergeCell ref="B6:B7"/>
    <mergeCell ref="C6:C7"/>
    <mergeCell ref="D6:D7"/>
    <mergeCell ref="E6:E7"/>
    <mergeCell ref="F6:F7"/>
    <mergeCell ref="G6:K6"/>
    <mergeCell ref="L2:L4"/>
    <mergeCell ref="A1:G3"/>
    <mergeCell ref="H1:H4"/>
    <mergeCell ref="I2:I4"/>
    <mergeCell ref="J2:J4"/>
    <mergeCell ref="K2:K4"/>
  </mergeCells>
  <phoneticPr fontId="2" type="noConversion"/>
  <printOptions horizontalCentered="1"/>
  <pageMargins left="0.39370078740157483" right="0.39370078740157483" top="0.74803149606299213" bottom="0.19685039370078741" header="0.31496062992125984" footer="0.15748031496062992"/>
  <pageSetup paperSize="9" scale="84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N47"/>
  <sheetViews>
    <sheetView view="pageBreakPreview" zoomScaleSheetLayoutView="100" workbookViewId="0">
      <selection activeCell="C36" sqref="C36:F40"/>
    </sheetView>
  </sheetViews>
  <sheetFormatPr defaultColWidth="8.88671875" defaultRowHeight="13.5" x14ac:dyDescent="0.15"/>
  <cols>
    <col min="1" max="1" width="8.44140625" style="3" customWidth="1"/>
    <col min="2" max="2" width="14.77734375" style="3" customWidth="1"/>
    <col min="3" max="3" width="4.109375" style="3" customWidth="1"/>
    <col min="4" max="4" width="15.21875" style="3" customWidth="1"/>
    <col min="5" max="5" width="4.44140625" style="3" customWidth="1"/>
    <col min="6" max="6" width="4" style="3" customWidth="1"/>
    <col min="7" max="7" width="5.5546875" style="3" customWidth="1"/>
    <col min="8" max="8" width="5.44140625" style="3" customWidth="1"/>
    <col min="9" max="9" width="7.88671875" style="3" customWidth="1"/>
    <col min="10" max="10" width="7.109375" style="3" customWidth="1"/>
    <col min="11" max="11" width="7.21875" style="3" customWidth="1"/>
    <col min="12" max="12" width="6.77734375" style="3" customWidth="1"/>
    <col min="13" max="16384" width="8.88671875" style="3"/>
  </cols>
  <sheetData>
    <row r="1" spans="1:14" ht="18.75" customHeight="1" x14ac:dyDescent="0.15">
      <c r="A1" s="101" t="s">
        <v>0</v>
      </c>
      <c r="B1" s="102"/>
      <c r="C1" s="102"/>
      <c r="D1" s="102"/>
      <c r="E1" s="102"/>
      <c r="F1" s="102"/>
      <c r="G1" s="103"/>
      <c r="H1" s="107" t="s">
        <v>1</v>
      </c>
      <c r="I1" s="1" t="s">
        <v>2</v>
      </c>
      <c r="J1" s="1" t="s">
        <v>2</v>
      </c>
      <c r="K1" s="1" t="s">
        <v>3</v>
      </c>
      <c r="L1" s="2" t="s">
        <v>4</v>
      </c>
    </row>
    <row r="2" spans="1:14" ht="13.5" customHeight="1" x14ac:dyDescent="0.15">
      <c r="A2" s="104"/>
      <c r="B2" s="105"/>
      <c r="C2" s="105"/>
      <c r="D2" s="105"/>
      <c r="E2" s="105"/>
      <c r="F2" s="105"/>
      <c r="G2" s="106"/>
      <c r="H2" s="108"/>
      <c r="I2" s="110"/>
      <c r="J2" s="110"/>
      <c r="K2" s="110"/>
      <c r="L2" s="98"/>
    </row>
    <row r="3" spans="1:14" ht="13.5" customHeight="1" x14ac:dyDescent="0.15">
      <c r="A3" s="104"/>
      <c r="B3" s="105"/>
      <c r="C3" s="105"/>
      <c r="D3" s="105"/>
      <c r="E3" s="105"/>
      <c r="F3" s="105"/>
      <c r="G3" s="106"/>
      <c r="H3" s="108"/>
      <c r="I3" s="108"/>
      <c r="J3" s="108"/>
      <c r="K3" s="108"/>
      <c r="L3" s="99"/>
    </row>
    <row r="4" spans="1:14" ht="33" customHeight="1" x14ac:dyDescent="0.15">
      <c r="A4" s="4"/>
      <c r="B4" s="5"/>
      <c r="C4" s="5"/>
      <c r="D4" s="5"/>
      <c r="E4" s="5"/>
      <c r="F4" s="5"/>
      <c r="G4" s="5"/>
      <c r="H4" s="109"/>
      <c r="I4" s="109"/>
      <c r="J4" s="109"/>
      <c r="K4" s="109"/>
      <c r="L4" s="100"/>
    </row>
    <row r="5" spans="1:14" ht="17.25" customHeight="1" x14ac:dyDescent="0.15">
      <c r="A5" s="6" t="s">
        <v>5</v>
      </c>
      <c r="B5" s="87">
        <v>46055</v>
      </c>
      <c r="C5" s="88"/>
      <c r="D5" s="88"/>
      <c r="E5" s="88"/>
      <c r="F5" s="88"/>
      <c r="G5" s="88"/>
      <c r="H5" s="5"/>
      <c r="I5" s="5"/>
      <c r="J5" s="5"/>
      <c r="K5" s="5"/>
      <c r="L5" s="7"/>
    </row>
    <row r="6" spans="1:14" ht="13.5" customHeight="1" x14ac:dyDescent="0.15">
      <c r="A6" s="89" t="s">
        <v>6</v>
      </c>
      <c r="B6" s="91" t="s">
        <v>7</v>
      </c>
      <c r="C6" s="91" t="s">
        <v>8</v>
      </c>
      <c r="D6" s="91" t="s">
        <v>9</v>
      </c>
      <c r="E6" s="93" t="s">
        <v>10</v>
      </c>
      <c r="F6" s="93" t="s">
        <v>11</v>
      </c>
      <c r="G6" s="95" t="s">
        <v>12</v>
      </c>
      <c r="H6" s="96"/>
      <c r="I6" s="96"/>
      <c r="J6" s="96"/>
      <c r="K6" s="97"/>
      <c r="L6" s="83" t="s">
        <v>13</v>
      </c>
    </row>
    <row r="7" spans="1:14" x14ac:dyDescent="0.15">
      <c r="A7" s="90"/>
      <c r="B7" s="92"/>
      <c r="C7" s="92"/>
      <c r="D7" s="92"/>
      <c r="E7" s="94"/>
      <c r="F7" s="94"/>
      <c r="G7" s="8" t="s">
        <v>14</v>
      </c>
      <c r="H7" s="8" t="s">
        <v>15</v>
      </c>
      <c r="I7" s="8" t="s">
        <v>16</v>
      </c>
      <c r="J7" s="8" t="s">
        <v>17</v>
      </c>
      <c r="K7" s="8" t="s">
        <v>18</v>
      </c>
      <c r="L7" s="84"/>
    </row>
    <row r="8" spans="1:14" s="15" customFormat="1" ht="20.25" customHeight="1" x14ac:dyDescent="0.15">
      <c r="A8" s="60" t="s">
        <v>859</v>
      </c>
      <c r="B8" s="9" t="s">
        <v>131</v>
      </c>
      <c r="C8" s="58" t="s">
        <v>29</v>
      </c>
      <c r="D8" s="11" t="s">
        <v>155</v>
      </c>
      <c r="E8" s="10">
        <v>22</v>
      </c>
      <c r="F8" s="58" t="s">
        <v>11</v>
      </c>
      <c r="G8" s="12">
        <v>764</v>
      </c>
      <c r="H8" s="12">
        <v>933</v>
      </c>
      <c r="I8" s="17" t="s">
        <v>872</v>
      </c>
      <c r="J8" s="18">
        <v>72</v>
      </c>
      <c r="K8" s="19">
        <f>+M8*N8</f>
        <v>347.60880000000003</v>
      </c>
      <c r="L8" s="14"/>
      <c r="M8" s="15">
        <v>31.92</v>
      </c>
      <c r="N8" s="15">
        <v>10.89</v>
      </c>
    </row>
    <row r="9" spans="1:14" s="15" customFormat="1" ht="20.25" customHeight="1" x14ac:dyDescent="0.15">
      <c r="A9" s="60"/>
      <c r="B9" s="9"/>
      <c r="C9" s="58" t="s">
        <v>29</v>
      </c>
      <c r="D9" s="11" t="s">
        <v>156</v>
      </c>
      <c r="E9" s="10">
        <v>22</v>
      </c>
      <c r="F9" s="58" t="s">
        <v>11</v>
      </c>
      <c r="G9" s="12">
        <v>1421</v>
      </c>
      <c r="H9" s="12">
        <v>1763</v>
      </c>
      <c r="I9" s="17" t="s">
        <v>873</v>
      </c>
      <c r="J9" s="18">
        <v>96</v>
      </c>
      <c r="K9" s="19">
        <f t="shared" ref="K9:K23" si="0">+M9*N9</f>
        <v>795.84120000000007</v>
      </c>
      <c r="L9" s="14"/>
      <c r="M9" s="15">
        <v>73.08</v>
      </c>
      <c r="N9" s="15">
        <v>10.89</v>
      </c>
    </row>
    <row r="10" spans="1:14" s="15" customFormat="1" ht="20.25" customHeight="1" x14ac:dyDescent="0.15">
      <c r="A10" s="60" t="s">
        <v>874</v>
      </c>
      <c r="B10" s="9" t="s">
        <v>131</v>
      </c>
      <c r="C10" s="58" t="s">
        <v>29</v>
      </c>
      <c r="D10" s="11" t="s">
        <v>155</v>
      </c>
      <c r="E10" s="10">
        <v>22</v>
      </c>
      <c r="F10" s="58" t="s">
        <v>11</v>
      </c>
      <c r="G10" s="12">
        <v>1421</v>
      </c>
      <c r="H10" s="12">
        <v>1763</v>
      </c>
      <c r="I10" s="17" t="s">
        <v>875</v>
      </c>
      <c r="J10" s="18">
        <f>12+152</f>
        <v>164</v>
      </c>
      <c r="K10" s="19">
        <f t="shared" si="0"/>
        <v>1543.3308000000002</v>
      </c>
      <c r="L10" s="14"/>
      <c r="M10" s="15">
        <v>141.72</v>
      </c>
      <c r="N10" s="15">
        <v>10.89</v>
      </c>
    </row>
    <row r="11" spans="1:14" s="15" customFormat="1" ht="20.25" customHeight="1" x14ac:dyDescent="0.15">
      <c r="A11" s="60"/>
      <c r="B11" s="9"/>
      <c r="C11" s="58" t="s">
        <v>29</v>
      </c>
      <c r="D11" s="11" t="s">
        <v>156</v>
      </c>
      <c r="E11" s="10">
        <v>22</v>
      </c>
      <c r="F11" s="58" t="s">
        <v>11</v>
      </c>
      <c r="G11" s="12">
        <v>1421</v>
      </c>
      <c r="H11" s="12">
        <v>1763</v>
      </c>
      <c r="I11" s="17" t="s">
        <v>875</v>
      </c>
      <c r="J11" s="18">
        <v>164</v>
      </c>
      <c r="K11" s="19">
        <f t="shared" si="0"/>
        <v>1543.3308000000002</v>
      </c>
      <c r="L11" s="14"/>
      <c r="M11" s="15">
        <v>141.72</v>
      </c>
      <c r="N11" s="15">
        <v>10.89</v>
      </c>
    </row>
    <row r="12" spans="1:14" s="15" customFormat="1" ht="20.25" customHeight="1" x14ac:dyDescent="0.15">
      <c r="A12" s="60" t="s">
        <v>876</v>
      </c>
      <c r="B12" s="9" t="s">
        <v>37</v>
      </c>
      <c r="C12" s="58" t="s">
        <v>29</v>
      </c>
      <c r="D12" s="11" t="s">
        <v>684</v>
      </c>
      <c r="E12" s="10">
        <v>22</v>
      </c>
      <c r="F12" s="58"/>
      <c r="G12" s="12">
        <v>743</v>
      </c>
      <c r="H12" s="12">
        <v>1780</v>
      </c>
      <c r="I12" s="17">
        <v>1</v>
      </c>
      <c r="J12" s="18">
        <v>1</v>
      </c>
      <c r="K12" s="19">
        <f t="shared" si="0"/>
        <v>14.374800000000002</v>
      </c>
      <c r="L12" s="14"/>
      <c r="M12" s="15">
        <v>1.32</v>
      </c>
      <c r="N12" s="15">
        <v>10.89</v>
      </c>
    </row>
    <row r="13" spans="1:14" s="15" customFormat="1" ht="20.25" customHeight="1" x14ac:dyDescent="0.15">
      <c r="A13" s="60"/>
      <c r="B13" s="9"/>
      <c r="C13" s="58"/>
      <c r="D13" s="11"/>
      <c r="E13" s="10"/>
      <c r="F13" s="58"/>
      <c r="G13" s="12"/>
      <c r="H13" s="12"/>
      <c r="I13" s="17"/>
      <c r="J13" s="18"/>
      <c r="K13" s="19">
        <f t="shared" si="0"/>
        <v>0</v>
      </c>
      <c r="L13" s="14"/>
      <c r="N13" s="15">
        <v>10.89</v>
      </c>
    </row>
    <row r="14" spans="1:14" s="15" customFormat="1" ht="20.25" customHeight="1" x14ac:dyDescent="0.15">
      <c r="A14" s="60"/>
      <c r="B14" s="9"/>
      <c r="C14" s="58"/>
      <c r="D14" s="11"/>
      <c r="E14" s="10"/>
      <c r="F14" s="58"/>
      <c r="G14" s="12"/>
      <c r="H14" s="12"/>
      <c r="I14" s="17"/>
      <c r="J14" s="18"/>
      <c r="K14" s="19">
        <f t="shared" si="0"/>
        <v>0</v>
      </c>
      <c r="L14" s="20"/>
      <c r="N14" s="15">
        <v>10.89</v>
      </c>
    </row>
    <row r="15" spans="1:14" s="15" customFormat="1" ht="20.25" customHeight="1" x14ac:dyDescent="0.15">
      <c r="A15" s="60"/>
      <c r="B15" s="9"/>
      <c r="C15" s="58"/>
      <c r="D15" s="11"/>
      <c r="E15" s="10"/>
      <c r="F15" s="58"/>
      <c r="G15" s="12"/>
      <c r="H15" s="12"/>
      <c r="I15" s="17"/>
      <c r="J15" s="18"/>
      <c r="K15" s="19">
        <f t="shared" si="0"/>
        <v>0</v>
      </c>
      <c r="L15" s="20"/>
      <c r="N15" s="15">
        <v>10.89</v>
      </c>
    </row>
    <row r="16" spans="1:14" s="15" customFormat="1" ht="20.25" customHeight="1" x14ac:dyDescent="0.15">
      <c r="A16" s="60"/>
      <c r="B16" s="9"/>
      <c r="C16" s="58"/>
      <c r="D16" s="11"/>
      <c r="E16" s="10"/>
      <c r="F16" s="58"/>
      <c r="G16" s="12"/>
      <c r="H16" s="12"/>
      <c r="I16" s="17"/>
      <c r="J16" s="18"/>
      <c r="K16" s="19">
        <f t="shared" si="0"/>
        <v>0</v>
      </c>
      <c r="L16" s="20"/>
      <c r="N16" s="15">
        <v>10.89</v>
      </c>
    </row>
    <row r="17" spans="1:14" s="15" customFormat="1" ht="20.25" customHeight="1" x14ac:dyDescent="0.15">
      <c r="A17" s="60"/>
      <c r="B17" s="9"/>
      <c r="C17" s="58"/>
      <c r="D17" s="11"/>
      <c r="E17" s="10"/>
      <c r="F17" s="58"/>
      <c r="G17" s="12"/>
      <c r="H17" s="12"/>
      <c r="I17" s="17"/>
      <c r="J17" s="18"/>
      <c r="K17" s="19">
        <f t="shared" si="0"/>
        <v>0</v>
      </c>
      <c r="L17" s="20"/>
      <c r="N17" s="15">
        <v>10.89</v>
      </c>
    </row>
    <row r="18" spans="1:14" s="15" customFormat="1" ht="20.25" customHeight="1" x14ac:dyDescent="0.15">
      <c r="A18" s="60"/>
      <c r="B18" s="9"/>
      <c r="C18" s="58"/>
      <c r="D18" s="11"/>
      <c r="E18" s="10"/>
      <c r="F18" s="58"/>
      <c r="G18" s="12"/>
      <c r="H18" s="12"/>
      <c r="I18" s="17"/>
      <c r="J18" s="18"/>
      <c r="K18" s="19">
        <f t="shared" si="0"/>
        <v>0</v>
      </c>
      <c r="L18" s="20"/>
      <c r="N18" s="15">
        <v>10.89</v>
      </c>
    </row>
    <row r="19" spans="1:14" s="15" customFormat="1" ht="20.25" customHeight="1" x14ac:dyDescent="0.15">
      <c r="A19" s="60"/>
      <c r="B19" s="9"/>
      <c r="C19" s="58"/>
      <c r="D19" s="11"/>
      <c r="E19" s="10"/>
      <c r="F19" s="58"/>
      <c r="G19" s="12"/>
      <c r="H19" s="12"/>
      <c r="I19" s="17"/>
      <c r="J19" s="18"/>
      <c r="K19" s="19">
        <f t="shared" si="0"/>
        <v>0</v>
      </c>
      <c r="L19" s="20"/>
      <c r="N19" s="15">
        <v>10.89</v>
      </c>
    </row>
    <row r="20" spans="1:14" s="15" customFormat="1" ht="20.25" customHeight="1" x14ac:dyDescent="0.15">
      <c r="A20" s="60"/>
      <c r="B20" s="9"/>
      <c r="C20" s="58"/>
      <c r="D20" s="11"/>
      <c r="E20" s="10"/>
      <c r="F20" s="58"/>
      <c r="G20" s="12"/>
      <c r="H20" s="12"/>
      <c r="I20" s="17"/>
      <c r="J20" s="18"/>
      <c r="K20" s="19">
        <f t="shared" si="0"/>
        <v>0</v>
      </c>
      <c r="L20" s="20"/>
      <c r="N20" s="15">
        <v>10.89</v>
      </c>
    </row>
    <row r="21" spans="1:14" s="15" customFormat="1" ht="20.25" customHeight="1" x14ac:dyDescent="0.15">
      <c r="A21" s="60"/>
      <c r="B21" s="9"/>
      <c r="C21" s="58"/>
      <c r="D21" s="11"/>
      <c r="E21" s="10"/>
      <c r="F21" s="58"/>
      <c r="G21" s="50"/>
      <c r="H21" s="50"/>
      <c r="I21" s="17"/>
      <c r="J21" s="18"/>
      <c r="K21" s="19">
        <f t="shared" si="0"/>
        <v>0</v>
      </c>
      <c r="L21" s="20"/>
      <c r="N21" s="15">
        <v>10.89</v>
      </c>
    </row>
    <row r="22" spans="1:14" s="15" customFormat="1" ht="20.25" customHeight="1" x14ac:dyDescent="0.15">
      <c r="A22" s="60"/>
      <c r="B22" s="9"/>
      <c r="C22" s="58"/>
      <c r="D22" s="11"/>
      <c r="E22" s="10"/>
      <c r="F22" s="58"/>
      <c r="G22" s="50"/>
      <c r="H22" s="50"/>
      <c r="I22" s="17"/>
      <c r="J22" s="18"/>
      <c r="K22" s="19">
        <f t="shared" si="0"/>
        <v>0</v>
      </c>
      <c r="L22" s="20"/>
      <c r="N22" s="15">
        <v>10.89</v>
      </c>
    </row>
    <row r="23" spans="1:14" ht="20.25" customHeight="1" x14ac:dyDescent="0.15">
      <c r="A23" s="60"/>
      <c r="B23" s="9"/>
      <c r="C23" s="58"/>
      <c r="D23" s="11"/>
      <c r="E23" s="10"/>
      <c r="F23" s="58"/>
      <c r="G23" s="16"/>
      <c r="H23" s="16"/>
      <c r="I23" s="17"/>
      <c r="J23" s="18"/>
      <c r="K23" s="19">
        <f t="shared" si="0"/>
        <v>0</v>
      </c>
      <c r="L23" s="20"/>
      <c r="N23" s="15">
        <v>10.89</v>
      </c>
    </row>
    <row r="24" spans="1:14" ht="20.25" customHeight="1" thickBot="1" x14ac:dyDescent="0.2">
      <c r="A24" s="56"/>
      <c r="B24" s="21"/>
      <c r="C24" s="59"/>
      <c r="D24" s="22"/>
      <c r="E24" s="23"/>
      <c r="F24" s="23"/>
      <c r="G24" s="24"/>
      <c r="H24" s="24"/>
      <c r="I24" s="25"/>
      <c r="J24" s="46">
        <f>SUM(J8:J23)</f>
        <v>497</v>
      </c>
      <c r="K24" s="47">
        <f>SUM(K8:K23)</f>
        <v>4244.4863999999998</v>
      </c>
      <c r="L24" s="26"/>
    </row>
    <row r="25" spans="1:14" ht="20.25" customHeight="1" thickTop="1" x14ac:dyDescent="0.15">
      <c r="A25" s="60" t="s">
        <v>877</v>
      </c>
      <c r="B25" s="9" t="s">
        <v>131</v>
      </c>
      <c r="C25" s="58" t="s">
        <v>29</v>
      </c>
      <c r="D25" s="11" t="s">
        <v>155</v>
      </c>
      <c r="E25" s="10">
        <v>22</v>
      </c>
      <c r="F25" s="10" t="s">
        <v>11</v>
      </c>
      <c r="G25" s="12">
        <v>1421</v>
      </c>
      <c r="H25" s="12">
        <v>1763</v>
      </c>
      <c r="I25" s="17" t="s">
        <v>875</v>
      </c>
      <c r="J25" s="18">
        <v>164</v>
      </c>
      <c r="K25" s="19">
        <f t="shared" ref="K25:K40" si="1">+M25*N25</f>
        <v>1543.3308000000002</v>
      </c>
      <c r="L25" s="54"/>
      <c r="M25" s="3">
        <v>141.72</v>
      </c>
      <c r="N25" s="15">
        <v>10.89</v>
      </c>
    </row>
    <row r="26" spans="1:14" ht="20.25" customHeight="1" x14ac:dyDescent="0.15">
      <c r="A26" s="60"/>
      <c r="B26" s="9"/>
      <c r="C26" s="58" t="s">
        <v>29</v>
      </c>
      <c r="D26" s="11" t="s">
        <v>156</v>
      </c>
      <c r="E26" s="10">
        <v>22</v>
      </c>
      <c r="F26" s="10" t="s">
        <v>11</v>
      </c>
      <c r="G26" s="12">
        <v>1421</v>
      </c>
      <c r="H26" s="12">
        <v>1763</v>
      </c>
      <c r="I26" s="17" t="s">
        <v>878</v>
      </c>
      <c r="J26" s="18">
        <f>12+76</f>
        <v>88</v>
      </c>
      <c r="K26" s="19">
        <f t="shared" si="1"/>
        <v>1244.9448</v>
      </c>
      <c r="L26" s="54"/>
      <c r="M26" s="3">
        <v>114.32</v>
      </c>
      <c r="N26" s="15">
        <v>10.89</v>
      </c>
    </row>
    <row r="27" spans="1:14" ht="20.25" customHeight="1" x14ac:dyDescent="0.15">
      <c r="A27" s="61" t="s">
        <v>879</v>
      </c>
      <c r="B27" s="9" t="s">
        <v>180</v>
      </c>
      <c r="C27" s="58" t="s">
        <v>29</v>
      </c>
      <c r="D27" s="11" t="s">
        <v>880</v>
      </c>
      <c r="E27" s="10">
        <v>28</v>
      </c>
      <c r="F27" s="10" t="s">
        <v>11</v>
      </c>
      <c r="G27" s="12">
        <v>1045</v>
      </c>
      <c r="H27" s="12">
        <v>2020</v>
      </c>
      <c r="I27" s="17" t="s">
        <v>882</v>
      </c>
      <c r="J27" s="18">
        <v>50</v>
      </c>
      <c r="K27" s="19">
        <f t="shared" si="1"/>
        <v>508.12739999999997</v>
      </c>
      <c r="L27" s="54"/>
      <c r="M27" s="3">
        <v>46.66</v>
      </c>
      <c r="N27" s="15">
        <v>10.89</v>
      </c>
    </row>
    <row r="28" spans="1:14" ht="20.25" customHeight="1" x14ac:dyDescent="0.15">
      <c r="A28" s="61"/>
      <c r="B28" s="9"/>
      <c r="C28" s="58" t="s">
        <v>29</v>
      </c>
      <c r="D28" s="11" t="s">
        <v>881</v>
      </c>
      <c r="E28" s="10">
        <v>22</v>
      </c>
      <c r="F28" s="10" t="s">
        <v>11</v>
      </c>
      <c r="G28" s="12">
        <v>330</v>
      </c>
      <c r="H28" s="12">
        <v>770</v>
      </c>
      <c r="I28" s="17">
        <v>16</v>
      </c>
      <c r="J28" s="18">
        <v>16</v>
      </c>
      <c r="K28" s="19">
        <f t="shared" si="1"/>
        <v>48.787200000000006</v>
      </c>
      <c r="L28" s="54"/>
      <c r="M28" s="3">
        <v>4.4800000000000004</v>
      </c>
      <c r="N28" s="15">
        <v>10.89</v>
      </c>
    </row>
    <row r="29" spans="1:14" ht="20.25" customHeight="1" x14ac:dyDescent="0.15">
      <c r="A29" s="61" t="s">
        <v>861</v>
      </c>
      <c r="B29" s="9" t="s">
        <v>178</v>
      </c>
      <c r="C29" s="58" t="s">
        <v>29</v>
      </c>
      <c r="D29" s="11" t="s">
        <v>247</v>
      </c>
      <c r="E29" s="10">
        <v>24</v>
      </c>
      <c r="F29" s="10" t="s">
        <v>11</v>
      </c>
      <c r="G29" s="12">
        <v>915</v>
      </c>
      <c r="H29" s="12">
        <v>950</v>
      </c>
      <c r="I29" s="17" t="s">
        <v>337</v>
      </c>
      <c r="J29" s="18">
        <v>2</v>
      </c>
      <c r="K29" s="19">
        <f t="shared" si="1"/>
        <v>13.830300000000001</v>
      </c>
      <c r="L29" s="54"/>
      <c r="M29" s="3">
        <v>1.27</v>
      </c>
      <c r="N29" s="15">
        <v>10.89</v>
      </c>
    </row>
    <row r="30" spans="1:14" ht="20.25" customHeight="1" x14ac:dyDescent="0.15">
      <c r="A30" s="61" t="s">
        <v>863</v>
      </c>
      <c r="B30" s="9" t="s">
        <v>178</v>
      </c>
      <c r="C30" s="58" t="s">
        <v>29</v>
      </c>
      <c r="D30" s="11" t="s">
        <v>247</v>
      </c>
      <c r="E30" s="10">
        <v>24</v>
      </c>
      <c r="F30" s="10" t="s">
        <v>11</v>
      </c>
      <c r="G30" s="12">
        <v>913</v>
      </c>
      <c r="H30" s="12">
        <v>460</v>
      </c>
      <c r="I30" s="51" t="s">
        <v>337</v>
      </c>
      <c r="J30" s="52">
        <v>2</v>
      </c>
      <c r="K30" s="53">
        <f t="shared" si="1"/>
        <v>14.374800000000002</v>
      </c>
      <c r="L30" s="54"/>
      <c r="M30" s="3">
        <v>1.32</v>
      </c>
      <c r="N30" s="15">
        <v>10.89</v>
      </c>
    </row>
    <row r="31" spans="1:14" ht="20.25" customHeight="1" x14ac:dyDescent="0.15">
      <c r="A31" s="61" t="s">
        <v>865</v>
      </c>
      <c r="B31" s="9" t="s">
        <v>178</v>
      </c>
      <c r="C31" s="58" t="s">
        <v>29</v>
      </c>
      <c r="D31" s="11" t="s">
        <v>247</v>
      </c>
      <c r="E31" s="10">
        <v>24</v>
      </c>
      <c r="F31" s="10" t="s">
        <v>11</v>
      </c>
      <c r="G31" s="12">
        <v>975</v>
      </c>
      <c r="H31" s="12">
        <v>950</v>
      </c>
      <c r="I31" s="51">
        <v>1</v>
      </c>
      <c r="J31" s="52">
        <v>1</v>
      </c>
      <c r="K31" s="53">
        <f t="shared" si="1"/>
        <v>10.127700000000001</v>
      </c>
      <c r="L31" s="54"/>
      <c r="M31" s="3">
        <v>0.93</v>
      </c>
      <c r="N31" s="15">
        <v>10.89</v>
      </c>
    </row>
    <row r="32" spans="1:14" ht="20.25" customHeight="1" x14ac:dyDescent="0.15">
      <c r="A32" s="61" t="s">
        <v>868</v>
      </c>
      <c r="B32" s="9" t="s">
        <v>178</v>
      </c>
      <c r="C32" s="58" t="s">
        <v>29</v>
      </c>
      <c r="D32" s="11" t="s">
        <v>247</v>
      </c>
      <c r="E32" s="10">
        <v>24</v>
      </c>
      <c r="F32" s="10" t="s">
        <v>11</v>
      </c>
      <c r="G32" s="12">
        <v>1020</v>
      </c>
      <c r="H32" s="12">
        <v>950</v>
      </c>
      <c r="I32" s="17" t="s">
        <v>883</v>
      </c>
      <c r="J32" s="18">
        <v>8</v>
      </c>
      <c r="K32" s="19">
        <f t="shared" si="1"/>
        <v>73.616399999999999</v>
      </c>
      <c r="L32" s="27"/>
      <c r="M32" s="3">
        <v>6.76</v>
      </c>
      <c r="N32" s="15">
        <v>10.89</v>
      </c>
    </row>
    <row r="33" spans="1:14" ht="20.25" customHeight="1" x14ac:dyDescent="0.15">
      <c r="A33" s="60" t="s">
        <v>884</v>
      </c>
      <c r="B33" s="9" t="s">
        <v>178</v>
      </c>
      <c r="C33" s="58" t="s">
        <v>29</v>
      </c>
      <c r="D33" s="11" t="s">
        <v>247</v>
      </c>
      <c r="E33" s="10">
        <v>24</v>
      </c>
      <c r="F33" s="10" t="s">
        <v>11</v>
      </c>
      <c r="G33" s="12">
        <v>1055</v>
      </c>
      <c r="H33" s="12">
        <v>1913</v>
      </c>
      <c r="I33" s="17" t="s">
        <v>885</v>
      </c>
      <c r="J33" s="18">
        <v>101</v>
      </c>
      <c r="K33" s="19">
        <f t="shared" si="1"/>
        <v>485.80290000000002</v>
      </c>
      <c r="L33" s="27"/>
      <c r="M33" s="3">
        <v>44.61</v>
      </c>
      <c r="N33" s="15">
        <v>10.89</v>
      </c>
    </row>
    <row r="34" spans="1:14" ht="20.25" customHeight="1" x14ac:dyDescent="0.15">
      <c r="A34" s="60" t="s">
        <v>886</v>
      </c>
      <c r="B34" s="9" t="s">
        <v>175</v>
      </c>
      <c r="C34" s="58" t="s">
        <v>29</v>
      </c>
      <c r="D34" s="11" t="s">
        <v>414</v>
      </c>
      <c r="E34" s="10">
        <v>24</v>
      </c>
      <c r="F34" s="10" t="s">
        <v>11</v>
      </c>
      <c r="G34" s="12">
        <v>1055</v>
      </c>
      <c r="H34" s="12">
        <v>2145</v>
      </c>
      <c r="I34" s="17" t="s">
        <v>887</v>
      </c>
      <c r="J34" s="18">
        <v>8</v>
      </c>
      <c r="K34" s="19">
        <f t="shared" si="1"/>
        <v>191.22839999999999</v>
      </c>
      <c r="L34" s="27"/>
      <c r="M34" s="3">
        <v>17.559999999999999</v>
      </c>
      <c r="N34" s="15">
        <v>10.89</v>
      </c>
    </row>
    <row r="35" spans="1:14" ht="20.25" customHeight="1" x14ac:dyDescent="0.15">
      <c r="A35" s="60"/>
      <c r="B35" s="9"/>
      <c r="C35" s="58" t="s">
        <v>29</v>
      </c>
      <c r="D35" s="11" t="s">
        <v>415</v>
      </c>
      <c r="E35" s="10">
        <v>28</v>
      </c>
      <c r="F35" s="10" t="s">
        <v>11</v>
      </c>
      <c r="G35" s="12">
        <v>905</v>
      </c>
      <c r="H35" s="12">
        <v>430</v>
      </c>
      <c r="I35" s="17">
        <v>3</v>
      </c>
      <c r="J35" s="18">
        <v>3</v>
      </c>
      <c r="K35" s="19">
        <f t="shared" si="1"/>
        <v>12.741300000000001</v>
      </c>
      <c r="L35" s="27"/>
      <c r="M35" s="3">
        <v>1.17</v>
      </c>
      <c r="N35" s="15">
        <v>10.89</v>
      </c>
    </row>
    <row r="36" spans="1:14" ht="20.25" customHeight="1" x14ac:dyDescent="0.15">
      <c r="A36" s="60"/>
      <c r="B36" s="9"/>
      <c r="C36" s="58"/>
      <c r="D36" s="11"/>
      <c r="E36" s="10"/>
      <c r="F36" s="10"/>
      <c r="G36" s="12"/>
      <c r="H36" s="12"/>
      <c r="I36" s="17"/>
      <c r="J36" s="18"/>
      <c r="K36" s="19">
        <f t="shared" si="1"/>
        <v>0</v>
      </c>
      <c r="L36" s="27"/>
      <c r="N36" s="15">
        <v>10.89</v>
      </c>
    </row>
    <row r="37" spans="1:14" ht="20.25" customHeight="1" x14ac:dyDescent="0.15">
      <c r="A37" s="60"/>
      <c r="B37" s="9"/>
      <c r="C37" s="58"/>
      <c r="D37" s="11"/>
      <c r="E37" s="10"/>
      <c r="F37" s="10"/>
      <c r="G37" s="12"/>
      <c r="H37" s="12"/>
      <c r="I37" s="17"/>
      <c r="J37" s="18"/>
      <c r="K37" s="19">
        <f t="shared" si="1"/>
        <v>0</v>
      </c>
      <c r="L37" s="27"/>
      <c r="N37" s="15">
        <v>10.89</v>
      </c>
    </row>
    <row r="38" spans="1:14" ht="20.25" customHeight="1" x14ac:dyDescent="0.15">
      <c r="A38" s="60"/>
      <c r="B38" s="9"/>
      <c r="C38" s="58"/>
      <c r="D38" s="11"/>
      <c r="E38" s="10"/>
      <c r="F38" s="10"/>
      <c r="G38" s="12"/>
      <c r="H38" s="12"/>
      <c r="I38" s="17"/>
      <c r="J38" s="18"/>
      <c r="K38" s="19">
        <f t="shared" si="1"/>
        <v>0</v>
      </c>
      <c r="L38" s="27"/>
      <c r="N38" s="15">
        <v>10.89</v>
      </c>
    </row>
    <row r="39" spans="1:14" ht="20.25" customHeight="1" x14ac:dyDescent="0.15">
      <c r="A39" s="60"/>
      <c r="B39" s="9"/>
      <c r="C39" s="58"/>
      <c r="D39" s="11"/>
      <c r="E39" s="10"/>
      <c r="F39" s="10"/>
      <c r="G39" s="12"/>
      <c r="H39" s="12"/>
      <c r="I39" s="17"/>
      <c r="J39" s="18"/>
      <c r="K39" s="19">
        <f t="shared" si="1"/>
        <v>0</v>
      </c>
      <c r="L39" s="27"/>
      <c r="N39" s="15">
        <v>10.89</v>
      </c>
    </row>
    <row r="40" spans="1:14" ht="20.25" customHeight="1" x14ac:dyDescent="0.15">
      <c r="A40" s="60"/>
      <c r="B40" s="9"/>
      <c r="C40" s="58"/>
      <c r="D40" s="11"/>
      <c r="E40" s="10"/>
      <c r="F40" s="10"/>
      <c r="G40" s="12"/>
      <c r="H40" s="12"/>
      <c r="I40" s="17"/>
      <c r="J40" s="18"/>
      <c r="K40" s="19">
        <f t="shared" si="1"/>
        <v>0</v>
      </c>
      <c r="L40" s="27"/>
      <c r="N40" s="15">
        <v>10.89</v>
      </c>
    </row>
    <row r="41" spans="1:14" ht="20.25" customHeight="1" x14ac:dyDescent="0.15">
      <c r="A41" s="57"/>
      <c r="B41" s="28"/>
      <c r="C41" s="10"/>
      <c r="D41" s="29"/>
      <c r="E41" s="30"/>
      <c r="F41" s="30"/>
      <c r="G41" s="30"/>
      <c r="H41" s="30"/>
      <c r="I41" s="13"/>
      <c r="J41" s="48">
        <f>SUM(J25:J40)</f>
        <v>443</v>
      </c>
      <c r="K41" s="49">
        <f>SUM(K25:K40)</f>
        <v>4146.9120000000003</v>
      </c>
      <c r="L41" s="31"/>
      <c r="N41" s="32"/>
    </row>
    <row r="42" spans="1:14" ht="20.25" customHeight="1" thickBot="1" x14ac:dyDescent="0.2">
      <c r="A42" s="55"/>
      <c r="B42" s="33"/>
      <c r="C42" s="33"/>
      <c r="D42" s="33"/>
      <c r="E42" s="33"/>
      <c r="F42" s="33"/>
      <c r="G42" s="33"/>
      <c r="H42" s="33"/>
      <c r="I42" s="33"/>
      <c r="J42" s="34"/>
      <c r="K42" s="35"/>
      <c r="L42" s="36"/>
    </row>
    <row r="43" spans="1:14" ht="20.25" customHeight="1" thickBot="1" x14ac:dyDescent="0.2">
      <c r="A43" s="37" t="s">
        <v>19</v>
      </c>
      <c r="B43" s="38" t="s">
        <v>20</v>
      </c>
      <c r="C43" s="77" t="s">
        <v>21</v>
      </c>
      <c r="D43" s="79"/>
      <c r="E43" s="77" t="s">
        <v>22</v>
      </c>
      <c r="F43" s="78"/>
      <c r="G43" s="79"/>
      <c r="H43" s="85" t="s">
        <v>23</v>
      </c>
      <c r="I43" s="86"/>
      <c r="J43" s="77" t="s">
        <v>24</v>
      </c>
      <c r="K43" s="79"/>
      <c r="L43" s="39" t="s">
        <v>13</v>
      </c>
    </row>
    <row r="44" spans="1:14" ht="20.25" customHeight="1" thickBot="1" x14ac:dyDescent="0.2">
      <c r="A44" s="40">
        <f>SUMIF($C$8:$C$42,"U1",$J$8:$J$42)</f>
        <v>0</v>
      </c>
      <c r="B44" s="41">
        <f>SUMIF($C$8:$C$42,"U2",$J$8:$J$42)</f>
        <v>0</v>
      </c>
      <c r="C44" s="77">
        <f>SUMIF($C$8:$C$42,"U3-1",$J$8:$J$42)</f>
        <v>0</v>
      </c>
      <c r="D44" s="79"/>
      <c r="E44" s="77">
        <f>SUMIF($C$8:$C$42,"U3",$J$8:$J$42)</f>
        <v>940</v>
      </c>
      <c r="F44" s="78"/>
      <c r="G44" s="79"/>
      <c r="H44" s="77">
        <f>SUMIF($C$8:$C$42,"E5",$J$8:$J$42)</f>
        <v>0</v>
      </c>
      <c r="I44" s="79"/>
      <c r="J44" s="77">
        <f>SUM(A44:I44)</f>
        <v>940</v>
      </c>
      <c r="K44" s="79"/>
      <c r="L44" s="42"/>
    </row>
    <row r="45" spans="1:14" ht="20.25" customHeight="1" thickBot="1" x14ac:dyDescent="0.2">
      <c r="A45" s="43" t="s">
        <v>25</v>
      </c>
      <c r="B45" s="44" t="s">
        <v>26</v>
      </c>
      <c r="C45" s="75">
        <v>13876</v>
      </c>
      <c r="D45" s="76"/>
      <c r="E45" s="77" t="s">
        <v>27</v>
      </c>
      <c r="F45" s="78"/>
      <c r="G45" s="78"/>
      <c r="H45" s="78"/>
      <c r="I45" s="79"/>
      <c r="J45" s="80">
        <v>146744.37</v>
      </c>
      <c r="K45" s="81"/>
      <c r="L45" s="82"/>
    </row>
    <row r="47" spans="1:14" x14ac:dyDescent="0.15">
      <c r="D47" s="45"/>
    </row>
  </sheetData>
  <mergeCells count="26">
    <mergeCell ref="C45:D45"/>
    <mergeCell ref="E45:I45"/>
    <mergeCell ref="J45:L45"/>
    <mergeCell ref="L6:L7"/>
    <mergeCell ref="C43:D43"/>
    <mergeCell ref="E43:G43"/>
    <mergeCell ref="H43:I43"/>
    <mergeCell ref="J43:K43"/>
    <mergeCell ref="C44:D44"/>
    <mergeCell ref="E44:G44"/>
    <mergeCell ref="H44:I44"/>
    <mergeCell ref="J44:K44"/>
    <mergeCell ref="B5:G5"/>
    <mergeCell ref="A6:A7"/>
    <mergeCell ref="B6:B7"/>
    <mergeCell ref="C6:C7"/>
    <mergeCell ref="D6:D7"/>
    <mergeCell ref="E6:E7"/>
    <mergeCell ref="F6:F7"/>
    <mergeCell ref="G6:K6"/>
    <mergeCell ref="L2:L4"/>
    <mergeCell ref="A1:G3"/>
    <mergeCell ref="H1:H4"/>
    <mergeCell ref="I2:I4"/>
    <mergeCell ref="J2:J4"/>
    <mergeCell ref="K2:K4"/>
  </mergeCells>
  <phoneticPr fontId="2" type="noConversion"/>
  <printOptions horizontalCentered="1"/>
  <pageMargins left="0.39370078740157483" right="0.39370078740157483" top="0.74803149606299213" bottom="0.19685039370078741" header="0.31496062992125984" footer="0.15748031496062992"/>
  <pageSetup paperSize="9" scale="84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N47"/>
  <sheetViews>
    <sheetView view="pageBreakPreview" topLeftCell="A16" zoomScaleSheetLayoutView="100" workbookViewId="0">
      <selection activeCell="B33" sqref="B33:E33"/>
    </sheetView>
  </sheetViews>
  <sheetFormatPr defaultColWidth="8.88671875" defaultRowHeight="13.5" x14ac:dyDescent="0.15"/>
  <cols>
    <col min="1" max="1" width="8.44140625" style="3" customWidth="1"/>
    <col min="2" max="2" width="14.77734375" style="3" customWidth="1"/>
    <col min="3" max="3" width="4.109375" style="3" customWidth="1"/>
    <col min="4" max="4" width="15.21875" style="3" customWidth="1"/>
    <col min="5" max="5" width="4.44140625" style="3" customWidth="1"/>
    <col min="6" max="6" width="4" style="3" customWidth="1"/>
    <col min="7" max="7" width="5.5546875" style="3" customWidth="1"/>
    <col min="8" max="8" width="5.44140625" style="3" customWidth="1"/>
    <col min="9" max="9" width="7.88671875" style="3" customWidth="1"/>
    <col min="10" max="10" width="7.109375" style="3" customWidth="1"/>
    <col min="11" max="11" width="7.21875" style="3" customWidth="1"/>
    <col min="12" max="12" width="6.77734375" style="3" customWidth="1"/>
    <col min="13" max="16384" width="8.88671875" style="3"/>
  </cols>
  <sheetData>
    <row r="1" spans="1:14" ht="18.75" customHeight="1" x14ac:dyDescent="0.15">
      <c r="A1" s="101" t="s">
        <v>0</v>
      </c>
      <c r="B1" s="102"/>
      <c r="C1" s="102"/>
      <c r="D1" s="102"/>
      <c r="E1" s="102"/>
      <c r="F1" s="102"/>
      <c r="G1" s="103"/>
      <c r="H1" s="107" t="s">
        <v>1</v>
      </c>
      <c r="I1" s="1" t="s">
        <v>2</v>
      </c>
      <c r="J1" s="1" t="s">
        <v>2</v>
      </c>
      <c r="K1" s="1" t="s">
        <v>3</v>
      </c>
      <c r="L1" s="2" t="s">
        <v>4</v>
      </c>
    </row>
    <row r="2" spans="1:14" ht="13.5" customHeight="1" x14ac:dyDescent="0.15">
      <c r="A2" s="104"/>
      <c r="B2" s="105"/>
      <c r="C2" s="105"/>
      <c r="D2" s="105"/>
      <c r="E2" s="105"/>
      <c r="F2" s="105"/>
      <c r="G2" s="106"/>
      <c r="H2" s="108"/>
      <c r="I2" s="110"/>
      <c r="J2" s="110"/>
      <c r="K2" s="110"/>
      <c r="L2" s="98"/>
    </row>
    <row r="3" spans="1:14" ht="13.5" customHeight="1" x14ac:dyDescent="0.15">
      <c r="A3" s="104"/>
      <c r="B3" s="105"/>
      <c r="C3" s="105"/>
      <c r="D3" s="105"/>
      <c r="E3" s="105"/>
      <c r="F3" s="105"/>
      <c r="G3" s="106"/>
      <c r="H3" s="108"/>
      <c r="I3" s="108"/>
      <c r="J3" s="108"/>
      <c r="K3" s="108"/>
      <c r="L3" s="99"/>
    </row>
    <row r="4" spans="1:14" ht="33" customHeight="1" x14ac:dyDescent="0.15">
      <c r="A4" s="4"/>
      <c r="B4" s="5"/>
      <c r="C4" s="5"/>
      <c r="D4" s="5"/>
      <c r="E4" s="5"/>
      <c r="F4" s="5"/>
      <c r="G4" s="5"/>
      <c r="H4" s="109"/>
      <c r="I4" s="109"/>
      <c r="J4" s="109"/>
      <c r="K4" s="109"/>
      <c r="L4" s="100"/>
    </row>
    <row r="5" spans="1:14" ht="17.25" customHeight="1" x14ac:dyDescent="0.15">
      <c r="A5" s="6" t="s">
        <v>5</v>
      </c>
      <c r="B5" s="87">
        <v>46056</v>
      </c>
      <c r="C5" s="88"/>
      <c r="D5" s="88"/>
      <c r="E5" s="88"/>
      <c r="F5" s="88"/>
      <c r="G5" s="88"/>
      <c r="H5" s="5"/>
      <c r="I5" s="5"/>
      <c r="J5" s="5"/>
      <c r="K5" s="5"/>
      <c r="L5" s="7"/>
    </row>
    <row r="6" spans="1:14" ht="13.5" customHeight="1" x14ac:dyDescent="0.15">
      <c r="A6" s="89" t="s">
        <v>6</v>
      </c>
      <c r="B6" s="91" t="s">
        <v>7</v>
      </c>
      <c r="C6" s="91" t="s">
        <v>8</v>
      </c>
      <c r="D6" s="91" t="s">
        <v>9</v>
      </c>
      <c r="E6" s="93" t="s">
        <v>10</v>
      </c>
      <c r="F6" s="93" t="s">
        <v>11</v>
      </c>
      <c r="G6" s="95" t="s">
        <v>12</v>
      </c>
      <c r="H6" s="96"/>
      <c r="I6" s="96"/>
      <c r="J6" s="96"/>
      <c r="K6" s="97"/>
      <c r="L6" s="83" t="s">
        <v>13</v>
      </c>
    </row>
    <row r="7" spans="1:14" x14ac:dyDescent="0.15">
      <c r="A7" s="90"/>
      <c r="B7" s="92"/>
      <c r="C7" s="92"/>
      <c r="D7" s="92"/>
      <c r="E7" s="94"/>
      <c r="F7" s="94"/>
      <c r="G7" s="8" t="s">
        <v>14</v>
      </c>
      <c r="H7" s="8" t="s">
        <v>15</v>
      </c>
      <c r="I7" s="8" t="s">
        <v>16</v>
      </c>
      <c r="J7" s="8" t="s">
        <v>17</v>
      </c>
      <c r="K7" s="8" t="s">
        <v>18</v>
      </c>
      <c r="L7" s="84"/>
    </row>
    <row r="8" spans="1:14" s="15" customFormat="1" ht="20.25" customHeight="1" x14ac:dyDescent="0.15">
      <c r="A8" s="60" t="s">
        <v>888</v>
      </c>
      <c r="B8" s="9" t="s">
        <v>138</v>
      </c>
      <c r="C8" s="58" t="s">
        <v>29</v>
      </c>
      <c r="D8" s="11" t="s">
        <v>372</v>
      </c>
      <c r="E8" s="10">
        <v>24</v>
      </c>
      <c r="F8" s="58"/>
      <c r="G8" s="12">
        <v>775</v>
      </c>
      <c r="H8" s="12">
        <v>1890</v>
      </c>
      <c r="I8" s="17" t="s">
        <v>889</v>
      </c>
      <c r="J8" s="18">
        <v>22</v>
      </c>
      <c r="K8" s="19">
        <f>+M8*N8</f>
        <v>340.3125</v>
      </c>
      <c r="L8" s="14"/>
      <c r="M8" s="15">
        <v>31.25</v>
      </c>
      <c r="N8" s="15">
        <v>10.89</v>
      </c>
    </row>
    <row r="9" spans="1:14" s="15" customFormat="1" ht="20.25" customHeight="1" x14ac:dyDescent="0.15">
      <c r="A9" s="60" t="s">
        <v>890</v>
      </c>
      <c r="B9" s="9" t="s">
        <v>131</v>
      </c>
      <c r="C9" s="58" t="s">
        <v>29</v>
      </c>
      <c r="D9" s="11" t="s">
        <v>156</v>
      </c>
      <c r="E9" s="10">
        <v>22</v>
      </c>
      <c r="F9" s="58" t="s">
        <v>11</v>
      </c>
      <c r="G9" s="12">
        <v>614</v>
      </c>
      <c r="H9" s="12">
        <v>383</v>
      </c>
      <c r="I9" s="17">
        <v>24</v>
      </c>
      <c r="J9" s="18">
        <v>24</v>
      </c>
      <c r="K9" s="19">
        <f t="shared" ref="K9:K23" si="0">+M9*N9</f>
        <v>73.180800000000005</v>
      </c>
      <c r="L9" s="14"/>
      <c r="M9" s="15">
        <v>6.72</v>
      </c>
      <c r="N9" s="15">
        <v>10.89</v>
      </c>
    </row>
    <row r="10" spans="1:14" s="15" customFormat="1" ht="20.25" customHeight="1" x14ac:dyDescent="0.15">
      <c r="A10" s="60" t="s">
        <v>891</v>
      </c>
      <c r="B10" s="9" t="s">
        <v>131</v>
      </c>
      <c r="C10" s="58" t="s">
        <v>29</v>
      </c>
      <c r="D10" s="11" t="s">
        <v>155</v>
      </c>
      <c r="E10" s="10">
        <v>22</v>
      </c>
      <c r="F10" s="58" t="s">
        <v>11</v>
      </c>
      <c r="G10" s="12">
        <v>1723</v>
      </c>
      <c r="H10" s="12">
        <v>1763</v>
      </c>
      <c r="I10" s="17" t="s">
        <v>892</v>
      </c>
      <c r="J10" s="18">
        <f>8+136</f>
        <v>144</v>
      </c>
      <c r="K10" s="19">
        <f t="shared" si="0"/>
        <v>1226.6496</v>
      </c>
      <c r="L10" s="14"/>
      <c r="M10" s="15">
        <v>112.64</v>
      </c>
      <c r="N10" s="15">
        <v>10.89</v>
      </c>
    </row>
    <row r="11" spans="1:14" s="15" customFormat="1" ht="20.25" customHeight="1" x14ac:dyDescent="0.15">
      <c r="A11" s="60"/>
      <c r="B11" s="9"/>
      <c r="C11" s="58" t="s">
        <v>29</v>
      </c>
      <c r="D11" s="11" t="s">
        <v>156</v>
      </c>
      <c r="E11" s="10">
        <v>22</v>
      </c>
      <c r="F11" s="58" t="s">
        <v>11</v>
      </c>
      <c r="G11" s="12">
        <v>1723</v>
      </c>
      <c r="H11" s="12">
        <v>1763</v>
      </c>
      <c r="I11" s="17" t="s">
        <v>892</v>
      </c>
      <c r="J11" s="18">
        <f>8+136</f>
        <v>144</v>
      </c>
      <c r="K11" s="19">
        <f t="shared" si="0"/>
        <v>1226.6496</v>
      </c>
      <c r="L11" s="14"/>
      <c r="M11" s="15">
        <v>112.64</v>
      </c>
      <c r="N11" s="15">
        <v>10.89</v>
      </c>
    </row>
    <row r="12" spans="1:14" s="15" customFormat="1" ht="20.25" customHeight="1" x14ac:dyDescent="0.15">
      <c r="A12" s="60" t="s">
        <v>893</v>
      </c>
      <c r="B12" s="9" t="s">
        <v>131</v>
      </c>
      <c r="C12" s="58" t="s">
        <v>29</v>
      </c>
      <c r="D12" s="11" t="s">
        <v>155</v>
      </c>
      <c r="E12" s="10">
        <v>22</v>
      </c>
      <c r="F12" s="58" t="s">
        <v>11</v>
      </c>
      <c r="G12" s="12">
        <v>1421</v>
      </c>
      <c r="H12" s="12">
        <v>1763</v>
      </c>
      <c r="I12" s="17" t="s">
        <v>894</v>
      </c>
      <c r="J12" s="18">
        <v>128</v>
      </c>
      <c r="K12" s="19">
        <f t="shared" si="0"/>
        <v>1061.1215999999999</v>
      </c>
      <c r="L12" s="14"/>
      <c r="M12" s="15">
        <v>97.44</v>
      </c>
      <c r="N12" s="15">
        <v>10.89</v>
      </c>
    </row>
    <row r="13" spans="1:14" s="15" customFormat="1" ht="20.25" customHeight="1" x14ac:dyDescent="0.15">
      <c r="A13" s="60"/>
      <c r="B13" s="9"/>
      <c r="C13" s="58" t="s">
        <v>29</v>
      </c>
      <c r="D13" s="11" t="s">
        <v>156</v>
      </c>
      <c r="E13" s="10">
        <v>22</v>
      </c>
      <c r="F13" s="58" t="s">
        <v>11</v>
      </c>
      <c r="G13" s="12">
        <v>1421</v>
      </c>
      <c r="H13" s="12">
        <v>1763</v>
      </c>
      <c r="I13" s="17" t="s">
        <v>894</v>
      </c>
      <c r="J13" s="18">
        <v>128</v>
      </c>
      <c r="K13" s="19">
        <f t="shared" si="0"/>
        <v>1061.1215999999999</v>
      </c>
      <c r="L13" s="14"/>
      <c r="M13" s="15">
        <v>97.44</v>
      </c>
      <c r="N13" s="15">
        <v>10.89</v>
      </c>
    </row>
    <row r="14" spans="1:14" s="15" customFormat="1" ht="20.25" customHeight="1" x14ac:dyDescent="0.15">
      <c r="A14" s="60" t="s">
        <v>895</v>
      </c>
      <c r="B14" s="9" t="s">
        <v>53</v>
      </c>
      <c r="C14" s="58" t="s">
        <v>29</v>
      </c>
      <c r="D14" s="11" t="s">
        <v>188</v>
      </c>
      <c r="E14" s="10">
        <v>22</v>
      </c>
      <c r="F14" s="58"/>
      <c r="G14" s="12">
        <v>740</v>
      </c>
      <c r="H14" s="12">
        <v>1810</v>
      </c>
      <c r="I14" s="17" t="s">
        <v>896</v>
      </c>
      <c r="J14" s="18">
        <v>3</v>
      </c>
      <c r="K14" s="19">
        <f t="shared" si="0"/>
        <v>32.234400000000001</v>
      </c>
      <c r="L14" s="20"/>
      <c r="M14" s="15">
        <v>2.96</v>
      </c>
      <c r="N14" s="15">
        <v>10.89</v>
      </c>
    </row>
    <row r="15" spans="1:14" s="15" customFormat="1" ht="20.25" customHeight="1" x14ac:dyDescent="0.15">
      <c r="A15" s="60"/>
      <c r="B15" s="9"/>
      <c r="C15" s="58" t="s">
        <v>29</v>
      </c>
      <c r="D15" s="11" t="s">
        <v>195</v>
      </c>
      <c r="E15" s="10">
        <v>22</v>
      </c>
      <c r="F15" s="58"/>
      <c r="G15" s="12">
        <v>1700</v>
      </c>
      <c r="H15" s="12">
        <v>1810</v>
      </c>
      <c r="I15" s="17" t="s">
        <v>897</v>
      </c>
      <c r="J15" s="18">
        <v>2</v>
      </c>
      <c r="K15" s="19">
        <f t="shared" si="0"/>
        <v>48.133800000000001</v>
      </c>
      <c r="L15" s="20"/>
      <c r="M15" s="15">
        <v>4.42</v>
      </c>
      <c r="N15" s="15">
        <v>10.89</v>
      </c>
    </row>
    <row r="16" spans="1:14" s="15" customFormat="1" ht="20.25" customHeight="1" x14ac:dyDescent="0.15">
      <c r="A16" s="60" t="s">
        <v>898</v>
      </c>
      <c r="B16" s="9" t="s">
        <v>899</v>
      </c>
      <c r="C16" s="58" t="s">
        <v>29</v>
      </c>
      <c r="D16" s="11" t="s">
        <v>229</v>
      </c>
      <c r="E16" s="10">
        <v>24</v>
      </c>
      <c r="F16" s="58" t="s">
        <v>11</v>
      </c>
      <c r="G16" s="12">
        <v>1234</v>
      </c>
      <c r="H16" s="12">
        <v>832</v>
      </c>
      <c r="I16" s="17" t="s">
        <v>900</v>
      </c>
      <c r="J16" s="18">
        <v>26</v>
      </c>
      <c r="K16" s="19">
        <f t="shared" si="0"/>
        <v>351.74700000000001</v>
      </c>
      <c r="L16" s="20"/>
      <c r="M16" s="15">
        <v>32.299999999999997</v>
      </c>
      <c r="N16" s="15">
        <v>10.89</v>
      </c>
    </row>
    <row r="17" spans="1:14" s="15" customFormat="1" ht="20.25" customHeight="1" x14ac:dyDescent="0.15">
      <c r="A17" s="60" t="s">
        <v>901</v>
      </c>
      <c r="B17" s="9" t="s">
        <v>902</v>
      </c>
      <c r="C17" s="58" t="s">
        <v>231</v>
      </c>
      <c r="D17" s="11" t="s">
        <v>841</v>
      </c>
      <c r="E17" s="10">
        <v>22</v>
      </c>
      <c r="F17" s="58"/>
      <c r="G17" s="12">
        <v>665</v>
      </c>
      <c r="H17" s="12">
        <v>1875</v>
      </c>
      <c r="I17" s="17">
        <v>6</v>
      </c>
      <c r="J17" s="18">
        <v>6</v>
      </c>
      <c r="K17" s="19">
        <f t="shared" si="0"/>
        <v>81.675000000000011</v>
      </c>
      <c r="L17" s="20"/>
      <c r="M17" s="15">
        <v>7.5</v>
      </c>
      <c r="N17" s="15">
        <v>10.89</v>
      </c>
    </row>
    <row r="18" spans="1:14" s="15" customFormat="1" ht="20.25" customHeight="1" x14ac:dyDescent="0.15">
      <c r="A18" s="60"/>
      <c r="B18" s="9"/>
      <c r="C18" s="58"/>
      <c r="D18" s="11"/>
      <c r="E18" s="10"/>
      <c r="F18" s="58"/>
      <c r="G18" s="12"/>
      <c r="H18" s="12"/>
      <c r="I18" s="17"/>
      <c r="J18" s="18"/>
      <c r="K18" s="19">
        <f t="shared" si="0"/>
        <v>0</v>
      </c>
      <c r="L18" s="20"/>
      <c r="N18" s="15">
        <v>10.89</v>
      </c>
    </row>
    <row r="19" spans="1:14" s="15" customFormat="1" ht="20.25" customHeight="1" x14ac:dyDescent="0.15">
      <c r="A19" s="60"/>
      <c r="B19" s="9"/>
      <c r="C19" s="58"/>
      <c r="D19" s="11"/>
      <c r="E19" s="10"/>
      <c r="F19" s="58"/>
      <c r="G19" s="12"/>
      <c r="H19" s="12"/>
      <c r="I19" s="17"/>
      <c r="J19" s="18"/>
      <c r="K19" s="19">
        <f t="shared" si="0"/>
        <v>0</v>
      </c>
      <c r="L19" s="20"/>
      <c r="N19" s="15">
        <v>10.89</v>
      </c>
    </row>
    <row r="20" spans="1:14" s="15" customFormat="1" ht="20.25" customHeight="1" x14ac:dyDescent="0.15">
      <c r="A20" s="60"/>
      <c r="B20" s="9"/>
      <c r="C20" s="58"/>
      <c r="D20" s="11"/>
      <c r="E20" s="10"/>
      <c r="F20" s="58"/>
      <c r="G20" s="12"/>
      <c r="H20" s="12"/>
      <c r="I20" s="17"/>
      <c r="J20" s="18"/>
      <c r="K20" s="19">
        <f t="shared" si="0"/>
        <v>0</v>
      </c>
      <c r="L20" s="20"/>
      <c r="N20" s="15">
        <v>10.89</v>
      </c>
    </row>
    <row r="21" spans="1:14" s="15" customFormat="1" ht="20.25" customHeight="1" x14ac:dyDescent="0.15">
      <c r="A21" s="60"/>
      <c r="B21" s="9"/>
      <c r="C21" s="58"/>
      <c r="D21" s="11"/>
      <c r="E21" s="10"/>
      <c r="F21" s="58"/>
      <c r="G21" s="50"/>
      <c r="H21" s="50"/>
      <c r="I21" s="17"/>
      <c r="J21" s="18"/>
      <c r="K21" s="19">
        <f t="shared" si="0"/>
        <v>0</v>
      </c>
      <c r="L21" s="20"/>
      <c r="N21" s="15">
        <v>10.89</v>
      </c>
    </row>
    <row r="22" spans="1:14" s="15" customFormat="1" ht="20.25" customHeight="1" x14ac:dyDescent="0.15">
      <c r="A22" s="60"/>
      <c r="B22" s="9"/>
      <c r="C22" s="58"/>
      <c r="D22" s="11"/>
      <c r="E22" s="10"/>
      <c r="F22" s="58"/>
      <c r="G22" s="50"/>
      <c r="H22" s="50"/>
      <c r="I22" s="17"/>
      <c r="J22" s="18"/>
      <c r="K22" s="19">
        <f t="shared" si="0"/>
        <v>0</v>
      </c>
      <c r="L22" s="20"/>
      <c r="N22" s="15">
        <v>10.89</v>
      </c>
    </row>
    <row r="23" spans="1:14" ht="20.25" customHeight="1" x14ac:dyDescent="0.15">
      <c r="A23" s="60"/>
      <c r="B23" s="9"/>
      <c r="C23" s="58"/>
      <c r="D23" s="11"/>
      <c r="E23" s="10"/>
      <c r="F23" s="58"/>
      <c r="G23" s="16"/>
      <c r="H23" s="16"/>
      <c r="I23" s="17"/>
      <c r="J23" s="18"/>
      <c r="K23" s="19">
        <f t="shared" si="0"/>
        <v>0</v>
      </c>
      <c r="L23" s="20"/>
      <c r="N23" s="15">
        <v>10.89</v>
      </c>
    </row>
    <row r="24" spans="1:14" ht="20.25" customHeight="1" thickBot="1" x14ac:dyDescent="0.2">
      <c r="A24" s="56"/>
      <c r="B24" s="21"/>
      <c r="C24" s="59"/>
      <c r="D24" s="22"/>
      <c r="E24" s="23"/>
      <c r="F24" s="23"/>
      <c r="G24" s="24"/>
      <c r="H24" s="24"/>
      <c r="I24" s="25"/>
      <c r="J24" s="46">
        <f>SUM(J8:J23)</f>
        <v>627</v>
      </c>
      <c r="K24" s="47">
        <f>SUM(K8:K23)</f>
        <v>5502.8258999999998</v>
      </c>
      <c r="L24" s="26"/>
    </row>
    <row r="25" spans="1:14" ht="20.25" customHeight="1" thickTop="1" x14ac:dyDescent="0.15">
      <c r="A25" s="60" t="s">
        <v>903</v>
      </c>
      <c r="B25" s="9" t="s">
        <v>131</v>
      </c>
      <c r="C25" s="58" t="s">
        <v>29</v>
      </c>
      <c r="D25" s="11" t="s">
        <v>155</v>
      </c>
      <c r="E25" s="10">
        <v>22</v>
      </c>
      <c r="F25" s="10" t="s">
        <v>11</v>
      </c>
      <c r="G25" s="12">
        <v>1421</v>
      </c>
      <c r="H25" s="12">
        <v>1763</v>
      </c>
      <c r="I25" s="17" t="s">
        <v>904</v>
      </c>
      <c r="J25" s="18">
        <v>90</v>
      </c>
      <c r="K25" s="19">
        <f t="shared" ref="K25:K40" si="1">+M25*N25</f>
        <v>773.62560000000008</v>
      </c>
      <c r="L25" s="54"/>
      <c r="M25" s="3">
        <v>71.040000000000006</v>
      </c>
      <c r="N25" s="15">
        <v>10.89</v>
      </c>
    </row>
    <row r="26" spans="1:14" ht="20.25" customHeight="1" x14ac:dyDescent="0.15">
      <c r="A26" s="60"/>
      <c r="B26" s="9"/>
      <c r="C26" s="58" t="s">
        <v>29</v>
      </c>
      <c r="D26" s="11" t="s">
        <v>156</v>
      </c>
      <c r="E26" s="10">
        <v>22</v>
      </c>
      <c r="F26" s="10" t="s">
        <v>11</v>
      </c>
      <c r="G26" s="12">
        <v>1421</v>
      </c>
      <c r="H26" s="12">
        <v>1763</v>
      </c>
      <c r="I26" s="17" t="s">
        <v>904</v>
      </c>
      <c r="J26" s="18">
        <v>90</v>
      </c>
      <c r="K26" s="19">
        <f t="shared" si="1"/>
        <v>773.62560000000008</v>
      </c>
      <c r="L26" s="54"/>
      <c r="M26" s="3">
        <v>71.040000000000006</v>
      </c>
      <c r="N26" s="15">
        <v>10.89</v>
      </c>
    </row>
    <row r="27" spans="1:14" ht="20.25" customHeight="1" x14ac:dyDescent="0.15">
      <c r="A27" s="61" t="s">
        <v>905</v>
      </c>
      <c r="B27" s="9" t="s">
        <v>131</v>
      </c>
      <c r="C27" s="58" t="s">
        <v>29</v>
      </c>
      <c r="D27" s="11" t="s">
        <v>155</v>
      </c>
      <c r="E27" s="10">
        <v>22</v>
      </c>
      <c r="F27" s="10" t="s">
        <v>11</v>
      </c>
      <c r="G27" s="12">
        <v>1421</v>
      </c>
      <c r="H27" s="12">
        <v>1763</v>
      </c>
      <c r="I27" s="17" t="s">
        <v>906</v>
      </c>
      <c r="J27" s="18">
        <f>8+104</f>
        <v>112</v>
      </c>
      <c r="K27" s="19">
        <f t="shared" si="1"/>
        <v>1001.8800000000001</v>
      </c>
      <c r="L27" s="54"/>
      <c r="M27" s="3">
        <v>92</v>
      </c>
      <c r="N27" s="15">
        <v>10.89</v>
      </c>
    </row>
    <row r="28" spans="1:14" ht="20.25" customHeight="1" x14ac:dyDescent="0.15">
      <c r="A28" s="61"/>
      <c r="B28" s="9"/>
      <c r="C28" s="58" t="s">
        <v>29</v>
      </c>
      <c r="D28" s="11" t="s">
        <v>156</v>
      </c>
      <c r="E28" s="10">
        <v>22</v>
      </c>
      <c r="F28" s="10" t="s">
        <v>11</v>
      </c>
      <c r="G28" s="12">
        <v>1421</v>
      </c>
      <c r="H28" s="12">
        <v>1763</v>
      </c>
      <c r="I28" s="17" t="s">
        <v>906</v>
      </c>
      <c r="J28" s="18">
        <f>8+104</f>
        <v>112</v>
      </c>
      <c r="K28" s="19">
        <f t="shared" si="1"/>
        <v>1001.8800000000001</v>
      </c>
      <c r="L28" s="54"/>
      <c r="M28" s="3">
        <v>92</v>
      </c>
      <c r="N28" s="15">
        <v>10.89</v>
      </c>
    </row>
    <row r="29" spans="1:14" ht="20.25" customHeight="1" x14ac:dyDescent="0.15">
      <c r="A29" s="61" t="s">
        <v>907</v>
      </c>
      <c r="B29" s="9" t="s">
        <v>131</v>
      </c>
      <c r="C29" s="58" t="s">
        <v>29</v>
      </c>
      <c r="D29" s="11" t="s">
        <v>156</v>
      </c>
      <c r="E29" s="10">
        <v>22</v>
      </c>
      <c r="F29" s="10" t="s">
        <v>11</v>
      </c>
      <c r="G29" s="12">
        <v>764</v>
      </c>
      <c r="H29" s="12">
        <v>933</v>
      </c>
      <c r="I29" s="17" t="s">
        <v>908</v>
      </c>
      <c r="J29" s="18">
        <f>12+64</f>
        <v>76</v>
      </c>
      <c r="K29" s="19">
        <f t="shared" si="1"/>
        <v>298.38600000000002</v>
      </c>
      <c r="L29" s="54"/>
      <c r="M29" s="3">
        <v>27.4</v>
      </c>
      <c r="N29" s="15">
        <v>10.89</v>
      </c>
    </row>
    <row r="30" spans="1:14" ht="20.25" customHeight="1" x14ac:dyDescent="0.15">
      <c r="A30" s="61" t="s">
        <v>909</v>
      </c>
      <c r="B30" s="9" t="s">
        <v>180</v>
      </c>
      <c r="C30" s="58" t="s">
        <v>29</v>
      </c>
      <c r="D30" s="11" t="s">
        <v>910</v>
      </c>
      <c r="E30" s="10">
        <v>30.76</v>
      </c>
      <c r="F30" s="10" t="s">
        <v>11</v>
      </c>
      <c r="G30" s="12">
        <v>515</v>
      </c>
      <c r="H30" s="12">
        <v>880</v>
      </c>
      <c r="I30" s="51">
        <v>1</v>
      </c>
      <c r="J30" s="52">
        <v>1</v>
      </c>
      <c r="K30" s="53">
        <f t="shared" si="1"/>
        <v>4.9005000000000001</v>
      </c>
      <c r="L30" s="54"/>
      <c r="M30" s="3">
        <v>0.45</v>
      </c>
      <c r="N30" s="15">
        <v>10.89</v>
      </c>
    </row>
    <row r="31" spans="1:14" ht="20.25" customHeight="1" x14ac:dyDescent="0.15">
      <c r="A31" s="61" t="s">
        <v>912</v>
      </c>
      <c r="B31" s="9" t="s">
        <v>180</v>
      </c>
      <c r="C31" s="58" t="s">
        <v>29</v>
      </c>
      <c r="D31" s="11" t="s">
        <v>880</v>
      </c>
      <c r="E31" s="10">
        <v>28</v>
      </c>
      <c r="F31" s="10" t="s">
        <v>11</v>
      </c>
      <c r="G31" s="12">
        <v>1010</v>
      </c>
      <c r="H31" s="12">
        <v>2025</v>
      </c>
      <c r="I31" s="51" t="s">
        <v>913</v>
      </c>
      <c r="J31" s="52">
        <v>78</v>
      </c>
      <c r="K31" s="53">
        <f t="shared" si="1"/>
        <v>554.51880000000006</v>
      </c>
      <c r="L31" s="54"/>
      <c r="M31" s="3">
        <v>50.92</v>
      </c>
      <c r="N31" s="15">
        <v>10.89</v>
      </c>
    </row>
    <row r="32" spans="1:14" ht="20.25" customHeight="1" x14ac:dyDescent="0.15">
      <c r="A32" s="60"/>
      <c r="B32" s="9"/>
      <c r="C32" s="58" t="s">
        <v>29</v>
      </c>
      <c r="D32" s="11" t="s">
        <v>910</v>
      </c>
      <c r="E32" s="10">
        <v>30.76</v>
      </c>
      <c r="F32" s="10" t="s">
        <v>11</v>
      </c>
      <c r="G32" s="12">
        <v>610</v>
      </c>
      <c r="H32" s="12">
        <v>950</v>
      </c>
      <c r="I32" s="17" t="s">
        <v>914</v>
      </c>
      <c r="J32" s="18">
        <v>34</v>
      </c>
      <c r="K32" s="19">
        <f t="shared" si="1"/>
        <v>202.22730000000001</v>
      </c>
      <c r="L32" s="27"/>
      <c r="M32" s="3">
        <v>18.57</v>
      </c>
      <c r="N32" s="15">
        <v>10.89</v>
      </c>
    </row>
    <row r="33" spans="1:14" ht="20.25" customHeight="1" x14ac:dyDescent="0.15">
      <c r="A33" s="60" t="s">
        <v>915</v>
      </c>
      <c r="B33" s="9" t="s">
        <v>178</v>
      </c>
      <c r="C33" s="58" t="s">
        <v>29</v>
      </c>
      <c r="D33" s="11" t="s">
        <v>247</v>
      </c>
      <c r="E33" s="10">
        <v>24</v>
      </c>
      <c r="F33" s="10" t="s">
        <v>11</v>
      </c>
      <c r="G33" s="12">
        <v>950</v>
      </c>
      <c r="H33" s="12">
        <v>1943</v>
      </c>
      <c r="I33" s="17" t="s">
        <v>916</v>
      </c>
      <c r="J33" s="18">
        <v>79</v>
      </c>
      <c r="K33" s="19">
        <f t="shared" si="1"/>
        <v>1270.7541000000001</v>
      </c>
      <c r="L33" s="27"/>
      <c r="M33" s="3">
        <v>116.69</v>
      </c>
      <c r="N33" s="15">
        <v>10.89</v>
      </c>
    </row>
    <row r="34" spans="1:14" ht="20.25" customHeight="1" x14ac:dyDescent="0.15">
      <c r="A34" s="60"/>
      <c r="B34" s="9"/>
      <c r="C34" s="58"/>
      <c r="D34" s="11"/>
      <c r="E34" s="10"/>
      <c r="F34" s="10"/>
      <c r="G34" s="12"/>
      <c r="H34" s="12"/>
      <c r="I34" s="17"/>
      <c r="J34" s="18"/>
      <c r="K34" s="19">
        <f t="shared" si="1"/>
        <v>0</v>
      </c>
      <c r="L34" s="27"/>
      <c r="N34" s="15">
        <v>10.89</v>
      </c>
    </row>
    <row r="35" spans="1:14" ht="20.25" customHeight="1" x14ac:dyDescent="0.15">
      <c r="A35" s="60"/>
      <c r="B35" s="9"/>
      <c r="C35" s="58"/>
      <c r="D35" s="11"/>
      <c r="E35" s="10"/>
      <c r="F35" s="10"/>
      <c r="G35" s="12"/>
      <c r="H35" s="12"/>
      <c r="I35" s="17"/>
      <c r="J35" s="18"/>
      <c r="K35" s="19">
        <f t="shared" si="1"/>
        <v>0</v>
      </c>
      <c r="L35" s="27"/>
      <c r="N35" s="15">
        <v>10.89</v>
      </c>
    </row>
    <row r="36" spans="1:14" ht="20.25" customHeight="1" x14ac:dyDescent="0.15">
      <c r="A36" s="60"/>
      <c r="B36" s="9"/>
      <c r="C36" s="58"/>
      <c r="D36" s="11"/>
      <c r="E36" s="10"/>
      <c r="F36" s="10"/>
      <c r="G36" s="12"/>
      <c r="H36" s="12"/>
      <c r="I36" s="17"/>
      <c r="J36" s="18"/>
      <c r="K36" s="19">
        <f t="shared" si="1"/>
        <v>0</v>
      </c>
      <c r="L36" s="27"/>
      <c r="N36" s="15">
        <v>10.89</v>
      </c>
    </row>
    <row r="37" spans="1:14" ht="20.25" customHeight="1" x14ac:dyDescent="0.15">
      <c r="A37" s="60"/>
      <c r="B37" s="9"/>
      <c r="C37" s="58"/>
      <c r="D37" s="11"/>
      <c r="E37" s="10"/>
      <c r="F37" s="10"/>
      <c r="G37" s="12"/>
      <c r="H37" s="12"/>
      <c r="I37" s="17"/>
      <c r="J37" s="18"/>
      <c r="K37" s="19">
        <f t="shared" si="1"/>
        <v>0</v>
      </c>
      <c r="L37" s="27"/>
      <c r="N37" s="15">
        <v>10.89</v>
      </c>
    </row>
    <row r="38" spans="1:14" ht="20.25" customHeight="1" x14ac:dyDescent="0.15">
      <c r="A38" s="60"/>
      <c r="B38" s="9"/>
      <c r="C38" s="58"/>
      <c r="D38" s="11"/>
      <c r="E38" s="10"/>
      <c r="F38" s="10"/>
      <c r="G38" s="12"/>
      <c r="H38" s="12"/>
      <c r="I38" s="17"/>
      <c r="J38" s="18"/>
      <c r="K38" s="19">
        <f t="shared" si="1"/>
        <v>0</v>
      </c>
      <c r="L38" s="27"/>
      <c r="N38" s="15">
        <v>10.89</v>
      </c>
    </row>
    <row r="39" spans="1:14" ht="20.25" customHeight="1" x14ac:dyDescent="0.15">
      <c r="A39" s="60"/>
      <c r="B39" s="9"/>
      <c r="C39" s="58"/>
      <c r="D39" s="11"/>
      <c r="E39" s="10"/>
      <c r="F39" s="10"/>
      <c r="G39" s="12"/>
      <c r="H39" s="12"/>
      <c r="I39" s="17"/>
      <c r="J39" s="18"/>
      <c r="K39" s="19">
        <f t="shared" si="1"/>
        <v>0</v>
      </c>
      <c r="L39" s="27"/>
      <c r="N39" s="15">
        <v>10.89</v>
      </c>
    </row>
    <row r="40" spans="1:14" ht="20.25" customHeight="1" x14ac:dyDescent="0.15">
      <c r="A40" s="60"/>
      <c r="B40" s="9"/>
      <c r="C40" s="58"/>
      <c r="D40" s="11"/>
      <c r="E40" s="10"/>
      <c r="F40" s="10"/>
      <c r="G40" s="12"/>
      <c r="H40" s="12"/>
      <c r="I40" s="17"/>
      <c r="J40" s="18"/>
      <c r="K40" s="19">
        <f t="shared" si="1"/>
        <v>0</v>
      </c>
      <c r="L40" s="27"/>
      <c r="N40" s="15">
        <v>10.89</v>
      </c>
    </row>
    <row r="41" spans="1:14" ht="20.25" customHeight="1" x14ac:dyDescent="0.15">
      <c r="A41" s="57"/>
      <c r="B41" s="28"/>
      <c r="C41" s="10"/>
      <c r="D41" s="29"/>
      <c r="E41" s="30"/>
      <c r="F41" s="30"/>
      <c r="G41" s="30"/>
      <c r="H41" s="30"/>
      <c r="I41" s="13"/>
      <c r="J41" s="48">
        <f>SUM(J25:J40)</f>
        <v>672</v>
      </c>
      <c r="K41" s="49">
        <f>SUM(K25:K40)</f>
        <v>5881.7979000000014</v>
      </c>
      <c r="L41" s="31"/>
      <c r="N41" s="32"/>
    </row>
    <row r="42" spans="1:14" ht="20.25" customHeight="1" thickBot="1" x14ac:dyDescent="0.2">
      <c r="A42" s="55"/>
      <c r="B42" s="33"/>
      <c r="C42" s="33"/>
      <c r="D42" s="33"/>
      <c r="E42" s="33"/>
      <c r="F42" s="33"/>
      <c r="G42" s="33"/>
      <c r="H42" s="33"/>
      <c r="I42" s="33"/>
      <c r="J42" s="34"/>
      <c r="K42" s="35"/>
      <c r="L42" s="36"/>
    </row>
    <row r="43" spans="1:14" ht="20.25" customHeight="1" thickBot="1" x14ac:dyDescent="0.2">
      <c r="A43" s="37" t="s">
        <v>19</v>
      </c>
      <c r="B43" s="38" t="s">
        <v>20</v>
      </c>
      <c r="C43" s="77" t="s">
        <v>21</v>
      </c>
      <c r="D43" s="79"/>
      <c r="E43" s="77" t="s">
        <v>22</v>
      </c>
      <c r="F43" s="78"/>
      <c r="G43" s="79"/>
      <c r="H43" s="85" t="s">
        <v>23</v>
      </c>
      <c r="I43" s="86"/>
      <c r="J43" s="77" t="s">
        <v>24</v>
      </c>
      <c r="K43" s="79"/>
      <c r="L43" s="39" t="s">
        <v>13</v>
      </c>
    </row>
    <row r="44" spans="1:14" ht="20.25" customHeight="1" thickBot="1" x14ac:dyDescent="0.2">
      <c r="A44" s="40">
        <f>SUMIF($C$8:$C$42,"U1",$J$8:$J$42)</f>
        <v>0</v>
      </c>
      <c r="B44" s="41">
        <f>SUMIF($C$8:$C$42,"U2",$J$8:$J$42)</f>
        <v>6</v>
      </c>
      <c r="C44" s="77">
        <f>SUMIF($C$8:$C$42,"U3-1",$J$8:$J$42)</f>
        <v>0</v>
      </c>
      <c r="D44" s="79"/>
      <c r="E44" s="77">
        <f>SUMIF($C$8:$C$42,"U3",$J$8:$J$42)</f>
        <v>1293</v>
      </c>
      <c r="F44" s="78"/>
      <c r="G44" s="79"/>
      <c r="H44" s="77">
        <f>SUMIF($C$8:$C$42,"E5",$J$8:$J$42)</f>
        <v>0</v>
      </c>
      <c r="I44" s="79"/>
      <c r="J44" s="77">
        <f>SUM(A44:I44)</f>
        <v>1299</v>
      </c>
      <c r="K44" s="79"/>
      <c r="L44" s="42"/>
    </row>
    <row r="45" spans="1:14" ht="20.25" customHeight="1" thickBot="1" x14ac:dyDescent="0.2">
      <c r="A45" s="43" t="s">
        <v>25</v>
      </c>
      <c r="B45" s="44" t="s">
        <v>26</v>
      </c>
      <c r="C45" s="75">
        <v>13876</v>
      </c>
      <c r="D45" s="76"/>
      <c r="E45" s="77" t="s">
        <v>27</v>
      </c>
      <c r="F45" s="78"/>
      <c r="G45" s="78"/>
      <c r="H45" s="78"/>
      <c r="I45" s="79"/>
      <c r="J45" s="80">
        <v>146744.37</v>
      </c>
      <c r="K45" s="81"/>
      <c r="L45" s="82"/>
    </row>
    <row r="47" spans="1:14" x14ac:dyDescent="0.15">
      <c r="D47" s="45"/>
    </row>
  </sheetData>
  <mergeCells count="26">
    <mergeCell ref="C45:D45"/>
    <mergeCell ref="E45:I45"/>
    <mergeCell ref="J45:L45"/>
    <mergeCell ref="L6:L7"/>
    <mergeCell ref="C43:D43"/>
    <mergeCell ref="E43:G43"/>
    <mergeCell ref="H43:I43"/>
    <mergeCell ref="J43:K43"/>
    <mergeCell ref="C44:D44"/>
    <mergeCell ref="E44:G44"/>
    <mergeCell ref="H44:I44"/>
    <mergeCell ref="J44:K44"/>
    <mergeCell ref="B5:G5"/>
    <mergeCell ref="A6:A7"/>
    <mergeCell ref="B6:B7"/>
    <mergeCell ref="C6:C7"/>
    <mergeCell ref="D6:D7"/>
    <mergeCell ref="E6:E7"/>
    <mergeCell ref="F6:F7"/>
    <mergeCell ref="G6:K6"/>
    <mergeCell ref="L2:L4"/>
    <mergeCell ref="A1:G3"/>
    <mergeCell ref="H1:H4"/>
    <mergeCell ref="I2:I4"/>
    <mergeCell ref="J2:J4"/>
    <mergeCell ref="K2:K4"/>
  </mergeCells>
  <phoneticPr fontId="2" type="noConversion"/>
  <printOptions horizontalCentered="1"/>
  <pageMargins left="0.39370078740157483" right="0.39370078740157483" top="0.74803149606299213" bottom="0.19685039370078741" header="0.31496062992125984" footer="0.15748031496062992"/>
  <pageSetup paperSize="9" scale="84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N47"/>
  <sheetViews>
    <sheetView view="pageBreakPreview" zoomScaleSheetLayoutView="100" workbookViewId="0">
      <selection activeCell="B8" sqref="B8"/>
    </sheetView>
  </sheetViews>
  <sheetFormatPr defaultColWidth="8.88671875" defaultRowHeight="13.5" x14ac:dyDescent="0.15"/>
  <cols>
    <col min="1" max="1" width="8.44140625" style="3" customWidth="1"/>
    <col min="2" max="2" width="14.77734375" style="3" customWidth="1"/>
    <col min="3" max="3" width="4.109375" style="3" customWidth="1"/>
    <col min="4" max="4" width="15.21875" style="3" customWidth="1"/>
    <col min="5" max="5" width="4.44140625" style="3" customWidth="1"/>
    <col min="6" max="6" width="4" style="3" customWidth="1"/>
    <col min="7" max="7" width="5.5546875" style="3" customWidth="1"/>
    <col min="8" max="8" width="5.44140625" style="3" customWidth="1"/>
    <col min="9" max="9" width="7.88671875" style="3" customWidth="1"/>
    <col min="10" max="10" width="7.109375" style="3" customWidth="1"/>
    <col min="11" max="11" width="7.21875" style="3" customWidth="1"/>
    <col min="12" max="12" width="6.77734375" style="3" customWidth="1"/>
    <col min="13" max="16384" width="8.88671875" style="3"/>
  </cols>
  <sheetData>
    <row r="1" spans="1:14" ht="18.75" customHeight="1" x14ac:dyDescent="0.15">
      <c r="A1" s="101" t="s">
        <v>0</v>
      </c>
      <c r="B1" s="102"/>
      <c r="C1" s="102"/>
      <c r="D1" s="102"/>
      <c r="E1" s="102"/>
      <c r="F1" s="102"/>
      <c r="G1" s="103"/>
      <c r="H1" s="107" t="s">
        <v>1</v>
      </c>
      <c r="I1" s="1" t="s">
        <v>2</v>
      </c>
      <c r="J1" s="1" t="s">
        <v>2</v>
      </c>
      <c r="K1" s="1" t="s">
        <v>3</v>
      </c>
      <c r="L1" s="2" t="s">
        <v>4</v>
      </c>
    </row>
    <row r="2" spans="1:14" ht="13.5" customHeight="1" x14ac:dyDescent="0.15">
      <c r="A2" s="104"/>
      <c r="B2" s="105"/>
      <c r="C2" s="105"/>
      <c r="D2" s="105"/>
      <c r="E2" s="105"/>
      <c r="F2" s="105"/>
      <c r="G2" s="106"/>
      <c r="H2" s="108"/>
      <c r="I2" s="110"/>
      <c r="J2" s="110"/>
      <c r="K2" s="110"/>
      <c r="L2" s="98"/>
    </row>
    <row r="3" spans="1:14" ht="13.5" customHeight="1" x14ac:dyDescent="0.15">
      <c r="A3" s="104"/>
      <c r="B3" s="105"/>
      <c r="C3" s="105"/>
      <c r="D3" s="105"/>
      <c r="E3" s="105"/>
      <c r="F3" s="105"/>
      <c r="G3" s="106"/>
      <c r="H3" s="108"/>
      <c r="I3" s="108"/>
      <c r="J3" s="108"/>
      <c r="K3" s="108"/>
      <c r="L3" s="99"/>
    </row>
    <row r="4" spans="1:14" ht="33" customHeight="1" x14ac:dyDescent="0.15">
      <c r="A4" s="4"/>
      <c r="B4" s="5"/>
      <c r="C4" s="5"/>
      <c r="D4" s="5"/>
      <c r="E4" s="5"/>
      <c r="F4" s="5"/>
      <c r="G4" s="5"/>
      <c r="H4" s="109"/>
      <c r="I4" s="109"/>
      <c r="J4" s="109"/>
      <c r="K4" s="109"/>
      <c r="L4" s="100"/>
    </row>
    <row r="5" spans="1:14" ht="17.25" customHeight="1" x14ac:dyDescent="0.15">
      <c r="A5" s="6" t="s">
        <v>5</v>
      </c>
      <c r="B5" s="87">
        <v>46057</v>
      </c>
      <c r="C5" s="88"/>
      <c r="D5" s="88"/>
      <c r="E5" s="88"/>
      <c r="F5" s="88"/>
      <c r="G5" s="88"/>
      <c r="H5" s="5"/>
      <c r="I5" s="5"/>
      <c r="J5" s="5"/>
      <c r="K5" s="5"/>
      <c r="L5" s="7"/>
    </row>
    <row r="6" spans="1:14" ht="13.5" customHeight="1" x14ac:dyDescent="0.15">
      <c r="A6" s="89" t="s">
        <v>6</v>
      </c>
      <c r="B6" s="91" t="s">
        <v>7</v>
      </c>
      <c r="C6" s="91" t="s">
        <v>8</v>
      </c>
      <c r="D6" s="91" t="s">
        <v>9</v>
      </c>
      <c r="E6" s="93" t="s">
        <v>10</v>
      </c>
      <c r="F6" s="93" t="s">
        <v>11</v>
      </c>
      <c r="G6" s="95" t="s">
        <v>12</v>
      </c>
      <c r="H6" s="96"/>
      <c r="I6" s="96"/>
      <c r="J6" s="96"/>
      <c r="K6" s="97"/>
      <c r="L6" s="83" t="s">
        <v>13</v>
      </c>
    </row>
    <row r="7" spans="1:14" x14ac:dyDescent="0.15">
      <c r="A7" s="90"/>
      <c r="B7" s="92"/>
      <c r="C7" s="92"/>
      <c r="D7" s="92"/>
      <c r="E7" s="94"/>
      <c r="F7" s="94"/>
      <c r="G7" s="8" t="s">
        <v>14</v>
      </c>
      <c r="H7" s="8" t="s">
        <v>15</v>
      </c>
      <c r="I7" s="8" t="s">
        <v>16</v>
      </c>
      <c r="J7" s="8" t="s">
        <v>17</v>
      </c>
      <c r="K7" s="8" t="s">
        <v>18</v>
      </c>
      <c r="L7" s="84"/>
    </row>
    <row r="8" spans="1:14" s="15" customFormat="1" ht="20.25" customHeight="1" x14ac:dyDescent="0.15">
      <c r="A8" s="60" t="s">
        <v>917</v>
      </c>
      <c r="B8" s="9" t="s">
        <v>138</v>
      </c>
      <c r="C8" s="58" t="s">
        <v>29</v>
      </c>
      <c r="D8" s="11" t="s">
        <v>372</v>
      </c>
      <c r="E8" s="10">
        <v>24</v>
      </c>
      <c r="F8" s="58"/>
      <c r="G8" s="12">
        <v>618</v>
      </c>
      <c r="H8" s="12">
        <v>1890</v>
      </c>
      <c r="I8" s="17" t="s">
        <v>918</v>
      </c>
      <c r="J8" s="18">
        <f>73+58</f>
        <v>131</v>
      </c>
      <c r="K8" s="19">
        <f>+M8*N8</f>
        <v>1139.6385</v>
      </c>
      <c r="L8" s="14"/>
      <c r="M8" s="15">
        <v>104.65</v>
      </c>
      <c r="N8" s="15">
        <v>10.89</v>
      </c>
    </row>
    <row r="9" spans="1:14" s="15" customFormat="1" ht="20.25" customHeight="1" x14ac:dyDescent="0.15">
      <c r="A9" s="60"/>
      <c r="B9" s="9"/>
      <c r="C9" s="58" t="s">
        <v>29</v>
      </c>
      <c r="D9" s="11" t="s">
        <v>336</v>
      </c>
      <c r="E9" s="10">
        <v>24</v>
      </c>
      <c r="F9" s="58"/>
      <c r="G9" s="12">
        <v>1662</v>
      </c>
      <c r="H9" s="12">
        <v>1890</v>
      </c>
      <c r="I9" s="17" t="s">
        <v>919</v>
      </c>
      <c r="J9" s="18">
        <v>172</v>
      </c>
      <c r="K9" s="19">
        <f t="shared" ref="K9:K23" si="0">+M9*N9</f>
        <v>2129.6484</v>
      </c>
      <c r="L9" s="14"/>
      <c r="M9" s="15">
        <v>195.56</v>
      </c>
      <c r="N9" s="15">
        <v>10.89</v>
      </c>
    </row>
    <row r="10" spans="1:14" s="15" customFormat="1" ht="20.25" customHeight="1" x14ac:dyDescent="0.15">
      <c r="A10" s="60"/>
      <c r="B10" s="9"/>
      <c r="C10" s="58" t="s">
        <v>29</v>
      </c>
      <c r="D10" s="11" t="s">
        <v>224</v>
      </c>
      <c r="E10" s="10">
        <v>22</v>
      </c>
      <c r="F10" s="58" t="s">
        <v>11</v>
      </c>
      <c r="G10" s="12">
        <v>618</v>
      </c>
      <c r="H10" s="12">
        <v>1890</v>
      </c>
      <c r="I10" s="17">
        <v>18</v>
      </c>
      <c r="J10" s="18">
        <v>18</v>
      </c>
      <c r="K10" s="19">
        <f t="shared" si="0"/>
        <v>229.3434</v>
      </c>
      <c r="L10" s="14"/>
      <c r="M10" s="15">
        <v>21.06</v>
      </c>
      <c r="N10" s="15">
        <v>10.89</v>
      </c>
    </row>
    <row r="11" spans="1:14" s="15" customFormat="1" ht="20.25" customHeight="1" x14ac:dyDescent="0.15">
      <c r="A11" s="60" t="s">
        <v>920</v>
      </c>
      <c r="B11" s="9" t="s">
        <v>173</v>
      </c>
      <c r="C11" s="58" t="s">
        <v>29</v>
      </c>
      <c r="D11" s="11" t="s">
        <v>195</v>
      </c>
      <c r="E11" s="10">
        <v>22</v>
      </c>
      <c r="F11" s="58"/>
      <c r="G11" s="12">
        <v>954</v>
      </c>
      <c r="H11" s="12">
        <v>1967</v>
      </c>
      <c r="I11" s="17" t="s">
        <v>921</v>
      </c>
      <c r="J11" s="18">
        <v>143</v>
      </c>
      <c r="K11" s="19">
        <f t="shared" si="0"/>
        <v>2428.5789</v>
      </c>
      <c r="L11" s="14"/>
      <c r="M11" s="15">
        <v>223.01</v>
      </c>
      <c r="N11" s="15">
        <v>10.89</v>
      </c>
    </row>
    <row r="12" spans="1:14" s="15" customFormat="1" ht="20.25" customHeight="1" x14ac:dyDescent="0.15">
      <c r="A12" s="60"/>
      <c r="B12" s="9"/>
      <c r="C12" s="58"/>
      <c r="D12" s="11"/>
      <c r="E12" s="10"/>
      <c r="F12" s="58"/>
      <c r="G12" s="12"/>
      <c r="H12" s="12"/>
      <c r="I12" s="17"/>
      <c r="J12" s="18"/>
      <c r="K12" s="19">
        <f t="shared" si="0"/>
        <v>0</v>
      </c>
      <c r="L12" s="14"/>
      <c r="N12" s="15">
        <v>10.89</v>
      </c>
    </row>
    <row r="13" spans="1:14" s="15" customFormat="1" ht="20.25" customHeight="1" x14ac:dyDescent="0.15">
      <c r="A13" s="60"/>
      <c r="B13" s="9"/>
      <c r="C13" s="58"/>
      <c r="D13" s="11"/>
      <c r="E13" s="10"/>
      <c r="F13" s="58"/>
      <c r="G13" s="12"/>
      <c r="H13" s="12"/>
      <c r="I13" s="17"/>
      <c r="J13" s="18"/>
      <c r="K13" s="19">
        <f t="shared" si="0"/>
        <v>0</v>
      </c>
      <c r="L13" s="14"/>
      <c r="N13" s="15">
        <v>10.89</v>
      </c>
    </row>
    <row r="14" spans="1:14" s="15" customFormat="1" ht="20.25" customHeight="1" x14ac:dyDescent="0.15">
      <c r="A14" s="60"/>
      <c r="B14" s="9"/>
      <c r="C14" s="58"/>
      <c r="D14" s="11"/>
      <c r="E14" s="10"/>
      <c r="F14" s="58"/>
      <c r="G14" s="12"/>
      <c r="H14" s="12"/>
      <c r="I14" s="17"/>
      <c r="J14" s="18"/>
      <c r="K14" s="19">
        <f t="shared" si="0"/>
        <v>0</v>
      </c>
      <c r="L14" s="20"/>
      <c r="N14" s="15">
        <v>10.89</v>
      </c>
    </row>
    <row r="15" spans="1:14" s="15" customFormat="1" ht="20.25" customHeight="1" x14ac:dyDescent="0.15">
      <c r="A15" s="60"/>
      <c r="B15" s="9"/>
      <c r="C15" s="58"/>
      <c r="D15" s="11"/>
      <c r="E15" s="10"/>
      <c r="F15" s="58"/>
      <c r="G15" s="12"/>
      <c r="H15" s="12"/>
      <c r="I15" s="17"/>
      <c r="J15" s="18"/>
      <c r="K15" s="19">
        <f t="shared" si="0"/>
        <v>0</v>
      </c>
      <c r="L15" s="20"/>
      <c r="N15" s="15">
        <v>10.89</v>
      </c>
    </row>
    <row r="16" spans="1:14" s="15" customFormat="1" ht="20.25" customHeight="1" x14ac:dyDescent="0.15">
      <c r="A16" s="60"/>
      <c r="B16" s="9"/>
      <c r="C16" s="58"/>
      <c r="D16" s="11"/>
      <c r="E16" s="10"/>
      <c r="F16" s="58"/>
      <c r="G16" s="12"/>
      <c r="H16" s="12"/>
      <c r="I16" s="17"/>
      <c r="J16" s="18"/>
      <c r="K16" s="19">
        <f t="shared" si="0"/>
        <v>0</v>
      </c>
      <c r="L16" s="20"/>
      <c r="N16" s="15">
        <v>10.89</v>
      </c>
    </row>
    <row r="17" spans="1:14" s="15" customFormat="1" ht="20.25" customHeight="1" x14ac:dyDescent="0.15">
      <c r="A17" s="60"/>
      <c r="B17" s="9"/>
      <c r="C17" s="58"/>
      <c r="D17" s="11"/>
      <c r="E17" s="10"/>
      <c r="F17" s="58"/>
      <c r="G17" s="12"/>
      <c r="H17" s="12"/>
      <c r="I17" s="17"/>
      <c r="J17" s="18"/>
      <c r="K17" s="19">
        <f t="shared" si="0"/>
        <v>0</v>
      </c>
      <c r="L17" s="20"/>
      <c r="N17" s="15">
        <v>10.89</v>
      </c>
    </row>
    <row r="18" spans="1:14" s="15" customFormat="1" ht="20.25" customHeight="1" x14ac:dyDescent="0.15">
      <c r="A18" s="60"/>
      <c r="B18" s="9"/>
      <c r="C18" s="58"/>
      <c r="D18" s="11"/>
      <c r="E18" s="10"/>
      <c r="F18" s="58"/>
      <c r="G18" s="12"/>
      <c r="H18" s="12"/>
      <c r="I18" s="17"/>
      <c r="J18" s="18"/>
      <c r="K18" s="19">
        <f t="shared" si="0"/>
        <v>0</v>
      </c>
      <c r="L18" s="20"/>
      <c r="N18" s="15">
        <v>10.89</v>
      </c>
    </row>
    <row r="19" spans="1:14" s="15" customFormat="1" ht="20.25" customHeight="1" x14ac:dyDescent="0.15">
      <c r="A19" s="60"/>
      <c r="B19" s="9"/>
      <c r="C19" s="58"/>
      <c r="D19" s="11"/>
      <c r="E19" s="10"/>
      <c r="F19" s="58"/>
      <c r="G19" s="12"/>
      <c r="H19" s="12"/>
      <c r="I19" s="17"/>
      <c r="J19" s="18"/>
      <c r="K19" s="19">
        <f t="shared" si="0"/>
        <v>0</v>
      </c>
      <c r="L19" s="20"/>
      <c r="N19" s="15">
        <v>10.89</v>
      </c>
    </row>
    <row r="20" spans="1:14" s="15" customFormat="1" ht="20.25" customHeight="1" x14ac:dyDescent="0.15">
      <c r="A20" s="60"/>
      <c r="B20" s="9"/>
      <c r="C20" s="58"/>
      <c r="D20" s="11"/>
      <c r="E20" s="10"/>
      <c r="F20" s="58"/>
      <c r="G20" s="12"/>
      <c r="H20" s="12"/>
      <c r="I20" s="17"/>
      <c r="J20" s="18"/>
      <c r="K20" s="19">
        <f t="shared" si="0"/>
        <v>0</v>
      </c>
      <c r="L20" s="20"/>
      <c r="N20" s="15">
        <v>10.89</v>
      </c>
    </row>
    <row r="21" spans="1:14" s="15" customFormat="1" ht="20.25" customHeight="1" x14ac:dyDescent="0.15">
      <c r="A21" s="60"/>
      <c r="B21" s="9"/>
      <c r="C21" s="58"/>
      <c r="D21" s="11"/>
      <c r="E21" s="10"/>
      <c r="F21" s="58"/>
      <c r="G21" s="50"/>
      <c r="H21" s="50"/>
      <c r="I21" s="17"/>
      <c r="J21" s="18"/>
      <c r="K21" s="19">
        <f t="shared" si="0"/>
        <v>0</v>
      </c>
      <c r="L21" s="20"/>
      <c r="N21" s="15">
        <v>10.89</v>
      </c>
    </row>
    <row r="22" spans="1:14" s="15" customFormat="1" ht="20.25" customHeight="1" x14ac:dyDescent="0.15">
      <c r="A22" s="60"/>
      <c r="B22" s="9"/>
      <c r="C22" s="58"/>
      <c r="D22" s="11"/>
      <c r="E22" s="10"/>
      <c r="F22" s="58"/>
      <c r="G22" s="50"/>
      <c r="H22" s="50"/>
      <c r="I22" s="17"/>
      <c r="J22" s="18"/>
      <c r="K22" s="19">
        <f t="shared" si="0"/>
        <v>0</v>
      </c>
      <c r="L22" s="20"/>
      <c r="N22" s="15">
        <v>10.89</v>
      </c>
    </row>
    <row r="23" spans="1:14" ht="20.25" customHeight="1" x14ac:dyDescent="0.15">
      <c r="A23" s="60"/>
      <c r="B23" s="9"/>
      <c r="C23" s="58"/>
      <c r="D23" s="11"/>
      <c r="E23" s="10"/>
      <c r="F23" s="58"/>
      <c r="G23" s="16"/>
      <c r="H23" s="16"/>
      <c r="I23" s="17"/>
      <c r="J23" s="18"/>
      <c r="K23" s="19">
        <f t="shared" si="0"/>
        <v>0</v>
      </c>
      <c r="L23" s="20"/>
      <c r="N23" s="15">
        <v>10.89</v>
      </c>
    </row>
    <row r="24" spans="1:14" ht="20.25" customHeight="1" thickBot="1" x14ac:dyDescent="0.2">
      <c r="A24" s="56"/>
      <c r="B24" s="21"/>
      <c r="C24" s="59"/>
      <c r="D24" s="22"/>
      <c r="E24" s="23"/>
      <c r="F24" s="23"/>
      <c r="G24" s="24"/>
      <c r="H24" s="24"/>
      <c r="I24" s="25"/>
      <c r="J24" s="46">
        <f>SUM(J8:J23)</f>
        <v>464</v>
      </c>
      <c r="K24" s="47">
        <f>SUM(K8:K23)</f>
        <v>5927.2092000000002</v>
      </c>
      <c r="L24" s="26"/>
    </row>
    <row r="25" spans="1:14" ht="20.25" customHeight="1" thickTop="1" x14ac:dyDescent="0.15">
      <c r="A25" s="60" t="s">
        <v>922</v>
      </c>
      <c r="B25" s="9" t="s">
        <v>177</v>
      </c>
      <c r="C25" s="58" t="s">
        <v>29</v>
      </c>
      <c r="D25" s="11" t="s">
        <v>247</v>
      </c>
      <c r="E25" s="10">
        <v>24</v>
      </c>
      <c r="F25" s="10" t="s">
        <v>11</v>
      </c>
      <c r="G25" s="12">
        <v>910</v>
      </c>
      <c r="H25" s="12">
        <v>1310</v>
      </c>
      <c r="I25" s="17" t="s">
        <v>923</v>
      </c>
      <c r="J25" s="18">
        <v>205</v>
      </c>
      <c r="K25" s="19">
        <f t="shared" ref="K25:K40" si="1">+M25*N25</f>
        <v>1763.0910000000001</v>
      </c>
      <c r="L25" s="54"/>
      <c r="M25" s="3">
        <v>161.9</v>
      </c>
      <c r="N25" s="15">
        <v>10.89</v>
      </c>
    </row>
    <row r="26" spans="1:14" ht="20.25" customHeight="1" x14ac:dyDescent="0.15">
      <c r="A26" s="60" t="s">
        <v>924</v>
      </c>
      <c r="B26" s="9" t="s">
        <v>177</v>
      </c>
      <c r="C26" s="58" t="s">
        <v>29</v>
      </c>
      <c r="D26" s="11" t="s">
        <v>247</v>
      </c>
      <c r="E26" s="10">
        <v>24</v>
      </c>
      <c r="F26" s="10" t="s">
        <v>11</v>
      </c>
      <c r="G26" s="12">
        <v>875</v>
      </c>
      <c r="H26" s="12">
        <v>810</v>
      </c>
      <c r="I26" s="17" t="s">
        <v>925</v>
      </c>
      <c r="J26" s="18">
        <v>213</v>
      </c>
      <c r="K26" s="19">
        <f t="shared" si="1"/>
        <v>2092.2957000000001</v>
      </c>
      <c r="L26" s="54"/>
      <c r="M26" s="3">
        <v>192.13</v>
      </c>
      <c r="N26" s="15">
        <v>10.89</v>
      </c>
    </row>
    <row r="27" spans="1:14" ht="20.25" customHeight="1" x14ac:dyDescent="0.15">
      <c r="A27" s="61" t="s">
        <v>926</v>
      </c>
      <c r="B27" s="9" t="s">
        <v>178</v>
      </c>
      <c r="C27" s="58" t="s">
        <v>29</v>
      </c>
      <c r="D27" s="11" t="s">
        <v>247</v>
      </c>
      <c r="E27" s="10">
        <v>24</v>
      </c>
      <c r="F27" s="10" t="s">
        <v>11</v>
      </c>
      <c r="G27" s="12">
        <v>925</v>
      </c>
      <c r="H27" s="12">
        <v>430</v>
      </c>
      <c r="I27" s="17">
        <v>2</v>
      </c>
      <c r="J27" s="18">
        <v>2</v>
      </c>
      <c r="K27" s="19">
        <f t="shared" si="1"/>
        <v>8.7120000000000015</v>
      </c>
      <c r="L27" s="54"/>
      <c r="M27" s="3">
        <v>0.8</v>
      </c>
      <c r="N27" s="15">
        <v>10.89</v>
      </c>
    </row>
    <row r="28" spans="1:14" ht="20.25" customHeight="1" x14ac:dyDescent="0.15">
      <c r="A28" s="61" t="s">
        <v>915</v>
      </c>
      <c r="B28" s="9" t="s">
        <v>178</v>
      </c>
      <c r="C28" s="58" t="s">
        <v>29</v>
      </c>
      <c r="D28" s="11" t="s">
        <v>247</v>
      </c>
      <c r="E28" s="10">
        <v>24</v>
      </c>
      <c r="F28" s="10" t="s">
        <v>11</v>
      </c>
      <c r="G28" s="12">
        <v>930</v>
      </c>
      <c r="H28" s="12">
        <v>460</v>
      </c>
      <c r="I28" s="17" t="s">
        <v>927</v>
      </c>
      <c r="J28" s="18">
        <v>76</v>
      </c>
      <c r="K28" s="19">
        <f t="shared" si="1"/>
        <v>342.05490000000003</v>
      </c>
      <c r="L28" s="54"/>
      <c r="M28" s="3">
        <v>31.41</v>
      </c>
      <c r="N28" s="15">
        <v>10.89</v>
      </c>
    </row>
    <row r="29" spans="1:14" ht="20.25" customHeight="1" x14ac:dyDescent="0.15">
      <c r="A29" s="61"/>
      <c r="B29" s="9"/>
      <c r="C29" s="58"/>
      <c r="D29" s="11"/>
      <c r="E29" s="10"/>
      <c r="F29" s="10"/>
      <c r="G29" s="12"/>
      <c r="H29" s="12"/>
      <c r="I29" s="17"/>
      <c r="J29" s="18"/>
      <c r="K29" s="19">
        <f t="shared" si="1"/>
        <v>0</v>
      </c>
      <c r="L29" s="54"/>
      <c r="N29" s="15">
        <v>10.89</v>
      </c>
    </row>
    <row r="30" spans="1:14" ht="20.25" customHeight="1" x14ac:dyDescent="0.15">
      <c r="A30" s="61"/>
      <c r="B30" s="9"/>
      <c r="C30" s="58"/>
      <c r="D30" s="11"/>
      <c r="E30" s="10"/>
      <c r="F30" s="10"/>
      <c r="G30" s="12"/>
      <c r="H30" s="12"/>
      <c r="I30" s="51"/>
      <c r="J30" s="52"/>
      <c r="K30" s="53">
        <f t="shared" si="1"/>
        <v>0</v>
      </c>
      <c r="L30" s="54"/>
      <c r="N30" s="15">
        <v>10.89</v>
      </c>
    </row>
    <row r="31" spans="1:14" ht="20.25" customHeight="1" x14ac:dyDescent="0.15">
      <c r="A31" s="61"/>
      <c r="B31" s="9"/>
      <c r="C31" s="58"/>
      <c r="D31" s="11"/>
      <c r="E31" s="10"/>
      <c r="F31" s="10"/>
      <c r="G31" s="12"/>
      <c r="H31" s="12"/>
      <c r="I31" s="51"/>
      <c r="J31" s="52"/>
      <c r="K31" s="53">
        <f t="shared" si="1"/>
        <v>0</v>
      </c>
      <c r="L31" s="54"/>
      <c r="N31" s="15">
        <v>10.89</v>
      </c>
    </row>
    <row r="32" spans="1:14" ht="20.25" customHeight="1" x14ac:dyDescent="0.15">
      <c r="A32" s="60"/>
      <c r="B32" s="9"/>
      <c r="C32" s="58"/>
      <c r="D32" s="11"/>
      <c r="E32" s="10"/>
      <c r="F32" s="10"/>
      <c r="G32" s="12"/>
      <c r="H32" s="12"/>
      <c r="I32" s="17"/>
      <c r="J32" s="18"/>
      <c r="K32" s="19">
        <f t="shared" si="1"/>
        <v>0</v>
      </c>
      <c r="L32" s="27"/>
      <c r="N32" s="15">
        <v>10.89</v>
      </c>
    </row>
    <row r="33" spans="1:14" ht="20.25" customHeight="1" x14ac:dyDescent="0.15">
      <c r="A33" s="60"/>
      <c r="B33" s="9"/>
      <c r="C33" s="58"/>
      <c r="D33" s="11"/>
      <c r="E33" s="10"/>
      <c r="F33" s="10"/>
      <c r="G33" s="12"/>
      <c r="H33" s="12"/>
      <c r="I33" s="17"/>
      <c r="J33" s="18"/>
      <c r="K33" s="19">
        <f t="shared" si="1"/>
        <v>0</v>
      </c>
      <c r="L33" s="27"/>
      <c r="N33" s="15">
        <v>10.89</v>
      </c>
    </row>
    <row r="34" spans="1:14" ht="20.25" customHeight="1" x14ac:dyDescent="0.15">
      <c r="A34" s="60"/>
      <c r="B34" s="9"/>
      <c r="C34" s="58"/>
      <c r="D34" s="11"/>
      <c r="E34" s="10"/>
      <c r="F34" s="10"/>
      <c r="G34" s="12"/>
      <c r="H34" s="12"/>
      <c r="I34" s="17"/>
      <c r="J34" s="18"/>
      <c r="K34" s="19">
        <f t="shared" si="1"/>
        <v>0</v>
      </c>
      <c r="L34" s="27"/>
      <c r="N34" s="15">
        <v>10.89</v>
      </c>
    </row>
    <row r="35" spans="1:14" ht="20.25" customHeight="1" x14ac:dyDescent="0.15">
      <c r="A35" s="60"/>
      <c r="B35" s="9"/>
      <c r="C35" s="58"/>
      <c r="D35" s="11"/>
      <c r="E35" s="10"/>
      <c r="F35" s="10"/>
      <c r="G35" s="12"/>
      <c r="H35" s="12"/>
      <c r="I35" s="17"/>
      <c r="J35" s="18"/>
      <c r="K35" s="19">
        <f t="shared" si="1"/>
        <v>0</v>
      </c>
      <c r="L35" s="27"/>
      <c r="N35" s="15">
        <v>10.89</v>
      </c>
    </row>
    <row r="36" spans="1:14" ht="20.25" customHeight="1" x14ac:dyDescent="0.15">
      <c r="A36" s="60"/>
      <c r="B36" s="9"/>
      <c r="C36" s="58"/>
      <c r="D36" s="11"/>
      <c r="E36" s="10"/>
      <c r="F36" s="10"/>
      <c r="G36" s="12"/>
      <c r="H36" s="12"/>
      <c r="I36" s="17"/>
      <c r="J36" s="18"/>
      <c r="K36" s="19">
        <f t="shared" si="1"/>
        <v>0</v>
      </c>
      <c r="L36" s="27"/>
      <c r="N36" s="15">
        <v>10.89</v>
      </c>
    </row>
    <row r="37" spans="1:14" ht="20.25" customHeight="1" x14ac:dyDescent="0.15">
      <c r="A37" s="60"/>
      <c r="B37" s="9"/>
      <c r="C37" s="58"/>
      <c r="D37" s="11"/>
      <c r="E37" s="10"/>
      <c r="F37" s="10"/>
      <c r="G37" s="12"/>
      <c r="H37" s="12"/>
      <c r="I37" s="17"/>
      <c r="J37" s="18"/>
      <c r="K37" s="19">
        <f t="shared" si="1"/>
        <v>0</v>
      </c>
      <c r="L37" s="27"/>
      <c r="N37" s="15">
        <v>10.89</v>
      </c>
    </row>
    <row r="38" spans="1:14" ht="20.25" customHeight="1" x14ac:dyDescent="0.15">
      <c r="A38" s="60"/>
      <c r="B38" s="9"/>
      <c r="C38" s="58"/>
      <c r="D38" s="11"/>
      <c r="E38" s="10"/>
      <c r="F38" s="10"/>
      <c r="G38" s="12"/>
      <c r="H38" s="12"/>
      <c r="I38" s="17"/>
      <c r="J38" s="18"/>
      <c r="K38" s="19">
        <f t="shared" si="1"/>
        <v>0</v>
      </c>
      <c r="L38" s="27"/>
      <c r="N38" s="15">
        <v>10.89</v>
      </c>
    </row>
    <row r="39" spans="1:14" ht="20.25" customHeight="1" x14ac:dyDescent="0.15">
      <c r="A39" s="60"/>
      <c r="B39" s="9"/>
      <c r="C39" s="58"/>
      <c r="D39" s="11"/>
      <c r="E39" s="10"/>
      <c r="F39" s="10"/>
      <c r="G39" s="12"/>
      <c r="H39" s="12"/>
      <c r="I39" s="17"/>
      <c r="J39" s="18"/>
      <c r="K39" s="19">
        <f t="shared" si="1"/>
        <v>0</v>
      </c>
      <c r="L39" s="27"/>
      <c r="N39" s="15">
        <v>10.89</v>
      </c>
    </row>
    <row r="40" spans="1:14" ht="20.25" customHeight="1" x14ac:dyDescent="0.15">
      <c r="A40" s="60"/>
      <c r="B40" s="9"/>
      <c r="C40" s="58"/>
      <c r="D40" s="11"/>
      <c r="E40" s="10"/>
      <c r="F40" s="10"/>
      <c r="G40" s="12"/>
      <c r="H40" s="12"/>
      <c r="I40" s="17"/>
      <c r="J40" s="18"/>
      <c r="K40" s="19">
        <f t="shared" si="1"/>
        <v>0</v>
      </c>
      <c r="L40" s="27"/>
      <c r="N40" s="15">
        <v>10.89</v>
      </c>
    </row>
    <row r="41" spans="1:14" ht="20.25" customHeight="1" x14ac:dyDescent="0.15">
      <c r="A41" s="57"/>
      <c r="B41" s="28"/>
      <c r="C41" s="10"/>
      <c r="D41" s="29"/>
      <c r="E41" s="30"/>
      <c r="F41" s="30"/>
      <c r="G41" s="30"/>
      <c r="H41" s="30"/>
      <c r="I41" s="13"/>
      <c r="J41" s="48">
        <f>SUM(J25:J40)</f>
        <v>496</v>
      </c>
      <c r="K41" s="49">
        <f>SUM(K25:K40)</f>
        <v>4206.1535999999996</v>
      </c>
      <c r="L41" s="31"/>
      <c r="N41" s="32"/>
    </row>
    <row r="42" spans="1:14" ht="20.25" customHeight="1" thickBot="1" x14ac:dyDescent="0.2">
      <c r="A42" s="55"/>
      <c r="B42" s="33"/>
      <c r="C42" s="33"/>
      <c r="D42" s="33"/>
      <c r="E42" s="33"/>
      <c r="F42" s="33"/>
      <c r="G42" s="33"/>
      <c r="H42" s="33"/>
      <c r="I42" s="33"/>
      <c r="J42" s="34"/>
      <c r="K42" s="35"/>
      <c r="L42" s="36"/>
    </row>
    <row r="43" spans="1:14" ht="20.25" customHeight="1" thickBot="1" x14ac:dyDescent="0.2">
      <c r="A43" s="37" t="s">
        <v>19</v>
      </c>
      <c r="B43" s="38" t="s">
        <v>20</v>
      </c>
      <c r="C43" s="77" t="s">
        <v>21</v>
      </c>
      <c r="D43" s="79"/>
      <c r="E43" s="77" t="s">
        <v>22</v>
      </c>
      <c r="F43" s="78"/>
      <c r="G43" s="79"/>
      <c r="H43" s="85" t="s">
        <v>23</v>
      </c>
      <c r="I43" s="86"/>
      <c r="J43" s="77" t="s">
        <v>24</v>
      </c>
      <c r="K43" s="79"/>
      <c r="L43" s="39" t="s">
        <v>13</v>
      </c>
    </row>
    <row r="44" spans="1:14" ht="20.25" customHeight="1" thickBot="1" x14ac:dyDescent="0.2">
      <c r="A44" s="40">
        <f>SUMIF($C$8:$C$42,"U1",$J$8:$J$42)</f>
        <v>0</v>
      </c>
      <c r="B44" s="41">
        <f>SUMIF($C$8:$C$42,"U2",$J$8:$J$42)</f>
        <v>0</v>
      </c>
      <c r="C44" s="77">
        <f>SUMIF($C$8:$C$42,"U3-1",$J$8:$J$42)</f>
        <v>0</v>
      </c>
      <c r="D44" s="79"/>
      <c r="E44" s="77">
        <f>SUMIF($C$8:$C$42,"U3",$J$8:$J$42)</f>
        <v>960</v>
      </c>
      <c r="F44" s="78"/>
      <c r="G44" s="79"/>
      <c r="H44" s="77">
        <f>SUMIF($C$8:$C$42,"E5",$J$8:$J$42)</f>
        <v>0</v>
      </c>
      <c r="I44" s="79"/>
      <c r="J44" s="77">
        <f>SUM(A44:I44)</f>
        <v>960</v>
      </c>
      <c r="K44" s="79"/>
      <c r="L44" s="42"/>
    </row>
    <row r="45" spans="1:14" ht="20.25" customHeight="1" thickBot="1" x14ac:dyDescent="0.2">
      <c r="A45" s="43" t="s">
        <v>25</v>
      </c>
      <c r="B45" s="44" t="s">
        <v>26</v>
      </c>
      <c r="C45" s="75">
        <v>13876</v>
      </c>
      <c r="D45" s="76"/>
      <c r="E45" s="77" t="s">
        <v>27</v>
      </c>
      <c r="F45" s="78"/>
      <c r="G45" s="78"/>
      <c r="H45" s="78"/>
      <c r="I45" s="79"/>
      <c r="J45" s="80">
        <v>146744.37</v>
      </c>
      <c r="K45" s="81"/>
      <c r="L45" s="82"/>
    </row>
    <row r="47" spans="1:14" x14ac:dyDescent="0.15">
      <c r="D47" s="45"/>
    </row>
  </sheetData>
  <mergeCells count="26">
    <mergeCell ref="L2:L4"/>
    <mergeCell ref="A1:G3"/>
    <mergeCell ref="H1:H4"/>
    <mergeCell ref="I2:I4"/>
    <mergeCell ref="J2:J4"/>
    <mergeCell ref="K2:K4"/>
    <mergeCell ref="B5:G5"/>
    <mergeCell ref="A6:A7"/>
    <mergeCell ref="B6:B7"/>
    <mergeCell ref="C6:C7"/>
    <mergeCell ref="D6:D7"/>
    <mergeCell ref="E6:E7"/>
    <mergeCell ref="F6:F7"/>
    <mergeCell ref="G6:K6"/>
    <mergeCell ref="C45:D45"/>
    <mergeCell ref="E45:I45"/>
    <mergeCell ref="J45:L45"/>
    <mergeCell ref="L6:L7"/>
    <mergeCell ref="C43:D43"/>
    <mergeCell ref="E43:G43"/>
    <mergeCell ref="H43:I43"/>
    <mergeCell ref="J43:K43"/>
    <mergeCell ref="C44:D44"/>
    <mergeCell ref="E44:G44"/>
    <mergeCell ref="H44:I44"/>
    <mergeCell ref="J44:K44"/>
  </mergeCells>
  <phoneticPr fontId="2" type="noConversion"/>
  <printOptions horizontalCentered="1"/>
  <pageMargins left="0.39370078740157483" right="0.39370078740157483" top="0.74803149606299213" bottom="0.19685039370078741" header="0.31496062992125984" footer="0.15748031496062992"/>
  <pageSetup paperSize="9" scale="84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N47"/>
  <sheetViews>
    <sheetView view="pageBreakPreview" topLeftCell="A13" zoomScaleSheetLayoutView="100" workbookViewId="0">
      <selection activeCell="B26" sqref="B26"/>
    </sheetView>
  </sheetViews>
  <sheetFormatPr defaultColWidth="8.88671875" defaultRowHeight="13.5" x14ac:dyDescent="0.15"/>
  <cols>
    <col min="1" max="1" width="8.44140625" style="3" customWidth="1"/>
    <col min="2" max="2" width="14.77734375" style="3" customWidth="1"/>
    <col min="3" max="3" width="4.109375" style="3" customWidth="1"/>
    <col min="4" max="4" width="15.21875" style="3" customWidth="1"/>
    <col min="5" max="5" width="4.44140625" style="3" customWidth="1"/>
    <col min="6" max="6" width="4" style="3" customWidth="1"/>
    <col min="7" max="7" width="5.5546875" style="3" customWidth="1"/>
    <col min="8" max="8" width="5.44140625" style="3" customWidth="1"/>
    <col min="9" max="9" width="7.88671875" style="3" customWidth="1"/>
    <col min="10" max="10" width="7.109375" style="3" customWidth="1"/>
    <col min="11" max="11" width="7.21875" style="3" customWidth="1"/>
    <col min="12" max="12" width="6.77734375" style="3" customWidth="1"/>
    <col min="13" max="16384" width="8.88671875" style="3"/>
  </cols>
  <sheetData>
    <row r="1" spans="1:14" ht="18.75" customHeight="1" x14ac:dyDescent="0.15">
      <c r="A1" s="101" t="s">
        <v>0</v>
      </c>
      <c r="B1" s="102"/>
      <c r="C1" s="102"/>
      <c r="D1" s="102"/>
      <c r="E1" s="102"/>
      <c r="F1" s="102"/>
      <c r="G1" s="103"/>
      <c r="H1" s="107" t="s">
        <v>1</v>
      </c>
      <c r="I1" s="1" t="s">
        <v>2</v>
      </c>
      <c r="J1" s="1" t="s">
        <v>2</v>
      </c>
      <c r="K1" s="1" t="s">
        <v>3</v>
      </c>
      <c r="L1" s="2" t="s">
        <v>4</v>
      </c>
    </row>
    <row r="2" spans="1:14" ht="13.5" customHeight="1" x14ac:dyDescent="0.15">
      <c r="A2" s="104"/>
      <c r="B2" s="105"/>
      <c r="C2" s="105"/>
      <c r="D2" s="105"/>
      <c r="E2" s="105"/>
      <c r="F2" s="105"/>
      <c r="G2" s="106"/>
      <c r="H2" s="108"/>
      <c r="I2" s="110"/>
      <c r="J2" s="110"/>
      <c r="K2" s="110"/>
      <c r="L2" s="98"/>
    </row>
    <row r="3" spans="1:14" ht="13.5" customHeight="1" x14ac:dyDescent="0.15">
      <c r="A3" s="104"/>
      <c r="B3" s="105"/>
      <c r="C3" s="105"/>
      <c r="D3" s="105"/>
      <c r="E3" s="105"/>
      <c r="F3" s="105"/>
      <c r="G3" s="106"/>
      <c r="H3" s="108"/>
      <c r="I3" s="108"/>
      <c r="J3" s="108"/>
      <c r="K3" s="108"/>
      <c r="L3" s="99"/>
    </row>
    <row r="4" spans="1:14" ht="33" customHeight="1" x14ac:dyDescent="0.15">
      <c r="A4" s="4"/>
      <c r="B4" s="5"/>
      <c r="C4" s="5"/>
      <c r="D4" s="5"/>
      <c r="E4" s="5"/>
      <c r="F4" s="5"/>
      <c r="G4" s="5"/>
      <c r="H4" s="109"/>
      <c r="I4" s="109"/>
      <c r="J4" s="109"/>
      <c r="K4" s="109"/>
      <c r="L4" s="100"/>
    </row>
    <row r="5" spans="1:14" ht="17.25" customHeight="1" x14ac:dyDescent="0.15">
      <c r="A5" s="6" t="s">
        <v>5</v>
      </c>
      <c r="B5" s="87">
        <v>46058</v>
      </c>
      <c r="C5" s="88"/>
      <c r="D5" s="88"/>
      <c r="E5" s="88"/>
      <c r="F5" s="88"/>
      <c r="G5" s="88"/>
      <c r="H5" s="5"/>
      <c r="I5" s="5"/>
      <c r="J5" s="5"/>
      <c r="K5" s="5"/>
      <c r="L5" s="7"/>
    </row>
    <row r="6" spans="1:14" ht="13.5" customHeight="1" x14ac:dyDescent="0.15">
      <c r="A6" s="89" t="s">
        <v>6</v>
      </c>
      <c r="B6" s="91" t="s">
        <v>7</v>
      </c>
      <c r="C6" s="91" t="s">
        <v>8</v>
      </c>
      <c r="D6" s="91" t="s">
        <v>9</v>
      </c>
      <c r="E6" s="93" t="s">
        <v>10</v>
      </c>
      <c r="F6" s="93" t="s">
        <v>11</v>
      </c>
      <c r="G6" s="95" t="s">
        <v>12</v>
      </c>
      <c r="H6" s="96"/>
      <c r="I6" s="96"/>
      <c r="J6" s="96"/>
      <c r="K6" s="97"/>
      <c r="L6" s="83" t="s">
        <v>13</v>
      </c>
    </row>
    <row r="7" spans="1:14" x14ac:dyDescent="0.15">
      <c r="A7" s="90"/>
      <c r="B7" s="92"/>
      <c r="C7" s="92"/>
      <c r="D7" s="92"/>
      <c r="E7" s="94"/>
      <c r="F7" s="94"/>
      <c r="G7" s="8" t="s">
        <v>14</v>
      </c>
      <c r="H7" s="8" t="s">
        <v>15</v>
      </c>
      <c r="I7" s="8" t="s">
        <v>16</v>
      </c>
      <c r="J7" s="8" t="s">
        <v>17</v>
      </c>
      <c r="K7" s="8" t="s">
        <v>18</v>
      </c>
      <c r="L7" s="84"/>
    </row>
    <row r="8" spans="1:14" s="15" customFormat="1" ht="20.25" customHeight="1" x14ac:dyDescent="0.15">
      <c r="A8" s="60" t="s">
        <v>920</v>
      </c>
      <c r="B8" s="9" t="s">
        <v>173</v>
      </c>
      <c r="C8" s="58" t="s">
        <v>29</v>
      </c>
      <c r="D8" s="11" t="s">
        <v>195</v>
      </c>
      <c r="E8" s="10">
        <v>22</v>
      </c>
      <c r="F8" s="58"/>
      <c r="G8" s="12">
        <v>949</v>
      </c>
      <c r="H8" s="12">
        <v>1217</v>
      </c>
      <c r="I8" s="17" t="s">
        <v>929</v>
      </c>
      <c r="J8" s="18">
        <v>317</v>
      </c>
      <c r="K8" s="19">
        <f>+M8*N8</f>
        <v>1818.9567000000002</v>
      </c>
      <c r="L8" s="14"/>
      <c r="M8" s="15">
        <v>167.03</v>
      </c>
      <c r="N8" s="15">
        <v>10.89</v>
      </c>
    </row>
    <row r="9" spans="1:14" s="15" customFormat="1" ht="20.25" customHeight="1" x14ac:dyDescent="0.15">
      <c r="A9" s="60" t="s">
        <v>930</v>
      </c>
      <c r="B9" s="9" t="s">
        <v>435</v>
      </c>
      <c r="C9" s="58" t="s">
        <v>29</v>
      </c>
      <c r="D9" s="11" t="s">
        <v>247</v>
      </c>
      <c r="E9" s="10">
        <v>24</v>
      </c>
      <c r="F9" s="58" t="s">
        <v>11</v>
      </c>
      <c r="G9" s="12">
        <v>790</v>
      </c>
      <c r="H9" s="12">
        <v>893</v>
      </c>
      <c r="I9" s="17" t="s">
        <v>931</v>
      </c>
      <c r="J9" s="18">
        <f>12+124</f>
        <v>136</v>
      </c>
      <c r="K9" s="19">
        <f t="shared" ref="K9:K23" si="0">+M9*N9</f>
        <v>625.08600000000001</v>
      </c>
      <c r="L9" s="14"/>
      <c r="M9" s="15">
        <v>57.4</v>
      </c>
      <c r="N9" s="15">
        <v>10.89</v>
      </c>
    </row>
    <row r="10" spans="1:14" s="15" customFormat="1" ht="20.25" customHeight="1" x14ac:dyDescent="0.15">
      <c r="A10" s="60" t="s">
        <v>932</v>
      </c>
      <c r="B10" s="9" t="s">
        <v>131</v>
      </c>
      <c r="C10" s="58" t="s">
        <v>29</v>
      </c>
      <c r="D10" s="11" t="s">
        <v>155</v>
      </c>
      <c r="E10" s="10">
        <v>22</v>
      </c>
      <c r="F10" s="58" t="s">
        <v>11</v>
      </c>
      <c r="G10" s="12">
        <v>764</v>
      </c>
      <c r="H10" s="12">
        <v>933</v>
      </c>
      <c r="I10" s="17" t="s">
        <v>385</v>
      </c>
      <c r="J10" s="18">
        <v>6</v>
      </c>
      <c r="K10" s="19">
        <f t="shared" si="0"/>
        <v>28.967400000000001</v>
      </c>
      <c r="L10" s="14"/>
      <c r="M10" s="15">
        <v>2.66</v>
      </c>
      <c r="N10" s="15">
        <v>10.89</v>
      </c>
    </row>
    <row r="11" spans="1:14" s="15" customFormat="1" ht="20.25" customHeight="1" x14ac:dyDescent="0.15">
      <c r="A11" s="60"/>
      <c r="B11" s="9"/>
      <c r="C11" s="58" t="s">
        <v>29</v>
      </c>
      <c r="D11" s="11" t="s">
        <v>156</v>
      </c>
      <c r="E11" s="10">
        <v>22</v>
      </c>
      <c r="F11" s="58" t="s">
        <v>11</v>
      </c>
      <c r="G11" s="12">
        <v>914</v>
      </c>
      <c r="H11" s="12">
        <v>1763</v>
      </c>
      <c r="I11" s="17" t="s">
        <v>657</v>
      </c>
      <c r="J11" s="18">
        <v>9</v>
      </c>
      <c r="K11" s="19">
        <f t="shared" si="0"/>
        <v>109.8801</v>
      </c>
      <c r="L11" s="14"/>
      <c r="M11" s="15">
        <v>10.09</v>
      </c>
      <c r="N11" s="15">
        <v>10.89</v>
      </c>
    </row>
    <row r="12" spans="1:14" s="15" customFormat="1" ht="20.25" customHeight="1" x14ac:dyDescent="0.15">
      <c r="A12" s="60" t="s">
        <v>933</v>
      </c>
      <c r="B12" s="9" t="s">
        <v>131</v>
      </c>
      <c r="C12" s="58" t="s">
        <v>29</v>
      </c>
      <c r="D12" s="11" t="s">
        <v>155</v>
      </c>
      <c r="E12" s="10">
        <v>22</v>
      </c>
      <c r="F12" s="58" t="s">
        <v>11</v>
      </c>
      <c r="G12" s="12">
        <v>776</v>
      </c>
      <c r="H12" s="12">
        <v>1763</v>
      </c>
      <c r="I12" s="17" t="s">
        <v>385</v>
      </c>
      <c r="J12" s="18">
        <v>6</v>
      </c>
      <c r="K12" s="19">
        <f t="shared" si="0"/>
        <v>43.995600000000003</v>
      </c>
      <c r="L12" s="14"/>
      <c r="M12" s="15">
        <v>4.04</v>
      </c>
      <c r="N12" s="15">
        <v>10.89</v>
      </c>
    </row>
    <row r="13" spans="1:14" s="15" customFormat="1" ht="20.25" customHeight="1" x14ac:dyDescent="0.15">
      <c r="A13" s="60"/>
      <c r="B13" s="9"/>
      <c r="C13" s="58" t="s">
        <v>29</v>
      </c>
      <c r="D13" s="11" t="s">
        <v>156</v>
      </c>
      <c r="E13" s="10">
        <v>22</v>
      </c>
      <c r="F13" s="58" t="s">
        <v>11</v>
      </c>
      <c r="G13" s="12">
        <v>364</v>
      </c>
      <c r="H13" s="12">
        <v>933</v>
      </c>
      <c r="I13" s="17" t="s">
        <v>218</v>
      </c>
      <c r="J13" s="18">
        <v>3</v>
      </c>
      <c r="K13" s="19">
        <f t="shared" si="0"/>
        <v>9.8010000000000002</v>
      </c>
      <c r="L13" s="14"/>
      <c r="M13" s="15">
        <v>0.9</v>
      </c>
      <c r="N13" s="15">
        <v>10.89</v>
      </c>
    </row>
    <row r="14" spans="1:14" s="15" customFormat="1" ht="20.25" customHeight="1" x14ac:dyDescent="0.15">
      <c r="A14" s="60" t="s">
        <v>934</v>
      </c>
      <c r="B14" s="9" t="s">
        <v>131</v>
      </c>
      <c r="C14" s="58" t="s">
        <v>29</v>
      </c>
      <c r="D14" s="11" t="s">
        <v>155</v>
      </c>
      <c r="E14" s="10">
        <v>22</v>
      </c>
      <c r="F14" s="58" t="s">
        <v>11</v>
      </c>
      <c r="G14" s="12">
        <v>893</v>
      </c>
      <c r="H14" s="12">
        <v>1927</v>
      </c>
      <c r="I14" s="17" t="s">
        <v>506</v>
      </c>
      <c r="J14" s="18">
        <v>28</v>
      </c>
      <c r="K14" s="19">
        <f t="shared" si="0"/>
        <v>336.06540000000001</v>
      </c>
      <c r="L14" s="20"/>
      <c r="M14" s="15">
        <v>30.86</v>
      </c>
      <c r="N14" s="15">
        <v>10.89</v>
      </c>
    </row>
    <row r="15" spans="1:14" s="15" customFormat="1" ht="20.25" customHeight="1" x14ac:dyDescent="0.15">
      <c r="A15" s="60"/>
      <c r="B15" s="9"/>
      <c r="C15" s="58" t="s">
        <v>29</v>
      </c>
      <c r="D15" s="11" t="s">
        <v>156</v>
      </c>
      <c r="E15" s="10">
        <v>22</v>
      </c>
      <c r="F15" s="58" t="s">
        <v>11</v>
      </c>
      <c r="G15" s="12">
        <v>893</v>
      </c>
      <c r="H15" s="12">
        <v>1927</v>
      </c>
      <c r="I15" s="17" t="s">
        <v>346</v>
      </c>
      <c r="J15" s="18">
        <v>13</v>
      </c>
      <c r="K15" s="19">
        <f t="shared" si="0"/>
        <v>186.11010000000002</v>
      </c>
      <c r="L15" s="20"/>
      <c r="M15" s="15">
        <v>17.09</v>
      </c>
      <c r="N15" s="15">
        <v>10.89</v>
      </c>
    </row>
    <row r="16" spans="1:14" s="15" customFormat="1" ht="20.25" customHeight="1" x14ac:dyDescent="0.15">
      <c r="A16" s="60" t="s">
        <v>935</v>
      </c>
      <c r="B16" s="9" t="s">
        <v>131</v>
      </c>
      <c r="C16" s="58" t="s">
        <v>29</v>
      </c>
      <c r="D16" s="11" t="s">
        <v>155</v>
      </c>
      <c r="E16" s="10">
        <v>22</v>
      </c>
      <c r="F16" s="58" t="s">
        <v>11</v>
      </c>
      <c r="G16" s="12">
        <v>1434</v>
      </c>
      <c r="H16" s="12">
        <v>1927</v>
      </c>
      <c r="I16" s="17" t="s">
        <v>366</v>
      </c>
      <c r="J16" s="18">
        <v>4</v>
      </c>
      <c r="K16" s="19">
        <f t="shared" si="0"/>
        <v>55.321200000000005</v>
      </c>
      <c r="L16" s="20"/>
      <c r="M16" s="15">
        <v>5.08</v>
      </c>
      <c r="N16" s="15">
        <v>10.89</v>
      </c>
    </row>
    <row r="17" spans="1:14" s="15" customFormat="1" ht="20.25" customHeight="1" x14ac:dyDescent="0.15">
      <c r="A17" s="60"/>
      <c r="B17" s="9"/>
      <c r="C17" s="58" t="s">
        <v>29</v>
      </c>
      <c r="D17" s="11" t="s">
        <v>156</v>
      </c>
      <c r="E17" s="10">
        <v>22</v>
      </c>
      <c r="F17" s="58" t="s">
        <v>11</v>
      </c>
      <c r="G17" s="12">
        <v>1723</v>
      </c>
      <c r="H17" s="12">
        <v>1763</v>
      </c>
      <c r="I17" s="17" t="s">
        <v>300</v>
      </c>
      <c r="J17" s="18">
        <v>7</v>
      </c>
      <c r="K17" s="19">
        <f t="shared" si="0"/>
        <v>148.64850000000001</v>
      </c>
      <c r="L17" s="20"/>
      <c r="M17" s="15">
        <v>13.65</v>
      </c>
      <c r="N17" s="15">
        <v>10.89</v>
      </c>
    </row>
    <row r="18" spans="1:14" s="15" customFormat="1" ht="20.25" customHeight="1" x14ac:dyDescent="0.15">
      <c r="A18" s="60"/>
      <c r="B18" s="9"/>
      <c r="C18" s="58"/>
      <c r="D18" s="11"/>
      <c r="E18" s="10"/>
      <c r="F18" s="58"/>
      <c r="G18" s="12"/>
      <c r="H18" s="12"/>
      <c r="I18" s="17"/>
      <c r="J18" s="18"/>
      <c r="K18" s="19">
        <f t="shared" si="0"/>
        <v>0</v>
      </c>
      <c r="L18" s="20"/>
      <c r="N18" s="15">
        <v>10.89</v>
      </c>
    </row>
    <row r="19" spans="1:14" s="15" customFormat="1" ht="20.25" customHeight="1" x14ac:dyDescent="0.15">
      <c r="A19" s="60"/>
      <c r="B19" s="9"/>
      <c r="C19" s="58"/>
      <c r="D19" s="11"/>
      <c r="E19" s="10"/>
      <c r="F19" s="58"/>
      <c r="G19" s="12"/>
      <c r="H19" s="12"/>
      <c r="I19" s="17"/>
      <c r="J19" s="18"/>
      <c r="K19" s="19">
        <f t="shared" si="0"/>
        <v>0</v>
      </c>
      <c r="L19" s="20"/>
      <c r="N19" s="15">
        <v>10.89</v>
      </c>
    </row>
    <row r="20" spans="1:14" s="15" customFormat="1" ht="20.25" customHeight="1" x14ac:dyDescent="0.15">
      <c r="A20" s="60"/>
      <c r="B20" s="9"/>
      <c r="C20" s="58"/>
      <c r="D20" s="11"/>
      <c r="E20" s="10"/>
      <c r="F20" s="58"/>
      <c r="G20" s="12"/>
      <c r="H20" s="12"/>
      <c r="I20" s="17"/>
      <c r="J20" s="18"/>
      <c r="K20" s="19">
        <f t="shared" si="0"/>
        <v>0</v>
      </c>
      <c r="L20" s="20"/>
      <c r="N20" s="15">
        <v>10.89</v>
      </c>
    </row>
    <row r="21" spans="1:14" s="15" customFormat="1" ht="20.25" customHeight="1" x14ac:dyDescent="0.15">
      <c r="A21" s="60"/>
      <c r="B21" s="9"/>
      <c r="C21" s="58"/>
      <c r="D21" s="11"/>
      <c r="E21" s="10"/>
      <c r="F21" s="58"/>
      <c r="G21" s="50"/>
      <c r="H21" s="50"/>
      <c r="I21" s="17"/>
      <c r="J21" s="18"/>
      <c r="K21" s="19">
        <f t="shared" si="0"/>
        <v>0</v>
      </c>
      <c r="L21" s="20"/>
      <c r="N21" s="15">
        <v>10.89</v>
      </c>
    </row>
    <row r="22" spans="1:14" s="15" customFormat="1" ht="20.25" customHeight="1" x14ac:dyDescent="0.15">
      <c r="A22" s="60"/>
      <c r="B22" s="9"/>
      <c r="C22" s="58"/>
      <c r="D22" s="11"/>
      <c r="E22" s="10"/>
      <c r="F22" s="58"/>
      <c r="G22" s="50"/>
      <c r="H22" s="50"/>
      <c r="I22" s="17"/>
      <c r="J22" s="18"/>
      <c r="K22" s="19">
        <f t="shared" si="0"/>
        <v>0</v>
      </c>
      <c r="L22" s="20"/>
      <c r="N22" s="15">
        <v>10.89</v>
      </c>
    </row>
    <row r="23" spans="1:14" ht="20.25" customHeight="1" x14ac:dyDescent="0.15">
      <c r="A23" s="60"/>
      <c r="B23" s="9"/>
      <c r="C23" s="58"/>
      <c r="D23" s="11"/>
      <c r="E23" s="10"/>
      <c r="F23" s="58"/>
      <c r="G23" s="16"/>
      <c r="H23" s="16"/>
      <c r="I23" s="17"/>
      <c r="J23" s="18"/>
      <c r="K23" s="19">
        <f t="shared" si="0"/>
        <v>0</v>
      </c>
      <c r="L23" s="20"/>
      <c r="N23" s="15">
        <v>10.89</v>
      </c>
    </row>
    <row r="24" spans="1:14" ht="20.25" customHeight="1" thickBot="1" x14ac:dyDescent="0.2">
      <c r="A24" s="56"/>
      <c r="B24" s="21"/>
      <c r="C24" s="59"/>
      <c r="D24" s="22"/>
      <c r="E24" s="23"/>
      <c r="F24" s="23"/>
      <c r="G24" s="24"/>
      <c r="H24" s="24"/>
      <c r="I24" s="25"/>
      <c r="J24" s="46">
        <f>SUM(J8:J23)</f>
        <v>529</v>
      </c>
      <c r="K24" s="47">
        <f>SUM(K8:K23)</f>
        <v>3362.8319999999994</v>
      </c>
      <c r="L24" s="26"/>
    </row>
    <row r="25" spans="1:14" ht="20.25" customHeight="1" thickTop="1" x14ac:dyDescent="0.15">
      <c r="A25" s="60" t="s">
        <v>936</v>
      </c>
      <c r="B25" s="9" t="s">
        <v>183</v>
      </c>
      <c r="C25" s="58" t="s">
        <v>29</v>
      </c>
      <c r="D25" s="11" t="s">
        <v>304</v>
      </c>
      <c r="E25" s="10">
        <v>28</v>
      </c>
      <c r="F25" s="10" t="s">
        <v>11</v>
      </c>
      <c r="G25" s="12">
        <v>1845</v>
      </c>
      <c r="H25" s="12">
        <v>3305</v>
      </c>
      <c r="I25" s="17" t="s">
        <v>779</v>
      </c>
      <c r="J25" s="18">
        <v>37</v>
      </c>
      <c r="K25" s="19">
        <f t="shared" ref="K25:K40" si="1">+M25*N25</f>
        <v>840.05460000000005</v>
      </c>
      <c r="L25" s="54"/>
      <c r="M25" s="3">
        <v>77.14</v>
      </c>
      <c r="N25" s="15">
        <v>10.89</v>
      </c>
    </row>
    <row r="26" spans="1:14" ht="20.25" customHeight="1" x14ac:dyDescent="0.15">
      <c r="A26" s="60" t="s">
        <v>937</v>
      </c>
      <c r="B26" s="9" t="s">
        <v>177</v>
      </c>
      <c r="C26" s="58" t="s">
        <v>29</v>
      </c>
      <c r="D26" s="11" t="s">
        <v>247</v>
      </c>
      <c r="E26" s="10">
        <v>24</v>
      </c>
      <c r="F26" s="10" t="s">
        <v>11</v>
      </c>
      <c r="G26" s="12">
        <v>823</v>
      </c>
      <c r="H26" s="12">
        <v>593</v>
      </c>
      <c r="I26" s="17">
        <v>54</v>
      </c>
      <c r="J26" s="18">
        <v>54</v>
      </c>
      <c r="K26" s="19">
        <f t="shared" si="1"/>
        <v>288.14940000000001</v>
      </c>
      <c r="L26" s="54"/>
      <c r="M26" s="3">
        <v>26.46</v>
      </c>
      <c r="N26" s="15">
        <v>10.89</v>
      </c>
    </row>
    <row r="27" spans="1:14" ht="20.25" customHeight="1" x14ac:dyDescent="0.15">
      <c r="A27" s="60" t="s">
        <v>938</v>
      </c>
      <c r="B27" s="9" t="s">
        <v>177</v>
      </c>
      <c r="C27" s="58" t="s">
        <v>29</v>
      </c>
      <c r="D27" s="11" t="s">
        <v>247</v>
      </c>
      <c r="E27" s="10">
        <v>24</v>
      </c>
      <c r="F27" s="10" t="s">
        <v>11</v>
      </c>
      <c r="G27" s="12">
        <v>875</v>
      </c>
      <c r="H27" s="12">
        <v>2645</v>
      </c>
      <c r="I27" s="17" t="s">
        <v>939</v>
      </c>
      <c r="J27" s="18">
        <v>84</v>
      </c>
      <c r="K27" s="19">
        <f t="shared" si="1"/>
        <v>1078.1100000000001</v>
      </c>
      <c r="L27" s="54"/>
      <c r="M27" s="3">
        <v>99</v>
      </c>
      <c r="N27" s="15">
        <v>10.89</v>
      </c>
    </row>
    <row r="28" spans="1:14" ht="20.25" customHeight="1" x14ac:dyDescent="0.15">
      <c r="A28" s="60" t="s">
        <v>940</v>
      </c>
      <c r="B28" s="9" t="s">
        <v>177</v>
      </c>
      <c r="C28" s="58" t="s">
        <v>29</v>
      </c>
      <c r="D28" s="11" t="s">
        <v>247</v>
      </c>
      <c r="E28" s="10">
        <v>24</v>
      </c>
      <c r="F28" s="10" t="s">
        <v>11</v>
      </c>
      <c r="G28" s="12">
        <v>910</v>
      </c>
      <c r="H28" s="12">
        <v>2645</v>
      </c>
      <c r="I28" s="17" t="s">
        <v>470</v>
      </c>
      <c r="J28" s="18">
        <v>83</v>
      </c>
      <c r="K28" s="19">
        <f t="shared" si="1"/>
        <v>1071.6849</v>
      </c>
      <c r="L28" s="54"/>
      <c r="M28" s="3">
        <v>98.41</v>
      </c>
      <c r="N28" s="15">
        <v>10.89</v>
      </c>
    </row>
    <row r="29" spans="1:14" ht="20.25" customHeight="1" x14ac:dyDescent="0.15">
      <c r="A29" s="61" t="s">
        <v>879</v>
      </c>
      <c r="B29" s="9" t="s">
        <v>180</v>
      </c>
      <c r="C29" s="58" t="s">
        <v>29</v>
      </c>
      <c r="D29" s="11" t="s">
        <v>910</v>
      </c>
      <c r="E29" s="10">
        <v>30.76</v>
      </c>
      <c r="F29" s="10" t="s">
        <v>11</v>
      </c>
      <c r="G29" s="12">
        <v>515</v>
      </c>
      <c r="H29" s="12">
        <v>880</v>
      </c>
      <c r="I29" s="17">
        <v>1</v>
      </c>
      <c r="J29" s="18">
        <v>1</v>
      </c>
      <c r="K29" s="19">
        <f t="shared" si="1"/>
        <v>4.9005000000000001</v>
      </c>
      <c r="L29" s="54"/>
      <c r="M29" s="3">
        <v>0.45</v>
      </c>
      <c r="N29" s="15">
        <v>10.89</v>
      </c>
    </row>
    <row r="30" spans="1:14" ht="20.25" customHeight="1" x14ac:dyDescent="0.15">
      <c r="A30" s="61" t="s">
        <v>911</v>
      </c>
      <c r="B30" s="9" t="s">
        <v>180</v>
      </c>
      <c r="C30" s="58" t="s">
        <v>29</v>
      </c>
      <c r="D30" s="11" t="s">
        <v>910</v>
      </c>
      <c r="E30" s="10">
        <v>30.76</v>
      </c>
      <c r="F30" s="10" t="s">
        <v>11</v>
      </c>
      <c r="G30" s="12">
        <v>590</v>
      </c>
      <c r="H30" s="12">
        <v>950</v>
      </c>
      <c r="I30" s="51" t="s">
        <v>941</v>
      </c>
      <c r="J30" s="52">
        <v>6</v>
      </c>
      <c r="K30" s="53">
        <f t="shared" si="1"/>
        <v>35.719200000000001</v>
      </c>
      <c r="L30" s="54"/>
      <c r="M30" s="3">
        <v>3.28</v>
      </c>
      <c r="N30" s="15">
        <v>10.89</v>
      </c>
    </row>
    <row r="31" spans="1:14" ht="20.25" customHeight="1" x14ac:dyDescent="0.15">
      <c r="A31" s="61" t="s">
        <v>942</v>
      </c>
      <c r="B31" s="9" t="s">
        <v>183</v>
      </c>
      <c r="C31" s="58" t="s">
        <v>29</v>
      </c>
      <c r="D31" s="11" t="s">
        <v>304</v>
      </c>
      <c r="E31" s="10">
        <v>28</v>
      </c>
      <c r="F31" s="10" t="s">
        <v>11</v>
      </c>
      <c r="G31" s="12">
        <v>1845</v>
      </c>
      <c r="H31" s="12">
        <v>1895</v>
      </c>
      <c r="I31" s="51" t="s">
        <v>944</v>
      </c>
      <c r="J31" s="52">
        <v>27</v>
      </c>
      <c r="K31" s="53">
        <f t="shared" si="1"/>
        <v>327.78900000000004</v>
      </c>
      <c r="L31" s="54"/>
      <c r="M31" s="3">
        <v>30.1</v>
      </c>
      <c r="N31" s="15">
        <v>10.89</v>
      </c>
    </row>
    <row r="32" spans="1:14" ht="20.25" customHeight="1" x14ac:dyDescent="0.15">
      <c r="A32" s="60"/>
      <c r="B32" s="9"/>
      <c r="C32" s="58" t="s">
        <v>29</v>
      </c>
      <c r="D32" s="11" t="s">
        <v>943</v>
      </c>
      <c r="E32" s="10">
        <v>28</v>
      </c>
      <c r="F32" s="10" t="s">
        <v>11</v>
      </c>
      <c r="G32" s="12">
        <v>815</v>
      </c>
      <c r="H32" s="12">
        <v>1185</v>
      </c>
      <c r="I32" s="17">
        <v>9</v>
      </c>
      <c r="J32" s="18">
        <v>9</v>
      </c>
      <c r="K32" s="19">
        <f t="shared" si="1"/>
        <v>95.069700000000012</v>
      </c>
      <c r="L32" s="27"/>
      <c r="M32" s="3">
        <v>8.73</v>
      </c>
      <c r="N32" s="15">
        <v>10.89</v>
      </c>
    </row>
    <row r="33" spans="1:14" ht="20.25" customHeight="1" x14ac:dyDescent="0.15">
      <c r="A33" s="60" t="s">
        <v>945</v>
      </c>
      <c r="B33" s="9" t="s">
        <v>773</v>
      </c>
      <c r="C33" s="58" t="s">
        <v>29</v>
      </c>
      <c r="D33" s="11" t="s">
        <v>774</v>
      </c>
      <c r="E33" s="10">
        <v>43</v>
      </c>
      <c r="F33" s="10" t="s">
        <v>11</v>
      </c>
      <c r="G33" s="12">
        <v>1390</v>
      </c>
      <c r="H33" s="12">
        <v>1566</v>
      </c>
      <c r="I33" s="17" t="s">
        <v>366</v>
      </c>
      <c r="J33" s="18">
        <v>4</v>
      </c>
      <c r="K33" s="19">
        <f t="shared" si="1"/>
        <v>46.826999999999998</v>
      </c>
      <c r="L33" s="27"/>
      <c r="M33" s="3">
        <v>4.3</v>
      </c>
      <c r="N33" s="15">
        <v>10.89</v>
      </c>
    </row>
    <row r="34" spans="1:14" ht="20.25" customHeight="1" x14ac:dyDescent="0.15">
      <c r="A34" s="60" t="s">
        <v>946</v>
      </c>
      <c r="B34" s="9" t="s">
        <v>66</v>
      </c>
      <c r="C34" s="58" t="s">
        <v>29</v>
      </c>
      <c r="D34" s="11" t="s">
        <v>217</v>
      </c>
      <c r="E34" s="10">
        <v>22</v>
      </c>
      <c r="F34" s="10" t="s">
        <v>11</v>
      </c>
      <c r="G34" s="12">
        <v>1643</v>
      </c>
      <c r="H34" s="12">
        <v>1962</v>
      </c>
      <c r="I34" s="17" t="s">
        <v>337</v>
      </c>
      <c r="J34" s="18">
        <v>2</v>
      </c>
      <c r="K34" s="19">
        <f t="shared" si="1"/>
        <v>51.509700000000009</v>
      </c>
      <c r="L34" s="27"/>
      <c r="M34" s="3">
        <v>4.7300000000000004</v>
      </c>
      <c r="N34" s="15">
        <v>10.89</v>
      </c>
    </row>
    <row r="35" spans="1:14" ht="20.25" customHeight="1" x14ac:dyDescent="0.15">
      <c r="A35" s="60"/>
      <c r="B35" s="9"/>
      <c r="C35" s="58" t="s">
        <v>29</v>
      </c>
      <c r="D35" s="11" t="s">
        <v>224</v>
      </c>
      <c r="E35" s="10">
        <v>22</v>
      </c>
      <c r="F35" s="10" t="s">
        <v>11</v>
      </c>
      <c r="G35" s="12">
        <v>1643</v>
      </c>
      <c r="H35" s="12">
        <v>1962</v>
      </c>
      <c r="I35" s="17" t="s">
        <v>659</v>
      </c>
      <c r="J35" s="18">
        <v>5</v>
      </c>
      <c r="K35" s="19">
        <f t="shared" si="1"/>
        <v>111.51360000000001</v>
      </c>
      <c r="L35" s="27"/>
      <c r="M35" s="3">
        <v>10.24</v>
      </c>
      <c r="N35" s="15">
        <v>10.89</v>
      </c>
    </row>
    <row r="36" spans="1:14" ht="20.25" customHeight="1" x14ac:dyDescent="0.15">
      <c r="A36" s="60"/>
      <c r="B36" s="9"/>
      <c r="C36" s="58" t="s">
        <v>29</v>
      </c>
      <c r="D36" s="11" t="s">
        <v>201</v>
      </c>
      <c r="E36" s="10">
        <v>22</v>
      </c>
      <c r="F36" s="10"/>
      <c r="G36" s="12">
        <v>508</v>
      </c>
      <c r="H36" s="12">
        <v>1966</v>
      </c>
      <c r="I36" s="17">
        <v>1</v>
      </c>
      <c r="J36" s="18">
        <v>1</v>
      </c>
      <c r="K36" s="19">
        <f t="shared" si="1"/>
        <v>10.89</v>
      </c>
      <c r="L36" s="27"/>
      <c r="M36" s="3">
        <v>1</v>
      </c>
      <c r="N36" s="15">
        <v>10.89</v>
      </c>
    </row>
    <row r="37" spans="1:14" ht="20.25" customHeight="1" x14ac:dyDescent="0.15">
      <c r="A37" s="60"/>
      <c r="B37" s="9"/>
      <c r="C37" s="58"/>
      <c r="D37" s="11"/>
      <c r="E37" s="10"/>
      <c r="F37" s="10"/>
      <c r="G37" s="12"/>
      <c r="H37" s="12"/>
      <c r="I37" s="17"/>
      <c r="J37" s="18"/>
      <c r="K37" s="19">
        <f t="shared" si="1"/>
        <v>0</v>
      </c>
      <c r="L37" s="27"/>
      <c r="N37" s="15">
        <v>10.89</v>
      </c>
    </row>
    <row r="38" spans="1:14" ht="20.25" customHeight="1" x14ac:dyDescent="0.15">
      <c r="A38" s="60"/>
      <c r="B38" s="9"/>
      <c r="C38" s="58"/>
      <c r="D38" s="11"/>
      <c r="E38" s="10"/>
      <c r="F38" s="10"/>
      <c r="G38" s="12"/>
      <c r="H38" s="12"/>
      <c r="I38" s="17"/>
      <c r="J38" s="18"/>
      <c r="K38" s="19">
        <f t="shared" si="1"/>
        <v>0</v>
      </c>
      <c r="L38" s="27"/>
      <c r="N38" s="15">
        <v>10.89</v>
      </c>
    </row>
    <row r="39" spans="1:14" ht="20.25" customHeight="1" x14ac:dyDescent="0.15">
      <c r="A39" s="60"/>
      <c r="B39" s="9"/>
      <c r="C39" s="58"/>
      <c r="D39" s="11"/>
      <c r="E39" s="10"/>
      <c r="F39" s="10"/>
      <c r="G39" s="12"/>
      <c r="H39" s="12"/>
      <c r="I39" s="17"/>
      <c r="J39" s="18"/>
      <c r="K39" s="19">
        <f t="shared" si="1"/>
        <v>0</v>
      </c>
      <c r="L39" s="27"/>
      <c r="N39" s="15">
        <v>10.89</v>
      </c>
    </row>
    <row r="40" spans="1:14" ht="20.25" customHeight="1" x14ac:dyDescent="0.15">
      <c r="A40" s="60"/>
      <c r="B40" s="9"/>
      <c r="C40" s="58"/>
      <c r="D40" s="11"/>
      <c r="E40" s="10"/>
      <c r="F40" s="10"/>
      <c r="G40" s="12"/>
      <c r="H40" s="12"/>
      <c r="I40" s="17"/>
      <c r="J40" s="18"/>
      <c r="K40" s="19">
        <f t="shared" si="1"/>
        <v>0</v>
      </c>
      <c r="L40" s="27"/>
      <c r="N40" s="15">
        <v>10.89</v>
      </c>
    </row>
    <row r="41" spans="1:14" ht="20.25" customHeight="1" x14ac:dyDescent="0.15">
      <c r="A41" s="57"/>
      <c r="B41" s="28"/>
      <c r="C41" s="10"/>
      <c r="D41" s="29"/>
      <c r="E41" s="30"/>
      <c r="F41" s="30"/>
      <c r="G41" s="30"/>
      <c r="H41" s="30"/>
      <c r="I41" s="13"/>
      <c r="J41" s="48">
        <f>SUM(J25:J40)</f>
        <v>313</v>
      </c>
      <c r="K41" s="49">
        <f>SUM(K25:K40)</f>
        <v>3962.2176000000009</v>
      </c>
      <c r="L41" s="31"/>
      <c r="N41" s="32"/>
    </row>
    <row r="42" spans="1:14" ht="20.25" customHeight="1" thickBot="1" x14ac:dyDescent="0.2">
      <c r="A42" s="55"/>
      <c r="B42" s="33"/>
      <c r="C42" s="33"/>
      <c r="D42" s="33"/>
      <c r="E42" s="33"/>
      <c r="F42" s="33"/>
      <c r="G42" s="33"/>
      <c r="H42" s="33"/>
      <c r="I42" s="33"/>
      <c r="J42" s="34"/>
      <c r="K42" s="35"/>
      <c r="L42" s="36"/>
    </row>
    <row r="43" spans="1:14" ht="20.25" customHeight="1" thickBot="1" x14ac:dyDescent="0.2">
      <c r="A43" s="37" t="s">
        <v>19</v>
      </c>
      <c r="B43" s="38" t="s">
        <v>20</v>
      </c>
      <c r="C43" s="77" t="s">
        <v>21</v>
      </c>
      <c r="D43" s="79"/>
      <c r="E43" s="77" t="s">
        <v>22</v>
      </c>
      <c r="F43" s="78"/>
      <c r="G43" s="79"/>
      <c r="H43" s="85" t="s">
        <v>23</v>
      </c>
      <c r="I43" s="86"/>
      <c r="J43" s="77" t="s">
        <v>24</v>
      </c>
      <c r="K43" s="79"/>
      <c r="L43" s="39" t="s">
        <v>13</v>
      </c>
    </row>
    <row r="44" spans="1:14" ht="20.25" customHeight="1" thickBot="1" x14ac:dyDescent="0.2">
      <c r="A44" s="40">
        <f>SUMIF($C$8:$C$42,"U1",$J$8:$J$42)</f>
        <v>0</v>
      </c>
      <c r="B44" s="41">
        <f>SUMIF($C$8:$C$42,"U2",$J$8:$J$42)</f>
        <v>0</v>
      </c>
      <c r="C44" s="77">
        <f>SUMIF($C$8:$C$42,"U3-1",$J$8:$J$42)</f>
        <v>0</v>
      </c>
      <c r="D44" s="79"/>
      <c r="E44" s="77">
        <f>SUMIF($C$8:$C$42,"U3",$J$8:$J$42)</f>
        <v>842</v>
      </c>
      <c r="F44" s="78"/>
      <c r="G44" s="79"/>
      <c r="H44" s="77">
        <f>SUMIF($C$8:$C$42,"E5",$J$8:$J$42)</f>
        <v>0</v>
      </c>
      <c r="I44" s="79"/>
      <c r="J44" s="77">
        <f>SUM(A44:I44)</f>
        <v>842</v>
      </c>
      <c r="K44" s="79"/>
      <c r="L44" s="42"/>
    </row>
    <row r="45" spans="1:14" ht="20.25" customHeight="1" thickBot="1" x14ac:dyDescent="0.2">
      <c r="A45" s="43" t="s">
        <v>25</v>
      </c>
      <c r="B45" s="44" t="s">
        <v>26</v>
      </c>
      <c r="C45" s="75">
        <v>13876</v>
      </c>
      <c r="D45" s="76"/>
      <c r="E45" s="77" t="s">
        <v>27</v>
      </c>
      <c r="F45" s="78"/>
      <c r="G45" s="78"/>
      <c r="H45" s="78"/>
      <c r="I45" s="79"/>
      <c r="J45" s="80">
        <v>146744.37</v>
      </c>
      <c r="K45" s="81"/>
      <c r="L45" s="82"/>
    </row>
    <row r="47" spans="1:14" x14ac:dyDescent="0.15">
      <c r="D47" s="45"/>
    </row>
  </sheetData>
  <mergeCells count="26">
    <mergeCell ref="C45:D45"/>
    <mergeCell ref="E45:I45"/>
    <mergeCell ref="J45:L45"/>
    <mergeCell ref="L6:L7"/>
    <mergeCell ref="C43:D43"/>
    <mergeCell ref="E43:G43"/>
    <mergeCell ref="H43:I43"/>
    <mergeCell ref="J43:K43"/>
    <mergeCell ref="C44:D44"/>
    <mergeCell ref="E44:G44"/>
    <mergeCell ref="H44:I44"/>
    <mergeCell ref="J44:K44"/>
    <mergeCell ref="B5:G5"/>
    <mergeCell ref="A6:A7"/>
    <mergeCell ref="B6:B7"/>
    <mergeCell ref="C6:C7"/>
    <mergeCell ref="D6:D7"/>
    <mergeCell ref="E6:E7"/>
    <mergeCell ref="F6:F7"/>
    <mergeCell ref="G6:K6"/>
    <mergeCell ref="L2:L4"/>
    <mergeCell ref="A1:G3"/>
    <mergeCell ref="H1:H4"/>
    <mergeCell ref="I2:I4"/>
    <mergeCell ref="J2:J4"/>
    <mergeCell ref="K2:K4"/>
  </mergeCells>
  <phoneticPr fontId="2" type="noConversion"/>
  <printOptions horizontalCentered="1"/>
  <pageMargins left="0.39370078740157483" right="0.39370078740157483" top="0.74803149606299213" bottom="0.19685039370078741" header="0.31496062992125984" footer="0.15748031496062992"/>
  <pageSetup paperSize="9" scale="84"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N47"/>
  <sheetViews>
    <sheetView view="pageBreakPreview" topLeftCell="A4" zoomScaleSheetLayoutView="100" workbookViewId="0">
      <selection activeCell="B8" sqref="B8"/>
    </sheetView>
  </sheetViews>
  <sheetFormatPr defaultColWidth="8.88671875" defaultRowHeight="13.5" x14ac:dyDescent="0.15"/>
  <cols>
    <col min="1" max="1" width="8.44140625" style="3" customWidth="1"/>
    <col min="2" max="2" width="14.77734375" style="3" customWidth="1"/>
    <col min="3" max="3" width="4.109375" style="3" customWidth="1"/>
    <col min="4" max="4" width="15.21875" style="3" customWidth="1"/>
    <col min="5" max="5" width="4.44140625" style="3" customWidth="1"/>
    <col min="6" max="6" width="4" style="3" customWidth="1"/>
    <col min="7" max="7" width="5.5546875" style="3" customWidth="1"/>
    <col min="8" max="8" width="5.44140625" style="3" customWidth="1"/>
    <col min="9" max="9" width="7.88671875" style="3" customWidth="1"/>
    <col min="10" max="10" width="7.109375" style="3" customWidth="1"/>
    <col min="11" max="11" width="7.21875" style="3" customWidth="1"/>
    <col min="12" max="12" width="6.77734375" style="3" customWidth="1"/>
    <col min="13" max="16384" width="8.88671875" style="3"/>
  </cols>
  <sheetData>
    <row r="1" spans="1:14" ht="18.75" customHeight="1" x14ac:dyDescent="0.15">
      <c r="A1" s="101" t="s">
        <v>0</v>
      </c>
      <c r="B1" s="102"/>
      <c r="C1" s="102"/>
      <c r="D1" s="102"/>
      <c r="E1" s="102"/>
      <c r="F1" s="102"/>
      <c r="G1" s="103"/>
      <c r="H1" s="107" t="s">
        <v>1</v>
      </c>
      <c r="I1" s="1" t="s">
        <v>2</v>
      </c>
      <c r="J1" s="1" t="s">
        <v>2</v>
      </c>
      <c r="K1" s="1" t="s">
        <v>3</v>
      </c>
      <c r="L1" s="2" t="s">
        <v>4</v>
      </c>
    </row>
    <row r="2" spans="1:14" ht="13.5" customHeight="1" x14ac:dyDescent="0.15">
      <c r="A2" s="104"/>
      <c r="B2" s="105"/>
      <c r="C2" s="105"/>
      <c r="D2" s="105"/>
      <c r="E2" s="105"/>
      <c r="F2" s="105"/>
      <c r="G2" s="106"/>
      <c r="H2" s="108"/>
      <c r="I2" s="110"/>
      <c r="J2" s="110"/>
      <c r="K2" s="110"/>
      <c r="L2" s="98"/>
    </row>
    <row r="3" spans="1:14" ht="13.5" customHeight="1" x14ac:dyDescent="0.15">
      <c r="A3" s="104"/>
      <c r="B3" s="105"/>
      <c r="C3" s="105"/>
      <c r="D3" s="105"/>
      <c r="E3" s="105"/>
      <c r="F3" s="105"/>
      <c r="G3" s="106"/>
      <c r="H3" s="108"/>
      <c r="I3" s="108"/>
      <c r="J3" s="108"/>
      <c r="K3" s="108"/>
      <c r="L3" s="99"/>
    </row>
    <row r="4" spans="1:14" ht="33" customHeight="1" x14ac:dyDescent="0.15">
      <c r="A4" s="4"/>
      <c r="B4" s="5"/>
      <c r="C4" s="5"/>
      <c r="D4" s="5"/>
      <c r="E4" s="5"/>
      <c r="F4" s="5"/>
      <c r="G4" s="5"/>
      <c r="H4" s="109"/>
      <c r="I4" s="109"/>
      <c r="J4" s="109"/>
      <c r="K4" s="109"/>
      <c r="L4" s="100"/>
    </row>
    <row r="5" spans="1:14" ht="17.25" customHeight="1" x14ac:dyDescent="0.15">
      <c r="A5" s="6" t="s">
        <v>5</v>
      </c>
      <c r="B5" s="87">
        <v>46059</v>
      </c>
      <c r="C5" s="88"/>
      <c r="D5" s="88"/>
      <c r="E5" s="88"/>
      <c r="F5" s="88"/>
      <c r="G5" s="88"/>
      <c r="H5" s="5"/>
      <c r="I5" s="5"/>
      <c r="J5" s="5"/>
      <c r="K5" s="5"/>
      <c r="L5" s="7"/>
    </row>
    <row r="6" spans="1:14" ht="13.5" customHeight="1" x14ac:dyDescent="0.15">
      <c r="A6" s="89" t="s">
        <v>6</v>
      </c>
      <c r="B6" s="91" t="s">
        <v>7</v>
      </c>
      <c r="C6" s="91" t="s">
        <v>8</v>
      </c>
      <c r="D6" s="91" t="s">
        <v>9</v>
      </c>
      <c r="E6" s="93" t="s">
        <v>10</v>
      </c>
      <c r="F6" s="93" t="s">
        <v>11</v>
      </c>
      <c r="G6" s="95" t="s">
        <v>12</v>
      </c>
      <c r="H6" s="96"/>
      <c r="I6" s="96"/>
      <c r="J6" s="96"/>
      <c r="K6" s="97"/>
      <c r="L6" s="83" t="s">
        <v>13</v>
      </c>
    </row>
    <row r="7" spans="1:14" x14ac:dyDescent="0.15">
      <c r="A7" s="90"/>
      <c r="B7" s="92"/>
      <c r="C7" s="92"/>
      <c r="D7" s="92"/>
      <c r="E7" s="94"/>
      <c r="F7" s="94"/>
      <c r="G7" s="8" t="s">
        <v>14</v>
      </c>
      <c r="H7" s="8" t="s">
        <v>15</v>
      </c>
      <c r="I7" s="8" t="s">
        <v>16</v>
      </c>
      <c r="J7" s="8" t="s">
        <v>17</v>
      </c>
      <c r="K7" s="8" t="s">
        <v>18</v>
      </c>
      <c r="L7" s="84"/>
    </row>
    <row r="8" spans="1:14" s="15" customFormat="1" ht="20.25" customHeight="1" x14ac:dyDescent="0.15">
      <c r="A8" s="60" t="s">
        <v>947</v>
      </c>
      <c r="B8" s="9" t="s">
        <v>173</v>
      </c>
      <c r="C8" s="58" t="s">
        <v>29</v>
      </c>
      <c r="D8" s="11" t="s">
        <v>195</v>
      </c>
      <c r="E8" s="10">
        <v>22</v>
      </c>
      <c r="F8" s="58"/>
      <c r="G8" s="12">
        <v>954</v>
      </c>
      <c r="H8" s="12">
        <v>1967</v>
      </c>
      <c r="I8" s="17" t="s">
        <v>948</v>
      </c>
      <c r="J8" s="18">
        <v>415</v>
      </c>
      <c r="K8" s="19">
        <f>+M8*N8</f>
        <v>3797.2341000000001</v>
      </c>
      <c r="L8" s="14"/>
      <c r="M8" s="15">
        <v>348.69</v>
      </c>
      <c r="N8" s="15">
        <v>10.89</v>
      </c>
    </row>
    <row r="9" spans="1:14" s="15" customFormat="1" ht="20.25" customHeight="1" x14ac:dyDescent="0.15">
      <c r="A9" s="60" t="s">
        <v>928</v>
      </c>
      <c r="B9" s="9" t="s">
        <v>173</v>
      </c>
      <c r="C9" s="58" t="s">
        <v>29</v>
      </c>
      <c r="D9" s="11" t="s">
        <v>188</v>
      </c>
      <c r="E9" s="10">
        <v>22</v>
      </c>
      <c r="F9" s="58"/>
      <c r="G9" s="12">
        <v>1967</v>
      </c>
      <c r="H9" s="12">
        <v>1238</v>
      </c>
      <c r="I9" s="17" t="s">
        <v>949</v>
      </c>
      <c r="J9" s="18">
        <v>52</v>
      </c>
      <c r="K9" s="19">
        <f t="shared" ref="K9:K19" si="0">+M9*N9</f>
        <v>693.47520000000009</v>
      </c>
      <c r="L9" s="14"/>
      <c r="M9" s="15">
        <v>63.68</v>
      </c>
      <c r="N9" s="15">
        <v>10.89</v>
      </c>
    </row>
    <row r="10" spans="1:14" s="15" customFormat="1" ht="20.25" customHeight="1" x14ac:dyDescent="0.15">
      <c r="A10" s="60" t="s">
        <v>950</v>
      </c>
      <c r="B10" s="9" t="s">
        <v>56</v>
      </c>
      <c r="C10" s="58" t="s">
        <v>29</v>
      </c>
      <c r="D10" s="11" t="s">
        <v>195</v>
      </c>
      <c r="E10" s="10">
        <v>22</v>
      </c>
      <c r="F10" s="58"/>
      <c r="G10" s="12">
        <v>660</v>
      </c>
      <c r="H10" s="12">
        <v>1780</v>
      </c>
      <c r="I10" s="17" t="s">
        <v>389</v>
      </c>
      <c r="J10" s="18">
        <v>6</v>
      </c>
      <c r="K10" s="19">
        <f t="shared" si="0"/>
        <v>99.534600000000012</v>
      </c>
      <c r="L10" s="14"/>
      <c r="M10" s="15">
        <v>9.14</v>
      </c>
      <c r="N10" s="15">
        <v>10.89</v>
      </c>
    </row>
    <row r="11" spans="1:14" s="15" customFormat="1" ht="20.25" customHeight="1" x14ac:dyDescent="0.15">
      <c r="A11" s="60"/>
      <c r="B11" s="9"/>
      <c r="C11" s="58" t="s">
        <v>29</v>
      </c>
      <c r="D11" s="11" t="s">
        <v>279</v>
      </c>
      <c r="E11" s="10">
        <v>25.76</v>
      </c>
      <c r="F11" s="58"/>
      <c r="G11" s="12">
        <v>2024</v>
      </c>
      <c r="H11" s="12">
        <v>1738</v>
      </c>
      <c r="I11" s="17" t="s">
        <v>366</v>
      </c>
      <c r="J11" s="18">
        <v>4</v>
      </c>
      <c r="K11" s="19">
        <f t="shared" si="0"/>
        <v>128.71980000000002</v>
      </c>
      <c r="L11" s="14"/>
      <c r="M11" s="15">
        <v>11.82</v>
      </c>
      <c r="N11" s="15">
        <v>10.89</v>
      </c>
    </row>
    <row r="12" spans="1:14" s="15" customFormat="1" ht="20.25" customHeight="1" x14ac:dyDescent="0.15">
      <c r="A12" s="60"/>
      <c r="B12" s="9"/>
      <c r="C12" s="58" t="s">
        <v>29</v>
      </c>
      <c r="D12" s="11" t="s">
        <v>951</v>
      </c>
      <c r="E12" s="10">
        <v>47</v>
      </c>
      <c r="F12" s="58" t="s">
        <v>11</v>
      </c>
      <c r="G12" s="12">
        <v>893</v>
      </c>
      <c r="H12" s="12">
        <v>368</v>
      </c>
      <c r="I12" s="17">
        <v>2</v>
      </c>
      <c r="J12" s="18">
        <v>2</v>
      </c>
      <c r="K12" s="19">
        <f t="shared" si="0"/>
        <v>7.1874000000000011</v>
      </c>
      <c r="L12" s="14"/>
      <c r="M12" s="15">
        <v>0.66</v>
      </c>
      <c r="N12" s="15">
        <v>10.89</v>
      </c>
    </row>
    <row r="13" spans="1:14" s="15" customFormat="1" ht="20.25" customHeight="1" x14ac:dyDescent="0.15">
      <c r="A13" s="60"/>
      <c r="B13" s="9"/>
      <c r="C13" s="58" t="s">
        <v>273</v>
      </c>
      <c r="D13" s="11" t="s">
        <v>675</v>
      </c>
      <c r="E13" s="10">
        <v>16</v>
      </c>
      <c r="F13" s="58"/>
      <c r="G13" s="12">
        <v>630</v>
      </c>
      <c r="H13" s="12">
        <v>2137</v>
      </c>
      <c r="I13" s="17">
        <v>1</v>
      </c>
      <c r="J13" s="18">
        <v>1</v>
      </c>
      <c r="K13" s="19">
        <f t="shared" si="0"/>
        <v>14.701500000000001</v>
      </c>
      <c r="L13" s="14"/>
      <c r="M13" s="15">
        <v>1.35</v>
      </c>
      <c r="N13" s="15">
        <v>10.89</v>
      </c>
    </row>
    <row r="14" spans="1:14" s="15" customFormat="1" ht="20.25" customHeight="1" x14ac:dyDescent="0.15">
      <c r="A14" s="60"/>
      <c r="B14" s="9"/>
      <c r="C14" s="58"/>
      <c r="D14" s="11"/>
      <c r="E14" s="10"/>
      <c r="F14" s="58"/>
      <c r="G14" s="12"/>
      <c r="H14" s="12"/>
      <c r="I14" s="17"/>
      <c r="J14" s="18"/>
      <c r="K14" s="19">
        <f t="shared" si="0"/>
        <v>0</v>
      </c>
      <c r="L14" s="20"/>
      <c r="N14" s="15">
        <v>10.89</v>
      </c>
    </row>
    <row r="15" spans="1:14" s="15" customFormat="1" ht="20.25" customHeight="1" x14ac:dyDescent="0.15">
      <c r="A15" s="60"/>
      <c r="B15" s="9"/>
      <c r="C15" s="58"/>
      <c r="D15" s="11"/>
      <c r="E15" s="10"/>
      <c r="F15" s="58"/>
      <c r="G15" s="12"/>
      <c r="H15" s="12"/>
      <c r="I15" s="17"/>
      <c r="J15" s="18"/>
      <c r="K15" s="19">
        <f t="shared" si="0"/>
        <v>0</v>
      </c>
      <c r="L15" s="20"/>
      <c r="N15" s="15">
        <v>10.89</v>
      </c>
    </row>
    <row r="16" spans="1:14" s="15" customFormat="1" ht="20.25" customHeight="1" x14ac:dyDescent="0.15">
      <c r="A16" s="60"/>
      <c r="B16" s="9"/>
      <c r="C16" s="58"/>
      <c r="D16" s="11"/>
      <c r="E16" s="10"/>
      <c r="F16" s="58"/>
      <c r="G16" s="12"/>
      <c r="H16" s="12"/>
      <c r="I16" s="17"/>
      <c r="J16" s="18"/>
      <c r="K16" s="19">
        <f t="shared" si="0"/>
        <v>0</v>
      </c>
      <c r="L16" s="20"/>
      <c r="N16" s="15">
        <v>10.89</v>
      </c>
    </row>
    <row r="17" spans="1:14" s="15" customFormat="1" ht="20.25" customHeight="1" x14ac:dyDescent="0.15">
      <c r="A17" s="60"/>
      <c r="B17" s="9"/>
      <c r="C17" s="58"/>
      <c r="D17" s="11"/>
      <c r="E17" s="10"/>
      <c r="F17" s="58"/>
      <c r="G17" s="50"/>
      <c r="H17" s="50"/>
      <c r="I17" s="17"/>
      <c r="J17" s="18"/>
      <c r="K17" s="19">
        <f t="shared" si="0"/>
        <v>0</v>
      </c>
      <c r="L17" s="20"/>
      <c r="N17" s="15">
        <v>10.89</v>
      </c>
    </row>
    <row r="18" spans="1:14" s="15" customFormat="1" ht="20.25" customHeight="1" x14ac:dyDescent="0.15">
      <c r="A18" s="60"/>
      <c r="B18" s="9"/>
      <c r="C18" s="58"/>
      <c r="D18" s="11"/>
      <c r="E18" s="10"/>
      <c r="F18" s="58"/>
      <c r="G18" s="50"/>
      <c r="H18" s="50"/>
      <c r="I18" s="17"/>
      <c r="J18" s="18"/>
      <c r="K18" s="19">
        <f t="shared" si="0"/>
        <v>0</v>
      </c>
      <c r="L18" s="20"/>
      <c r="N18" s="15">
        <v>10.89</v>
      </c>
    </row>
    <row r="19" spans="1:14" ht="20.25" customHeight="1" x14ac:dyDescent="0.15">
      <c r="A19" s="60"/>
      <c r="B19" s="9"/>
      <c r="C19" s="58"/>
      <c r="D19" s="11"/>
      <c r="E19" s="10"/>
      <c r="F19" s="58"/>
      <c r="G19" s="16"/>
      <c r="H19" s="16"/>
      <c r="I19" s="17"/>
      <c r="J19" s="18"/>
      <c r="K19" s="19">
        <f t="shared" si="0"/>
        <v>0</v>
      </c>
      <c r="L19" s="20"/>
      <c r="N19" s="15">
        <v>10.89</v>
      </c>
    </row>
    <row r="20" spans="1:14" ht="20.25" customHeight="1" thickBot="1" x14ac:dyDescent="0.2">
      <c r="A20" s="56"/>
      <c r="B20" s="21"/>
      <c r="C20" s="59"/>
      <c r="D20" s="22"/>
      <c r="E20" s="23"/>
      <c r="F20" s="23"/>
      <c r="G20" s="24"/>
      <c r="H20" s="24"/>
      <c r="I20" s="25"/>
      <c r="J20" s="46">
        <f>SUM(J8:J19)</f>
        <v>480</v>
      </c>
      <c r="K20" s="47">
        <f>SUM(K8:K19)</f>
        <v>4740.8526000000002</v>
      </c>
      <c r="L20" s="26"/>
    </row>
    <row r="21" spans="1:14" ht="20.25" customHeight="1" thickTop="1" x14ac:dyDescent="0.15">
      <c r="A21" s="60" t="s">
        <v>952</v>
      </c>
      <c r="B21" s="9" t="s">
        <v>138</v>
      </c>
      <c r="C21" s="58" t="s">
        <v>29</v>
      </c>
      <c r="D21" s="11" t="s">
        <v>372</v>
      </c>
      <c r="E21" s="10">
        <v>24</v>
      </c>
      <c r="F21" s="10"/>
      <c r="G21" s="12">
        <v>775</v>
      </c>
      <c r="H21" s="12">
        <v>1890</v>
      </c>
      <c r="I21" s="17" t="s">
        <v>196</v>
      </c>
      <c r="J21" s="18">
        <v>90</v>
      </c>
      <c r="K21" s="19">
        <f t="shared" ref="K21:K40" si="1">+M21*N21</f>
        <v>698.04899999999998</v>
      </c>
      <c r="L21" s="54"/>
      <c r="M21" s="3">
        <v>64.099999999999994</v>
      </c>
      <c r="N21" s="15">
        <v>10.89</v>
      </c>
    </row>
    <row r="22" spans="1:14" ht="20.25" customHeight="1" x14ac:dyDescent="0.15">
      <c r="A22" s="60"/>
      <c r="B22" s="9"/>
      <c r="C22" s="58" t="s">
        <v>29</v>
      </c>
      <c r="D22" s="11" t="s">
        <v>336</v>
      </c>
      <c r="E22" s="10">
        <v>24</v>
      </c>
      <c r="F22" s="10"/>
      <c r="G22" s="12">
        <v>1662</v>
      </c>
      <c r="H22" s="12">
        <v>1890</v>
      </c>
      <c r="I22" s="17" t="s">
        <v>443</v>
      </c>
      <c r="J22" s="18">
        <v>100</v>
      </c>
      <c r="K22" s="19">
        <f t="shared" si="1"/>
        <v>1039.9950000000001</v>
      </c>
      <c r="L22" s="54"/>
      <c r="M22" s="3">
        <v>95.5</v>
      </c>
      <c r="N22" s="15">
        <v>10.89</v>
      </c>
    </row>
    <row r="23" spans="1:14" ht="20.25" customHeight="1" x14ac:dyDescent="0.15">
      <c r="A23" s="61"/>
      <c r="B23" s="9"/>
      <c r="C23" s="58" t="s">
        <v>29</v>
      </c>
      <c r="D23" s="11" t="s">
        <v>224</v>
      </c>
      <c r="E23" s="10">
        <v>22</v>
      </c>
      <c r="F23" s="10" t="s">
        <v>11</v>
      </c>
      <c r="G23" s="12">
        <v>618</v>
      </c>
      <c r="H23" s="12">
        <v>1890</v>
      </c>
      <c r="I23" s="17">
        <v>10</v>
      </c>
      <c r="J23" s="18">
        <v>10</v>
      </c>
      <c r="K23" s="19">
        <f t="shared" si="1"/>
        <v>127.413</v>
      </c>
      <c r="L23" s="54"/>
      <c r="M23" s="3">
        <v>11.7</v>
      </c>
      <c r="N23" s="15">
        <v>10.89</v>
      </c>
    </row>
    <row r="24" spans="1:14" ht="20.25" customHeight="1" x14ac:dyDescent="0.15">
      <c r="A24" s="61" t="s">
        <v>953</v>
      </c>
      <c r="B24" s="9" t="s">
        <v>177</v>
      </c>
      <c r="C24" s="58" t="s">
        <v>29</v>
      </c>
      <c r="D24" s="11" t="s">
        <v>247</v>
      </c>
      <c r="E24" s="10">
        <v>24</v>
      </c>
      <c r="F24" s="10" t="s">
        <v>11</v>
      </c>
      <c r="G24" s="12">
        <v>910</v>
      </c>
      <c r="H24" s="12">
        <v>1310</v>
      </c>
      <c r="I24" s="17" t="s">
        <v>366</v>
      </c>
      <c r="J24" s="18">
        <v>4</v>
      </c>
      <c r="K24" s="19">
        <f t="shared" si="1"/>
        <v>30.383100000000002</v>
      </c>
      <c r="L24" s="54"/>
      <c r="M24" s="3">
        <v>2.79</v>
      </c>
      <c r="N24" s="15">
        <v>10.89</v>
      </c>
    </row>
    <row r="25" spans="1:14" ht="20.25" customHeight="1" x14ac:dyDescent="0.15">
      <c r="A25" s="61" t="s">
        <v>937</v>
      </c>
      <c r="B25" s="9" t="s">
        <v>177</v>
      </c>
      <c r="C25" s="58" t="s">
        <v>29</v>
      </c>
      <c r="D25" s="11" t="s">
        <v>247</v>
      </c>
      <c r="E25" s="10">
        <v>24</v>
      </c>
      <c r="F25" s="10" t="s">
        <v>11</v>
      </c>
      <c r="G25" s="12">
        <v>875</v>
      </c>
      <c r="H25" s="12">
        <v>810</v>
      </c>
      <c r="I25" s="17" t="s">
        <v>954</v>
      </c>
      <c r="J25" s="18">
        <v>9</v>
      </c>
      <c r="K25" s="19">
        <f t="shared" si="1"/>
        <v>69.151499999999999</v>
      </c>
      <c r="L25" s="54"/>
      <c r="M25" s="3">
        <v>6.35</v>
      </c>
      <c r="N25" s="15">
        <v>10.89</v>
      </c>
    </row>
    <row r="26" spans="1:14" ht="20.25" customHeight="1" x14ac:dyDescent="0.15">
      <c r="A26" s="61" t="s">
        <v>938</v>
      </c>
      <c r="B26" s="9" t="s">
        <v>177</v>
      </c>
      <c r="C26" s="58" t="s">
        <v>29</v>
      </c>
      <c r="D26" s="11" t="s">
        <v>247</v>
      </c>
      <c r="E26" s="10">
        <v>24</v>
      </c>
      <c r="F26" s="10" t="s">
        <v>11</v>
      </c>
      <c r="G26" s="12">
        <v>875</v>
      </c>
      <c r="H26" s="12">
        <v>1410</v>
      </c>
      <c r="I26" s="51">
        <v>1</v>
      </c>
      <c r="J26" s="52">
        <v>1</v>
      </c>
      <c r="K26" s="53">
        <f t="shared" si="1"/>
        <v>13.3947</v>
      </c>
      <c r="L26" s="54"/>
      <c r="M26" s="3">
        <v>1.23</v>
      </c>
      <c r="N26" s="15">
        <v>10.89</v>
      </c>
    </row>
    <row r="27" spans="1:14" ht="20.25" customHeight="1" x14ac:dyDescent="0.15">
      <c r="A27" s="61" t="s">
        <v>940</v>
      </c>
      <c r="B27" s="9" t="s">
        <v>177</v>
      </c>
      <c r="C27" s="58" t="s">
        <v>29</v>
      </c>
      <c r="D27" s="11" t="s">
        <v>247</v>
      </c>
      <c r="E27" s="10">
        <v>24</v>
      </c>
      <c r="F27" s="10" t="s">
        <v>11</v>
      </c>
      <c r="G27" s="12">
        <v>910</v>
      </c>
      <c r="H27" s="12">
        <v>1410</v>
      </c>
      <c r="I27" s="51" t="s">
        <v>348</v>
      </c>
      <c r="J27" s="52">
        <v>7</v>
      </c>
      <c r="K27" s="53">
        <f t="shared" si="1"/>
        <v>73.943100000000001</v>
      </c>
      <c r="L27" s="54"/>
      <c r="M27" s="3">
        <v>6.79</v>
      </c>
      <c r="N27" s="15">
        <v>10.89</v>
      </c>
    </row>
    <row r="28" spans="1:14" ht="20.25" customHeight="1" x14ac:dyDescent="0.15">
      <c r="A28" s="60" t="s">
        <v>955</v>
      </c>
      <c r="B28" s="9" t="s">
        <v>178</v>
      </c>
      <c r="C28" s="58" t="s">
        <v>29</v>
      </c>
      <c r="D28" s="11" t="s">
        <v>247</v>
      </c>
      <c r="E28" s="10">
        <v>24</v>
      </c>
      <c r="F28" s="10" t="s">
        <v>11</v>
      </c>
      <c r="G28" s="12">
        <v>945</v>
      </c>
      <c r="H28" s="12">
        <v>1265</v>
      </c>
      <c r="I28" s="17" t="s">
        <v>956</v>
      </c>
      <c r="J28" s="18">
        <v>46</v>
      </c>
      <c r="K28" s="19">
        <f t="shared" si="1"/>
        <v>419.04719999999998</v>
      </c>
      <c r="L28" s="27"/>
      <c r="M28" s="3">
        <v>38.479999999999997</v>
      </c>
      <c r="N28" s="15">
        <v>10.89</v>
      </c>
    </row>
    <row r="29" spans="1:14" ht="20.25" customHeight="1" x14ac:dyDescent="0.15">
      <c r="A29" s="60" t="s">
        <v>957</v>
      </c>
      <c r="B29" s="9" t="s">
        <v>178</v>
      </c>
      <c r="C29" s="58" t="s">
        <v>29</v>
      </c>
      <c r="D29" s="11" t="s">
        <v>247</v>
      </c>
      <c r="E29" s="10">
        <v>24</v>
      </c>
      <c r="F29" s="10" t="s">
        <v>11</v>
      </c>
      <c r="G29" s="12">
        <v>945</v>
      </c>
      <c r="H29" s="12">
        <v>1235</v>
      </c>
      <c r="I29" s="17" t="s">
        <v>958</v>
      </c>
      <c r="J29" s="18">
        <v>35</v>
      </c>
      <c r="K29" s="19">
        <f t="shared" si="1"/>
        <v>321.03720000000004</v>
      </c>
      <c r="L29" s="27"/>
      <c r="M29" s="3">
        <v>29.48</v>
      </c>
      <c r="N29" s="15">
        <v>10.89</v>
      </c>
    </row>
    <row r="30" spans="1:14" ht="20.25" customHeight="1" x14ac:dyDescent="0.15">
      <c r="A30" s="60" t="s">
        <v>959</v>
      </c>
      <c r="B30" s="9" t="s">
        <v>178</v>
      </c>
      <c r="C30" s="58" t="s">
        <v>29</v>
      </c>
      <c r="D30" s="11" t="s">
        <v>247</v>
      </c>
      <c r="E30" s="10">
        <v>24</v>
      </c>
      <c r="F30" s="10" t="s">
        <v>11</v>
      </c>
      <c r="G30" s="12">
        <v>945</v>
      </c>
      <c r="H30" s="12">
        <v>1260</v>
      </c>
      <c r="I30" s="17" t="s">
        <v>954</v>
      </c>
      <c r="J30" s="18">
        <v>9</v>
      </c>
      <c r="K30" s="19">
        <f t="shared" si="1"/>
        <v>84.72420000000001</v>
      </c>
      <c r="L30" s="27"/>
      <c r="M30" s="3">
        <v>7.78</v>
      </c>
      <c r="N30" s="15">
        <v>10.89</v>
      </c>
    </row>
    <row r="31" spans="1:14" ht="20.25" customHeight="1" x14ac:dyDescent="0.15">
      <c r="A31" s="60" t="s">
        <v>960</v>
      </c>
      <c r="B31" s="9" t="s">
        <v>178</v>
      </c>
      <c r="C31" s="58" t="s">
        <v>29</v>
      </c>
      <c r="D31" s="11" t="s">
        <v>247</v>
      </c>
      <c r="E31" s="10">
        <v>24</v>
      </c>
      <c r="F31" s="10" t="s">
        <v>11</v>
      </c>
      <c r="G31" s="12">
        <v>950</v>
      </c>
      <c r="H31" s="12">
        <v>1445</v>
      </c>
      <c r="I31" s="17" t="s">
        <v>961</v>
      </c>
      <c r="J31" s="18">
        <v>54</v>
      </c>
      <c r="K31" s="19">
        <f t="shared" si="1"/>
        <v>520.43309999999997</v>
      </c>
      <c r="L31" s="27"/>
      <c r="M31" s="3">
        <v>47.79</v>
      </c>
      <c r="N31" s="15">
        <v>10.89</v>
      </c>
    </row>
    <row r="32" spans="1:14" ht="20.25" customHeight="1" x14ac:dyDescent="0.15">
      <c r="A32" s="60" t="s">
        <v>962</v>
      </c>
      <c r="B32" s="9" t="s">
        <v>107</v>
      </c>
      <c r="C32" s="58" t="s">
        <v>29</v>
      </c>
      <c r="D32" s="11" t="s">
        <v>574</v>
      </c>
      <c r="E32" s="10">
        <v>43</v>
      </c>
      <c r="F32" s="10" t="s">
        <v>11</v>
      </c>
      <c r="G32" s="12">
        <v>1393</v>
      </c>
      <c r="H32" s="12">
        <v>2035</v>
      </c>
      <c r="I32" s="17">
        <v>2</v>
      </c>
      <c r="J32" s="18">
        <v>2</v>
      </c>
      <c r="K32" s="19">
        <f t="shared" si="1"/>
        <v>61.637400000000007</v>
      </c>
      <c r="L32" s="27"/>
      <c r="M32" s="3">
        <v>5.66</v>
      </c>
      <c r="N32" s="15">
        <v>10.89</v>
      </c>
    </row>
    <row r="33" spans="1:14" ht="20.25" customHeight="1" x14ac:dyDescent="0.15">
      <c r="A33" s="60"/>
      <c r="B33" s="9"/>
      <c r="C33" s="58" t="s">
        <v>29</v>
      </c>
      <c r="D33" s="11" t="s">
        <v>963</v>
      </c>
      <c r="E33" s="10">
        <v>47</v>
      </c>
      <c r="F33" s="10" t="s">
        <v>11</v>
      </c>
      <c r="G33" s="12">
        <v>713</v>
      </c>
      <c r="H33" s="12">
        <v>2180</v>
      </c>
      <c r="I33" s="17">
        <v>1</v>
      </c>
      <c r="J33" s="18">
        <v>1</v>
      </c>
      <c r="K33" s="19">
        <f t="shared" si="1"/>
        <v>16.8795</v>
      </c>
      <c r="L33" s="27"/>
      <c r="M33" s="3">
        <v>1.55</v>
      </c>
      <c r="N33" s="15">
        <v>10.89</v>
      </c>
    </row>
    <row r="34" spans="1:14" s="15" customFormat="1" ht="20.25" customHeight="1" x14ac:dyDescent="0.15">
      <c r="A34" s="60" t="s">
        <v>964</v>
      </c>
      <c r="B34" s="9" t="s">
        <v>773</v>
      </c>
      <c r="C34" s="58" t="s">
        <v>29</v>
      </c>
      <c r="D34" s="11" t="s">
        <v>774</v>
      </c>
      <c r="E34" s="10">
        <v>43</v>
      </c>
      <c r="F34" s="58" t="s">
        <v>11</v>
      </c>
      <c r="G34" s="12">
        <v>1725</v>
      </c>
      <c r="H34" s="12">
        <v>1240</v>
      </c>
      <c r="I34" s="17" t="s">
        <v>389</v>
      </c>
      <c r="J34" s="18">
        <v>6</v>
      </c>
      <c r="K34" s="19">
        <f>+M34*N34</f>
        <v>82.655100000000004</v>
      </c>
      <c r="L34" s="20"/>
      <c r="M34" s="15">
        <v>7.59</v>
      </c>
      <c r="N34" s="15">
        <v>10.89</v>
      </c>
    </row>
    <row r="35" spans="1:14" s="15" customFormat="1" ht="20.25" customHeight="1" x14ac:dyDescent="0.15">
      <c r="A35" s="60" t="s">
        <v>965</v>
      </c>
      <c r="B35" s="9" t="s">
        <v>773</v>
      </c>
      <c r="C35" s="58" t="s">
        <v>29</v>
      </c>
      <c r="D35" s="11" t="s">
        <v>774</v>
      </c>
      <c r="E35" s="10">
        <v>43</v>
      </c>
      <c r="F35" s="58" t="s">
        <v>11</v>
      </c>
      <c r="G35" s="12">
        <v>1384</v>
      </c>
      <c r="H35" s="12">
        <v>764</v>
      </c>
      <c r="I35" s="17" t="s">
        <v>659</v>
      </c>
      <c r="J35" s="18">
        <v>5</v>
      </c>
      <c r="K35" s="19">
        <f>+M35*N35</f>
        <v>51.183000000000007</v>
      </c>
      <c r="L35" s="20"/>
      <c r="M35" s="15">
        <v>4.7</v>
      </c>
      <c r="N35" s="15">
        <v>10.89</v>
      </c>
    </row>
    <row r="36" spans="1:14" s="15" customFormat="1" ht="20.25" customHeight="1" x14ac:dyDescent="0.15">
      <c r="A36" s="60" t="s">
        <v>966</v>
      </c>
      <c r="B36" s="9" t="s">
        <v>180</v>
      </c>
      <c r="C36" s="58" t="s">
        <v>29</v>
      </c>
      <c r="D36" s="11" t="s">
        <v>880</v>
      </c>
      <c r="E36" s="10">
        <v>28</v>
      </c>
      <c r="F36" s="58" t="s">
        <v>11</v>
      </c>
      <c r="G36" s="12">
        <v>1010</v>
      </c>
      <c r="H36" s="12">
        <v>2025</v>
      </c>
      <c r="I36" s="17">
        <v>1</v>
      </c>
      <c r="J36" s="18">
        <v>1</v>
      </c>
      <c r="K36" s="19">
        <f>+M36*N36</f>
        <v>22.3245</v>
      </c>
      <c r="L36" s="20"/>
      <c r="M36" s="15">
        <v>2.0499999999999998</v>
      </c>
      <c r="N36" s="15">
        <v>10.89</v>
      </c>
    </row>
    <row r="37" spans="1:14" s="15" customFormat="1" ht="20.25" customHeight="1" x14ac:dyDescent="0.15">
      <c r="A37" s="60" t="s">
        <v>967</v>
      </c>
      <c r="B37" s="9" t="s">
        <v>178</v>
      </c>
      <c r="C37" s="58" t="s">
        <v>29</v>
      </c>
      <c r="D37" s="11" t="s">
        <v>247</v>
      </c>
      <c r="E37" s="10">
        <v>24</v>
      </c>
      <c r="F37" s="58" t="s">
        <v>11</v>
      </c>
      <c r="G37" s="12">
        <v>950</v>
      </c>
      <c r="H37" s="12">
        <v>1943</v>
      </c>
      <c r="I37" s="17" t="s">
        <v>968</v>
      </c>
      <c r="J37" s="18">
        <v>19</v>
      </c>
      <c r="K37" s="19">
        <f>+M37*N37</f>
        <v>258.41970000000003</v>
      </c>
      <c r="L37" s="14"/>
      <c r="M37" s="15">
        <v>23.73</v>
      </c>
      <c r="N37" s="15">
        <v>10.89</v>
      </c>
    </row>
    <row r="38" spans="1:14" ht="20.25" customHeight="1" x14ac:dyDescent="0.15">
      <c r="A38" s="60" t="s">
        <v>969</v>
      </c>
      <c r="B38" s="9" t="s">
        <v>647</v>
      </c>
      <c r="C38" s="58" t="s">
        <v>29</v>
      </c>
      <c r="D38" s="11" t="s">
        <v>156</v>
      </c>
      <c r="E38" s="10">
        <v>22</v>
      </c>
      <c r="F38" s="10" t="s">
        <v>11</v>
      </c>
      <c r="G38" s="12">
        <v>350</v>
      </c>
      <c r="H38" s="12">
        <v>500</v>
      </c>
      <c r="I38" s="17">
        <v>15</v>
      </c>
      <c r="J38" s="18">
        <v>15</v>
      </c>
      <c r="K38" s="19">
        <f t="shared" si="1"/>
        <v>45.738000000000007</v>
      </c>
      <c r="L38" s="27"/>
      <c r="M38" s="3">
        <v>4.2</v>
      </c>
      <c r="N38" s="15">
        <v>10.89</v>
      </c>
    </row>
    <row r="39" spans="1:14" ht="20.25" customHeight="1" x14ac:dyDescent="0.15">
      <c r="A39" s="60" t="s">
        <v>970</v>
      </c>
      <c r="B39" s="9" t="s">
        <v>178</v>
      </c>
      <c r="C39" s="58" t="s">
        <v>29</v>
      </c>
      <c r="D39" s="11" t="s">
        <v>247</v>
      </c>
      <c r="E39" s="10">
        <v>24</v>
      </c>
      <c r="F39" s="10" t="s">
        <v>11</v>
      </c>
      <c r="G39" s="12">
        <v>935</v>
      </c>
      <c r="H39" s="12">
        <v>725</v>
      </c>
      <c r="I39" s="17" t="s">
        <v>252</v>
      </c>
      <c r="J39" s="18">
        <v>8</v>
      </c>
      <c r="K39" s="19">
        <f t="shared" si="1"/>
        <v>65.122200000000007</v>
      </c>
      <c r="L39" s="27"/>
      <c r="M39" s="3">
        <v>5.98</v>
      </c>
      <c r="N39" s="15">
        <v>10.89</v>
      </c>
    </row>
    <row r="40" spans="1:14" ht="20.25" customHeight="1" x14ac:dyDescent="0.15">
      <c r="A40" s="60"/>
      <c r="B40" s="9"/>
      <c r="C40" s="58"/>
      <c r="D40" s="11"/>
      <c r="E40" s="10"/>
      <c r="F40" s="10"/>
      <c r="G40" s="12"/>
      <c r="H40" s="12"/>
      <c r="I40" s="17"/>
      <c r="J40" s="18"/>
      <c r="K40" s="19">
        <f t="shared" si="1"/>
        <v>0</v>
      </c>
      <c r="L40" s="27"/>
      <c r="N40" s="15">
        <v>10.89</v>
      </c>
    </row>
    <row r="41" spans="1:14" ht="20.25" customHeight="1" x14ac:dyDescent="0.15">
      <c r="A41" s="57"/>
      <c r="B41" s="28"/>
      <c r="C41" s="10"/>
      <c r="D41" s="29"/>
      <c r="E41" s="30"/>
      <c r="F41" s="30"/>
      <c r="G41" s="30"/>
      <c r="H41" s="30"/>
      <c r="I41" s="13"/>
      <c r="J41" s="48">
        <f>SUM(J21:J40)</f>
        <v>422</v>
      </c>
      <c r="K41" s="49">
        <f>SUM(K21:K40)</f>
        <v>4001.5304999999998</v>
      </c>
      <c r="L41" s="31"/>
      <c r="N41" s="32"/>
    </row>
    <row r="42" spans="1:14" ht="20.25" customHeight="1" thickBot="1" x14ac:dyDescent="0.2">
      <c r="A42" s="55"/>
      <c r="B42" s="33"/>
      <c r="C42" s="33"/>
      <c r="D42" s="33"/>
      <c r="E42" s="33"/>
      <c r="F42" s="33"/>
      <c r="G42" s="33"/>
      <c r="H42" s="33"/>
      <c r="I42" s="33"/>
      <c r="J42" s="34"/>
      <c r="K42" s="35"/>
      <c r="L42" s="36"/>
    </row>
    <row r="43" spans="1:14" ht="20.25" customHeight="1" thickBot="1" x14ac:dyDescent="0.2">
      <c r="A43" s="37" t="s">
        <v>19</v>
      </c>
      <c r="B43" s="38" t="s">
        <v>20</v>
      </c>
      <c r="C43" s="77" t="s">
        <v>21</v>
      </c>
      <c r="D43" s="79"/>
      <c r="E43" s="77" t="s">
        <v>22</v>
      </c>
      <c r="F43" s="78"/>
      <c r="G43" s="79"/>
      <c r="H43" s="85" t="s">
        <v>23</v>
      </c>
      <c r="I43" s="86"/>
      <c r="J43" s="77" t="s">
        <v>24</v>
      </c>
      <c r="K43" s="79"/>
      <c r="L43" s="39" t="s">
        <v>13</v>
      </c>
    </row>
    <row r="44" spans="1:14" ht="20.25" customHeight="1" thickBot="1" x14ac:dyDescent="0.2">
      <c r="A44" s="40">
        <f>SUMIF($C$8:$C$42,"U1",$J$8:$J$42)</f>
        <v>1</v>
      </c>
      <c r="B44" s="41">
        <f>SUMIF($C$8:$C$42,"U2",$J$8:$J$42)</f>
        <v>0</v>
      </c>
      <c r="C44" s="77">
        <f>SUMIF($C$8:$C$42,"U3-1",$J$8:$J$42)</f>
        <v>0</v>
      </c>
      <c r="D44" s="79"/>
      <c r="E44" s="77">
        <f>SUMIF($C$8:$C$42,"U3",$J$8:$J$42)</f>
        <v>901</v>
      </c>
      <c r="F44" s="78"/>
      <c r="G44" s="79"/>
      <c r="H44" s="77">
        <f>SUMIF($C$8:$C$42,"E5",$J$8:$J$42)</f>
        <v>0</v>
      </c>
      <c r="I44" s="79"/>
      <c r="J44" s="77">
        <f>SUM(A44:I44)</f>
        <v>902</v>
      </c>
      <c r="K44" s="79"/>
      <c r="L44" s="42"/>
    </row>
    <row r="45" spans="1:14" ht="20.25" customHeight="1" thickBot="1" x14ac:dyDescent="0.2">
      <c r="A45" s="43" t="s">
        <v>25</v>
      </c>
      <c r="B45" s="44" t="s">
        <v>26</v>
      </c>
      <c r="C45" s="75">
        <v>13876</v>
      </c>
      <c r="D45" s="76"/>
      <c r="E45" s="77" t="s">
        <v>27</v>
      </c>
      <c r="F45" s="78"/>
      <c r="G45" s="78"/>
      <c r="H45" s="78"/>
      <c r="I45" s="79"/>
      <c r="J45" s="80">
        <v>146744.37</v>
      </c>
      <c r="K45" s="81"/>
      <c r="L45" s="82"/>
    </row>
    <row r="47" spans="1:14" x14ac:dyDescent="0.15">
      <c r="D47" s="45"/>
    </row>
  </sheetData>
  <mergeCells count="26">
    <mergeCell ref="C45:D45"/>
    <mergeCell ref="E45:I45"/>
    <mergeCell ref="J45:L45"/>
    <mergeCell ref="L6:L7"/>
    <mergeCell ref="C43:D43"/>
    <mergeCell ref="E43:G43"/>
    <mergeCell ref="H43:I43"/>
    <mergeCell ref="J43:K43"/>
    <mergeCell ref="C44:D44"/>
    <mergeCell ref="E44:G44"/>
    <mergeCell ref="H44:I44"/>
    <mergeCell ref="J44:K44"/>
    <mergeCell ref="B5:G5"/>
    <mergeCell ref="A6:A7"/>
    <mergeCell ref="B6:B7"/>
    <mergeCell ref="C6:C7"/>
    <mergeCell ref="D6:D7"/>
    <mergeCell ref="E6:E7"/>
    <mergeCell ref="F6:F7"/>
    <mergeCell ref="G6:K6"/>
    <mergeCell ref="L2:L4"/>
    <mergeCell ref="A1:G3"/>
    <mergeCell ref="H1:H4"/>
    <mergeCell ref="I2:I4"/>
    <mergeCell ref="J2:J4"/>
    <mergeCell ref="K2:K4"/>
  </mergeCells>
  <phoneticPr fontId="2" type="noConversion"/>
  <printOptions horizontalCentered="1"/>
  <pageMargins left="0.39370078740157483" right="0.39370078740157483" top="0.74803149606299213" bottom="0.19685039370078741" header="0.31496062992125984" footer="0.15748031496062992"/>
  <pageSetup paperSize="9" scale="84"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N47"/>
  <sheetViews>
    <sheetView view="pageBreakPreview" zoomScaleSheetLayoutView="100" workbookViewId="0">
      <selection activeCell="B8" sqref="B8"/>
    </sheetView>
  </sheetViews>
  <sheetFormatPr defaultColWidth="8.88671875" defaultRowHeight="13.5" x14ac:dyDescent="0.15"/>
  <cols>
    <col min="1" max="1" width="8.44140625" style="3" customWidth="1"/>
    <col min="2" max="2" width="14.77734375" style="3" customWidth="1"/>
    <col min="3" max="3" width="4.109375" style="3" customWidth="1"/>
    <col min="4" max="4" width="15.21875" style="3" customWidth="1"/>
    <col min="5" max="5" width="4.44140625" style="3" customWidth="1"/>
    <col min="6" max="6" width="4" style="3" customWidth="1"/>
    <col min="7" max="7" width="5.5546875" style="3" customWidth="1"/>
    <col min="8" max="8" width="5.44140625" style="3" customWidth="1"/>
    <col min="9" max="9" width="7.88671875" style="3" customWidth="1"/>
    <col min="10" max="10" width="7.109375" style="3" customWidth="1"/>
    <col min="11" max="11" width="7.21875" style="3" customWidth="1"/>
    <col min="12" max="12" width="6.77734375" style="3" customWidth="1"/>
    <col min="13" max="16384" width="8.88671875" style="3"/>
  </cols>
  <sheetData>
    <row r="1" spans="1:14" ht="18.75" customHeight="1" x14ac:dyDescent="0.15">
      <c r="A1" s="101" t="s">
        <v>0</v>
      </c>
      <c r="B1" s="102"/>
      <c r="C1" s="102"/>
      <c r="D1" s="102"/>
      <c r="E1" s="102"/>
      <c r="F1" s="102"/>
      <c r="G1" s="103"/>
      <c r="H1" s="107" t="s">
        <v>1</v>
      </c>
      <c r="I1" s="1" t="s">
        <v>2</v>
      </c>
      <c r="J1" s="1" t="s">
        <v>2</v>
      </c>
      <c r="K1" s="1" t="s">
        <v>3</v>
      </c>
      <c r="L1" s="2" t="s">
        <v>4</v>
      </c>
    </row>
    <row r="2" spans="1:14" ht="13.5" customHeight="1" x14ac:dyDescent="0.15">
      <c r="A2" s="104"/>
      <c r="B2" s="105"/>
      <c r="C2" s="105"/>
      <c r="D2" s="105"/>
      <c r="E2" s="105"/>
      <c r="F2" s="105"/>
      <c r="G2" s="106"/>
      <c r="H2" s="108"/>
      <c r="I2" s="110"/>
      <c r="J2" s="110"/>
      <c r="K2" s="110"/>
      <c r="L2" s="98"/>
    </row>
    <row r="3" spans="1:14" ht="13.5" customHeight="1" x14ac:dyDescent="0.15">
      <c r="A3" s="104"/>
      <c r="B3" s="105"/>
      <c r="C3" s="105"/>
      <c r="D3" s="105"/>
      <c r="E3" s="105"/>
      <c r="F3" s="105"/>
      <c r="G3" s="106"/>
      <c r="H3" s="108"/>
      <c r="I3" s="108"/>
      <c r="J3" s="108"/>
      <c r="K3" s="108"/>
      <c r="L3" s="99"/>
    </row>
    <row r="4" spans="1:14" ht="33" customHeight="1" x14ac:dyDescent="0.15">
      <c r="A4" s="4"/>
      <c r="B4" s="5"/>
      <c r="C4" s="5"/>
      <c r="D4" s="5"/>
      <c r="E4" s="5"/>
      <c r="F4" s="5"/>
      <c r="G4" s="5"/>
      <c r="H4" s="109"/>
      <c r="I4" s="109"/>
      <c r="J4" s="109"/>
      <c r="K4" s="109"/>
      <c r="L4" s="100"/>
    </row>
    <row r="5" spans="1:14" ht="17.25" customHeight="1" x14ac:dyDescent="0.15">
      <c r="A5" s="6" t="s">
        <v>5</v>
      </c>
      <c r="B5" s="87">
        <v>46060</v>
      </c>
      <c r="C5" s="88"/>
      <c r="D5" s="88"/>
      <c r="E5" s="88"/>
      <c r="F5" s="88"/>
      <c r="G5" s="88"/>
      <c r="H5" s="5"/>
      <c r="I5" s="5"/>
      <c r="J5" s="5"/>
      <c r="K5" s="5"/>
      <c r="L5" s="7"/>
    </row>
    <row r="6" spans="1:14" ht="13.5" customHeight="1" x14ac:dyDescent="0.15">
      <c r="A6" s="89" t="s">
        <v>6</v>
      </c>
      <c r="B6" s="91" t="s">
        <v>7</v>
      </c>
      <c r="C6" s="91" t="s">
        <v>8</v>
      </c>
      <c r="D6" s="91" t="s">
        <v>9</v>
      </c>
      <c r="E6" s="93" t="s">
        <v>10</v>
      </c>
      <c r="F6" s="93" t="s">
        <v>11</v>
      </c>
      <c r="G6" s="95" t="s">
        <v>12</v>
      </c>
      <c r="H6" s="96"/>
      <c r="I6" s="96"/>
      <c r="J6" s="96"/>
      <c r="K6" s="97"/>
      <c r="L6" s="83" t="s">
        <v>13</v>
      </c>
    </row>
    <row r="7" spans="1:14" x14ac:dyDescent="0.15">
      <c r="A7" s="90"/>
      <c r="B7" s="92"/>
      <c r="C7" s="92"/>
      <c r="D7" s="92"/>
      <c r="E7" s="94"/>
      <c r="F7" s="94"/>
      <c r="G7" s="8" t="s">
        <v>14</v>
      </c>
      <c r="H7" s="8" t="s">
        <v>15</v>
      </c>
      <c r="I7" s="8" t="s">
        <v>16</v>
      </c>
      <c r="J7" s="8" t="s">
        <v>17</v>
      </c>
      <c r="K7" s="8" t="s">
        <v>18</v>
      </c>
      <c r="L7" s="84"/>
    </row>
    <row r="8" spans="1:14" s="15" customFormat="1" ht="20.25" customHeight="1" x14ac:dyDescent="0.15">
      <c r="A8" s="60" t="s">
        <v>947</v>
      </c>
      <c r="B8" s="9" t="s">
        <v>173</v>
      </c>
      <c r="C8" s="58" t="s">
        <v>29</v>
      </c>
      <c r="D8" s="11" t="s">
        <v>279</v>
      </c>
      <c r="E8" s="10">
        <v>25.76</v>
      </c>
      <c r="F8" s="58"/>
      <c r="G8" s="12">
        <v>1445</v>
      </c>
      <c r="H8" s="12">
        <v>690</v>
      </c>
      <c r="I8" s="17" t="s">
        <v>971</v>
      </c>
      <c r="J8" s="18">
        <v>119</v>
      </c>
      <c r="K8" s="19">
        <f>+M8*N8</f>
        <v>723.20489999999995</v>
      </c>
      <c r="L8" s="14"/>
      <c r="M8" s="15">
        <v>66.41</v>
      </c>
      <c r="N8" s="15">
        <v>10.89</v>
      </c>
    </row>
    <row r="9" spans="1:14" s="15" customFormat="1" ht="20.25" customHeight="1" x14ac:dyDescent="0.15">
      <c r="A9" s="60"/>
      <c r="B9" s="9"/>
      <c r="C9" s="58" t="s">
        <v>29</v>
      </c>
      <c r="D9" s="11" t="s">
        <v>188</v>
      </c>
      <c r="E9" s="10">
        <v>22</v>
      </c>
      <c r="F9" s="58"/>
      <c r="G9" s="12">
        <v>1665</v>
      </c>
      <c r="H9" s="12">
        <v>1238</v>
      </c>
      <c r="I9" s="17" t="s">
        <v>972</v>
      </c>
      <c r="J9" s="18">
        <v>52</v>
      </c>
      <c r="K9" s="19">
        <f t="shared" ref="K9:K23" si="0">+M9*N9</f>
        <v>676.92240000000004</v>
      </c>
      <c r="L9" s="14"/>
      <c r="M9" s="15">
        <v>62.16</v>
      </c>
      <c r="N9" s="15">
        <v>10.89</v>
      </c>
    </row>
    <row r="10" spans="1:14" s="15" customFormat="1" ht="20.25" customHeight="1" x14ac:dyDescent="0.15">
      <c r="A10" s="60" t="s">
        <v>928</v>
      </c>
      <c r="B10" s="9" t="s">
        <v>173</v>
      </c>
      <c r="C10" s="58" t="s">
        <v>29</v>
      </c>
      <c r="D10" s="11" t="s">
        <v>279</v>
      </c>
      <c r="E10" s="10">
        <v>25.76</v>
      </c>
      <c r="F10" s="58"/>
      <c r="G10" s="12">
        <v>1445</v>
      </c>
      <c r="H10" s="12">
        <v>690</v>
      </c>
      <c r="I10" s="17" t="s">
        <v>875</v>
      </c>
      <c r="J10" s="18">
        <f>12+152</f>
        <v>164</v>
      </c>
      <c r="K10" s="19">
        <f t="shared" si="0"/>
        <v>982.71360000000004</v>
      </c>
      <c r="L10" s="14"/>
      <c r="M10" s="15">
        <v>90.24</v>
      </c>
      <c r="N10" s="15">
        <v>10.89</v>
      </c>
    </row>
    <row r="11" spans="1:14" s="15" customFormat="1" ht="20.25" customHeight="1" x14ac:dyDescent="0.15">
      <c r="A11" s="60" t="s">
        <v>973</v>
      </c>
      <c r="B11" s="9" t="s">
        <v>187</v>
      </c>
      <c r="C11" s="58" t="s">
        <v>29</v>
      </c>
      <c r="D11" s="11" t="s">
        <v>769</v>
      </c>
      <c r="E11" s="10">
        <v>24</v>
      </c>
      <c r="F11" s="58" t="s">
        <v>11</v>
      </c>
      <c r="G11" s="12">
        <v>2080</v>
      </c>
      <c r="H11" s="12">
        <v>2355</v>
      </c>
      <c r="I11" s="17" t="s">
        <v>760</v>
      </c>
      <c r="J11" s="18">
        <v>13</v>
      </c>
      <c r="K11" s="19">
        <f t="shared" si="0"/>
        <v>256.35059999999999</v>
      </c>
      <c r="L11" s="14"/>
      <c r="M11" s="15">
        <v>23.54</v>
      </c>
      <c r="N11" s="15">
        <v>10.89</v>
      </c>
    </row>
    <row r="12" spans="1:14" s="15" customFormat="1" ht="20.25" customHeight="1" x14ac:dyDescent="0.15">
      <c r="A12" s="60" t="s">
        <v>974</v>
      </c>
      <c r="B12" s="9" t="s">
        <v>187</v>
      </c>
      <c r="C12" s="58" t="s">
        <v>29</v>
      </c>
      <c r="D12" s="11" t="s">
        <v>297</v>
      </c>
      <c r="E12" s="10">
        <v>24</v>
      </c>
      <c r="F12" s="58" t="s">
        <v>11</v>
      </c>
      <c r="G12" s="12">
        <v>775</v>
      </c>
      <c r="H12" s="12">
        <v>2305</v>
      </c>
      <c r="I12" s="17" t="s">
        <v>663</v>
      </c>
      <c r="J12" s="18">
        <v>15</v>
      </c>
      <c r="K12" s="19">
        <f t="shared" si="0"/>
        <v>94.851900000000015</v>
      </c>
      <c r="L12" s="14"/>
      <c r="M12" s="15">
        <v>8.7100000000000009</v>
      </c>
      <c r="N12" s="15">
        <v>10.89</v>
      </c>
    </row>
    <row r="13" spans="1:14" s="15" customFormat="1" ht="20.25" customHeight="1" x14ac:dyDescent="0.15">
      <c r="A13" s="60"/>
      <c r="B13" s="9"/>
      <c r="C13" s="58" t="s">
        <v>29</v>
      </c>
      <c r="D13" s="11" t="s">
        <v>294</v>
      </c>
      <c r="E13" s="10">
        <v>24</v>
      </c>
      <c r="F13" s="58" t="s">
        <v>11</v>
      </c>
      <c r="G13" s="12">
        <v>765</v>
      </c>
      <c r="H13" s="12">
        <v>2335</v>
      </c>
      <c r="I13" s="17" t="s">
        <v>324</v>
      </c>
      <c r="J13" s="18">
        <v>8</v>
      </c>
      <c r="K13" s="19">
        <f t="shared" si="0"/>
        <v>56.736900000000006</v>
      </c>
      <c r="L13" s="14"/>
      <c r="M13" s="15">
        <v>5.21</v>
      </c>
      <c r="N13" s="15">
        <v>10.89</v>
      </c>
    </row>
    <row r="14" spans="1:14" s="15" customFormat="1" ht="20.25" customHeight="1" x14ac:dyDescent="0.15">
      <c r="A14" s="60" t="s">
        <v>975</v>
      </c>
      <c r="B14" s="9" t="s">
        <v>187</v>
      </c>
      <c r="C14" s="58" t="s">
        <v>29</v>
      </c>
      <c r="D14" s="11" t="s">
        <v>297</v>
      </c>
      <c r="E14" s="10">
        <v>24</v>
      </c>
      <c r="F14" s="58" t="s">
        <v>11</v>
      </c>
      <c r="G14" s="12">
        <v>635</v>
      </c>
      <c r="H14" s="12">
        <v>1895</v>
      </c>
      <c r="I14" s="17" t="s">
        <v>976</v>
      </c>
      <c r="J14" s="18">
        <v>43</v>
      </c>
      <c r="K14" s="19">
        <f t="shared" si="0"/>
        <v>665.92349999999999</v>
      </c>
      <c r="L14" s="20"/>
      <c r="M14" s="15">
        <v>61.15</v>
      </c>
      <c r="N14" s="15">
        <v>10.89</v>
      </c>
    </row>
    <row r="15" spans="1:14" s="15" customFormat="1" ht="20.25" customHeight="1" x14ac:dyDescent="0.15">
      <c r="A15" s="60"/>
      <c r="B15" s="9"/>
      <c r="C15" s="58"/>
      <c r="D15" s="11"/>
      <c r="E15" s="10"/>
      <c r="F15" s="58"/>
      <c r="G15" s="12"/>
      <c r="H15" s="12"/>
      <c r="I15" s="17"/>
      <c r="J15" s="18"/>
      <c r="K15" s="19">
        <f t="shared" si="0"/>
        <v>0</v>
      </c>
      <c r="L15" s="20"/>
      <c r="N15" s="15">
        <v>10.89</v>
      </c>
    </row>
    <row r="16" spans="1:14" s="15" customFormat="1" ht="20.25" customHeight="1" x14ac:dyDescent="0.15">
      <c r="A16" s="60"/>
      <c r="B16" s="9"/>
      <c r="C16" s="58"/>
      <c r="D16" s="11"/>
      <c r="E16" s="10"/>
      <c r="F16" s="58"/>
      <c r="G16" s="12"/>
      <c r="H16" s="12"/>
      <c r="I16" s="17"/>
      <c r="J16" s="18"/>
      <c r="K16" s="19">
        <f t="shared" si="0"/>
        <v>0</v>
      </c>
      <c r="L16" s="20"/>
      <c r="N16" s="15">
        <v>10.89</v>
      </c>
    </row>
    <row r="17" spans="1:14" s="15" customFormat="1" ht="20.25" customHeight="1" x14ac:dyDescent="0.15">
      <c r="A17" s="60"/>
      <c r="B17" s="9"/>
      <c r="C17" s="58"/>
      <c r="D17" s="11"/>
      <c r="E17" s="10"/>
      <c r="F17" s="58"/>
      <c r="G17" s="12"/>
      <c r="H17" s="12"/>
      <c r="I17" s="17"/>
      <c r="J17" s="18"/>
      <c r="K17" s="19">
        <f t="shared" si="0"/>
        <v>0</v>
      </c>
      <c r="L17" s="20"/>
      <c r="N17" s="15">
        <v>10.89</v>
      </c>
    </row>
    <row r="18" spans="1:14" s="15" customFormat="1" ht="20.25" customHeight="1" x14ac:dyDescent="0.15">
      <c r="A18" s="60"/>
      <c r="B18" s="9"/>
      <c r="C18" s="58"/>
      <c r="D18" s="11"/>
      <c r="E18" s="10"/>
      <c r="F18" s="58"/>
      <c r="G18" s="12"/>
      <c r="H18" s="12"/>
      <c r="I18" s="17"/>
      <c r="J18" s="18"/>
      <c r="K18" s="19">
        <f t="shared" si="0"/>
        <v>0</v>
      </c>
      <c r="L18" s="20"/>
      <c r="N18" s="15">
        <v>10.89</v>
      </c>
    </row>
    <row r="19" spans="1:14" s="15" customFormat="1" ht="20.25" customHeight="1" x14ac:dyDescent="0.15">
      <c r="A19" s="60"/>
      <c r="B19" s="9"/>
      <c r="C19" s="58"/>
      <c r="D19" s="11"/>
      <c r="E19" s="10"/>
      <c r="F19" s="58"/>
      <c r="G19" s="12"/>
      <c r="H19" s="12"/>
      <c r="I19" s="17"/>
      <c r="J19" s="18"/>
      <c r="K19" s="19">
        <f t="shared" si="0"/>
        <v>0</v>
      </c>
      <c r="L19" s="20"/>
      <c r="N19" s="15">
        <v>10.89</v>
      </c>
    </row>
    <row r="20" spans="1:14" s="15" customFormat="1" ht="20.25" customHeight="1" x14ac:dyDescent="0.15">
      <c r="A20" s="60"/>
      <c r="B20" s="9"/>
      <c r="C20" s="58"/>
      <c r="D20" s="11"/>
      <c r="E20" s="10"/>
      <c r="F20" s="58"/>
      <c r="G20" s="12"/>
      <c r="H20" s="12"/>
      <c r="I20" s="17"/>
      <c r="J20" s="18"/>
      <c r="K20" s="19">
        <f t="shared" si="0"/>
        <v>0</v>
      </c>
      <c r="L20" s="20"/>
      <c r="N20" s="15">
        <v>10.89</v>
      </c>
    </row>
    <row r="21" spans="1:14" s="15" customFormat="1" ht="20.25" customHeight="1" x14ac:dyDescent="0.15">
      <c r="A21" s="60"/>
      <c r="B21" s="9"/>
      <c r="C21" s="58"/>
      <c r="D21" s="11"/>
      <c r="E21" s="10"/>
      <c r="F21" s="58"/>
      <c r="G21" s="50"/>
      <c r="H21" s="50"/>
      <c r="I21" s="17"/>
      <c r="J21" s="18"/>
      <c r="K21" s="19">
        <f t="shared" si="0"/>
        <v>0</v>
      </c>
      <c r="L21" s="20"/>
      <c r="N21" s="15">
        <v>10.89</v>
      </c>
    </row>
    <row r="22" spans="1:14" s="15" customFormat="1" ht="20.25" customHeight="1" x14ac:dyDescent="0.15">
      <c r="A22" s="60"/>
      <c r="B22" s="9"/>
      <c r="C22" s="58"/>
      <c r="D22" s="11"/>
      <c r="E22" s="10"/>
      <c r="F22" s="58"/>
      <c r="G22" s="50"/>
      <c r="H22" s="50"/>
      <c r="I22" s="17"/>
      <c r="J22" s="18"/>
      <c r="K22" s="19">
        <f t="shared" si="0"/>
        <v>0</v>
      </c>
      <c r="L22" s="20"/>
      <c r="N22" s="15">
        <v>10.89</v>
      </c>
    </row>
    <row r="23" spans="1:14" ht="20.25" customHeight="1" x14ac:dyDescent="0.15">
      <c r="A23" s="60"/>
      <c r="B23" s="9"/>
      <c r="C23" s="58"/>
      <c r="D23" s="11"/>
      <c r="E23" s="10"/>
      <c r="F23" s="58"/>
      <c r="G23" s="16"/>
      <c r="H23" s="16"/>
      <c r="I23" s="17"/>
      <c r="J23" s="18"/>
      <c r="K23" s="19">
        <f t="shared" si="0"/>
        <v>0</v>
      </c>
      <c r="L23" s="20"/>
      <c r="N23" s="15">
        <v>10.89</v>
      </c>
    </row>
    <row r="24" spans="1:14" ht="20.25" customHeight="1" thickBot="1" x14ac:dyDescent="0.2">
      <c r="A24" s="56"/>
      <c r="B24" s="21"/>
      <c r="C24" s="59"/>
      <c r="D24" s="22"/>
      <c r="E24" s="23"/>
      <c r="F24" s="23"/>
      <c r="G24" s="24"/>
      <c r="H24" s="24"/>
      <c r="I24" s="25"/>
      <c r="J24" s="46">
        <f>SUM(J8:J23)</f>
        <v>414</v>
      </c>
      <c r="K24" s="47">
        <f>SUM(K8:K23)</f>
        <v>3456.7037999999998</v>
      </c>
      <c r="L24" s="26"/>
    </row>
    <row r="25" spans="1:14" ht="20.25" customHeight="1" thickTop="1" x14ac:dyDescent="0.15">
      <c r="A25" s="60" t="s">
        <v>977</v>
      </c>
      <c r="B25" s="9" t="s">
        <v>101</v>
      </c>
      <c r="C25" s="58" t="s">
        <v>29</v>
      </c>
      <c r="D25" s="11" t="s">
        <v>332</v>
      </c>
      <c r="E25" s="10">
        <v>22</v>
      </c>
      <c r="F25" s="10"/>
      <c r="G25" s="12">
        <v>640</v>
      </c>
      <c r="H25" s="12">
        <v>805</v>
      </c>
      <c r="I25" s="17">
        <v>44</v>
      </c>
      <c r="J25" s="18">
        <v>44</v>
      </c>
      <c r="K25" s="19">
        <f t="shared" ref="K25:K40" si="1">+M25*N25</f>
        <v>249.16319999999999</v>
      </c>
      <c r="L25" s="54"/>
      <c r="M25" s="3">
        <v>22.88</v>
      </c>
      <c r="N25" s="15">
        <v>10.89</v>
      </c>
    </row>
    <row r="26" spans="1:14" ht="20.25" customHeight="1" x14ac:dyDescent="0.15">
      <c r="A26" s="60"/>
      <c r="B26" s="9"/>
      <c r="C26" s="58" t="s">
        <v>29</v>
      </c>
      <c r="D26" s="11" t="s">
        <v>331</v>
      </c>
      <c r="E26" s="10">
        <v>22</v>
      </c>
      <c r="F26" s="10"/>
      <c r="G26" s="12">
        <v>637</v>
      </c>
      <c r="H26" s="12">
        <v>1764</v>
      </c>
      <c r="I26" s="17" t="s">
        <v>718</v>
      </c>
      <c r="J26" s="18">
        <v>174</v>
      </c>
      <c r="K26" s="19">
        <f t="shared" si="1"/>
        <v>2122.2431999999999</v>
      </c>
      <c r="L26" s="54"/>
      <c r="M26" s="3">
        <v>194.88</v>
      </c>
      <c r="N26" s="15">
        <v>10.89</v>
      </c>
    </row>
    <row r="27" spans="1:14" ht="20.25" customHeight="1" x14ac:dyDescent="0.15">
      <c r="A27" s="61" t="s">
        <v>978</v>
      </c>
      <c r="B27" s="9" t="s">
        <v>31</v>
      </c>
      <c r="C27" s="58" t="s">
        <v>29</v>
      </c>
      <c r="D27" s="11" t="s">
        <v>247</v>
      </c>
      <c r="E27" s="10">
        <v>24</v>
      </c>
      <c r="F27" s="10" t="s">
        <v>11</v>
      </c>
      <c r="G27" s="12">
        <v>1465</v>
      </c>
      <c r="H27" s="12">
        <v>1445</v>
      </c>
      <c r="I27" s="17" t="s">
        <v>980</v>
      </c>
      <c r="J27" s="18">
        <v>54</v>
      </c>
      <c r="K27" s="19">
        <f t="shared" si="1"/>
        <v>649.80630000000008</v>
      </c>
      <c r="L27" s="54"/>
      <c r="M27" s="3">
        <v>59.67</v>
      </c>
      <c r="N27" s="15">
        <v>10.89</v>
      </c>
    </row>
    <row r="28" spans="1:14" ht="20.25" customHeight="1" x14ac:dyDescent="0.15">
      <c r="A28" s="61"/>
      <c r="B28" s="9"/>
      <c r="C28" s="58" t="s">
        <v>29</v>
      </c>
      <c r="D28" s="11" t="s">
        <v>979</v>
      </c>
      <c r="E28" s="10">
        <v>24</v>
      </c>
      <c r="F28" s="10" t="s">
        <v>11</v>
      </c>
      <c r="G28" s="12">
        <v>1195</v>
      </c>
      <c r="H28" s="12">
        <v>1445</v>
      </c>
      <c r="I28" s="17">
        <v>3</v>
      </c>
      <c r="J28" s="18">
        <v>3</v>
      </c>
      <c r="K28" s="19">
        <f t="shared" si="1"/>
        <v>56.519100000000009</v>
      </c>
      <c r="L28" s="54"/>
      <c r="M28" s="3">
        <v>5.19</v>
      </c>
      <c r="N28" s="15">
        <v>10.89</v>
      </c>
    </row>
    <row r="29" spans="1:14" ht="20.25" customHeight="1" x14ac:dyDescent="0.15">
      <c r="A29" s="61" t="s">
        <v>981</v>
      </c>
      <c r="B29" s="9" t="s">
        <v>31</v>
      </c>
      <c r="C29" s="58" t="s">
        <v>29</v>
      </c>
      <c r="D29" s="11" t="s">
        <v>247</v>
      </c>
      <c r="E29" s="10">
        <v>24</v>
      </c>
      <c r="F29" s="10" t="s">
        <v>11</v>
      </c>
      <c r="G29" s="12">
        <v>1465</v>
      </c>
      <c r="H29" s="12">
        <v>1415</v>
      </c>
      <c r="I29" s="17" t="s">
        <v>982</v>
      </c>
      <c r="J29" s="18">
        <v>33</v>
      </c>
      <c r="K29" s="19">
        <f t="shared" si="1"/>
        <v>369.93330000000003</v>
      </c>
      <c r="L29" s="54"/>
      <c r="M29" s="3">
        <v>33.97</v>
      </c>
      <c r="N29" s="15">
        <v>10.89</v>
      </c>
    </row>
    <row r="30" spans="1:14" ht="20.25" customHeight="1" x14ac:dyDescent="0.15">
      <c r="A30" s="61" t="s">
        <v>984</v>
      </c>
      <c r="B30" s="9" t="s">
        <v>31</v>
      </c>
      <c r="C30" s="58" t="s">
        <v>29</v>
      </c>
      <c r="D30" s="11" t="s">
        <v>247</v>
      </c>
      <c r="E30" s="10">
        <v>24</v>
      </c>
      <c r="F30" s="10" t="s">
        <v>11</v>
      </c>
      <c r="G30" s="12">
        <v>1075</v>
      </c>
      <c r="H30" s="12">
        <v>1055</v>
      </c>
      <c r="I30" s="51" t="s">
        <v>985</v>
      </c>
      <c r="J30" s="52">
        <v>34</v>
      </c>
      <c r="K30" s="53">
        <f t="shared" si="1"/>
        <v>326.48220000000003</v>
      </c>
      <c r="L30" s="54"/>
      <c r="M30" s="3">
        <v>29.98</v>
      </c>
      <c r="N30" s="15">
        <v>10.89</v>
      </c>
    </row>
    <row r="31" spans="1:14" ht="20.25" customHeight="1" x14ac:dyDescent="0.15">
      <c r="A31" s="61" t="s">
        <v>987</v>
      </c>
      <c r="B31" s="9" t="s">
        <v>31</v>
      </c>
      <c r="C31" s="58" t="s">
        <v>29</v>
      </c>
      <c r="D31" s="11" t="s">
        <v>247</v>
      </c>
      <c r="E31" s="10">
        <v>24</v>
      </c>
      <c r="F31" s="10" t="s">
        <v>11</v>
      </c>
      <c r="G31" s="12">
        <v>995</v>
      </c>
      <c r="H31" s="12">
        <v>1355</v>
      </c>
      <c r="I31" s="51" t="s">
        <v>988</v>
      </c>
      <c r="J31" s="52">
        <v>45</v>
      </c>
      <c r="K31" s="53">
        <f t="shared" si="1"/>
        <v>313.84980000000002</v>
      </c>
      <c r="L31" s="54"/>
      <c r="M31" s="3">
        <v>28.82</v>
      </c>
      <c r="N31" s="15">
        <v>10.89</v>
      </c>
    </row>
    <row r="32" spans="1:14" ht="20.25" customHeight="1" x14ac:dyDescent="0.15">
      <c r="A32" s="60" t="s">
        <v>962</v>
      </c>
      <c r="B32" s="9" t="s">
        <v>107</v>
      </c>
      <c r="C32" s="58" t="s">
        <v>29</v>
      </c>
      <c r="D32" s="11" t="s">
        <v>574</v>
      </c>
      <c r="E32" s="10">
        <v>43</v>
      </c>
      <c r="F32" s="10" t="s">
        <v>11</v>
      </c>
      <c r="G32" s="12">
        <v>685</v>
      </c>
      <c r="H32" s="12">
        <v>1970</v>
      </c>
      <c r="I32" s="17" t="s">
        <v>366</v>
      </c>
      <c r="J32" s="18">
        <v>4</v>
      </c>
      <c r="K32" s="19">
        <f t="shared" si="1"/>
        <v>47.480400000000003</v>
      </c>
      <c r="L32" s="27"/>
      <c r="M32" s="3">
        <v>4.3600000000000003</v>
      </c>
      <c r="N32" s="15">
        <v>10.89</v>
      </c>
    </row>
    <row r="33" spans="1:14" ht="20.25" customHeight="1" x14ac:dyDescent="0.15">
      <c r="A33" s="60"/>
      <c r="B33" s="9"/>
      <c r="C33" s="58" t="s">
        <v>29</v>
      </c>
      <c r="D33" s="11" t="s">
        <v>963</v>
      </c>
      <c r="E33" s="10">
        <v>47</v>
      </c>
      <c r="F33" s="10" t="s">
        <v>11</v>
      </c>
      <c r="G33" s="12">
        <v>713</v>
      </c>
      <c r="H33" s="12">
        <v>2180</v>
      </c>
      <c r="I33" s="17">
        <v>4</v>
      </c>
      <c r="J33" s="18">
        <v>4</v>
      </c>
      <c r="K33" s="19">
        <f t="shared" si="1"/>
        <v>67.518000000000001</v>
      </c>
      <c r="L33" s="27"/>
      <c r="M33" s="3">
        <v>6.2</v>
      </c>
      <c r="N33" s="15">
        <v>10.89</v>
      </c>
    </row>
    <row r="34" spans="1:14" ht="20.25" customHeight="1" x14ac:dyDescent="0.15">
      <c r="A34" s="60"/>
      <c r="B34" s="9"/>
      <c r="C34" s="58" t="s">
        <v>29</v>
      </c>
      <c r="D34" s="11" t="s">
        <v>575</v>
      </c>
      <c r="E34" s="10">
        <v>24</v>
      </c>
      <c r="F34" s="10" t="s">
        <v>11</v>
      </c>
      <c r="G34" s="12">
        <v>2555</v>
      </c>
      <c r="H34" s="12">
        <v>440</v>
      </c>
      <c r="I34" s="17">
        <v>1</v>
      </c>
      <c r="J34" s="18">
        <v>1</v>
      </c>
      <c r="K34" s="19">
        <f t="shared" si="1"/>
        <v>12.196800000000001</v>
      </c>
      <c r="L34" s="27"/>
      <c r="M34" s="3">
        <v>1.1200000000000001</v>
      </c>
      <c r="N34" s="15">
        <v>10.89</v>
      </c>
    </row>
    <row r="35" spans="1:14" ht="20.25" customHeight="1" x14ac:dyDescent="0.15">
      <c r="A35" s="60" t="s">
        <v>989</v>
      </c>
      <c r="B35" s="9" t="s">
        <v>127</v>
      </c>
      <c r="C35" s="58" t="s">
        <v>29</v>
      </c>
      <c r="D35" s="11" t="s">
        <v>378</v>
      </c>
      <c r="E35" s="10">
        <v>28</v>
      </c>
      <c r="F35" s="10" t="s">
        <v>11</v>
      </c>
      <c r="G35" s="12">
        <v>985</v>
      </c>
      <c r="H35" s="12">
        <v>2835</v>
      </c>
      <c r="I35" s="17" t="s">
        <v>740</v>
      </c>
      <c r="J35" s="18">
        <v>21</v>
      </c>
      <c r="K35" s="19">
        <f t="shared" si="1"/>
        <v>297.62369999999999</v>
      </c>
      <c r="L35" s="27"/>
      <c r="M35" s="3">
        <v>27.33</v>
      </c>
      <c r="N35" s="15">
        <v>10.89</v>
      </c>
    </row>
    <row r="36" spans="1:14" ht="20.25" customHeight="1" x14ac:dyDescent="0.15">
      <c r="A36" s="60"/>
      <c r="B36" s="9"/>
      <c r="C36" s="58"/>
      <c r="D36" s="11"/>
      <c r="E36" s="10"/>
      <c r="F36" s="10"/>
      <c r="G36" s="12"/>
      <c r="H36" s="12"/>
      <c r="I36" s="17"/>
      <c r="J36" s="18"/>
      <c r="K36" s="19">
        <f t="shared" si="1"/>
        <v>0</v>
      </c>
      <c r="L36" s="27"/>
      <c r="N36" s="15">
        <v>10.89</v>
      </c>
    </row>
    <row r="37" spans="1:14" ht="20.25" customHeight="1" x14ac:dyDescent="0.15">
      <c r="A37" s="60"/>
      <c r="B37" s="9"/>
      <c r="C37" s="58"/>
      <c r="D37" s="11"/>
      <c r="E37" s="10"/>
      <c r="F37" s="10"/>
      <c r="G37" s="12"/>
      <c r="H37" s="12"/>
      <c r="I37" s="17"/>
      <c r="J37" s="18"/>
      <c r="K37" s="19">
        <f t="shared" si="1"/>
        <v>0</v>
      </c>
      <c r="L37" s="27"/>
      <c r="N37" s="15">
        <v>10.89</v>
      </c>
    </row>
    <row r="38" spans="1:14" ht="20.25" customHeight="1" x14ac:dyDescent="0.15">
      <c r="A38" s="60"/>
      <c r="B38" s="9"/>
      <c r="C38" s="58"/>
      <c r="D38" s="11"/>
      <c r="E38" s="10"/>
      <c r="F38" s="10"/>
      <c r="G38" s="12"/>
      <c r="H38" s="12"/>
      <c r="I38" s="17"/>
      <c r="J38" s="18"/>
      <c r="K38" s="19">
        <f t="shared" si="1"/>
        <v>0</v>
      </c>
      <c r="L38" s="27"/>
      <c r="N38" s="15">
        <v>10.89</v>
      </c>
    </row>
    <row r="39" spans="1:14" ht="20.25" customHeight="1" x14ac:dyDescent="0.15">
      <c r="A39" s="60"/>
      <c r="B39" s="9"/>
      <c r="C39" s="58"/>
      <c r="D39" s="11"/>
      <c r="E39" s="10"/>
      <c r="F39" s="10"/>
      <c r="G39" s="12"/>
      <c r="H39" s="12"/>
      <c r="I39" s="17"/>
      <c r="J39" s="18"/>
      <c r="K39" s="19">
        <f t="shared" si="1"/>
        <v>0</v>
      </c>
      <c r="L39" s="27"/>
      <c r="N39" s="15">
        <v>10.89</v>
      </c>
    </row>
    <row r="40" spans="1:14" ht="20.25" customHeight="1" x14ac:dyDescent="0.15">
      <c r="A40" s="60"/>
      <c r="B40" s="9"/>
      <c r="C40" s="58"/>
      <c r="D40" s="11"/>
      <c r="E40" s="10"/>
      <c r="F40" s="10"/>
      <c r="G40" s="12"/>
      <c r="H40" s="12"/>
      <c r="I40" s="17"/>
      <c r="J40" s="18"/>
      <c r="K40" s="19">
        <f t="shared" si="1"/>
        <v>0</v>
      </c>
      <c r="L40" s="27"/>
      <c r="N40" s="15">
        <v>10.89</v>
      </c>
    </row>
    <row r="41" spans="1:14" ht="20.25" customHeight="1" x14ac:dyDescent="0.15">
      <c r="A41" s="57"/>
      <c r="B41" s="28"/>
      <c r="C41" s="10"/>
      <c r="D41" s="29"/>
      <c r="E41" s="30"/>
      <c r="F41" s="30"/>
      <c r="G41" s="30"/>
      <c r="H41" s="30"/>
      <c r="I41" s="13"/>
      <c r="J41" s="48">
        <f>SUM(J25:J40)</f>
        <v>417</v>
      </c>
      <c r="K41" s="49">
        <f>SUM(K25:K40)</f>
        <v>4512.8159999999998</v>
      </c>
      <c r="L41" s="31"/>
      <c r="N41" s="32"/>
    </row>
    <row r="42" spans="1:14" ht="20.25" customHeight="1" thickBot="1" x14ac:dyDescent="0.2">
      <c r="A42" s="55"/>
      <c r="B42" s="33"/>
      <c r="C42" s="33"/>
      <c r="D42" s="33"/>
      <c r="E42" s="33"/>
      <c r="F42" s="33"/>
      <c r="G42" s="33"/>
      <c r="H42" s="33"/>
      <c r="I42" s="33"/>
      <c r="J42" s="34"/>
      <c r="K42" s="35"/>
      <c r="L42" s="36"/>
    </row>
    <row r="43" spans="1:14" ht="20.25" customHeight="1" thickBot="1" x14ac:dyDescent="0.2">
      <c r="A43" s="37" t="s">
        <v>19</v>
      </c>
      <c r="B43" s="38" t="s">
        <v>20</v>
      </c>
      <c r="C43" s="77" t="s">
        <v>21</v>
      </c>
      <c r="D43" s="79"/>
      <c r="E43" s="77" t="s">
        <v>22</v>
      </c>
      <c r="F43" s="78"/>
      <c r="G43" s="79"/>
      <c r="H43" s="85" t="s">
        <v>23</v>
      </c>
      <c r="I43" s="86"/>
      <c r="J43" s="77" t="s">
        <v>24</v>
      </c>
      <c r="K43" s="79"/>
      <c r="L43" s="39" t="s">
        <v>13</v>
      </c>
    </row>
    <row r="44" spans="1:14" ht="20.25" customHeight="1" thickBot="1" x14ac:dyDescent="0.2">
      <c r="A44" s="40">
        <f>SUMIF($C$8:$C$42,"U1",$J$8:$J$42)</f>
        <v>0</v>
      </c>
      <c r="B44" s="41">
        <f>SUMIF($C$8:$C$42,"U2",$J$8:$J$42)</f>
        <v>0</v>
      </c>
      <c r="C44" s="77">
        <f>SUMIF($C$8:$C$42,"U3-1",$J$8:$J$42)</f>
        <v>0</v>
      </c>
      <c r="D44" s="79"/>
      <c r="E44" s="77">
        <f>SUMIF($C$8:$C$42,"U3",$J$8:$J$42)</f>
        <v>831</v>
      </c>
      <c r="F44" s="78"/>
      <c r="G44" s="79"/>
      <c r="H44" s="77">
        <f>SUMIF($C$8:$C$42,"E5",$J$8:$J$42)</f>
        <v>0</v>
      </c>
      <c r="I44" s="79"/>
      <c r="J44" s="77">
        <f>SUM(A44:I44)</f>
        <v>831</v>
      </c>
      <c r="K44" s="79"/>
      <c r="L44" s="42"/>
    </row>
    <row r="45" spans="1:14" ht="20.25" customHeight="1" thickBot="1" x14ac:dyDescent="0.2">
      <c r="A45" s="43" t="s">
        <v>25</v>
      </c>
      <c r="B45" s="44" t="s">
        <v>26</v>
      </c>
      <c r="C45" s="75">
        <v>13876</v>
      </c>
      <c r="D45" s="76"/>
      <c r="E45" s="77" t="s">
        <v>27</v>
      </c>
      <c r="F45" s="78"/>
      <c r="G45" s="78"/>
      <c r="H45" s="78"/>
      <c r="I45" s="79"/>
      <c r="J45" s="80">
        <v>146744.37</v>
      </c>
      <c r="K45" s="81"/>
      <c r="L45" s="82"/>
    </row>
    <row r="47" spans="1:14" x14ac:dyDescent="0.15">
      <c r="D47" s="45"/>
    </row>
  </sheetData>
  <mergeCells count="26">
    <mergeCell ref="C45:D45"/>
    <mergeCell ref="E45:I45"/>
    <mergeCell ref="J45:L45"/>
    <mergeCell ref="L6:L7"/>
    <mergeCell ref="C43:D43"/>
    <mergeCell ref="E43:G43"/>
    <mergeCell ref="H43:I43"/>
    <mergeCell ref="J43:K43"/>
    <mergeCell ref="C44:D44"/>
    <mergeCell ref="E44:G44"/>
    <mergeCell ref="H44:I44"/>
    <mergeCell ref="J44:K44"/>
    <mergeCell ref="B5:G5"/>
    <mergeCell ref="A6:A7"/>
    <mergeCell ref="B6:B7"/>
    <mergeCell ref="C6:C7"/>
    <mergeCell ref="D6:D7"/>
    <mergeCell ref="E6:E7"/>
    <mergeCell ref="F6:F7"/>
    <mergeCell ref="G6:K6"/>
    <mergeCell ref="L2:L4"/>
    <mergeCell ref="A1:G3"/>
    <mergeCell ref="H1:H4"/>
    <mergeCell ref="I2:I4"/>
    <mergeCell ref="J2:J4"/>
    <mergeCell ref="K2:K4"/>
  </mergeCells>
  <phoneticPr fontId="2" type="noConversion"/>
  <printOptions horizontalCentered="1"/>
  <pageMargins left="0.39370078740157483" right="0.39370078740157483" top="0.74803149606299213" bottom="0.19685039370078741" header="0.31496062992125984" footer="0.15748031496062992"/>
  <pageSetup paperSize="9" scale="84"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N47"/>
  <sheetViews>
    <sheetView view="pageBreakPreview" topLeftCell="A13" zoomScaleSheetLayoutView="100" workbookViewId="0">
      <selection activeCell="D22" sqref="D22:F22"/>
    </sheetView>
  </sheetViews>
  <sheetFormatPr defaultColWidth="8.88671875" defaultRowHeight="13.5" x14ac:dyDescent="0.15"/>
  <cols>
    <col min="1" max="1" width="8.44140625" style="3" customWidth="1"/>
    <col min="2" max="2" width="14.77734375" style="3" customWidth="1"/>
    <col min="3" max="3" width="4.109375" style="3" customWidth="1"/>
    <col min="4" max="4" width="15.21875" style="3" customWidth="1"/>
    <col min="5" max="5" width="4.44140625" style="3" customWidth="1"/>
    <col min="6" max="6" width="4" style="3" customWidth="1"/>
    <col min="7" max="7" width="5.5546875" style="3" customWidth="1"/>
    <col min="8" max="8" width="5.44140625" style="3" customWidth="1"/>
    <col min="9" max="9" width="7.88671875" style="3" customWidth="1"/>
    <col min="10" max="10" width="7.109375" style="3" customWidth="1"/>
    <col min="11" max="11" width="7.21875" style="3" customWidth="1"/>
    <col min="12" max="12" width="6.77734375" style="3" customWidth="1"/>
    <col min="13" max="16384" width="8.88671875" style="3"/>
  </cols>
  <sheetData>
    <row r="1" spans="1:14" ht="18.75" customHeight="1" x14ac:dyDescent="0.15">
      <c r="A1" s="101" t="s">
        <v>0</v>
      </c>
      <c r="B1" s="102"/>
      <c r="C1" s="102"/>
      <c r="D1" s="102"/>
      <c r="E1" s="102"/>
      <c r="F1" s="102"/>
      <c r="G1" s="103"/>
      <c r="H1" s="107" t="s">
        <v>1</v>
      </c>
      <c r="I1" s="1" t="s">
        <v>2</v>
      </c>
      <c r="J1" s="1" t="s">
        <v>2</v>
      </c>
      <c r="K1" s="1" t="s">
        <v>3</v>
      </c>
      <c r="L1" s="2" t="s">
        <v>4</v>
      </c>
    </row>
    <row r="2" spans="1:14" ht="13.5" customHeight="1" x14ac:dyDescent="0.15">
      <c r="A2" s="104"/>
      <c r="B2" s="105"/>
      <c r="C2" s="105"/>
      <c r="D2" s="105"/>
      <c r="E2" s="105"/>
      <c r="F2" s="105"/>
      <c r="G2" s="106"/>
      <c r="H2" s="108"/>
      <c r="I2" s="110"/>
      <c r="J2" s="110"/>
      <c r="K2" s="110"/>
      <c r="L2" s="98"/>
    </row>
    <row r="3" spans="1:14" ht="13.5" customHeight="1" x14ac:dyDescent="0.15">
      <c r="A3" s="104"/>
      <c r="B3" s="105"/>
      <c r="C3" s="105"/>
      <c r="D3" s="105"/>
      <c r="E3" s="105"/>
      <c r="F3" s="105"/>
      <c r="G3" s="106"/>
      <c r="H3" s="108"/>
      <c r="I3" s="108"/>
      <c r="J3" s="108"/>
      <c r="K3" s="108"/>
      <c r="L3" s="99"/>
    </row>
    <row r="4" spans="1:14" ht="33" customHeight="1" x14ac:dyDescent="0.15">
      <c r="A4" s="4"/>
      <c r="B4" s="5"/>
      <c r="C4" s="5"/>
      <c r="D4" s="5"/>
      <c r="E4" s="5"/>
      <c r="F4" s="5"/>
      <c r="G4" s="5"/>
      <c r="H4" s="109"/>
      <c r="I4" s="109"/>
      <c r="J4" s="109"/>
      <c r="K4" s="109"/>
      <c r="L4" s="100"/>
    </row>
    <row r="5" spans="1:14" ht="17.25" customHeight="1" x14ac:dyDescent="0.15">
      <c r="A5" s="6" t="s">
        <v>5</v>
      </c>
      <c r="B5" s="87">
        <v>46062</v>
      </c>
      <c r="C5" s="88"/>
      <c r="D5" s="88"/>
      <c r="E5" s="88"/>
      <c r="F5" s="88"/>
      <c r="G5" s="88"/>
      <c r="H5" s="5"/>
      <c r="I5" s="5"/>
      <c r="J5" s="5"/>
      <c r="K5" s="5"/>
      <c r="L5" s="7"/>
    </row>
    <row r="6" spans="1:14" ht="13.5" customHeight="1" x14ac:dyDescent="0.15">
      <c r="A6" s="89" t="s">
        <v>6</v>
      </c>
      <c r="B6" s="91" t="s">
        <v>7</v>
      </c>
      <c r="C6" s="91" t="s">
        <v>8</v>
      </c>
      <c r="D6" s="91" t="s">
        <v>9</v>
      </c>
      <c r="E6" s="93" t="s">
        <v>10</v>
      </c>
      <c r="F6" s="93" t="s">
        <v>11</v>
      </c>
      <c r="G6" s="95" t="s">
        <v>12</v>
      </c>
      <c r="H6" s="96"/>
      <c r="I6" s="96"/>
      <c r="J6" s="96"/>
      <c r="K6" s="97"/>
      <c r="L6" s="83" t="s">
        <v>13</v>
      </c>
    </row>
    <row r="7" spans="1:14" x14ac:dyDescent="0.15">
      <c r="A7" s="90"/>
      <c r="B7" s="92"/>
      <c r="C7" s="92"/>
      <c r="D7" s="92"/>
      <c r="E7" s="94"/>
      <c r="F7" s="94"/>
      <c r="G7" s="8" t="s">
        <v>14</v>
      </c>
      <c r="H7" s="8" t="s">
        <v>15</v>
      </c>
      <c r="I7" s="8" t="s">
        <v>16</v>
      </c>
      <c r="J7" s="8" t="s">
        <v>17</v>
      </c>
      <c r="K7" s="8" t="s">
        <v>18</v>
      </c>
      <c r="L7" s="84"/>
    </row>
    <row r="8" spans="1:14" s="15" customFormat="1" ht="20.25" customHeight="1" x14ac:dyDescent="0.15">
      <c r="A8" s="60" t="s">
        <v>888</v>
      </c>
      <c r="B8" s="9" t="s">
        <v>138</v>
      </c>
      <c r="C8" s="58" t="s">
        <v>29</v>
      </c>
      <c r="D8" s="11" t="s">
        <v>403</v>
      </c>
      <c r="E8" s="10">
        <v>24</v>
      </c>
      <c r="F8" s="58"/>
      <c r="G8" s="12">
        <v>1662</v>
      </c>
      <c r="H8" s="12">
        <v>1890</v>
      </c>
      <c r="I8" s="17">
        <v>19</v>
      </c>
      <c r="J8" s="18">
        <v>19</v>
      </c>
      <c r="K8" s="19">
        <f>+M8*N8</f>
        <v>649.69740000000002</v>
      </c>
      <c r="L8" s="14"/>
      <c r="M8" s="15">
        <v>59.66</v>
      </c>
      <c r="N8" s="15">
        <v>10.89</v>
      </c>
    </row>
    <row r="9" spans="1:14" s="15" customFormat="1" ht="20.25" customHeight="1" x14ac:dyDescent="0.15">
      <c r="A9" s="60" t="s">
        <v>990</v>
      </c>
      <c r="B9" s="9" t="s">
        <v>138</v>
      </c>
      <c r="C9" s="58" t="s">
        <v>29</v>
      </c>
      <c r="D9" s="11" t="s">
        <v>403</v>
      </c>
      <c r="E9" s="10">
        <v>24</v>
      </c>
      <c r="F9" s="58"/>
      <c r="G9" s="12">
        <v>1762</v>
      </c>
      <c r="H9" s="12">
        <v>1890</v>
      </c>
      <c r="I9" s="17">
        <v>10</v>
      </c>
      <c r="J9" s="18">
        <v>10</v>
      </c>
      <c r="K9" s="19">
        <f t="shared" ref="K9:K19" si="0">+M9*N9</f>
        <v>362.637</v>
      </c>
      <c r="L9" s="14"/>
      <c r="M9" s="15">
        <v>33.299999999999997</v>
      </c>
      <c r="N9" s="15">
        <v>10.89</v>
      </c>
    </row>
    <row r="10" spans="1:14" s="15" customFormat="1" ht="20.25" customHeight="1" x14ac:dyDescent="0.15">
      <c r="A10" s="60"/>
      <c r="B10" s="9"/>
      <c r="C10" s="58" t="s">
        <v>29</v>
      </c>
      <c r="D10" s="11" t="s">
        <v>372</v>
      </c>
      <c r="E10" s="10">
        <v>24</v>
      </c>
      <c r="F10" s="58"/>
      <c r="G10" s="12">
        <v>775</v>
      </c>
      <c r="H10" s="12">
        <v>1890</v>
      </c>
      <c r="I10" s="17" t="s">
        <v>480</v>
      </c>
      <c r="J10" s="18">
        <v>80</v>
      </c>
      <c r="K10" s="19">
        <f t="shared" si="0"/>
        <v>887.53500000000008</v>
      </c>
      <c r="L10" s="14"/>
      <c r="M10" s="15">
        <v>81.5</v>
      </c>
      <c r="N10" s="15">
        <v>10.89</v>
      </c>
    </row>
    <row r="11" spans="1:14" s="15" customFormat="1" ht="20.25" customHeight="1" x14ac:dyDescent="0.15">
      <c r="A11" s="60"/>
      <c r="B11" s="9"/>
      <c r="C11" s="58" t="s">
        <v>29</v>
      </c>
      <c r="D11" s="11" t="s">
        <v>336</v>
      </c>
      <c r="E11" s="10">
        <v>24</v>
      </c>
      <c r="F11" s="58"/>
      <c r="G11" s="12">
        <v>1762</v>
      </c>
      <c r="H11" s="12">
        <v>1890</v>
      </c>
      <c r="I11" s="17" t="s">
        <v>196</v>
      </c>
      <c r="J11" s="18">
        <v>90</v>
      </c>
      <c r="K11" s="19">
        <f t="shared" si="0"/>
        <v>1250.172</v>
      </c>
      <c r="L11" s="14"/>
      <c r="M11" s="15">
        <v>114.8</v>
      </c>
      <c r="N11" s="15">
        <v>10.89</v>
      </c>
    </row>
    <row r="12" spans="1:14" s="15" customFormat="1" ht="20.25" customHeight="1" x14ac:dyDescent="0.15">
      <c r="A12" s="60"/>
      <c r="B12" s="9"/>
      <c r="C12" s="58" t="s">
        <v>29</v>
      </c>
      <c r="D12" s="11" t="s">
        <v>224</v>
      </c>
      <c r="E12" s="10">
        <v>22</v>
      </c>
      <c r="F12" s="58" t="s">
        <v>11</v>
      </c>
      <c r="G12" s="12">
        <v>618</v>
      </c>
      <c r="H12" s="12">
        <v>1890</v>
      </c>
      <c r="I12" s="17" t="s">
        <v>205</v>
      </c>
      <c r="J12" s="18">
        <v>20</v>
      </c>
      <c r="K12" s="19">
        <f t="shared" si="0"/>
        <v>250.47000000000003</v>
      </c>
      <c r="L12" s="14"/>
      <c r="M12" s="15">
        <v>23</v>
      </c>
      <c r="N12" s="15">
        <v>10.89</v>
      </c>
    </row>
    <row r="13" spans="1:14" s="15" customFormat="1" ht="20.25" customHeight="1" x14ac:dyDescent="0.15">
      <c r="A13" s="60" t="s">
        <v>952</v>
      </c>
      <c r="B13" s="9" t="s">
        <v>138</v>
      </c>
      <c r="C13" s="58" t="s">
        <v>29</v>
      </c>
      <c r="D13" s="11" t="s">
        <v>403</v>
      </c>
      <c r="E13" s="10">
        <v>24</v>
      </c>
      <c r="F13" s="58"/>
      <c r="G13" s="12">
        <v>1662</v>
      </c>
      <c r="H13" s="12">
        <v>1890</v>
      </c>
      <c r="I13" s="17">
        <v>10</v>
      </c>
      <c r="J13" s="18">
        <v>10</v>
      </c>
      <c r="K13" s="19">
        <f t="shared" si="0"/>
        <v>341.94600000000003</v>
      </c>
      <c r="L13" s="14"/>
      <c r="M13" s="15">
        <v>31.4</v>
      </c>
      <c r="N13" s="15">
        <v>10.89</v>
      </c>
    </row>
    <row r="14" spans="1:14" s="15" customFormat="1" ht="20.25" customHeight="1" x14ac:dyDescent="0.15">
      <c r="A14" s="60" t="s">
        <v>947</v>
      </c>
      <c r="B14" s="9" t="s">
        <v>173</v>
      </c>
      <c r="C14" s="58" t="s">
        <v>29</v>
      </c>
      <c r="D14" s="11" t="s">
        <v>280</v>
      </c>
      <c r="E14" s="10">
        <v>46.76</v>
      </c>
      <c r="F14" s="58" t="s">
        <v>11</v>
      </c>
      <c r="G14" s="12">
        <v>886</v>
      </c>
      <c r="H14" s="12">
        <v>508</v>
      </c>
      <c r="I14" s="17" t="s">
        <v>991</v>
      </c>
      <c r="J14" s="18">
        <v>20</v>
      </c>
      <c r="K14" s="19">
        <f t="shared" si="0"/>
        <v>93.653999999999996</v>
      </c>
      <c r="L14" s="20"/>
      <c r="M14" s="15">
        <v>8.6</v>
      </c>
      <c r="N14" s="15">
        <v>10.89</v>
      </c>
    </row>
    <row r="15" spans="1:14" s="15" customFormat="1" ht="20.25" customHeight="1" x14ac:dyDescent="0.15">
      <c r="A15" s="60" t="s">
        <v>928</v>
      </c>
      <c r="B15" s="9" t="s">
        <v>173</v>
      </c>
      <c r="C15" s="58" t="s">
        <v>29</v>
      </c>
      <c r="D15" s="11" t="s">
        <v>280</v>
      </c>
      <c r="E15" s="10">
        <v>46.76</v>
      </c>
      <c r="F15" s="58" t="s">
        <v>11</v>
      </c>
      <c r="G15" s="12">
        <v>886</v>
      </c>
      <c r="H15" s="12">
        <v>508</v>
      </c>
      <c r="I15" s="17" t="s">
        <v>991</v>
      </c>
      <c r="J15" s="18">
        <v>20</v>
      </c>
      <c r="K15" s="19">
        <f t="shared" si="0"/>
        <v>93.653999999999996</v>
      </c>
      <c r="L15" s="20"/>
      <c r="M15" s="15">
        <v>8.6</v>
      </c>
      <c r="N15" s="15">
        <v>10.89</v>
      </c>
    </row>
    <row r="16" spans="1:14" s="15" customFormat="1" ht="20.25" customHeight="1" x14ac:dyDescent="0.15">
      <c r="A16" s="60" t="s">
        <v>992</v>
      </c>
      <c r="B16" s="9" t="s">
        <v>186</v>
      </c>
      <c r="C16" s="58" t="s">
        <v>29</v>
      </c>
      <c r="D16" s="11" t="s">
        <v>310</v>
      </c>
      <c r="E16" s="10">
        <v>24</v>
      </c>
      <c r="F16" s="58" t="s">
        <v>11</v>
      </c>
      <c r="G16" s="12">
        <v>1375</v>
      </c>
      <c r="H16" s="12">
        <v>2175</v>
      </c>
      <c r="I16" s="17" t="s">
        <v>993</v>
      </c>
      <c r="J16" s="18">
        <v>23</v>
      </c>
      <c r="K16" s="19">
        <f t="shared" si="0"/>
        <v>511.39440000000002</v>
      </c>
      <c r="L16" s="20"/>
      <c r="M16" s="15">
        <v>46.96</v>
      </c>
      <c r="N16" s="15">
        <v>10.89</v>
      </c>
    </row>
    <row r="17" spans="1:14" s="15" customFormat="1" ht="20.25" customHeight="1" x14ac:dyDescent="0.15">
      <c r="A17" s="60" t="s">
        <v>994</v>
      </c>
      <c r="B17" s="9" t="s">
        <v>186</v>
      </c>
      <c r="C17" s="58" t="s">
        <v>29</v>
      </c>
      <c r="D17" s="11" t="s">
        <v>310</v>
      </c>
      <c r="E17" s="10">
        <v>24</v>
      </c>
      <c r="F17" s="58" t="s">
        <v>11</v>
      </c>
      <c r="G17" s="12">
        <v>1375</v>
      </c>
      <c r="H17" s="12">
        <v>2175</v>
      </c>
      <c r="I17" s="17" t="s">
        <v>832</v>
      </c>
      <c r="J17" s="18">
        <v>24</v>
      </c>
      <c r="K17" s="19">
        <f t="shared" si="0"/>
        <v>540.36180000000002</v>
      </c>
      <c r="L17" s="20"/>
      <c r="M17" s="15">
        <v>49.62</v>
      </c>
      <c r="N17" s="15">
        <v>10.89</v>
      </c>
    </row>
    <row r="18" spans="1:14" s="15" customFormat="1" ht="20.25" customHeight="1" x14ac:dyDescent="0.15">
      <c r="A18" s="60" t="s">
        <v>975</v>
      </c>
      <c r="B18" s="9" t="s">
        <v>187</v>
      </c>
      <c r="C18" s="58" t="s">
        <v>29</v>
      </c>
      <c r="D18" s="11" t="s">
        <v>297</v>
      </c>
      <c r="E18" s="10">
        <v>24</v>
      </c>
      <c r="F18" s="58" t="s">
        <v>11</v>
      </c>
      <c r="G18" s="12">
        <v>690</v>
      </c>
      <c r="H18" s="12">
        <v>1020</v>
      </c>
      <c r="I18" s="17" t="s">
        <v>995</v>
      </c>
      <c r="J18" s="18">
        <v>71</v>
      </c>
      <c r="K18" s="19">
        <f t="shared" si="0"/>
        <v>321.03720000000004</v>
      </c>
      <c r="L18" s="20"/>
      <c r="M18" s="15">
        <v>29.48</v>
      </c>
      <c r="N18" s="15">
        <v>10.89</v>
      </c>
    </row>
    <row r="19" spans="1:14" ht="20.25" customHeight="1" x14ac:dyDescent="0.15">
      <c r="A19" s="60"/>
      <c r="B19" s="9"/>
      <c r="C19" s="58"/>
      <c r="D19" s="11"/>
      <c r="E19" s="10"/>
      <c r="F19" s="58"/>
      <c r="G19" s="16"/>
      <c r="H19" s="16"/>
      <c r="I19" s="17"/>
      <c r="J19" s="18"/>
      <c r="K19" s="19">
        <f t="shared" si="0"/>
        <v>0</v>
      </c>
      <c r="L19" s="20"/>
      <c r="N19" s="15">
        <v>10.89</v>
      </c>
    </row>
    <row r="20" spans="1:14" ht="20.25" customHeight="1" thickBot="1" x14ac:dyDescent="0.2">
      <c r="A20" s="56"/>
      <c r="B20" s="21"/>
      <c r="C20" s="59"/>
      <c r="D20" s="22"/>
      <c r="E20" s="23"/>
      <c r="F20" s="23"/>
      <c r="G20" s="24"/>
      <c r="H20" s="24"/>
      <c r="I20" s="25"/>
      <c r="J20" s="46">
        <f>SUM(J8:J19)</f>
        <v>387</v>
      </c>
      <c r="K20" s="47">
        <f>SUM(K8:K19)</f>
        <v>5302.5587999999998</v>
      </c>
      <c r="L20" s="26"/>
    </row>
    <row r="21" spans="1:14" ht="20.25" customHeight="1" thickTop="1" x14ac:dyDescent="0.15">
      <c r="A21" s="60" t="s">
        <v>977</v>
      </c>
      <c r="B21" s="9" t="s">
        <v>101</v>
      </c>
      <c r="C21" s="58" t="s">
        <v>29</v>
      </c>
      <c r="D21" s="11" t="s">
        <v>729</v>
      </c>
      <c r="E21" s="10">
        <v>27.76</v>
      </c>
      <c r="F21" s="10"/>
      <c r="G21" s="12">
        <v>690</v>
      </c>
      <c r="H21" s="12">
        <v>846</v>
      </c>
      <c r="I21" s="17" t="s">
        <v>996</v>
      </c>
      <c r="J21" s="18">
        <v>178</v>
      </c>
      <c r="K21" s="19">
        <f t="shared" ref="K21:K40" si="1">+M21*N21</f>
        <v>1124.2836</v>
      </c>
      <c r="L21" s="54"/>
      <c r="M21" s="3">
        <v>103.24</v>
      </c>
      <c r="N21" s="15">
        <v>10.89</v>
      </c>
    </row>
    <row r="22" spans="1:14" ht="20.25" customHeight="1" x14ac:dyDescent="0.15">
      <c r="A22" s="60"/>
      <c r="B22" s="9"/>
      <c r="C22" s="58" t="s">
        <v>29</v>
      </c>
      <c r="D22" s="11" t="s">
        <v>332</v>
      </c>
      <c r="E22" s="10">
        <v>22</v>
      </c>
      <c r="F22" s="10"/>
      <c r="G22" s="12">
        <v>640</v>
      </c>
      <c r="H22" s="12">
        <v>805</v>
      </c>
      <c r="I22" s="17" t="s">
        <v>997</v>
      </c>
      <c r="J22" s="18">
        <v>121</v>
      </c>
      <c r="K22" s="19">
        <f t="shared" si="1"/>
        <v>685.19880000000001</v>
      </c>
      <c r="L22" s="54"/>
      <c r="M22" s="3">
        <v>62.92</v>
      </c>
      <c r="N22" s="15">
        <v>10.89</v>
      </c>
    </row>
    <row r="23" spans="1:14" ht="20.25" customHeight="1" x14ac:dyDescent="0.15">
      <c r="A23" s="61"/>
      <c r="B23" s="9"/>
      <c r="C23" s="58" t="s">
        <v>29</v>
      </c>
      <c r="D23" s="11" t="s">
        <v>331</v>
      </c>
      <c r="E23" s="10">
        <v>22</v>
      </c>
      <c r="F23" s="10"/>
      <c r="G23" s="12">
        <v>637</v>
      </c>
      <c r="H23" s="12">
        <v>1764</v>
      </c>
      <c r="I23" s="17">
        <v>4</v>
      </c>
      <c r="J23" s="18">
        <v>4</v>
      </c>
      <c r="K23" s="19">
        <f t="shared" si="1"/>
        <v>48.787200000000006</v>
      </c>
      <c r="L23" s="54"/>
      <c r="M23" s="3">
        <v>4.4800000000000004</v>
      </c>
      <c r="N23" s="15">
        <v>10.89</v>
      </c>
    </row>
    <row r="24" spans="1:14" ht="20.25" customHeight="1" x14ac:dyDescent="0.15">
      <c r="A24" s="61" t="s">
        <v>998</v>
      </c>
      <c r="B24" s="9" t="s">
        <v>131</v>
      </c>
      <c r="C24" s="58" t="s">
        <v>29</v>
      </c>
      <c r="D24" s="11" t="s">
        <v>155</v>
      </c>
      <c r="E24" s="10">
        <v>22</v>
      </c>
      <c r="F24" s="10" t="s">
        <v>11</v>
      </c>
      <c r="G24" s="12">
        <v>1723</v>
      </c>
      <c r="H24" s="12">
        <v>1763</v>
      </c>
      <c r="I24" s="17">
        <v>7</v>
      </c>
      <c r="J24" s="18">
        <v>7</v>
      </c>
      <c r="K24" s="19">
        <f t="shared" si="1"/>
        <v>231.73920000000001</v>
      </c>
      <c r="L24" s="54"/>
      <c r="M24" s="3">
        <v>21.28</v>
      </c>
      <c r="N24" s="15">
        <v>10.89</v>
      </c>
    </row>
    <row r="25" spans="1:14" ht="20.25" customHeight="1" x14ac:dyDescent="0.15">
      <c r="A25" s="61" t="s">
        <v>978</v>
      </c>
      <c r="B25" s="9" t="s">
        <v>31</v>
      </c>
      <c r="C25" s="58" t="s">
        <v>29</v>
      </c>
      <c r="D25" s="11" t="s">
        <v>247</v>
      </c>
      <c r="E25" s="10">
        <v>24</v>
      </c>
      <c r="F25" s="10" t="s">
        <v>11</v>
      </c>
      <c r="G25" s="12">
        <v>1625</v>
      </c>
      <c r="H25" s="12">
        <v>675</v>
      </c>
      <c r="I25" s="17">
        <v>1</v>
      </c>
      <c r="J25" s="18">
        <v>1</v>
      </c>
      <c r="K25" s="19">
        <f t="shared" si="1"/>
        <v>11.979000000000001</v>
      </c>
      <c r="L25" s="54"/>
      <c r="M25" s="3">
        <v>1.1000000000000001</v>
      </c>
      <c r="N25" s="15">
        <v>10.89</v>
      </c>
    </row>
    <row r="26" spans="1:14" ht="20.25" customHeight="1" x14ac:dyDescent="0.15">
      <c r="A26" s="61" t="s">
        <v>981</v>
      </c>
      <c r="B26" s="9" t="s">
        <v>31</v>
      </c>
      <c r="C26" s="58" t="s">
        <v>29</v>
      </c>
      <c r="D26" s="11" t="s">
        <v>247</v>
      </c>
      <c r="E26" s="10">
        <v>24</v>
      </c>
      <c r="F26" s="10" t="s">
        <v>11</v>
      </c>
      <c r="G26" s="12">
        <v>390</v>
      </c>
      <c r="H26" s="12">
        <v>560</v>
      </c>
      <c r="I26" s="51">
        <v>1</v>
      </c>
      <c r="J26" s="52">
        <v>1</v>
      </c>
      <c r="K26" s="53">
        <f t="shared" si="1"/>
        <v>3.0492000000000004</v>
      </c>
      <c r="L26" s="54"/>
      <c r="M26" s="3">
        <v>0.28000000000000003</v>
      </c>
      <c r="N26" s="15">
        <v>10.89</v>
      </c>
    </row>
    <row r="27" spans="1:14" ht="20.25" customHeight="1" x14ac:dyDescent="0.15">
      <c r="A27" s="61" t="s">
        <v>983</v>
      </c>
      <c r="B27" s="9" t="s">
        <v>31</v>
      </c>
      <c r="C27" s="58" t="s">
        <v>29</v>
      </c>
      <c r="D27" s="11" t="s">
        <v>247</v>
      </c>
      <c r="E27" s="10">
        <v>24</v>
      </c>
      <c r="F27" s="10" t="s">
        <v>11</v>
      </c>
      <c r="G27" s="12">
        <v>595</v>
      </c>
      <c r="H27" s="12">
        <v>1030</v>
      </c>
      <c r="I27" s="51" t="s">
        <v>337</v>
      </c>
      <c r="J27" s="52">
        <v>2</v>
      </c>
      <c r="K27" s="53">
        <f t="shared" si="1"/>
        <v>19.928700000000003</v>
      </c>
      <c r="L27" s="54"/>
      <c r="M27" s="3">
        <v>1.83</v>
      </c>
      <c r="N27" s="15">
        <v>10.89</v>
      </c>
    </row>
    <row r="28" spans="1:14" ht="20.25" customHeight="1" x14ac:dyDescent="0.15">
      <c r="A28" s="61" t="s">
        <v>986</v>
      </c>
      <c r="B28" s="9" t="s">
        <v>31</v>
      </c>
      <c r="C28" s="58" t="s">
        <v>29</v>
      </c>
      <c r="D28" s="11" t="s">
        <v>247</v>
      </c>
      <c r="E28" s="10">
        <v>24</v>
      </c>
      <c r="F28" s="10" t="s">
        <v>11</v>
      </c>
      <c r="G28" s="12">
        <v>755</v>
      </c>
      <c r="H28" s="12">
        <v>560</v>
      </c>
      <c r="I28" s="17">
        <v>1</v>
      </c>
      <c r="J28" s="18">
        <v>1</v>
      </c>
      <c r="K28" s="19">
        <f t="shared" si="1"/>
        <v>4.5738000000000003</v>
      </c>
      <c r="L28" s="27"/>
      <c r="M28" s="3">
        <v>0.42</v>
      </c>
      <c r="N28" s="15">
        <v>10.89</v>
      </c>
    </row>
    <row r="29" spans="1:14" ht="20.25" customHeight="1" x14ac:dyDescent="0.15">
      <c r="A29" s="60" t="s">
        <v>999</v>
      </c>
      <c r="B29" s="9" t="s">
        <v>178</v>
      </c>
      <c r="C29" s="58" t="s">
        <v>29</v>
      </c>
      <c r="D29" s="11" t="s">
        <v>247</v>
      </c>
      <c r="E29" s="10">
        <v>24</v>
      </c>
      <c r="F29" s="10" t="s">
        <v>11</v>
      </c>
      <c r="G29" s="12">
        <v>945</v>
      </c>
      <c r="H29" s="12">
        <v>785</v>
      </c>
      <c r="I29" s="17">
        <v>1</v>
      </c>
      <c r="J29" s="18">
        <v>1</v>
      </c>
      <c r="K29" s="19">
        <f t="shared" si="1"/>
        <v>8.0586000000000002</v>
      </c>
      <c r="L29" s="27"/>
      <c r="M29" s="3">
        <v>0.74</v>
      </c>
      <c r="N29" s="15">
        <v>10.89</v>
      </c>
    </row>
    <row r="30" spans="1:14" ht="20.25" customHeight="1" x14ac:dyDescent="0.15">
      <c r="A30" s="60" t="s">
        <v>959</v>
      </c>
      <c r="B30" s="9" t="s">
        <v>178</v>
      </c>
      <c r="C30" s="58" t="s">
        <v>29</v>
      </c>
      <c r="D30" s="11" t="s">
        <v>247</v>
      </c>
      <c r="E30" s="10">
        <v>24</v>
      </c>
      <c r="F30" s="10" t="s">
        <v>11</v>
      </c>
      <c r="G30" s="12">
        <v>923</v>
      </c>
      <c r="H30" s="12">
        <v>460</v>
      </c>
      <c r="I30" s="17">
        <v>1</v>
      </c>
      <c r="J30" s="18">
        <v>1</v>
      </c>
      <c r="K30" s="19">
        <f t="shared" si="1"/>
        <v>4.5738000000000003</v>
      </c>
      <c r="L30" s="27"/>
      <c r="M30" s="3">
        <v>0.42</v>
      </c>
      <c r="N30" s="15">
        <v>10.89</v>
      </c>
    </row>
    <row r="31" spans="1:14" ht="20.25" customHeight="1" x14ac:dyDescent="0.15">
      <c r="A31" s="60" t="s">
        <v>960</v>
      </c>
      <c r="B31" s="9" t="s">
        <v>178</v>
      </c>
      <c r="C31" s="58" t="s">
        <v>29</v>
      </c>
      <c r="D31" s="11" t="s">
        <v>247</v>
      </c>
      <c r="E31" s="10">
        <v>24</v>
      </c>
      <c r="F31" s="10" t="s">
        <v>11</v>
      </c>
      <c r="G31" s="12">
        <v>950</v>
      </c>
      <c r="H31" s="12">
        <v>1445</v>
      </c>
      <c r="I31" s="17" t="s">
        <v>337</v>
      </c>
      <c r="J31" s="18">
        <v>2</v>
      </c>
      <c r="K31" s="19">
        <f t="shared" si="1"/>
        <v>19.275300000000001</v>
      </c>
      <c r="L31" s="27"/>
      <c r="M31" s="3">
        <v>1.77</v>
      </c>
      <c r="N31" s="15">
        <v>10.89</v>
      </c>
    </row>
    <row r="32" spans="1:14" ht="20.25" customHeight="1" x14ac:dyDescent="0.15">
      <c r="A32" s="60" t="s">
        <v>1000</v>
      </c>
      <c r="B32" s="9" t="s">
        <v>1001</v>
      </c>
      <c r="C32" s="58" t="s">
        <v>29</v>
      </c>
      <c r="D32" s="11" t="s">
        <v>1002</v>
      </c>
      <c r="E32" s="10">
        <v>24</v>
      </c>
      <c r="F32" s="10" t="s">
        <v>11</v>
      </c>
      <c r="G32" s="12">
        <v>1180</v>
      </c>
      <c r="H32" s="12">
        <v>2295</v>
      </c>
      <c r="I32" s="17" t="s">
        <v>1003</v>
      </c>
      <c r="J32" s="18">
        <v>24</v>
      </c>
      <c r="K32" s="19">
        <f t="shared" si="1"/>
        <v>618.33420000000001</v>
      </c>
      <c r="L32" s="27"/>
      <c r="M32" s="3">
        <v>56.78</v>
      </c>
      <c r="N32" s="15">
        <v>10.89</v>
      </c>
    </row>
    <row r="33" spans="1:14" ht="20.25" customHeight="1" x14ac:dyDescent="0.15">
      <c r="A33" s="60" t="s">
        <v>1004</v>
      </c>
      <c r="B33" s="9" t="s">
        <v>30</v>
      </c>
      <c r="C33" s="58" t="s">
        <v>231</v>
      </c>
      <c r="D33" s="11" t="s">
        <v>691</v>
      </c>
      <c r="E33" s="10">
        <v>24</v>
      </c>
      <c r="F33" s="10"/>
      <c r="G33" s="12">
        <v>680</v>
      </c>
      <c r="H33" s="12">
        <v>2233</v>
      </c>
      <c r="I33" s="17">
        <v>1</v>
      </c>
      <c r="J33" s="18">
        <v>1</v>
      </c>
      <c r="K33" s="19">
        <f t="shared" si="1"/>
        <v>16.552800000000001</v>
      </c>
      <c r="L33" s="27"/>
      <c r="M33" s="3">
        <v>1.52</v>
      </c>
      <c r="N33" s="15">
        <v>10.89</v>
      </c>
    </row>
    <row r="34" spans="1:14" ht="20.25" customHeight="1" x14ac:dyDescent="0.15">
      <c r="A34" s="60"/>
      <c r="B34" s="9"/>
      <c r="C34" s="58" t="s">
        <v>29</v>
      </c>
      <c r="D34" s="11" t="s">
        <v>335</v>
      </c>
      <c r="E34" s="10">
        <v>24</v>
      </c>
      <c r="F34" s="10" t="s">
        <v>11</v>
      </c>
      <c r="G34" s="12">
        <v>740</v>
      </c>
      <c r="H34" s="12">
        <v>1940</v>
      </c>
      <c r="I34" s="17">
        <v>2</v>
      </c>
      <c r="J34" s="18">
        <v>2</v>
      </c>
      <c r="K34" s="19">
        <f t="shared" si="1"/>
        <v>31.363199999999999</v>
      </c>
      <c r="L34" s="27"/>
      <c r="M34" s="3">
        <v>2.88</v>
      </c>
      <c r="N34" s="15">
        <v>10.89</v>
      </c>
    </row>
    <row r="35" spans="1:14" ht="20.25" customHeight="1" x14ac:dyDescent="0.15">
      <c r="A35" s="60" t="s">
        <v>967</v>
      </c>
      <c r="B35" s="9" t="s">
        <v>178</v>
      </c>
      <c r="C35" s="58" t="s">
        <v>29</v>
      </c>
      <c r="D35" s="11" t="s">
        <v>247</v>
      </c>
      <c r="E35" s="10">
        <v>24</v>
      </c>
      <c r="F35" s="10" t="s">
        <v>11</v>
      </c>
      <c r="G35" s="12">
        <v>913</v>
      </c>
      <c r="H35" s="12">
        <v>460</v>
      </c>
      <c r="I35" s="17">
        <v>1</v>
      </c>
      <c r="J35" s="18">
        <v>1</v>
      </c>
      <c r="K35" s="19">
        <f t="shared" si="1"/>
        <v>4.5738000000000003</v>
      </c>
      <c r="L35" s="27"/>
      <c r="M35" s="3">
        <v>0.42</v>
      </c>
      <c r="N35" s="15">
        <v>10.89</v>
      </c>
    </row>
    <row r="36" spans="1:14" s="15" customFormat="1" ht="20.25" customHeight="1" x14ac:dyDescent="0.15">
      <c r="A36" s="60" t="s">
        <v>1005</v>
      </c>
      <c r="B36" s="9" t="s">
        <v>840</v>
      </c>
      <c r="C36" s="58" t="s">
        <v>29</v>
      </c>
      <c r="D36" s="11" t="s">
        <v>276</v>
      </c>
      <c r="E36" s="10">
        <v>24</v>
      </c>
      <c r="F36" s="58" t="s">
        <v>11</v>
      </c>
      <c r="G36" s="12">
        <v>730</v>
      </c>
      <c r="H36" s="12">
        <v>380</v>
      </c>
      <c r="I36" s="17">
        <v>1</v>
      </c>
      <c r="J36" s="18">
        <v>1</v>
      </c>
      <c r="K36" s="19">
        <f>+M36*N36</f>
        <v>3.0492000000000004</v>
      </c>
      <c r="L36" s="20"/>
      <c r="M36" s="15">
        <v>0.28000000000000003</v>
      </c>
      <c r="N36" s="15">
        <v>10.89</v>
      </c>
    </row>
    <row r="37" spans="1:14" s="15" customFormat="1" ht="20.25" customHeight="1" x14ac:dyDescent="0.15">
      <c r="A37" s="60" t="s">
        <v>1006</v>
      </c>
      <c r="B37" s="9" t="s">
        <v>180</v>
      </c>
      <c r="C37" s="58" t="s">
        <v>231</v>
      </c>
      <c r="D37" s="11" t="s">
        <v>1007</v>
      </c>
      <c r="E37" s="10">
        <v>22</v>
      </c>
      <c r="F37" s="58"/>
      <c r="G37" s="12">
        <v>1935</v>
      </c>
      <c r="H37" s="12">
        <v>1845</v>
      </c>
      <c r="I37" s="17" t="s">
        <v>638</v>
      </c>
      <c r="J37" s="18">
        <v>12</v>
      </c>
      <c r="K37" s="19">
        <f>+M37*N37</f>
        <v>133.62030000000001</v>
      </c>
      <c r="L37" s="20"/>
      <c r="M37" s="15">
        <v>12.27</v>
      </c>
      <c r="N37" s="15">
        <v>10.89</v>
      </c>
    </row>
    <row r="38" spans="1:14" s="15" customFormat="1" ht="20.25" customHeight="1" x14ac:dyDescent="0.15">
      <c r="A38" s="60"/>
      <c r="B38" s="9"/>
      <c r="C38" s="58" t="s">
        <v>231</v>
      </c>
      <c r="D38" s="11" t="s">
        <v>881</v>
      </c>
      <c r="E38" s="10">
        <v>22</v>
      </c>
      <c r="F38" s="58" t="s">
        <v>11</v>
      </c>
      <c r="G38" s="50">
        <v>1935</v>
      </c>
      <c r="H38" s="50">
        <v>1835</v>
      </c>
      <c r="I38" s="17" t="s">
        <v>638</v>
      </c>
      <c r="J38" s="18">
        <v>12</v>
      </c>
      <c r="K38" s="19">
        <f>+M38*N38</f>
        <v>131.87790000000001</v>
      </c>
      <c r="L38" s="20"/>
      <c r="M38" s="15">
        <v>12.11</v>
      </c>
      <c r="N38" s="15">
        <v>10.89</v>
      </c>
    </row>
    <row r="39" spans="1:14" s="15" customFormat="1" ht="20.25" customHeight="1" x14ac:dyDescent="0.15">
      <c r="A39" s="60"/>
      <c r="B39" s="9"/>
      <c r="C39" s="58" t="s">
        <v>29</v>
      </c>
      <c r="D39" s="11" t="s">
        <v>880</v>
      </c>
      <c r="E39" s="10">
        <v>28</v>
      </c>
      <c r="F39" s="58" t="s">
        <v>11</v>
      </c>
      <c r="G39" s="50">
        <v>1895</v>
      </c>
      <c r="H39" s="50">
        <v>195</v>
      </c>
      <c r="I39" s="17">
        <v>1</v>
      </c>
      <c r="J39" s="18">
        <v>1</v>
      </c>
      <c r="K39" s="19">
        <f>+M39*N39</f>
        <v>4.0293000000000001</v>
      </c>
      <c r="L39" s="14"/>
      <c r="M39" s="15">
        <v>0.37</v>
      </c>
      <c r="N39" s="15">
        <v>10.89</v>
      </c>
    </row>
    <row r="40" spans="1:14" ht="20.25" customHeight="1" x14ac:dyDescent="0.15">
      <c r="A40" s="60" t="s">
        <v>1008</v>
      </c>
      <c r="B40" s="9" t="s">
        <v>180</v>
      </c>
      <c r="C40" s="58" t="s">
        <v>29</v>
      </c>
      <c r="D40" s="11" t="s">
        <v>1009</v>
      </c>
      <c r="E40" s="10">
        <v>24</v>
      </c>
      <c r="F40" s="10" t="s">
        <v>11</v>
      </c>
      <c r="G40" s="12">
        <v>820</v>
      </c>
      <c r="H40" s="12">
        <v>1840</v>
      </c>
      <c r="I40" s="17" t="s">
        <v>366</v>
      </c>
      <c r="J40" s="18">
        <v>4</v>
      </c>
      <c r="K40" s="19">
        <f t="shared" si="1"/>
        <v>65.775599999999997</v>
      </c>
      <c r="L40" s="27"/>
      <c r="M40" s="3">
        <v>6.04</v>
      </c>
      <c r="N40" s="15">
        <v>10.89</v>
      </c>
    </row>
    <row r="41" spans="1:14" ht="20.25" customHeight="1" x14ac:dyDescent="0.15">
      <c r="A41" s="57"/>
      <c r="B41" s="28"/>
      <c r="C41" s="10"/>
      <c r="D41" s="29"/>
      <c r="E41" s="30"/>
      <c r="F41" s="30"/>
      <c r="G41" s="30"/>
      <c r="H41" s="30"/>
      <c r="I41" s="13"/>
      <c r="J41" s="48">
        <f>SUM(J21:J40)</f>
        <v>377</v>
      </c>
      <c r="K41" s="49">
        <f>SUM(K21:K40)</f>
        <v>3170.6234999999997</v>
      </c>
      <c r="L41" s="31"/>
      <c r="N41" s="32"/>
    </row>
    <row r="42" spans="1:14" ht="20.25" customHeight="1" thickBot="1" x14ac:dyDescent="0.2">
      <c r="A42" s="55"/>
      <c r="B42" s="33"/>
      <c r="C42" s="33"/>
      <c r="D42" s="33"/>
      <c r="E42" s="33"/>
      <c r="F42" s="33"/>
      <c r="G42" s="33"/>
      <c r="H42" s="33"/>
      <c r="I42" s="33"/>
      <c r="J42" s="34"/>
      <c r="K42" s="35"/>
      <c r="L42" s="36"/>
    </row>
    <row r="43" spans="1:14" ht="20.25" customHeight="1" thickBot="1" x14ac:dyDescent="0.2">
      <c r="A43" s="37" t="s">
        <v>19</v>
      </c>
      <c r="B43" s="38" t="s">
        <v>20</v>
      </c>
      <c r="C43" s="77" t="s">
        <v>21</v>
      </c>
      <c r="D43" s="79"/>
      <c r="E43" s="77" t="s">
        <v>22</v>
      </c>
      <c r="F43" s="78"/>
      <c r="G43" s="79"/>
      <c r="H43" s="85" t="s">
        <v>23</v>
      </c>
      <c r="I43" s="86"/>
      <c r="J43" s="77" t="s">
        <v>24</v>
      </c>
      <c r="K43" s="79"/>
      <c r="L43" s="39" t="s">
        <v>13</v>
      </c>
    </row>
    <row r="44" spans="1:14" ht="20.25" customHeight="1" thickBot="1" x14ac:dyDescent="0.2">
      <c r="A44" s="40">
        <f>SUMIF($C$8:$C$42,"U1",$J$8:$J$42)</f>
        <v>0</v>
      </c>
      <c r="B44" s="41">
        <f>SUMIF($C$8:$C$42,"U2",$J$8:$J$42)</f>
        <v>25</v>
      </c>
      <c r="C44" s="77">
        <f>SUMIF($C$8:$C$42,"U3-1",$J$8:$J$42)</f>
        <v>0</v>
      </c>
      <c r="D44" s="79"/>
      <c r="E44" s="77">
        <f>SUMIF($C$8:$C$42,"U3",$J$8:$J$42)</f>
        <v>739</v>
      </c>
      <c r="F44" s="78"/>
      <c r="G44" s="79"/>
      <c r="H44" s="77">
        <f>SUMIF($C$8:$C$42,"E5",$J$8:$J$42)</f>
        <v>0</v>
      </c>
      <c r="I44" s="79"/>
      <c r="J44" s="77">
        <f>SUM(A44:I44)</f>
        <v>764</v>
      </c>
      <c r="K44" s="79"/>
      <c r="L44" s="42"/>
    </row>
    <row r="45" spans="1:14" ht="20.25" customHeight="1" thickBot="1" x14ac:dyDescent="0.2">
      <c r="A45" s="43" t="s">
        <v>25</v>
      </c>
      <c r="B45" s="44" t="s">
        <v>26</v>
      </c>
      <c r="C45" s="75">
        <v>13876</v>
      </c>
      <c r="D45" s="76"/>
      <c r="E45" s="77" t="s">
        <v>27</v>
      </c>
      <c r="F45" s="78"/>
      <c r="G45" s="78"/>
      <c r="H45" s="78"/>
      <c r="I45" s="79"/>
      <c r="J45" s="80">
        <v>146744.37</v>
      </c>
      <c r="K45" s="81"/>
      <c r="L45" s="82"/>
    </row>
    <row r="47" spans="1:14" x14ac:dyDescent="0.15">
      <c r="D47" s="45"/>
    </row>
  </sheetData>
  <mergeCells count="26">
    <mergeCell ref="C45:D45"/>
    <mergeCell ref="E45:I45"/>
    <mergeCell ref="J45:L45"/>
    <mergeCell ref="L6:L7"/>
    <mergeCell ref="C43:D43"/>
    <mergeCell ref="E43:G43"/>
    <mergeCell ref="H43:I43"/>
    <mergeCell ref="J43:K43"/>
    <mergeCell ref="C44:D44"/>
    <mergeCell ref="E44:G44"/>
    <mergeCell ref="H44:I44"/>
    <mergeCell ref="J44:K44"/>
    <mergeCell ref="B5:G5"/>
    <mergeCell ref="A6:A7"/>
    <mergeCell ref="B6:B7"/>
    <mergeCell ref="C6:C7"/>
    <mergeCell ref="D6:D7"/>
    <mergeCell ref="E6:E7"/>
    <mergeCell ref="F6:F7"/>
    <mergeCell ref="G6:K6"/>
    <mergeCell ref="L2:L4"/>
    <mergeCell ref="A1:G3"/>
    <mergeCell ref="H1:H4"/>
    <mergeCell ref="I2:I4"/>
    <mergeCell ref="J2:J4"/>
    <mergeCell ref="K2:K4"/>
  </mergeCells>
  <phoneticPr fontId="2" type="noConversion"/>
  <printOptions horizontalCentered="1"/>
  <pageMargins left="0.39370078740157483" right="0.39370078740157483" top="0.74803149606299213" bottom="0.19685039370078741" header="0.31496062992125984" footer="0.15748031496062992"/>
  <pageSetup paperSize="9" scale="84"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N47"/>
  <sheetViews>
    <sheetView view="pageBreakPreview" topLeftCell="A7" zoomScaleSheetLayoutView="100" workbookViewId="0">
      <selection activeCell="B26" sqref="B26:E27"/>
    </sheetView>
  </sheetViews>
  <sheetFormatPr defaultColWidth="8.88671875" defaultRowHeight="13.5" x14ac:dyDescent="0.15"/>
  <cols>
    <col min="1" max="1" width="8.44140625" style="3" customWidth="1"/>
    <col min="2" max="2" width="14.77734375" style="3" customWidth="1"/>
    <col min="3" max="3" width="4.109375" style="3" customWidth="1"/>
    <col min="4" max="4" width="15.21875" style="3" customWidth="1"/>
    <col min="5" max="5" width="4.44140625" style="3" customWidth="1"/>
    <col min="6" max="6" width="4" style="3" customWidth="1"/>
    <col min="7" max="7" width="5.5546875" style="3" customWidth="1"/>
    <col min="8" max="8" width="5.44140625" style="3" customWidth="1"/>
    <col min="9" max="9" width="7.88671875" style="3" customWidth="1"/>
    <col min="10" max="10" width="7.109375" style="3" customWidth="1"/>
    <col min="11" max="11" width="7.21875" style="3" customWidth="1"/>
    <col min="12" max="12" width="6.77734375" style="3" customWidth="1"/>
    <col min="13" max="16384" width="8.88671875" style="3"/>
  </cols>
  <sheetData>
    <row r="1" spans="1:14" ht="18.75" customHeight="1" x14ac:dyDescent="0.15">
      <c r="A1" s="101" t="s">
        <v>0</v>
      </c>
      <c r="B1" s="102"/>
      <c r="C1" s="102"/>
      <c r="D1" s="102"/>
      <c r="E1" s="102"/>
      <c r="F1" s="102"/>
      <c r="G1" s="103"/>
      <c r="H1" s="107" t="s">
        <v>1</v>
      </c>
      <c r="I1" s="1" t="s">
        <v>2</v>
      </c>
      <c r="J1" s="1" t="s">
        <v>2</v>
      </c>
      <c r="K1" s="1" t="s">
        <v>3</v>
      </c>
      <c r="L1" s="2" t="s">
        <v>4</v>
      </c>
    </row>
    <row r="2" spans="1:14" ht="13.5" customHeight="1" x14ac:dyDescent="0.15">
      <c r="A2" s="104"/>
      <c r="B2" s="105"/>
      <c r="C2" s="105"/>
      <c r="D2" s="105"/>
      <c r="E2" s="105"/>
      <c r="F2" s="105"/>
      <c r="G2" s="106"/>
      <c r="H2" s="108"/>
      <c r="I2" s="110"/>
      <c r="J2" s="110"/>
      <c r="K2" s="110"/>
      <c r="L2" s="98"/>
    </row>
    <row r="3" spans="1:14" ht="13.5" customHeight="1" x14ac:dyDescent="0.15">
      <c r="A3" s="104"/>
      <c r="B3" s="105"/>
      <c r="C3" s="105"/>
      <c r="D3" s="105"/>
      <c r="E3" s="105"/>
      <c r="F3" s="105"/>
      <c r="G3" s="106"/>
      <c r="H3" s="108"/>
      <c r="I3" s="108"/>
      <c r="J3" s="108"/>
      <c r="K3" s="108"/>
      <c r="L3" s="99"/>
    </row>
    <row r="4" spans="1:14" ht="33" customHeight="1" x14ac:dyDescent="0.15">
      <c r="A4" s="4"/>
      <c r="B4" s="5"/>
      <c r="C4" s="5"/>
      <c r="D4" s="5"/>
      <c r="E4" s="5"/>
      <c r="F4" s="5"/>
      <c r="G4" s="5"/>
      <c r="H4" s="109"/>
      <c r="I4" s="109"/>
      <c r="J4" s="109"/>
      <c r="K4" s="109"/>
      <c r="L4" s="100"/>
    </row>
    <row r="5" spans="1:14" ht="17.25" customHeight="1" x14ac:dyDescent="0.15">
      <c r="A5" s="6" t="s">
        <v>5</v>
      </c>
      <c r="B5" s="87">
        <v>46063</v>
      </c>
      <c r="C5" s="88"/>
      <c r="D5" s="88"/>
      <c r="E5" s="88"/>
      <c r="F5" s="88"/>
      <c r="G5" s="88"/>
      <c r="H5" s="5"/>
      <c r="I5" s="5"/>
      <c r="J5" s="5"/>
      <c r="K5" s="5"/>
      <c r="L5" s="7"/>
    </row>
    <row r="6" spans="1:14" ht="13.5" customHeight="1" x14ac:dyDescent="0.15">
      <c r="A6" s="89" t="s">
        <v>6</v>
      </c>
      <c r="B6" s="91" t="s">
        <v>7</v>
      </c>
      <c r="C6" s="91" t="s">
        <v>8</v>
      </c>
      <c r="D6" s="91" t="s">
        <v>9</v>
      </c>
      <c r="E6" s="93" t="s">
        <v>10</v>
      </c>
      <c r="F6" s="93" t="s">
        <v>11</v>
      </c>
      <c r="G6" s="95" t="s">
        <v>12</v>
      </c>
      <c r="H6" s="96"/>
      <c r="I6" s="96"/>
      <c r="J6" s="96"/>
      <c r="K6" s="97"/>
      <c r="L6" s="83" t="s">
        <v>13</v>
      </c>
    </row>
    <row r="7" spans="1:14" x14ac:dyDescent="0.15">
      <c r="A7" s="90"/>
      <c r="B7" s="92"/>
      <c r="C7" s="92"/>
      <c r="D7" s="92"/>
      <c r="E7" s="94"/>
      <c r="F7" s="94"/>
      <c r="G7" s="8" t="s">
        <v>14</v>
      </c>
      <c r="H7" s="8" t="s">
        <v>15</v>
      </c>
      <c r="I7" s="8" t="s">
        <v>16</v>
      </c>
      <c r="J7" s="8" t="s">
        <v>17</v>
      </c>
      <c r="K7" s="8" t="s">
        <v>18</v>
      </c>
      <c r="L7" s="84"/>
    </row>
    <row r="8" spans="1:14" s="15" customFormat="1" ht="20.25" customHeight="1" x14ac:dyDescent="0.15">
      <c r="A8" s="60" t="s">
        <v>1010</v>
      </c>
      <c r="B8" s="9" t="s">
        <v>173</v>
      </c>
      <c r="C8" s="58" t="s">
        <v>29</v>
      </c>
      <c r="D8" s="11" t="s">
        <v>188</v>
      </c>
      <c r="E8" s="10">
        <v>22</v>
      </c>
      <c r="F8" s="58"/>
      <c r="G8" s="12">
        <v>1665</v>
      </c>
      <c r="H8" s="12">
        <v>1238</v>
      </c>
      <c r="I8" s="17" t="s">
        <v>1011</v>
      </c>
      <c r="J8" s="18">
        <f>12+31</f>
        <v>43</v>
      </c>
      <c r="K8" s="19">
        <f>+M8*N8</f>
        <v>614.63160000000005</v>
      </c>
      <c r="L8" s="14"/>
      <c r="M8" s="15">
        <v>56.44</v>
      </c>
      <c r="N8" s="15">
        <v>10.89</v>
      </c>
    </row>
    <row r="9" spans="1:14" s="15" customFormat="1" ht="20.25" customHeight="1" x14ac:dyDescent="0.15">
      <c r="A9" s="60"/>
      <c r="B9" s="9"/>
      <c r="C9" s="58" t="s">
        <v>29</v>
      </c>
      <c r="D9" s="11" t="s">
        <v>195</v>
      </c>
      <c r="E9" s="10">
        <v>22</v>
      </c>
      <c r="F9" s="58"/>
      <c r="G9" s="12">
        <v>954</v>
      </c>
      <c r="H9" s="12">
        <v>1967</v>
      </c>
      <c r="I9" s="17" t="s">
        <v>1012</v>
      </c>
      <c r="J9" s="18">
        <v>448</v>
      </c>
      <c r="K9" s="19">
        <f t="shared" ref="K9:K23" si="0">+M9*N9</f>
        <v>4100.7384000000002</v>
      </c>
      <c r="L9" s="14"/>
      <c r="M9" s="15">
        <v>376.56</v>
      </c>
      <c r="N9" s="15">
        <v>10.89</v>
      </c>
    </row>
    <row r="10" spans="1:14" s="15" customFormat="1" ht="20.25" customHeight="1" x14ac:dyDescent="0.15">
      <c r="A10" s="60"/>
      <c r="B10" s="9"/>
      <c r="C10" s="58"/>
      <c r="D10" s="11"/>
      <c r="E10" s="10"/>
      <c r="F10" s="58"/>
      <c r="G10" s="12"/>
      <c r="H10" s="12"/>
      <c r="I10" s="17"/>
      <c r="J10" s="18"/>
      <c r="K10" s="19">
        <f t="shared" si="0"/>
        <v>0</v>
      </c>
      <c r="L10" s="14"/>
      <c r="N10" s="15">
        <v>10.89</v>
      </c>
    </row>
    <row r="11" spans="1:14" s="15" customFormat="1" ht="20.25" customHeight="1" x14ac:dyDescent="0.15">
      <c r="A11" s="60"/>
      <c r="B11" s="9"/>
      <c r="C11" s="58"/>
      <c r="D11" s="11"/>
      <c r="E11" s="10"/>
      <c r="F11" s="58"/>
      <c r="G11" s="12"/>
      <c r="H11" s="12"/>
      <c r="I11" s="17"/>
      <c r="J11" s="18"/>
      <c r="K11" s="19">
        <f t="shared" si="0"/>
        <v>0</v>
      </c>
      <c r="L11" s="14"/>
      <c r="N11" s="15">
        <v>10.89</v>
      </c>
    </row>
    <row r="12" spans="1:14" s="15" customFormat="1" ht="20.25" customHeight="1" x14ac:dyDescent="0.15">
      <c r="A12" s="60"/>
      <c r="B12" s="9"/>
      <c r="C12" s="58"/>
      <c r="D12" s="11"/>
      <c r="E12" s="10"/>
      <c r="F12" s="58"/>
      <c r="G12" s="12"/>
      <c r="H12" s="12"/>
      <c r="I12" s="17"/>
      <c r="J12" s="18"/>
      <c r="K12" s="19">
        <f t="shared" si="0"/>
        <v>0</v>
      </c>
      <c r="L12" s="14"/>
      <c r="N12" s="15">
        <v>10.89</v>
      </c>
    </row>
    <row r="13" spans="1:14" s="15" customFormat="1" ht="20.25" customHeight="1" x14ac:dyDescent="0.15">
      <c r="A13" s="60"/>
      <c r="B13" s="9"/>
      <c r="C13" s="58"/>
      <c r="D13" s="11"/>
      <c r="E13" s="10"/>
      <c r="F13" s="58"/>
      <c r="G13" s="12"/>
      <c r="H13" s="12"/>
      <c r="I13" s="17"/>
      <c r="J13" s="18"/>
      <c r="K13" s="19">
        <f t="shared" si="0"/>
        <v>0</v>
      </c>
      <c r="L13" s="14"/>
      <c r="N13" s="15">
        <v>10.89</v>
      </c>
    </row>
    <row r="14" spans="1:14" s="15" customFormat="1" ht="20.25" customHeight="1" x14ac:dyDescent="0.15">
      <c r="A14" s="60"/>
      <c r="B14" s="9"/>
      <c r="C14" s="58"/>
      <c r="D14" s="11"/>
      <c r="E14" s="10"/>
      <c r="F14" s="58"/>
      <c r="G14" s="12"/>
      <c r="H14" s="12"/>
      <c r="I14" s="17"/>
      <c r="J14" s="18"/>
      <c r="K14" s="19">
        <f t="shared" si="0"/>
        <v>0</v>
      </c>
      <c r="L14" s="20"/>
      <c r="N14" s="15">
        <v>10.89</v>
      </c>
    </row>
    <row r="15" spans="1:14" s="15" customFormat="1" ht="20.25" customHeight="1" x14ac:dyDescent="0.15">
      <c r="A15" s="60"/>
      <c r="B15" s="9"/>
      <c r="C15" s="58"/>
      <c r="D15" s="11"/>
      <c r="E15" s="10"/>
      <c r="F15" s="58"/>
      <c r="G15" s="12"/>
      <c r="H15" s="12"/>
      <c r="I15" s="17"/>
      <c r="J15" s="18"/>
      <c r="K15" s="19">
        <f t="shared" si="0"/>
        <v>0</v>
      </c>
      <c r="L15" s="20"/>
      <c r="N15" s="15">
        <v>10.89</v>
      </c>
    </row>
    <row r="16" spans="1:14" s="15" customFormat="1" ht="20.25" customHeight="1" x14ac:dyDescent="0.15">
      <c r="A16" s="60"/>
      <c r="B16" s="9"/>
      <c r="C16" s="58"/>
      <c r="D16" s="11"/>
      <c r="E16" s="10"/>
      <c r="F16" s="58"/>
      <c r="G16" s="12"/>
      <c r="H16" s="12"/>
      <c r="I16" s="17"/>
      <c r="J16" s="18"/>
      <c r="K16" s="19">
        <f t="shared" si="0"/>
        <v>0</v>
      </c>
      <c r="L16" s="20"/>
      <c r="N16" s="15">
        <v>10.89</v>
      </c>
    </row>
    <row r="17" spans="1:14" s="15" customFormat="1" ht="20.25" customHeight="1" x14ac:dyDescent="0.15">
      <c r="A17" s="60"/>
      <c r="B17" s="9"/>
      <c r="C17" s="58"/>
      <c r="D17" s="11"/>
      <c r="E17" s="10"/>
      <c r="F17" s="58"/>
      <c r="G17" s="12"/>
      <c r="H17" s="12"/>
      <c r="I17" s="17"/>
      <c r="J17" s="18"/>
      <c r="K17" s="19">
        <f t="shared" si="0"/>
        <v>0</v>
      </c>
      <c r="L17" s="20"/>
      <c r="N17" s="15">
        <v>10.89</v>
      </c>
    </row>
    <row r="18" spans="1:14" s="15" customFormat="1" ht="20.25" customHeight="1" x14ac:dyDescent="0.15">
      <c r="A18" s="60"/>
      <c r="B18" s="9"/>
      <c r="C18" s="58"/>
      <c r="D18" s="11"/>
      <c r="E18" s="10"/>
      <c r="F18" s="58"/>
      <c r="G18" s="12"/>
      <c r="H18" s="12"/>
      <c r="I18" s="17"/>
      <c r="J18" s="18"/>
      <c r="K18" s="19">
        <f t="shared" si="0"/>
        <v>0</v>
      </c>
      <c r="L18" s="20"/>
      <c r="N18" s="15">
        <v>10.89</v>
      </c>
    </row>
    <row r="19" spans="1:14" s="15" customFormat="1" ht="20.25" customHeight="1" x14ac:dyDescent="0.15">
      <c r="A19" s="60"/>
      <c r="B19" s="9"/>
      <c r="C19" s="58"/>
      <c r="D19" s="11"/>
      <c r="E19" s="10"/>
      <c r="F19" s="58"/>
      <c r="G19" s="12"/>
      <c r="H19" s="12"/>
      <c r="I19" s="17"/>
      <c r="J19" s="18"/>
      <c r="K19" s="19">
        <f t="shared" si="0"/>
        <v>0</v>
      </c>
      <c r="L19" s="20"/>
      <c r="N19" s="15">
        <v>10.89</v>
      </c>
    </row>
    <row r="20" spans="1:14" s="15" customFormat="1" ht="20.25" customHeight="1" x14ac:dyDescent="0.15">
      <c r="A20" s="60"/>
      <c r="B20" s="9"/>
      <c r="C20" s="58"/>
      <c r="D20" s="11"/>
      <c r="E20" s="10"/>
      <c r="F20" s="58"/>
      <c r="G20" s="12"/>
      <c r="H20" s="12"/>
      <c r="I20" s="17"/>
      <c r="J20" s="18"/>
      <c r="K20" s="19">
        <f t="shared" si="0"/>
        <v>0</v>
      </c>
      <c r="L20" s="20"/>
      <c r="N20" s="15">
        <v>10.89</v>
      </c>
    </row>
    <row r="21" spans="1:14" s="15" customFormat="1" ht="20.25" customHeight="1" x14ac:dyDescent="0.15">
      <c r="A21" s="60"/>
      <c r="B21" s="9"/>
      <c r="C21" s="58"/>
      <c r="D21" s="11"/>
      <c r="E21" s="10"/>
      <c r="F21" s="58"/>
      <c r="G21" s="50"/>
      <c r="H21" s="50"/>
      <c r="I21" s="17"/>
      <c r="J21" s="18"/>
      <c r="K21" s="19">
        <f t="shared" si="0"/>
        <v>0</v>
      </c>
      <c r="L21" s="20"/>
      <c r="N21" s="15">
        <v>10.89</v>
      </c>
    </row>
    <row r="22" spans="1:14" s="15" customFormat="1" ht="20.25" customHeight="1" x14ac:dyDescent="0.15">
      <c r="A22" s="60"/>
      <c r="B22" s="9"/>
      <c r="C22" s="58"/>
      <c r="D22" s="11"/>
      <c r="E22" s="10"/>
      <c r="F22" s="58"/>
      <c r="G22" s="50"/>
      <c r="H22" s="50"/>
      <c r="I22" s="17"/>
      <c r="J22" s="18"/>
      <c r="K22" s="19">
        <f t="shared" si="0"/>
        <v>0</v>
      </c>
      <c r="L22" s="20"/>
      <c r="N22" s="15">
        <v>10.89</v>
      </c>
    </row>
    <row r="23" spans="1:14" ht="20.25" customHeight="1" x14ac:dyDescent="0.15">
      <c r="A23" s="60"/>
      <c r="B23" s="9"/>
      <c r="C23" s="58"/>
      <c r="D23" s="11"/>
      <c r="E23" s="10"/>
      <c r="F23" s="58"/>
      <c r="G23" s="16"/>
      <c r="H23" s="16"/>
      <c r="I23" s="17"/>
      <c r="J23" s="18"/>
      <c r="K23" s="19">
        <f t="shared" si="0"/>
        <v>0</v>
      </c>
      <c r="L23" s="20"/>
      <c r="N23" s="15">
        <v>10.89</v>
      </c>
    </row>
    <row r="24" spans="1:14" ht="20.25" customHeight="1" thickBot="1" x14ac:dyDescent="0.2">
      <c r="A24" s="56"/>
      <c r="B24" s="21"/>
      <c r="C24" s="59"/>
      <c r="D24" s="22"/>
      <c r="E24" s="23"/>
      <c r="F24" s="23"/>
      <c r="G24" s="24"/>
      <c r="H24" s="24"/>
      <c r="I24" s="25"/>
      <c r="J24" s="46">
        <f>SUM(J8:J23)</f>
        <v>491</v>
      </c>
      <c r="K24" s="47">
        <f>SUM(K8:K23)</f>
        <v>4715.37</v>
      </c>
      <c r="L24" s="26"/>
    </row>
    <row r="25" spans="1:14" ht="20.25" customHeight="1" thickTop="1" x14ac:dyDescent="0.15">
      <c r="A25" s="60" t="s">
        <v>1013</v>
      </c>
      <c r="B25" s="9" t="s">
        <v>173</v>
      </c>
      <c r="C25" s="58" t="s">
        <v>29</v>
      </c>
      <c r="D25" s="11" t="s">
        <v>195</v>
      </c>
      <c r="E25" s="10">
        <v>22</v>
      </c>
      <c r="F25" s="58"/>
      <c r="G25" s="12">
        <v>1949</v>
      </c>
      <c r="H25" s="12">
        <v>1957</v>
      </c>
      <c r="I25" s="17" t="s">
        <v>214</v>
      </c>
      <c r="J25" s="18">
        <v>130</v>
      </c>
      <c r="K25" s="19">
        <f t="shared" ref="K25:K40" si="1">+M25*N25</f>
        <v>1875.258</v>
      </c>
      <c r="L25" s="54"/>
      <c r="M25" s="3">
        <v>172.2</v>
      </c>
      <c r="N25" s="15">
        <v>10.89</v>
      </c>
    </row>
    <row r="26" spans="1:14" ht="20.25" customHeight="1" x14ac:dyDescent="0.15">
      <c r="A26" s="60" t="s">
        <v>998</v>
      </c>
      <c r="B26" s="9" t="s">
        <v>131</v>
      </c>
      <c r="C26" s="58" t="s">
        <v>29</v>
      </c>
      <c r="D26" s="11" t="s">
        <v>155</v>
      </c>
      <c r="E26" s="10">
        <v>22</v>
      </c>
      <c r="F26" s="10" t="s">
        <v>11</v>
      </c>
      <c r="G26" s="12">
        <v>1723</v>
      </c>
      <c r="H26" s="12">
        <v>1763</v>
      </c>
      <c r="I26" s="17" t="s">
        <v>1014</v>
      </c>
      <c r="J26" s="18">
        <v>197</v>
      </c>
      <c r="K26" s="19">
        <f t="shared" si="1"/>
        <v>1589.0688</v>
      </c>
      <c r="L26" s="54"/>
      <c r="M26" s="3">
        <v>145.91999999999999</v>
      </c>
      <c r="N26" s="15">
        <v>10.89</v>
      </c>
    </row>
    <row r="27" spans="1:14" ht="20.25" customHeight="1" x14ac:dyDescent="0.15">
      <c r="A27" s="61"/>
      <c r="B27" s="9"/>
      <c r="C27" s="58" t="s">
        <v>29</v>
      </c>
      <c r="D27" s="11" t="s">
        <v>156</v>
      </c>
      <c r="E27" s="10">
        <v>22</v>
      </c>
      <c r="F27" s="10" t="s">
        <v>11</v>
      </c>
      <c r="G27" s="12">
        <v>1723</v>
      </c>
      <c r="H27" s="12">
        <v>1763</v>
      </c>
      <c r="I27" s="17" t="s">
        <v>1015</v>
      </c>
      <c r="J27" s="18">
        <v>204</v>
      </c>
      <c r="K27" s="19">
        <f t="shared" si="1"/>
        <v>1820.808</v>
      </c>
      <c r="L27" s="54"/>
      <c r="M27" s="3">
        <v>167.2</v>
      </c>
      <c r="N27" s="15">
        <v>10.89</v>
      </c>
    </row>
    <row r="28" spans="1:14" ht="20.25" customHeight="1" x14ac:dyDescent="0.15">
      <c r="A28" s="61" t="s">
        <v>989</v>
      </c>
      <c r="B28" s="9" t="s">
        <v>127</v>
      </c>
      <c r="C28" s="58" t="s">
        <v>29</v>
      </c>
      <c r="D28" s="11" t="s">
        <v>554</v>
      </c>
      <c r="E28" s="10">
        <v>28</v>
      </c>
      <c r="F28" s="10" t="s">
        <v>11</v>
      </c>
      <c r="G28" s="12">
        <v>891</v>
      </c>
      <c r="H28" s="12">
        <v>1360</v>
      </c>
      <c r="I28" s="17" t="s">
        <v>337</v>
      </c>
      <c r="J28" s="18">
        <v>2</v>
      </c>
      <c r="K28" s="19">
        <f t="shared" si="1"/>
        <v>23.086800000000004</v>
      </c>
      <c r="L28" s="54"/>
      <c r="M28" s="3">
        <v>2.12</v>
      </c>
      <c r="N28" s="15">
        <v>10.89</v>
      </c>
    </row>
    <row r="29" spans="1:14" ht="20.25" customHeight="1" x14ac:dyDescent="0.15">
      <c r="A29" s="61"/>
      <c r="B29" s="9"/>
      <c r="C29" s="58" t="s">
        <v>29</v>
      </c>
      <c r="D29" s="11" t="s">
        <v>460</v>
      </c>
      <c r="E29" s="10">
        <v>28</v>
      </c>
      <c r="F29" s="10" t="s">
        <v>11</v>
      </c>
      <c r="G29" s="12">
        <v>985</v>
      </c>
      <c r="H29" s="12">
        <v>2835</v>
      </c>
      <c r="I29" s="17" t="s">
        <v>659</v>
      </c>
      <c r="J29" s="18">
        <v>5</v>
      </c>
      <c r="K29" s="19">
        <f t="shared" si="1"/>
        <v>92.23830000000001</v>
      </c>
      <c r="L29" s="54"/>
      <c r="M29" s="3">
        <v>8.4700000000000006</v>
      </c>
      <c r="N29" s="15">
        <v>10.89</v>
      </c>
    </row>
    <row r="30" spans="1:14" ht="20.25" customHeight="1" x14ac:dyDescent="0.15">
      <c r="A30" s="61" t="s">
        <v>1016</v>
      </c>
      <c r="B30" s="9" t="s">
        <v>127</v>
      </c>
      <c r="C30" s="58" t="s">
        <v>29</v>
      </c>
      <c r="D30" s="11" t="s">
        <v>460</v>
      </c>
      <c r="E30" s="10">
        <v>28</v>
      </c>
      <c r="F30" s="10" t="s">
        <v>11</v>
      </c>
      <c r="G30" s="12">
        <v>985</v>
      </c>
      <c r="H30" s="12">
        <v>950</v>
      </c>
      <c r="I30" s="51">
        <v>1</v>
      </c>
      <c r="J30" s="52">
        <v>1</v>
      </c>
      <c r="K30" s="53">
        <f t="shared" si="1"/>
        <v>10.236599999999999</v>
      </c>
      <c r="L30" s="54"/>
      <c r="M30" s="3">
        <v>0.94</v>
      </c>
      <c r="N30" s="15">
        <v>10.89</v>
      </c>
    </row>
    <row r="31" spans="1:14" ht="20.25" customHeight="1" x14ac:dyDescent="0.15">
      <c r="A31" s="61"/>
      <c r="B31" s="9"/>
      <c r="C31" s="58"/>
      <c r="D31" s="11"/>
      <c r="E31" s="10"/>
      <c r="F31" s="10"/>
      <c r="G31" s="12"/>
      <c r="H31" s="12"/>
      <c r="I31" s="51"/>
      <c r="J31" s="52"/>
      <c r="K31" s="53">
        <f t="shared" si="1"/>
        <v>0</v>
      </c>
      <c r="L31" s="54"/>
      <c r="N31" s="15">
        <v>10.89</v>
      </c>
    </row>
    <row r="32" spans="1:14" ht="20.25" customHeight="1" x14ac:dyDescent="0.15">
      <c r="A32" s="60"/>
      <c r="B32" s="9"/>
      <c r="C32" s="58"/>
      <c r="D32" s="11"/>
      <c r="E32" s="10"/>
      <c r="F32" s="10"/>
      <c r="G32" s="12"/>
      <c r="H32" s="12"/>
      <c r="I32" s="17"/>
      <c r="J32" s="18"/>
      <c r="K32" s="19">
        <f t="shared" si="1"/>
        <v>0</v>
      </c>
      <c r="L32" s="27"/>
      <c r="N32" s="15">
        <v>10.89</v>
      </c>
    </row>
    <row r="33" spans="1:14" ht="20.25" customHeight="1" x14ac:dyDescent="0.15">
      <c r="A33" s="60"/>
      <c r="B33" s="9"/>
      <c r="C33" s="58"/>
      <c r="D33" s="11"/>
      <c r="E33" s="10"/>
      <c r="F33" s="10"/>
      <c r="G33" s="12"/>
      <c r="H33" s="12"/>
      <c r="I33" s="17"/>
      <c r="J33" s="18"/>
      <c r="K33" s="19">
        <f t="shared" si="1"/>
        <v>0</v>
      </c>
      <c r="L33" s="27"/>
      <c r="N33" s="15">
        <v>10.89</v>
      </c>
    </row>
    <row r="34" spans="1:14" ht="20.25" customHeight="1" x14ac:dyDescent="0.15">
      <c r="A34" s="60"/>
      <c r="B34" s="9"/>
      <c r="C34" s="58"/>
      <c r="D34" s="11"/>
      <c r="E34" s="10"/>
      <c r="F34" s="10"/>
      <c r="G34" s="12"/>
      <c r="H34" s="12"/>
      <c r="I34" s="17"/>
      <c r="J34" s="18"/>
      <c r="K34" s="19">
        <f t="shared" si="1"/>
        <v>0</v>
      </c>
      <c r="L34" s="27"/>
      <c r="N34" s="15">
        <v>10.89</v>
      </c>
    </row>
    <row r="35" spans="1:14" ht="20.25" customHeight="1" x14ac:dyDescent="0.15">
      <c r="A35" s="60"/>
      <c r="B35" s="9"/>
      <c r="C35" s="58"/>
      <c r="D35" s="11"/>
      <c r="E35" s="10"/>
      <c r="F35" s="10"/>
      <c r="G35" s="12"/>
      <c r="H35" s="12"/>
      <c r="I35" s="17"/>
      <c r="J35" s="18"/>
      <c r="K35" s="19">
        <f t="shared" si="1"/>
        <v>0</v>
      </c>
      <c r="L35" s="27"/>
      <c r="N35" s="15">
        <v>10.89</v>
      </c>
    </row>
    <row r="36" spans="1:14" ht="20.25" customHeight="1" x14ac:dyDescent="0.15">
      <c r="A36" s="60"/>
      <c r="B36" s="9"/>
      <c r="C36" s="58"/>
      <c r="D36" s="11"/>
      <c r="E36" s="10"/>
      <c r="F36" s="10"/>
      <c r="G36" s="12"/>
      <c r="H36" s="12"/>
      <c r="I36" s="17"/>
      <c r="J36" s="18"/>
      <c r="K36" s="19">
        <f t="shared" si="1"/>
        <v>0</v>
      </c>
      <c r="L36" s="27"/>
      <c r="N36" s="15">
        <v>10.89</v>
      </c>
    </row>
    <row r="37" spans="1:14" ht="20.25" customHeight="1" x14ac:dyDescent="0.15">
      <c r="A37" s="60"/>
      <c r="B37" s="9"/>
      <c r="C37" s="58"/>
      <c r="D37" s="11"/>
      <c r="E37" s="10"/>
      <c r="F37" s="10"/>
      <c r="G37" s="12"/>
      <c r="H37" s="12"/>
      <c r="I37" s="17"/>
      <c r="J37" s="18"/>
      <c r="K37" s="19">
        <f t="shared" si="1"/>
        <v>0</v>
      </c>
      <c r="L37" s="27"/>
      <c r="N37" s="15">
        <v>10.89</v>
      </c>
    </row>
    <row r="38" spans="1:14" ht="20.25" customHeight="1" x14ac:dyDescent="0.15">
      <c r="A38" s="60"/>
      <c r="B38" s="9"/>
      <c r="C38" s="58"/>
      <c r="D38" s="11"/>
      <c r="E38" s="10"/>
      <c r="F38" s="10"/>
      <c r="G38" s="12"/>
      <c r="H38" s="12"/>
      <c r="I38" s="17"/>
      <c r="J38" s="18"/>
      <c r="K38" s="19">
        <f t="shared" si="1"/>
        <v>0</v>
      </c>
      <c r="L38" s="27"/>
      <c r="N38" s="15">
        <v>10.89</v>
      </c>
    </row>
    <row r="39" spans="1:14" ht="20.25" customHeight="1" x14ac:dyDescent="0.15">
      <c r="A39" s="60"/>
      <c r="B39" s="9"/>
      <c r="C39" s="58"/>
      <c r="D39" s="11"/>
      <c r="E39" s="10"/>
      <c r="F39" s="10"/>
      <c r="G39" s="12"/>
      <c r="H39" s="12"/>
      <c r="I39" s="17"/>
      <c r="J39" s="18"/>
      <c r="K39" s="19">
        <f t="shared" si="1"/>
        <v>0</v>
      </c>
      <c r="L39" s="27"/>
      <c r="N39" s="15">
        <v>10.89</v>
      </c>
    </row>
    <row r="40" spans="1:14" ht="20.25" customHeight="1" x14ac:dyDescent="0.15">
      <c r="A40" s="60"/>
      <c r="B40" s="9"/>
      <c r="C40" s="58"/>
      <c r="D40" s="11"/>
      <c r="E40" s="10"/>
      <c r="F40" s="10"/>
      <c r="G40" s="12"/>
      <c r="H40" s="12"/>
      <c r="I40" s="17"/>
      <c r="J40" s="18"/>
      <c r="K40" s="19">
        <f t="shared" si="1"/>
        <v>0</v>
      </c>
      <c r="L40" s="27"/>
      <c r="N40" s="15">
        <v>10.89</v>
      </c>
    </row>
    <row r="41" spans="1:14" ht="20.25" customHeight="1" x14ac:dyDescent="0.15">
      <c r="A41" s="57"/>
      <c r="B41" s="28"/>
      <c r="C41" s="10"/>
      <c r="D41" s="29"/>
      <c r="E41" s="30"/>
      <c r="F41" s="30"/>
      <c r="G41" s="30"/>
      <c r="H41" s="30"/>
      <c r="I41" s="13"/>
      <c r="J41" s="48">
        <f>SUM(J25:J40)</f>
        <v>539</v>
      </c>
      <c r="K41" s="49">
        <f>SUM(K25:K40)</f>
        <v>5410.6965</v>
      </c>
      <c r="L41" s="31"/>
      <c r="N41" s="32"/>
    </row>
    <row r="42" spans="1:14" ht="20.25" customHeight="1" thickBot="1" x14ac:dyDescent="0.2">
      <c r="A42" s="55"/>
      <c r="B42" s="33"/>
      <c r="C42" s="33"/>
      <c r="D42" s="33"/>
      <c r="E42" s="33"/>
      <c r="F42" s="33"/>
      <c r="G42" s="33"/>
      <c r="H42" s="33"/>
      <c r="I42" s="33"/>
      <c r="J42" s="34"/>
      <c r="K42" s="35"/>
      <c r="L42" s="36"/>
    </row>
    <row r="43" spans="1:14" ht="20.25" customHeight="1" thickBot="1" x14ac:dyDescent="0.2">
      <c r="A43" s="37" t="s">
        <v>19</v>
      </c>
      <c r="B43" s="38" t="s">
        <v>20</v>
      </c>
      <c r="C43" s="77" t="s">
        <v>21</v>
      </c>
      <c r="D43" s="79"/>
      <c r="E43" s="77" t="s">
        <v>22</v>
      </c>
      <c r="F43" s="78"/>
      <c r="G43" s="79"/>
      <c r="H43" s="85" t="s">
        <v>23</v>
      </c>
      <c r="I43" s="86"/>
      <c r="J43" s="77" t="s">
        <v>24</v>
      </c>
      <c r="K43" s="79"/>
      <c r="L43" s="39" t="s">
        <v>13</v>
      </c>
    </row>
    <row r="44" spans="1:14" ht="20.25" customHeight="1" thickBot="1" x14ac:dyDescent="0.2">
      <c r="A44" s="40">
        <f>SUMIF($C$8:$C$42,"U1",$J$8:$J$42)</f>
        <v>0</v>
      </c>
      <c r="B44" s="41">
        <f>SUMIF($C$8:$C$42,"U2",$J$8:$J$42)</f>
        <v>0</v>
      </c>
      <c r="C44" s="77">
        <f>SUMIF($C$8:$C$42,"U3-1",$J$8:$J$42)</f>
        <v>0</v>
      </c>
      <c r="D44" s="79"/>
      <c r="E44" s="77">
        <f>SUMIF($C$8:$C$42,"U3",$J$8:$J$42)</f>
        <v>1030</v>
      </c>
      <c r="F44" s="78"/>
      <c r="G44" s="79"/>
      <c r="H44" s="77">
        <f>SUMIF($C$8:$C$42,"E5",$J$8:$J$42)</f>
        <v>0</v>
      </c>
      <c r="I44" s="79"/>
      <c r="J44" s="77">
        <f>SUM(A44:I44)</f>
        <v>1030</v>
      </c>
      <c r="K44" s="79"/>
      <c r="L44" s="42"/>
    </row>
    <row r="45" spans="1:14" ht="20.25" customHeight="1" thickBot="1" x14ac:dyDescent="0.2">
      <c r="A45" s="43" t="s">
        <v>25</v>
      </c>
      <c r="B45" s="44" t="s">
        <v>26</v>
      </c>
      <c r="C45" s="75">
        <v>13876</v>
      </c>
      <c r="D45" s="76"/>
      <c r="E45" s="77" t="s">
        <v>27</v>
      </c>
      <c r="F45" s="78"/>
      <c r="G45" s="78"/>
      <c r="H45" s="78"/>
      <c r="I45" s="79"/>
      <c r="J45" s="80">
        <v>146744.37</v>
      </c>
      <c r="K45" s="81"/>
      <c r="L45" s="82"/>
    </row>
    <row r="47" spans="1:14" x14ac:dyDescent="0.15">
      <c r="D47" s="45"/>
    </row>
  </sheetData>
  <mergeCells count="26">
    <mergeCell ref="C45:D45"/>
    <mergeCell ref="E45:I45"/>
    <mergeCell ref="J45:L45"/>
    <mergeCell ref="L6:L7"/>
    <mergeCell ref="C43:D43"/>
    <mergeCell ref="E43:G43"/>
    <mergeCell ref="H43:I43"/>
    <mergeCell ref="J43:K43"/>
    <mergeCell ref="C44:D44"/>
    <mergeCell ref="E44:G44"/>
    <mergeCell ref="H44:I44"/>
    <mergeCell ref="J44:K44"/>
    <mergeCell ref="B5:G5"/>
    <mergeCell ref="A6:A7"/>
    <mergeCell ref="B6:B7"/>
    <mergeCell ref="C6:C7"/>
    <mergeCell ref="D6:D7"/>
    <mergeCell ref="E6:E7"/>
    <mergeCell ref="F6:F7"/>
    <mergeCell ref="G6:K6"/>
    <mergeCell ref="L2:L4"/>
    <mergeCell ref="A1:G3"/>
    <mergeCell ref="H1:H4"/>
    <mergeCell ref="I2:I4"/>
    <mergeCell ref="J2:J4"/>
    <mergeCell ref="K2:K4"/>
  </mergeCells>
  <phoneticPr fontId="2" type="noConversion"/>
  <printOptions horizontalCentered="1"/>
  <pageMargins left="0.39370078740157483" right="0.39370078740157483" top="0.74803149606299213" bottom="0.19685039370078741" header="0.31496062992125984" footer="0.15748031496062992"/>
  <pageSetup paperSize="9" scale="84"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N47"/>
  <sheetViews>
    <sheetView view="pageBreakPreview" zoomScaleSheetLayoutView="100" workbookViewId="0">
      <selection activeCell="B9" sqref="B9:F9"/>
    </sheetView>
  </sheetViews>
  <sheetFormatPr defaultColWidth="8.88671875" defaultRowHeight="13.5" x14ac:dyDescent="0.15"/>
  <cols>
    <col min="1" max="1" width="8.44140625" style="3" customWidth="1"/>
    <col min="2" max="2" width="14.77734375" style="3" customWidth="1"/>
    <col min="3" max="3" width="4.109375" style="3" customWidth="1"/>
    <col min="4" max="4" width="15.21875" style="3" customWidth="1"/>
    <col min="5" max="5" width="4.44140625" style="3" customWidth="1"/>
    <col min="6" max="6" width="4" style="3" customWidth="1"/>
    <col min="7" max="7" width="5.5546875" style="3" customWidth="1"/>
    <col min="8" max="8" width="5.44140625" style="3" customWidth="1"/>
    <col min="9" max="9" width="7.88671875" style="3" customWidth="1"/>
    <col min="10" max="10" width="7.109375" style="3" customWidth="1"/>
    <col min="11" max="11" width="7.21875" style="3" customWidth="1"/>
    <col min="12" max="12" width="6.77734375" style="3" customWidth="1"/>
    <col min="13" max="16384" width="8.88671875" style="3"/>
  </cols>
  <sheetData>
    <row r="1" spans="1:14" ht="18.75" customHeight="1" x14ac:dyDescent="0.15">
      <c r="A1" s="101" t="s">
        <v>0</v>
      </c>
      <c r="B1" s="102"/>
      <c r="C1" s="102"/>
      <c r="D1" s="102"/>
      <c r="E1" s="102"/>
      <c r="F1" s="102"/>
      <c r="G1" s="103"/>
      <c r="H1" s="107" t="s">
        <v>1</v>
      </c>
      <c r="I1" s="1" t="s">
        <v>2</v>
      </c>
      <c r="J1" s="1" t="s">
        <v>2</v>
      </c>
      <c r="K1" s="1" t="s">
        <v>3</v>
      </c>
      <c r="L1" s="2" t="s">
        <v>4</v>
      </c>
    </row>
    <row r="2" spans="1:14" ht="13.5" customHeight="1" x14ac:dyDescent="0.15">
      <c r="A2" s="104"/>
      <c r="B2" s="105"/>
      <c r="C2" s="105"/>
      <c r="D2" s="105"/>
      <c r="E2" s="105"/>
      <c r="F2" s="105"/>
      <c r="G2" s="106"/>
      <c r="H2" s="108"/>
      <c r="I2" s="110"/>
      <c r="J2" s="110"/>
      <c r="K2" s="110"/>
      <c r="L2" s="98"/>
    </row>
    <row r="3" spans="1:14" ht="13.5" customHeight="1" x14ac:dyDescent="0.15">
      <c r="A3" s="104"/>
      <c r="B3" s="105"/>
      <c r="C3" s="105"/>
      <c r="D3" s="105"/>
      <c r="E3" s="105"/>
      <c r="F3" s="105"/>
      <c r="G3" s="106"/>
      <c r="H3" s="108"/>
      <c r="I3" s="108"/>
      <c r="J3" s="108"/>
      <c r="K3" s="108"/>
      <c r="L3" s="99"/>
    </row>
    <row r="4" spans="1:14" ht="33" customHeight="1" x14ac:dyDescent="0.15">
      <c r="A4" s="4"/>
      <c r="B4" s="5"/>
      <c r="C4" s="5"/>
      <c r="D4" s="5"/>
      <c r="E4" s="5"/>
      <c r="F4" s="5"/>
      <c r="G4" s="5"/>
      <c r="H4" s="109"/>
      <c r="I4" s="109"/>
      <c r="J4" s="109"/>
      <c r="K4" s="109"/>
      <c r="L4" s="100"/>
    </row>
    <row r="5" spans="1:14" ht="17.25" customHeight="1" x14ac:dyDescent="0.15">
      <c r="A5" s="6" t="s">
        <v>5</v>
      </c>
      <c r="B5" s="87">
        <v>46064</v>
      </c>
      <c r="C5" s="88"/>
      <c r="D5" s="88"/>
      <c r="E5" s="88"/>
      <c r="F5" s="88"/>
      <c r="G5" s="88"/>
      <c r="H5" s="5"/>
      <c r="I5" s="5"/>
      <c r="J5" s="5"/>
      <c r="K5" s="5"/>
      <c r="L5" s="7"/>
    </row>
    <row r="6" spans="1:14" ht="13.5" customHeight="1" x14ac:dyDescent="0.15">
      <c r="A6" s="89" t="s">
        <v>6</v>
      </c>
      <c r="B6" s="91" t="s">
        <v>7</v>
      </c>
      <c r="C6" s="91" t="s">
        <v>8</v>
      </c>
      <c r="D6" s="91" t="s">
        <v>9</v>
      </c>
      <c r="E6" s="93" t="s">
        <v>10</v>
      </c>
      <c r="F6" s="93" t="s">
        <v>11</v>
      </c>
      <c r="G6" s="95" t="s">
        <v>12</v>
      </c>
      <c r="H6" s="96"/>
      <c r="I6" s="96"/>
      <c r="J6" s="96"/>
      <c r="K6" s="97"/>
      <c r="L6" s="83" t="s">
        <v>13</v>
      </c>
    </row>
    <row r="7" spans="1:14" x14ac:dyDescent="0.15">
      <c r="A7" s="90"/>
      <c r="B7" s="92"/>
      <c r="C7" s="92"/>
      <c r="D7" s="92"/>
      <c r="E7" s="94"/>
      <c r="F7" s="94"/>
      <c r="G7" s="8" t="s">
        <v>14</v>
      </c>
      <c r="H7" s="8" t="s">
        <v>15</v>
      </c>
      <c r="I7" s="8" t="s">
        <v>16</v>
      </c>
      <c r="J7" s="8" t="s">
        <v>17</v>
      </c>
      <c r="K7" s="8" t="s">
        <v>18</v>
      </c>
      <c r="L7" s="84"/>
    </row>
    <row r="8" spans="1:14" s="15" customFormat="1" ht="20.25" customHeight="1" x14ac:dyDescent="0.15">
      <c r="A8" s="60" t="s">
        <v>1010</v>
      </c>
      <c r="B8" s="9" t="s">
        <v>173</v>
      </c>
      <c r="C8" s="58" t="s">
        <v>29</v>
      </c>
      <c r="D8" s="11" t="s">
        <v>188</v>
      </c>
      <c r="E8" s="10">
        <v>22</v>
      </c>
      <c r="F8" s="58"/>
      <c r="G8" s="12">
        <v>701</v>
      </c>
      <c r="H8" s="12">
        <v>1087</v>
      </c>
      <c r="I8" s="17">
        <v>5</v>
      </c>
      <c r="J8" s="18">
        <v>5</v>
      </c>
      <c r="K8" s="19">
        <f>+M8*N8</f>
        <v>41.381999999999998</v>
      </c>
      <c r="L8" s="14"/>
      <c r="M8" s="15">
        <v>3.8</v>
      </c>
      <c r="N8" s="15">
        <v>10.89</v>
      </c>
    </row>
    <row r="9" spans="1:14" s="15" customFormat="1" ht="20.25" customHeight="1" x14ac:dyDescent="0.15">
      <c r="A9" s="60" t="s">
        <v>1017</v>
      </c>
      <c r="B9" s="9" t="s">
        <v>138</v>
      </c>
      <c r="C9" s="58" t="s">
        <v>29</v>
      </c>
      <c r="D9" s="11" t="s">
        <v>372</v>
      </c>
      <c r="E9" s="10">
        <v>24</v>
      </c>
      <c r="F9" s="58"/>
      <c r="G9" s="12">
        <v>775</v>
      </c>
      <c r="H9" s="12">
        <v>1890</v>
      </c>
      <c r="I9" s="17" t="s">
        <v>480</v>
      </c>
      <c r="J9" s="18">
        <v>80</v>
      </c>
      <c r="K9" s="19">
        <f t="shared" ref="K9:K23" si="0">+M9*N9</f>
        <v>887.53500000000008</v>
      </c>
      <c r="L9" s="14"/>
      <c r="M9" s="15">
        <v>81.5</v>
      </c>
      <c r="N9" s="15">
        <v>10.89</v>
      </c>
    </row>
    <row r="10" spans="1:14" s="15" customFormat="1" ht="20.25" customHeight="1" x14ac:dyDescent="0.15">
      <c r="A10" s="60"/>
      <c r="B10" s="9"/>
      <c r="C10" s="58" t="s">
        <v>29</v>
      </c>
      <c r="D10" s="11" t="s">
        <v>336</v>
      </c>
      <c r="E10" s="10">
        <v>24</v>
      </c>
      <c r="F10" s="58"/>
      <c r="G10" s="12">
        <v>1762</v>
      </c>
      <c r="H10" s="12">
        <v>1890</v>
      </c>
      <c r="I10" s="17" t="s">
        <v>196</v>
      </c>
      <c r="J10" s="18">
        <v>90</v>
      </c>
      <c r="K10" s="19">
        <f t="shared" si="0"/>
        <v>1250.172</v>
      </c>
      <c r="L10" s="14"/>
      <c r="M10" s="15">
        <v>114.8</v>
      </c>
      <c r="N10" s="15">
        <v>10.89</v>
      </c>
    </row>
    <row r="11" spans="1:14" s="15" customFormat="1" ht="20.25" customHeight="1" x14ac:dyDescent="0.15">
      <c r="A11" s="60"/>
      <c r="B11" s="9"/>
      <c r="C11" s="58" t="s">
        <v>29</v>
      </c>
      <c r="D11" s="11" t="s">
        <v>224</v>
      </c>
      <c r="E11" s="10">
        <v>22</v>
      </c>
      <c r="F11" s="58" t="s">
        <v>11</v>
      </c>
      <c r="G11" s="12">
        <v>618</v>
      </c>
      <c r="H11" s="12">
        <v>1890</v>
      </c>
      <c r="I11" s="17">
        <v>10</v>
      </c>
      <c r="J11" s="18">
        <v>10</v>
      </c>
      <c r="K11" s="19">
        <f t="shared" si="0"/>
        <v>127.413</v>
      </c>
      <c r="L11" s="14"/>
      <c r="M11" s="15">
        <v>11.7</v>
      </c>
      <c r="N11" s="15">
        <v>10.89</v>
      </c>
    </row>
    <row r="12" spans="1:14" s="15" customFormat="1" ht="20.25" customHeight="1" x14ac:dyDescent="0.15">
      <c r="A12" s="60" t="s">
        <v>1018</v>
      </c>
      <c r="B12" s="9" t="s">
        <v>138</v>
      </c>
      <c r="C12" s="58" t="s">
        <v>29</v>
      </c>
      <c r="D12" s="11" t="s">
        <v>336</v>
      </c>
      <c r="E12" s="10">
        <v>24</v>
      </c>
      <c r="F12" s="58"/>
      <c r="G12" s="12">
        <v>1662</v>
      </c>
      <c r="H12" s="12">
        <v>1890</v>
      </c>
      <c r="I12" s="17">
        <v>10</v>
      </c>
      <c r="J12" s="18">
        <v>10</v>
      </c>
      <c r="K12" s="19">
        <f t="shared" si="0"/>
        <v>341.94600000000003</v>
      </c>
      <c r="L12" s="14"/>
      <c r="M12" s="15">
        <v>31.4</v>
      </c>
      <c r="N12" s="15">
        <v>10.89</v>
      </c>
    </row>
    <row r="13" spans="1:14" s="15" customFormat="1" ht="20.25" customHeight="1" x14ac:dyDescent="0.15">
      <c r="A13" s="60" t="s">
        <v>1019</v>
      </c>
      <c r="B13" s="9" t="s">
        <v>131</v>
      </c>
      <c r="C13" s="58" t="s">
        <v>29</v>
      </c>
      <c r="D13" s="11" t="s">
        <v>155</v>
      </c>
      <c r="E13" s="10">
        <v>22</v>
      </c>
      <c r="F13" s="58" t="s">
        <v>11</v>
      </c>
      <c r="G13" s="12">
        <v>1421</v>
      </c>
      <c r="H13" s="12">
        <v>1763</v>
      </c>
      <c r="I13" s="17" t="s">
        <v>854</v>
      </c>
      <c r="J13" s="18">
        <f>104+8</f>
        <v>112</v>
      </c>
      <c r="K13" s="19">
        <f t="shared" si="0"/>
        <v>1001.8800000000001</v>
      </c>
      <c r="L13" s="14"/>
      <c r="M13" s="15">
        <v>92</v>
      </c>
      <c r="N13" s="15">
        <v>10.89</v>
      </c>
    </row>
    <row r="14" spans="1:14" s="15" customFormat="1" ht="20.25" customHeight="1" x14ac:dyDescent="0.15">
      <c r="A14" s="60"/>
      <c r="B14" s="9"/>
      <c r="C14" s="58" t="s">
        <v>29</v>
      </c>
      <c r="D14" s="11" t="s">
        <v>156</v>
      </c>
      <c r="E14" s="10">
        <v>22</v>
      </c>
      <c r="F14" s="58" t="s">
        <v>11</v>
      </c>
      <c r="G14" s="12">
        <v>1421</v>
      </c>
      <c r="H14" s="12">
        <v>1763</v>
      </c>
      <c r="I14" s="17" t="s">
        <v>854</v>
      </c>
      <c r="J14" s="18">
        <f>104+8</f>
        <v>112</v>
      </c>
      <c r="K14" s="19">
        <f t="shared" si="0"/>
        <v>1001.8800000000001</v>
      </c>
      <c r="L14" s="20"/>
      <c r="M14" s="15">
        <v>92</v>
      </c>
      <c r="N14" s="15">
        <v>10.89</v>
      </c>
    </row>
    <row r="15" spans="1:14" s="15" customFormat="1" ht="20.25" customHeight="1" x14ac:dyDescent="0.15">
      <c r="A15" s="60" t="s">
        <v>992</v>
      </c>
      <c r="B15" s="9" t="s">
        <v>186</v>
      </c>
      <c r="C15" s="58" t="s">
        <v>29</v>
      </c>
      <c r="D15" s="11" t="s">
        <v>310</v>
      </c>
      <c r="E15" s="10">
        <v>24</v>
      </c>
      <c r="F15" s="58" t="s">
        <v>11</v>
      </c>
      <c r="G15" s="12">
        <v>1062</v>
      </c>
      <c r="H15" s="12">
        <v>2175</v>
      </c>
      <c r="I15" s="17" t="s">
        <v>218</v>
      </c>
      <c r="J15" s="18">
        <v>3</v>
      </c>
      <c r="K15" s="19">
        <f t="shared" si="0"/>
        <v>74.814300000000003</v>
      </c>
      <c r="L15" s="20"/>
      <c r="M15" s="15">
        <v>6.87</v>
      </c>
      <c r="N15" s="15">
        <v>10.89</v>
      </c>
    </row>
    <row r="16" spans="1:14" s="15" customFormat="1" ht="20.25" customHeight="1" x14ac:dyDescent="0.15">
      <c r="A16" s="60" t="s">
        <v>994</v>
      </c>
      <c r="B16" s="9" t="s">
        <v>186</v>
      </c>
      <c r="C16" s="58" t="s">
        <v>29</v>
      </c>
      <c r="D16" s="11" t="s">
        <v>310</v>
      </c>
      <c r="E16" s="10">
        <v>24</v>
      </c>
      <c r="F16" s="58" t="s">
        <v>11</v>
      </c>
      <c r="G16" s="12">
        <v>960</v>
      </c>
      <c r="H16" s="12">
        <v>2175</v>
      </c>
      <c r="I16" s="17" t="s">
        <v>337</v>
      </c>
      <c r="J16" s="18">
        <v>2</v>
      </c>
      <c r="K16" s="19">
        <f t="shared" si="0"/>
        <v>45.302400000000006</v>
      </c>
      <c r="L16" s="20"/>
      <c r="M16" s="15">
        <v>4.16</v>
      </c>
      <c r="N16" s="15">
        <v>10.89</v>
      </c>
    </row>
    <row r="17" spans="1:14" s="15" customFormat="1" ht="20.25" customHeight="1" x14ac:dyDescent="0.15">
      <c r="A17" s="60" t="s">
        <v>1020</v>
      </c>
      <c r="B17" s="9" t="s">
        <v>840</v>
      </c>
      <c r="C17" s="58" t="s">
        <v>231</v>
      </c>
      <c r="D17" s="11" t="s">
        <v>841</v>
      </c>
      <c r="E17" s="10">
        <v>22</v>
      </c>
      <c r="F17" s="58"/>
      <c r="G17" s="12">
        <v>665</v>
      </c>
      <c r="H17" s="12">
        <v>1875</v>
      </c>
      <c r="I17" s="17">
        <v>4</v>
      </c>
      <c r="J17" s="18">
        <v>4</v>
      </c>
      <c r="K17" s="19">
        <f t="shared" si="0"/>
        <v>54.45</v>
      </c>
      <c r="L17" s="20"/>
      <c r="M17" s="15">
        <v>5</v>
      </c>
      <c r="N17" s="15">
        <v>10.89</v>
      </c>
    </row>
    <row r="18" spans="1:14" s="15" customFormat="1" ht="20.25" customHeight="1" x14ac:dyDescent="0.15">
      <c r="A18" s="60"/>
      <c r="B18" s="9"/>
      <c r="C18" s="58"/>
      <c r="D18" s="11"/>
      <c r="E18" s="10"/>
      <c r="F18" s="58"/>
      <c r="G18" s="12"/>
      <c r="H18" s="12"/>
      <c r="I18" s="17"/>
      <c r="J18" s="18"/>
      <c r="K18" s="19">
        <f t="shared" si="0"/>
        <v>0</v>
      </c>
      <c r="L18" s="20"/>
      <c r="N18" s="15">
        <v>10.89</v>
      </c>
    </row>
    <row r="19" spans="1:14" s="15" customFormat="1" ht="20.25" customHeight="1" x14ac:dyDescent="0.15">
      <c r="A19" s="60"/>
      <c r="B19" s="9"/>
      <c r="C19" s="58"/>
      <c r="D19" s="11"/>
      <c r="E19" s="10"/>
      <c r="F19" s="58"/>
      <c r="G19" s="12"/>
      <c r="H19" s="12"/>
      <c r="I19" s="17"/>
      <c r="J19" s="18"/>
      <c r="K19" s="19">
        <f t="shared" si="0"/>
        <v>0</v>
      </c>
      <c r="L19" s="20"/>
      <c r="N19" s="15">
        <v>10.89</v>
      </c>
    </row>
    <row r="20" spans="1:14" s="15" customFormat="1" ht="20.25" customHeight="1" x14ac:dyDescent="0.15">
      <c r="A20" s="60"/>
      <c r="B20" s="9"/>
      <c r="C20" s="58"/>
      <c r="D20" s="11"/>
      <c r="E20" s="10"/>
      <c r="F20" s="58"/>
      <c r="G20" s="12"/>
      <c r="H20" s="12"/>
      <c r="I20" s="17"/>
      <c r="J20" s="18"/>
      <c r="K20" s="19">
        <f t="shared" si="0"/>
        <v>0</v>
      </c>
      <c r="L20" s="20"/>
      <c r="N20" s="15">
        <v>10.89</v>
      </c>
    </row>
    <row r="21" spans="1:14" s="15" customFormat="1" ht="20.25" customHeight="1" x14ac:dyDescent="0.15">
      <c r="A21" s="60"/>
      <c r="B21" s="9"/>
      <c r="C21" s="58"/>
      <c r="D21" s="11"/>
      <c r="E21" s="10"/>
      <c r="F21" s="58"/>
      <c r="G21" s="50"/>
      <c r="H21" s="50"/>
      <c r="I21" s="17"/>
      <c r="J21" s="18"/>
      <c r="K21" s="19">
        <f t="shared" si="0"/>
        <v>0</v>
      </c>
      <c r="L21" s="20"/>
      <c r="N21" s="15">
        <v>10.89</v>
      </c>
    </row>
    <row r="22" spans="1:14" s="15" customFormat="1" ht="20.25" customHeight="1" x14ac:dyDescent="0.15">
      <c r="A22" s="60"/>
      <c r="B22" s="9"/>
      <c r="C22" s="58"/>
      <c r="D22" s="11"/>
      <c r="E22" s="10"/>
      <c r="F22" s="58"/>
      <c r="G22" s="50"/>
      <c r="H22" s="50"/>
      <c r="I22" s="17"/>
      <c r="J22" s="18"/>
      <c r="K22" s="19">
        <f t="shared" si="0"/>
        <v>0</v>
      </c>
      <c r="L22" s="20"/>
      <c r="N22" s="15">
        <v>10.89</v>
      </c>
    </row>
    <row r="23" spans="1:14" ht="20.25" customHeight="1" x14ac:dyDescent="0.15">
      <c r="A23" s="60"/>
      <c r="B23" s="9"/>
      <c r="C23" s="58"/>
      <c r="D23" s="11"/>
      <c r="E23" s="10"/>
      <c r="F23" s="58"/>
      <c r="G23" s="16"/>
      <c r="H23" s="16"/>
      <c r="I23" s="17"/>
      <c r="J23" s="18"/>
      <c r="K23" s="19">
        <f t="shared" si="0"/>
        <v>0</v>
      </c>
      <c r="L23" s="20"/>
      <c r="N23" s="15">
        <v>10.89</v>
      </c>
    </row>
    <row r="24" spans="1:14" ht="20.25" customHeight="1" thickBot="1" x14ac:dyDescent="0.2">
      <c r="A24" s="56"/>
      <c r="B24" s="21"/>
      <c r="C24" s="59"/>
      <c r="D24" s="22"/>
      <c r="E24" s="23"/>
      <c r="F24" s="23"/>
      <c r="G24" s="24"/>
      <c r="H24" s="24"/>
      <c r="I24" s="25"/>
      <c r="J24" s="46">
        <f>SUM(J8:J23)</f>
        <v>428</v>
      </c>
      <c r="K24" s="47">
        <f>SUM(K8:K23)</f>
        <v>4826.7746999999999</v>
      </c>
      <c r="L24" s="26"/>
    </row>
    <row r="25" spans="1:14" ht="20.25" customHeight="1" thickTop="1" x14ac:dyDescent="0.15">
      <c r="A25" s="60" t="s">
        <v>936</v>
      </c>
      <c r="B25" s="9" t="s">
        <v>183</v>
      </c>
      <c r="C25" s="58" t="s">
        <v>29</v>
      </c>
      <c r="D25" s="11" t="s">
        <v>304</v>
      </c>
      <c r="E25" s="10">
        <v>28</v>
      </c>
      <c r="F25" s="10" t="s">
        <v>11</v>
      </c>
      <c r="G25" s="12">
        <v>1845</v>
      </c>
      <c r="H25" s="12">
        <v>3305</v>
      </c>
      <c r="I25" s="17" t="s">
        <v>1021</v>
      </c>
      <c r="J25" s="18">
        <v>33</v>
      </c>
      <c r="K25" s="19">
        <f t="shared" ref="K25:K40" si="1">+M25*N25</f>
        <v>2192.1570000000002</v>
      </c>
      <c r="L25" s="54"/>
      <c r="M25" s="3">
        <v>201.3</v>
      </c>
      <c r="N25" s="15">
        <v>10.89</v>
      </c>
    </row>
    <row r="26" spans="1:14" ht="20.25" customHeight="1" x14ac:dyDescent="0.15">
      <c r="A26" s="60" t="s">
        <v>1013</v>
      </c>
      <c r="B26" s="9" t="s">
        <v>173</v>
      </c>
      <c r="C26" s="58" t="s">
        <v>29</v>
      </c>
      <c r="D26" s="11" t="s">
        <v>364</v>
      </c>
      <c r="E26" s="10">
        <v>22</v>
      </c>
      <c r="F26" s="10"/>
      <c r="G26" s="12">
        <v>1949</v>
      </c>
      <c r="H26" s="12">
        <v>1957</v>
      </c>
      <c r="I26" s="17" t="s">
        <v>1022</v>
      </c>
      <c r="J26" s="18">
        <v>28</v>
      </c>
      <c r="K26" s="19">
        <f t="shared" si="1"/>
        <v>763.82460000000003</v>
      </c>
      <c r="L26" s="54"/>
      <c r="M26" s="3">
        <v>70.14</v>
      </c>
      <c r="N26" s="15">
        <v>10.89</v>
      </c>
    </row>
    <row r="27" spans="1:14" ht="20.25" customHeight="1" x14ac:dyDescent="0.15">
      <c r="A27" s="61"/>
      <c r="B27" s="9"/>
      <c r="C27" s="58" t="s">
        <v>29</v>
      </c>
      <c r="D27" s="11" t="s">
        <v>195</v>
      </c>
      <c r="E27" s="10">
        <v>22</v>
      </c>
      <c r="F27" s="10"/>
      <c r="G27" s="12">
        <v>604</v>
      </c>
      <c r="H27" s="12">
        <v>1217</v>
      </c>
      <c r="I27" s="17" t="s">
        <v>1023</v>
      </c>
      <c r="J27" s="18">
        <v>50</v>
      </c>
      <c r="K27" s="19">
        <f t="shared" si="1"/>
        <v>380.06099999999998</v>
      </c>
      <c r="L27" s="54"/>
      <c r="M27" s="3">
        <v>34.9</v>
      </c>
      <c r="N27" s="15">
        <v>10.89</v>
      </c>
    </row>
    <row r="28" spans="1:14" ht="20.25" customHeight="1" x14ac:dyDescent="0.15">
      <c r="A28" s="61" t="s">
        <v>977</v>
      </c>
      <c r="B28" s="9" t="s">
        <v>101</v>
      </c>
      <c r="C28" s="58" t="s">
        <v>29</v>
      </c>
      <c r="D28" s="11" t="s">
        <v>332</v>
      </c>
      <c r="E28" s="10">
        <v>22</v>
      </c>
      <c r="F28" s="10"/>
      <c r="G28" s="12">
        <v>640</v>
      </c>
      <c r="H28" s="12">
        <v>805</v>
      </c>
      <c r="I28" s="17">
        <v>13</v>
      </c>
      <c r="J28" s="18">
        <v>13</v>
      </c>
      <c r="K28" s="19">
        <f t="shared" si="1"/>
        <v>73.616399999999999</v>
      </c>
      <c r="L28" s="54"/>
      <c r="M28" s="3">
        <v>6.76</v>
      </c>
      <c r="N28" s="15">
        <v>10.89</v>
      </c>
    </row>
    <row r="29" spans="1:14" ht="20.25" customHeight="1" x14ac:dyDescent="0.15">
      <c r="A29" s="61" t="s">
        <v>1024</v>
      </c>
      <c r="B29" s="9" t="s">
        <v>99</v>
      </c>
      <c r="C29" s="58" t="s">
        <v>29</v>
      </c>
      <c r="D29" s="11" t="s">
        <v>519</v>
      </c>
      <c r="E29" s="10">
        <v>24</v>
      </c>
      <c r="F29" s="10" t="s">
        <v>11</v>
      </c>
      <c r="G29" s="12">
        <v>1020</v>
      </c>
      <c r="H29" s="12">
        <v>1310</v>
      </c>
      <c r="I29" s="17">
        <v>1</v>
      </c>
      <c r="J29" s="18">
        <v>1</v>
      </c>
      <c r="K29" s="19">
        <f t="shared" si="1"/>
        <v>14.592600000000001</v>
      </c>
      <c r="L29" s="54"/>
      <c r="M29" s="3">
        <v>1.34</v>
      </c>
      <c r="N29" s="15">
        <v>10.89</v>
      </c>
    </row>
    <row r="30" spans="1:14" ht="20.25" customHeight="1" x14ac:dyDescent="0.15">
      <c r="A30" s="61" t="s">
        <v>942</v>
      </c>
      <c r="B30" s="9" t="s">
        <v>183</v>
      </c>
      <c r="C30" s="58" t="s">
        <v>29</v>
      </c>
      <c r="D30" s="11" t="s">
        <v>304</v>
      </c>
      <c r="E30" s="10">
        <v>28</v>
      </c>
      <c r="F30" s="10" t="s">
        <v>11</v>
      </c>
      <c r="G30" s="12">
        <v>1845</v>
      </c>
      <c r="H30" s="12">
        <v>3305</v>
      </c>
      <c r="I30" s="51" t="s">
        <v>411</v>
      </c>
      <c r="J30" s="52">
        <v>5</v>
      </c>
      <c r="K30" s="53">
        <f t="shared" si="1"/>
        <v>325.61099999999999</v>
      </c>
      <c r="L30" s="54"/>
      <c r="M30" s="3">
        <v>29.9</v>
      </c>
      <c r="N30" s="15">
        <v>10.89</v>
      </c>
    </row>
    <row r="31" spans="1:14" ht="20.25" customHeight="1" x14ac:dyDescent="0.15">
      <c r="A31" s="61" t="s">
        <v>1025</v>
      </c>
      <c r="B31" s="9" t="s">
        <v>131</v>
      </c>
      <c r="C31" s="58" t="s">
        <v>29</v>
      </c>
      <c r="D31" s="11" t="s">
        <v>155</v>
      </c>
      <c r="E31" s="10">
        <v>22</v>
      </c>
      <c r="F31" s="10" t="s">
        <v>11</v>
      </c>
      <c r="G31" s="12">
        <v>1421</v>
      </c>
      <c r="H31" s="12">
        <v>1763</v>
      </c>
      <c r="I31" s="51" t="s">
        <v>875</v>
      </c>
      <c r="J31" s="52">
        <v>164</v>
      </c>
      <c r="K31" s="53">
        <f t="shared" si="1"/>
        <v>1543.3308000000002</v>
      </c>
      <c r="L31" s="54"/>
      <c r="M31" s="3">
        <v>141.72</v>
      </c>
      <c r="N31" s="15">
        <v>10.89</v>
      </c>
    </row>
    <row r="32" spans="1:14" ht="20.25" customHeight="1" x14ac:dyDescent="0.15">
      <c r="A32" s="60"/>
      <c r="B32" s="9"/>
      <c r="C32" s="58" t="s">
        <v>29</v>
      </c>
      <c r="D32" s="11" t="s">
        <v>156</v>
      </c>
      <c r="E32" s="10">
        <v>22</v>
      </c>
      <c r="F32" s="10" t="s">
        <v>11</v>
      </c>
      <c r="G32" s="12">
        <v>1421</v>
      </c>
      <c r="H32" s="12">
        <v>1763</v>
      </c>
      <c r="I32" s="17" t="s">
        <v>1026</v>
      </c>
      <c r="J32" s="18">
        <v>52</v>
      </c>
      <c r="K32" s="19">
        <f t="shared" si="1"/>
        <v>966.59640000000013</v>
      </c>
      <c r="L32" s="27"/>
      <c r="M32" s="3">
        <v>88.76</v>
      </c>
      <c r="N32" s="15">
        <v>10.89</v>
      </c>
    </row>
    <row r="33" spans="1:14" ht="20.25" customHeight="1" x14ac:dyDescent="0.15">
      <c r="A33" s="60"/>
      <c r="B33" s="9"/>
      <c r="C33" s="58"/>
      <c r="D33" s="11"/>
      <c r="E33" s="10"/>
      <c r="F33" s="10"/>
      <c r="G33" s="12"/>
      <c r="H33" s="12"/>
      <c r="I33" s="17"/>
      <c r="J33" s="18"/>
      <c r="K33" s="19">
        <f t="shared" si="1"/>
        <v>0</v>
      </c>
      <c r="L33" s="27"/>
      <c r="N33" s="15">
        <v>10.89</v>
      </c>
    </row>
    <row r="34" spans="1:14" ht="20.25" customHeight="1" x14ac:dyDescent="0.15">
      <c r="A34" s="60"/>
      <c r="B34" s="9"/>
      <c r="C34" s="58"/>
      <c r="D34" s="11"/>
      <c r="E34" s="10"/>
      <c r="F34" s="10"/>
      <c r="G34" s="12"/>
      <c r="H34" s="12"/>
      <c r="I34" s="17"/>
      <c r="J34" s="18"/>
      <c r="K34" s="19">
        <f t="shared" si="1"/>
        <v>0</v>
      </c>
      <c r="L34" s="27"/>
      <c r="N34" s="15">
        <v>10.89</v>
      </c>
    </row>
    <row r="35" spans="1:14" ht="20.25" customHeight="1" x14ac:dyDescent="0.15">
      <c r="A35" s="60"/>
      <c r="B35" s="9"/>
      <c r="C35" s="58"/>
      <c r="D35" s="11"/>
      <c r="E35" s="10"/>
      <c r="F35" s="10"/>
      <c r="G35" s="12"/>
      <c r="H35" s="12"/>
      <c r="I35" s="17"/>
      <c r="J35" s="18"/>
      <c r="K35" s="19">
        <f t="shared" si="1"/>
        <v>0</v>
      </c>
      <c r="L35" s="27"/>
      <c r="N35" s="15">
        <v>10.89</v>
      </c>
    </row>
    <row r="36" spans="1:14" ht="20.25" customHeight="1" x14ac:dyDescent="0.15">
      <c r="A36" s="60"/>
      <c r="B36" s="9"/>
      <c r="C36" s="58"/>
      <c r="D36" s="11"/>
      <c r="E36" s="10"/>
      <c r="F36" s="10"/>
      <c r="G36" s="12"/>
      <c r="H36" s="12"/>
      <c r="I36" s="17"/>
      <c r="J36" s="18"/>
      <c r="K36" s="19">
        <f t="shared" si="1"/>
        <v>0</v>
      </c>
      <c r="L36" s="27"/>
      <c r="N36" s="15">
        <v>10.89</v>
      </c>
    </row>
    <row r="37" spans="1:14" ht="20.25" customHeight="1" x14ac:dyDescent="0.15">
      <c r="A37" s="60"/>
      <c r="B37" s="9"/>
      <c r="C37" s="58"/>
      <c r="D37" s="11"/>
      <c r="E37" s="10"/>
      <c r="F37" s="10"/>
      <c r="G37" s="12"/>
      <c r="H37" s="12"/>
      <c r="I37" s="17"/>
      <c r="J37" s="18"/>
      <c r="K37" s="19">
        <f t="shared" si="1"/>
        <v>0</v>
      </c>
      <c r="L37" s="27"/>
      <c r="N37" s="15">
        <v>10.89</v>
      </c>
    </row>
    <row r="38" spans="1:14" ht="20.25" customHeight="1" x14ac:dyDescent="0.15">
      <c r="A38" s="60"/>
      <c r="B38" s="9"/>
      <c r="C38" s="58"/>
      <c r="D38" s="11"/>
      <c r="E38" s="10"/>
      <c r="F38" s="10"/>
      <c r="G38" s="12"/>
      <c r="H38" s="12"/>
      <c r="I38" s="17"/>
      <c r="J38" s="18"/>
      <c r="K38" s="19">
        <f t="shared" si="1"/>
        <v>0</v>
      </c>
      <c r="L38" s="27"/>
      <c r="N38" s="15">
        <v>10.89</v>
      </c>
    </row>
    <row r="39" spans="1:14" ht="20.25" customHeight="1" x14ac:dyDescent="0.15">
      <c r="A39" s="60"/>
      <c r="B39" s="9"/>
      <c r="C39" s="58"/>
      <c r="D39" s="11"/>
      <c r="E39" s="10"/>
      <c r="F39" s="10"/>
      <c r="G39" s="12"/>
      <c r="H39" s="12"/>
      <c r="I39" s="17"/>
      <c r="J39" s="18"/>
      <c r="K39" s="19">
        <f t="shared" si="1"/>
        <v>0</v>
      </c>
      <c r="L39" s="27"/>
      <c r="N39" s="15">
        <v>10.89</v>
      </c>
    </row>
    <row r="40" spans="1:14" ht="20.25" customHeight="1" x14ac:dyDescent="0.15">
      <c r="A40" s="60"/>
      <c r="B40" s="9"/>
      <c r="C40" s="58"/>
      <c r="D40" s="11"/>
      <c r="E40" s="10"/>
      <c r="F40" s="10"/>
      <c r="G40" s="12"/>
      <c r="H40" s="12"/>
      <c r="I40" s="17"/>
      <c r="J40" s="18"/>
      <c r="K40" s="19">
        <f t="shared" si="1"/>
        <v>0</v>
      </c>
      <c r="L40" s="27"/>
      <c r="N40" s="15">
        <v>10.89</v>
      </c>
    </row>
    <row r="41" spans="1:14" ht="20.25" customHeight="1" x14ac:dyDescent="0.15">
      <c r="A41" s="57"/>
      <c r="B41" s="28"/>
      <c r="C41" s="10"/>
      <c r="D41" s="29"/>
      <c r="E41" s="30"/>
      <c r="F41" s="30"/>
      <c r="G41" s="30"/>
      <c r="H41" s="30"/>
      <c r="I41" s="13"/>
      <c r="J41" s="48">
        <f>SUM(J25:J40)</f>
        <v>346</v>
      </c>
      <c r="K41" s="49">
        <f>SUM(K25:K40)</f>
        <v>6259.7898000000005</v>
      </c>
      <c r="L41" s="31"/>
      <c r="N41" s="32"/>
    </row>
    <row r="42" spans="1:14" ht="20.25" customHeight="1" thickBot="1" x14ac:dyDescent="0.2">
      <c r="A42" s="55"/>
      <c r="B42" s="33"/>
      <c r="C42" s="33"/>
      <c r="D42" s="33"/>
      <c r="E42" s="33"/>
      <c r="F42" s="33"/>
      <c r="G42" s="33"/>
      <c r="H42" s="33"/>
      <c r="I42" s="33"/>
      <c r="J42" s="34"/>
      <c r="K42" s="35"/>
      <c r="L42" s="36"/>
    </row>
    <row r="43" spans="1:14" ht="20.25" customHeight="1" thickBot="1" x14ac:dyDescent="0.2">
      <c r="A43" s="37" t="s">
        <v>19</v>
      </c>
      <c r="B43" s="38" t="s">
        <v>20</v>
      </c>
      <c r="C43" s="77" t="s">
        <v>21</v>
      </c>
      <c r="D43" s="79"/>
      <c r="E43" s="77" t="s">
        <v>22</v>
      </c>
      <c r="F43" s="78"/>
      <c r="G43" s="79"/>
      <c r="H43" s="85" t="s">
        <v>23</v>
      </c>
      <c r="I43" s="86"/>
      <c r="J43" s="77" t="s">
        <v>24</v>
      </c>
      <c r="K43" s="79"/>
      <c r="L43" s="39" t="s">
        <v>13</v>
      </c>
    </row>
    <row r="44" spans="1:14" ht="20.25" customHeight="1" thickBot="1" x14ac:dyDescent="0.2">
      <c r="A44" s="40">
        <f>SUMIF($C$8:$C$42,"U1",$J$8:$J$42)</f>
        <v>0</v>
      </c>
      <c r="B44" s="41">
        <f>SUMIF($C$8:$C$42,"U2",$J$8:$J$42)</f>
        <v>4</v>
      </c>
      <c r="C44" s="77">
        <f>SUMIF($C$8:$C$42,"U3-1",$J$8:$J$42)</f>
        <v>0</v>
      </c>
      <c r="D44" s="79"/>
      <c r="E44" s="77">
        <f>SUMIF($C$8:$C$42,"U3",$J$8:$J$42)</f>
        <v>770</v>
      </c>
      <c r="F44" s="78"/>
      <c r="G44" s="79"/>
      <c r="H44" s="77">
        <f>SUMIF($C$8:$C$42,"E5",$J$8:$J$42)</f>
        <v>0</v>
      </c>
      <c r="I44" s="79"/>
      <c r="J44" s="77">
        <f>SUM(A44:I44)</f>
        <v>774</v>
      </c>
      <c r="K44" s="79"/>
      <c r="L44" s="42"/>
    </row>
    <row r="45" spans="1:14" ht="20.25" customHeight="1" thickBot="1" x14ac:dyDescent="0.2">
      <c r="A45" s="43" t="s">
        <v>25</v>
      </c>
      <c r="B45" s="44" t="s">
        <v>26</v>
      </c>
      <c r="C45" s="75">
        <v>13876</v>
      </c>
      <c r="D45" s="76"/>
      <c r="E45" s="77" t="s">
        <v>27</v>
      </c>
      <c r="F45" s="78"/>
      <c r="G45" s="78"/>
      <c r="H45" s="78"/>
      <c r="I45" s="79"/>
      <c r="J45" s="80">
        <v>146744.37</v>
      </c>
      <c r="K45" s="81"/>
      <c r="L45" s="82"/>
    </row>
    <row r="47" spans="1:14" x14ac:dyDescent="0.15">
      <c r="D47" s="45"/>
    </row>
  </sheetData>
  <mergeCells count="26">
    <mergeCell ref="C45:D45"/>
    <mergeCell ref="E45:I45"/>
    <mergeCell ref="J45:L45"/>
    <mergeCell ref="L6:L7"/>
    <mergeCell ref="C43:D43"/>
    <mergeCell ref="E43:G43"/>
    <mergeCell ref="H43:I43"/>
    <mergeCell ref="J43:K43"/>
    <mergeCell ref="C44:D44"/>
    <mergeCell ref="E44:G44"/>
    <mergeCell ref="H44:I44"/>
    <mergeCell ref="J44:K44"/>
    <mergeCell ref="B5:G5"/>
    <mergeCell ref="A6:A7"/>
    <mergeCell ref="B6:B7"/>
    <mergeCell ref="C6:C7"/>
    <mergeCell ref="D6:D7"/>
    <mergeCell ref="E6:E7"/>
    <mergeCell ref="F6:F7"/>
    <mergeCell ref="G6:K6"/>
    <mergeCell ref="L2:L4"/>
    <mergeCell ref="A1:G3"/>
    <mergeCell ref="H1:H4"/>
    <mergeCell ref="I2:I4"/>
    <mergeCell ref="J2:J4"/>
    <mergeCell ref="K2:K4"/>
  </mergeCells>
  <phoneticPr fontId="2" type="noConversion"/>
  <printOptions horizontalCentered="1"/>
  <pageMargins left="0.39370078740157483" right="0.39370078740157483" top="0.74803149606299213" bottom="0.19685039370078741" header="0.31496062992125984" footer="0.15748031496062992"/>
  <pageSetup paperSize="9" scale="84"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N47"/>
  <sheetViews>
    <sheetView view="pageBreakPreview" topLeftCell="A16" zoomScaleSheetLayoutView="100" workbookViewId="0">
      <selection activeCell="B31" sqref="B31"/>
    </sheetView>
  </sheetViews>
  <sheetFormatPr defaultColWidth="8.88671875" defaultRowHeight="13.5" x14ac:dyDescent="0.15"/>
  <cols>
    <col min="1" max="1" width="8.44140625" style="3" customWidth="1"/>
    <col min="2" max="2" width="14.77734375" style="3" customWidth="1"/>
    <col min="3" max="3" width="4.109375" style="3" customWidth="1"/>
    <col min="4" max="4" width="15.21875" style="3" customWidth="1"/>
    <col min="5" max="5" width="4.44140625" style="3" customWidth="1"/>
    <col min="6" max="6" width="4" style="3" customWidth="1"/>
    <col min="7" max="7" width="5.5546875" style="3" customWidth="1"/>
    <col min="8" max="8" width="5.44140625" style="3" customWidth="1"/>
    <col min="9" max="9" width="7.88671875" style="3" customWidth="1"/>
    <col min="10" max="10" width="7.109375" style="3" customWidth="1"/>
    <col min="11" max="11" width="7.21875" style="3" customWidth="1"/>
    <col min="12" max="12" width="6.77734375" style="3" customWidth="1"/>
    <col min="13" max="16384" width="8.88671875" style="3"/>
  </cols>
  <sheetData>
    <row r="1" spans="1:14" ht="18.75" customHeight="1" x14ac:dyDescent="0.15">
      <c r="A1" s="101" t="s">
        <v>0</v>
      </c>
      <c r="B1" s="102"/>
      <c r="C1" s="102"/>
      <c r="D1" s="102"/>
      <c r="E1" s="102"/>
      <c r="F1" s="102"/>
      <c r="G1" s="103"/>
      <c r="H1" s="107" t="s">
        <v>1</v>
      </c>
      <c r="I1" s="1" t="s">
        <v>2</v>
      </c>
      <c r="J1" s="1" t="s">
        <v>2</v>
      </c>
      <c r="K1" s="1" t="s">
        <v>3</v>
      </c>
      <c r="L1" s="2" t="s">
        <v>4</v>
      </c>
    </row>
    <row r="2" spans="1:14" ht="13.5" customHeight="1" x14ac:dyDescent="0.15">
      <c r="A2" s="104"/>
      <c r="B2" s="105"/>
      <c r="C2" s="105"/>
      <c r="D2" s="105"/>
      <c r="E2" s="105"/>
      <c r="F2" s="105"/>
      <c r="G2" s="106"/>
      <c r="H2" s="108"/>
      <c r="I2" s="110"/>
      <c r="J2" s="110"/>
      <c r="K2" s="110"/>
      <c r="L2" s="98"/>
    </row>
    <row r="3" spans="1:14" ht="13.5" customHeight="1" x14ac:dyDescent="0.15">
      <c r="A3" s="104"/>
      <c r="B3" s="105"/>
      <c r="C3" s="105"/>
      <c r="D3" s="105"/>
      <c r="E3" s="105"/>
      <c r="F3" s="105"/>
      <c r="G3" s="106"/>
      <c r="H3" s="108"/>
      <c r="I3" s="108"/>
      <c r="J3" s="108"/>
      <c r="K3" s="108"/>
      <c r="L3" s="99"/>
    </row>
    <row r="4" spans="1:14" ht="33" customHeight="1" x14ac:dyDescent="0.15">
      <c r="A4" s="4"/>
      <c r="B4" s="5"/>
      <c r="C4" s="5"/>
      <c r="D4" s="5"/>
      <c r="E4" s="5"/>
      <c r="F4" s="5"/>
      <c r="G4" s="5"/>
      <c r="H4" s="109"/>
      <c r="I4" s="109"/>
      <c r="J4" s="109"/>
      <c r="K4" s="109"/>
      <c r="L4" s="100"/>
    </row>
    <row r="5" spans="1:14" ht="17.25" customHeight="1" x14ac:dyDescent="0.15">
      <c r="A5" s="6" t="s">
        <v>5</v>
      </c>
      <c r="B5" s="87">
        <v>46065</v>
      </c>
      <c r="C5" s="88"/>
      <c r="D5" s="88"/>
      <c r="E5" s="88"/>
      <c r="F5" s="88"/>
      <c r="G5" s="88"/>
      <c r="H5" s="5"/>
      <c r="I5" s="5"/>
      <c r="J5" s="5"/>
      <c r="K5" s="5"/>
      <c r="L5" s="7"/>
    </row>
    <row r="6" spans="1:14" ht="13.5" customHeight="1" x14ac:dyDescent="0.15">
      <c r="A6" s="89" t="s">
        <v>6</v>
      </c>
      <c r="B6" s="91" t="s">
        <v>7</v>
      </c>
      <c r="C6" s="91" t="s">
        <v>8</v>
      </c>
      <c r="D6" s="91" t="s">
        <v>9</v>
      </c>
      <c r="E6" s="93" t="s">
        <v>10</v>
      </c>
      <c r="F6" s="93" t="s">
        <v>11</v>
      </c>
      <c r="G6" s="95" t="s">
        <v>12</v>
      </c>
      <c r="H6" s="96"/>
      <c r="I6" s="96"/>
      <c r="J6" s="96"/>
      <c r="K6" s="97"/>
      <c r="L6" s="83" t="s">
        <v>13</v>
      </c>
    </row>
    <row r="7" spans="1:14" x14ac:dyDescent="0.15">
      <c r="A7" s="90"/>
      <c r="B7" s="92"/>
      <c r="C7" s="92"/>
      <c r="D7" s="92"/>
      <c r="E7" s="94"/>
      <c r="F7" s="94"/>
      <c r="G7" s="8" t="s">
        <v>14</v>
      </c>
      <c r="H7" s="8" t="s">
        <v>15</v>
      </c>
      <c r="I7" s="8" t="s">
        <v>16</v>
      </c>
      <c r="J7" s="8" t="s">
        <v>17</v>
      </c>
      <c r="K7" s="8" t="s">
        <v>18</v>
      </c>
      <c r="L7" s="84"/>
    </row>
    <row r="8" spans="1:14" s="15" customFormat="1" ht="20.25" customHeight="1" x14ac:dyDescent="0.15">
      <c r="A8" s="60" t="s">
        <v>1027</v>
      </c>
      <c r="B8" s="9" t="s">
        <v>138</v>
      </c>
      <c r="C8" s="58" t="s">
        <v>29</v>
      </c>
      <c r="D8" s="11" t="s">
        <v>372</v>
      </c>
      <c r="E8" s="10">
        <v>24</v>
      </c>
      <c r="F8" s="58"/>
      <c r="G8" s="12">
        <v>775</v>
      </c>
      <c r="H8" s="12">
        <v>1890</v>
      </c>
      <c r="I8" s="17" t="s">
        <v>1028</v>
      </c>
      <c r="J8" s="18">
        <v>100</v>
      </c>
      <c r="K8" s="19">
        <f>+M8*N8</f>
        <v>825.46199999999999</v>
      </c>
      <c r="L8" s="14"/>
      <c r="M8" s="15">
        <v>75.8</v>
      </c>
      <c r="N8" s="15">
        <v>10.89</v>
      </c>
    </row>
    <row r="9" spans="1:14" s="15" customFormat="1" ht="20.25" customHeight="1" x14ac:dyDescent="0.15">
      <c r="A9" s="60"/>
      <c r="B9" s="9"/>
      <c r="C9" s="58" t="s">
        <v>29</v>
      </c>
      <c r="D9" s="11" t="s">
        <v>336</v>
      </c>
      <c r="E9" s="10">
        <v>24</v>
      </c>
      <c r="F9" s="58"/>
      <c r="G9" s="12">
        <v>775</v>
      </c>
      <c r="H9" s="12">
        <v>1890</v>
      </c>
      <c r="I9" s="17" t="s">
        <v>1028</v>
      </c>
      <c r="J9" s="18">
        <v>100</v>
      </c>
      <c r="K9" s="19">
        <f t="shared" ref="K9:K23" si="0">+M9*N9</f>
        <v>825.46199999999999</v>
      </c>
      <c r="L9" s="14"/>
      <c r="M9" s="15">
        <v>75.8</v>
      </c>
      <c r="N9" s="15">
        <v>10.89</v>
      </c>
    </row>
    <row r="10" spans="1:14" s="15" customFormat="1" ht="20.25" customHeight="1" x14ac:dyDescent="0.15">
      <c r="A10" s="60"/>
      <c r="B10" s="9"/>
      <c r="C10" s="58" t="s">
        <v>29</v>
      </c>
      <c r="D10" s="11" t="s">
        <v>224</v>
      </c>
      <c r="E10" s="10">
        <v>22</v>
      </c>
      <c r="F10" s="58" t="s">
        <v>11</v>
      </c>
      <c r="G10" s="12">
        <v>618</v>
      </c>
      <c r="H10" s="12">
        <v>1890</v>
      </c>
      <c r="I10" s="17">
        <v>10</v>
      </c>
      <c r="J10" s="18">
        <v>10</v>
      </c>
      <c r="K10" s="19">
        <f t="shared" si="0"/>
        <v>127.413</v>
      </c>
      <c r="L10" s="14"/>
      <c r="M10" s="15">
        <v>11.7</v>
      </c>
      <c r="N10" s="15">
        <v>10.89</v>
      </c>
    </row>
    <row r="11" spans="1:14" s="15" customFormat="1" ht="20.25" customHeight="1" x14ac:dyDescent="0.15">
      <c r="A11" s="60" t="s">
        <v>1029</v>
      </c>
      <c r="B11" s="9" t="s">
        <v>131</v>
      </c>
      <c r="C11" s="58" t="s">
        <v>29</v>
      </c>
      <c r="D11" s="11" t="s">
        <v>155</v>
      </c>
      <c r="E11" s="10">
        <v>22</v>
      </c>
      <c r="F11" s="58" t="s">
        <v>11</v>
      </c>
      <c r="G11" s="12">
        <v>1421</v>
      </c>
      <c r="H11" s="12">
        <v>1763</v>
      </c>
      <c r="I11" s="17" t="s">
        <v>1030</v>
      </c>
      <c r="J11" s="18">
        <v>128</v>
      </c>
      <c r="K11" s="19">
        <f t="shared" si="0"/>
        <v>1061.1215999999999</v>
      </c>
      <c r="L11" s="14"/>
      <c r="M11" s="15">
        <v>97.44</v>
      </c>
      <c r="N11" s="15">
        <v>10.89</v>
      </c>
    </row>
    <row r="12" spans="1:14" s="15" customFormat="1" ht="20.25" customHeight="1" x14ac:dyDescent="0.15">
      <c r="A12" s="60"/>
      <c r="B12" s="9"/>
      <c r="C12" s="58" t="s">
        <v>29</v>
      </c>
      <c r="D12" s="11" t="s">
        <v>156</v>
      </c>
      <c r="E12" s="10">
        <v>22</v>
      </c>
      <c r="F12" s="58" t="s">
        <v>11</v>
      </c>
      <c r="G12" s="12">
        <v>1421</v>
      </c>
      <c r="H12" s="12">
        <v>1763</v>
      </c>
      <c r="I12" s="17" t="s">
        <v>1030</v>
      </c>
      <c r="J12" s="18">
        <v>128</v>
      </c>
      <c r="K12" s="19">
        <f t="shared" si="0"/>
        <v>1061.1215999999999</v>
      </c>
      <c r="L12" s="14"/>
      <c r="M12" s="15">
        <v>97.44</v>
      </c>
      <c r="N12" s="15">
        <v>10.89</v>
      </c>
    </row>
    <row r="13" spans="1:14" s="15" customFormat="1" ht="20.25" customHeight="1" x14ac:dyDescent="0.15">
      <c r="A13" s="60" t="s">
        <v>1031</v>
      </c>
      <c r="B13" s="9" t="s">
        <v>131</v>
      </c>
      <c r="C13" s="58" t="s">
        <v>29</v>
      </c>
      <c r="D13" s="11" t="s">
        <v>155</v>
      </c>
      <c r="E13" s="10">
        <v>22</v>
      </c>
      <c r="F13" s="58" t="s">
        <v>11</v>
      </c>
      <c r="G13" s="12">
        <v>1421</v>
      </c>
      <c r="H13" s="12">
        <v>1763</v>
      </c>
      <c r="I13" s="17" t="s">
        <v>1032</v>
      </c>
      <c r="J13" s="18">
        <v>48</v>
      </c>
      <c r="K13" s="19">
        <f t="shared" si="0"/>
        <v>721.35360000000003</v>
      </c>
      <c r="L13" s="14"/>
      <c r="M13" s="15">
        <v>66.239999999999995</v>
      </c>
      <c r="N13" s="15">
        <v>10.89</v>
      </c>
    </row>
    <row r="14" spans="1:14" s="15" customFormat="1" ht="20.25" customHeight="1" x14ac:dyDescent="0.15">
      <c r="A14" s="60"/>
      <c r="B14" s="9"/>
      <c r="C14" s="58"/>
      <c r="D14" s="11"/>
      <c r="E14" s="10"/>
      <c r="F14" s="58"/>
      <c r="G14" s="12"/>
      <c r="H14" s="12"/>
      <c r="I14" s="17"/>
      <c r="J14" s="18"/>
      <c r="K14" s="19">
        <f t="shared" si="0"/>
        <v>0</v>
      </c>
      <c r="L14" s="20"/>
      <c r="N14" s="15">
        <v>10.89</v>
      </c>
    </row>
    <row r="15" spans="1:14" s="15" customFormat="1" ht="20.25" customHeight="1" x14ac:dyDescent="0.15">
      <c r="A15" s="60"/>
      <c r="B15" s="9"/>
      <c r="C15" s="58"/>
      <c r="D15" s="11"/>
      <c r="E15" s="10"/>
      <c r="F15" s="58"/>
      <c r="G15" s="12"/>
      <c r="H15" s="12"/>
      <c r="I15" s="17"/>
      <c r="J15" s="18"/>
      <c r="K15" s="19">
        <f t="shared" si="0"/>
        <v>0</v>
      </c>
      <c r="L15" s="20"/>
      <c r="N15" s="15">
        <v>10.89</v>
      </c>
    </row>
    <row r="16" spans="1:14" s="15" customFormat="1" ht="20.25" customHeight="1" x14ac:dyDescent="0.15">
      <c r="A16" s="60"/>
      <c r="B16" s="9"/>
      <c r="C16" s="58"/>
      <c r="D16" s="11"/>
      <c r="E16" s="10"/>
      <c r="F16" s="58"/>
      <c r="G16" s="12"/>
      <c r="H16" s="12"/>
      <c r="I16" s="17"/>
      <c r="J16" s="18"/>
      <c r="K16" s="19">
        <f t="shared" si="0"/>
        <v>0</v>
      </c>
      <c r="L16" s="20"/>
      <c r="N16" s="15">
        <v>10.89</v>
      </c>
    </row>
    <row r="17" spans="1:14" s="15" customFormat="1" ht="20.25" customHeight="1" x14ac:dyDescent="0.15">
      <c r="A17" s="60"/>
      <c r="B17" s="9"/>
      <c r="C17" s="58"/>
      <c r="D17" s="11"/>
      <c r="E17" s="10"/>
      <c r="F17" s="58"/>
      <c r="G17" s="12"/>
      <c r="H17" s="12"/>
      <c r="I17" s="17"/>
      <c r="J17" s="18"/>
      <c r="K17" s="19">
        <f t="shared" si="0"/>
        <v>0</v>
      </c>
      <c r="L17" s="20"/>
      <c r="N17" s="15">
        <v>10.89</v>
      </c>
    </row>
    <row r="18" spans="1:14" s="15" customFormat="1" ht="20.25" customHeight="1" x14ac:dyDescent="0.15">
      <c r="A18" s="60"/>
      <c r="B18" s="9"/>
      <c r="C18" s="58"/>
      <c r="D18" s="11"/>
      <c r="E18" s="10"/>
      <c r="F18" s="58"/>
      <c r="G18" s="12"/>
      <c r="H18" s="12"/>
      <c r="I18" s="17"/>
      <c r="J18" s="18"/>
      <c r="K18" s="19">
        <f t="shared" si="0"/>
        <v>0</v>
      </c>
      <c r="L18" s="20"/>
      <c r="N18" s="15">
        <v>10.89</v>
      </c>
    </row>
    <row r="19" spans="1:14" s="15" customFormat="1" ht="20.25" customHeight="1" x14ac:dyDescent="0.15">
      <c r="A19" s="60"/>
      <c r="B19" s="9"/>
      <c r="C19" s="58"/>
      <c r="D19" s="11"/>
      <c r="E19" s="10"/>
      <c r="F19" s="58"/>
      <c r="G19" s="12"/>
      <c r="H19" s="12"/>
      <c r="I19" s="17"/>
      <c r="J19" s="18"/>
      <c r="K19" s="19">
        <f t="shared" si="0"/>
        <v>0</v>
      </c>
      <c r="L19" s="20"/>
      <c r="N19" s="15">
        <v>10.89</v>
      </c>
    </row>
    <row r="20" spans="1:14" s="15" customFormat="1" ht="20.25" customHeight="1" x14ac:dyDescent="0.15">
      <c r="A20" s="60"/>
      <c r="B20" s="9"/>
      <c r="C20" s="58"/>
      <c r="D20" s="11"/>
      <c r="E20" s="10"/>
      <c r="F20" s="58"/>
      <c r="G20" s="12"/>
      <c r="H20" s="12"/>
      <c r="I20" s="17"/>
      <c r="J20" s="18"/>
      <c r="K20" s="19">
        <f t="shared" si="0"/>
        <v>0</v>
      </c>
      <c r="L20" s="20"/>
      <c r="N20" s="15">
        <v>10.89</v>
      </c>
    </row>
    <row r="21" spans="1:14" s="15" customFormat="1" ht="20.25" customHeight="1" x14ac:dyDescent="0.15">
      <c r="A21" s="60"/>
      <c r="B21" s="9"/>
      <c r="C21" s="58"/>
      <c r="D21" s="11"/>
      <c r="E21" s="10"/>
      <c r="F21" s="58"/>
      <c r="G21" s="50"/>
      <c r="H21" s="50"/>
      <c r="I21" s="17"/>
      <c r="J21" s="18"/>
      <c r="K21" s="19">
        <f t="shared" si="0"/>
        <v>0</v>
      </c>
      <c r="L21" s="20"/>
      <c r="N21" s="15">
        <v>10.89</v>
      </c>
    </row>
    <row r="22" spans="1:14" s="15" customFormat="1" ht="20.25" customHeight="1" x14ac:dyDescent="0.15">
      <c r="A22" s="60"/>
      <c r="B22" s="9"/>
      <c r="C22" s="58"/>
      <c r="D22" s="11"/>
      <c r="E22" s="10"/>
      <c r="F22" s="58"/>
      <c r="G22" s="50"/>
      <c r="H22" s="50"/>
      <c r="I22" s="17"/>
      <c r="J22" s="18"/>
      <c r="K22" s="19">
        <f t="shared" si="0"/>
        <v>0</v>
      </c>
      <c r="L22" s="20"/>
      <c r="N22" s="15">
        <v>10.89</v>
      </c>
    </row>
    <row r="23" spans="1:14" ht="20.25" customHeight="1" x14ac:dyDescent="0.15">
      <c r="A23" s="60"/>
      <c r="B23" s="9"/>
      <c r="C23" s="58"/>
      <c r="D23" s="11"/>
      <c r="E23" s="10"/>
      <c r="F23" s="58"/>
      <c r="G23" s="16"/>
      <c r="H23" s="16"/>
      <c r="I23" s="17"/>
      <c r="J23" s="18"/>
      <c r="K23" s="19">
        <f t="shared" si="0"/>
        <v>0</v>
      </c>
      <c r="L23" s="20"/>
      <c r="N23" s="15">
        <v>10.89</v>
      </c>
    </row>
    <row r="24" spans="1:14" ht="20.25" customHeight="1" thickBot="1" x14ac:dyDescent="0.2">
      <c r="A24" s="56"/>
      <c r="B24" s="21"/>
      <c r="C24" s="59"/>
      <c r="D24" s="22"/>
      <c r="E24" s="23"/>
      <c r="F24" s="23"/>
      <c r="G24" s="24"/>
      <c r="H24" s="24"/>
      <c r="I24" s="25"/>
      <c r="J24" s="46">
        <f>SUM(J8:J23)</f>
        <v>514</v>
      </c>
      <c r="K24" s="47">
        <f>SUM(K8:K23)</f>
        <v>4621.9337999999998</v>
      </c>
      <c r="L24" s="26"/>
    </row>
    <row r="25" spans="1:14" ht="20.25" customHeight="1" thickTop="1" x14ac:dyDescent="0.15">
      <c r="A25" s="60" t="s">
        <v>1033</v>
      </c>
      <c r="B25" s="9" t="s">
        <v>138</v>
      </c>
      <c r="C25" s="58" t="s">
        <v>29</v>
      </c>
      <c r="D25" s="11" t="s">
        <v>372</v>
      </c>
      <c r="E25" s="10">
        <v>24</v>
      </c>
      <c r="F25" s="58"/>
      <c r="G25" s="12">
        <v>618</v>
      </c>
      <c r="H25" s="12">
        <v>1890</v>
      </c>
      <c r="I25" s="17">
        <v>48</v>
      </c>
      <c r="J25" s="18">
        <v>48</v>
      </c>
      <c r="K25" s="19">
        <f t="shared" ref="K25:K40" si="1">+M25*N25</f>
        <v>611.58240000000001</v>
      </c>
      <c r="L25" s="54"/>
      <c r="M25" s="3">
        <v>56.16</v>
      </c>
      <c r="N25" s="15">
        <v>10.89</v>
      </c>
    </row>
    <row r="26" spans="1:14" ht="20.25" customHeight="1" x14ac:dyDescent="0.15">
      <c r="A26" s="60" t="s">
        <v>1034</v>
      </c>
      <c r="B26" s="9" t="s">
        <v>131</v>
      </c>
      <c r="C26" s="58" t="s">
        <v>29</v>
      </c>
      <c r="D26" s="11" t="s">
        <v>156</v>
      </c>
      <c r="E26" s="10">
        <v>22</v>
      </c>
      <c r="F26" s="10" t="s">
        <v>11</v>
      </c>
      <c r="G26" s="12">
        <v>764</v>
      </c>
      <c r="H26" s="12">
        <v>933</v>
      </c>
      <c r="I26" s="17" t="s">
        <v>1035</v>
      </c>
      <c r="J26" s="18">
        <v>112</v>
      </c>
      <c r="K26" s="19">
        <f t="shared" si="1"/>
        <v>576.73440000000005</v>
      </c>
      <c r="L26" s="54"/>
      <c r="M26" s="3">
        <v>52.96</v>
      </c>
      <c r="N26" s="15">
        <v>10.89</v>
      </c>
    </row>
    <row r="27" spans="1:14" ht="20.25" customHeight="1" x14ac:dyDescent="0.15">
      <c r="A27" s="61" t="s">
        <v>1036</v>
      </c>
      <c r="B27" s="9" t="s">
        <v>173</v>
      </c>
      <c r="C27" s="58" t="s">
        <v>29</v>
      </c>
      <c r="D27" s="11" t="s">
        <v>188</v>
      </c>
      <c r="E27" s="10">
        <v>22</v>
      </c>
      <c r="F27" s="10"/>
      <c r="G27" s="12">
        <v>1665</v>
      </c>
      <c r="H27" s="12">
        <v>1238</v>
      </c>
      <c r="I27" s="17">
        <v>1</v>
      </c>
      <c r="J27" s="18">
        <v>1</v>
      </c>
      <c r="K27" s="19">
        <f t="shared" si="1"/>
        <v>22.433400000000002</v>
      </c>
      <c r="L27" s="54"/>
      <c r="M27" s="3">
        <v>2.06</v>
      </c>
      <c r="N27" s="15">
        <v>10.89</v>
      </c>
    </row>
    <row r="28" spans="1:14" ht="20.25" customHeight="1" x14ac:dyDescent="0.15">
      <c r="A28" s="61"/>
      <c r="B28" s="9"/>
      <c r="C28" s="58" t="s">
        <v>29</v>
      </c>
      <c r="D28" s="11" t="s">
        <v>195</v>
      </c>
      <c r="E28" s="10">
        <v>22</v>
      </c>
      <c r="F28" s="10"/>
      <c r="G28" s="12">
        <v>754</v>
      </c>
      <c r="H28" s="12">
        <v>1967</v>
      </c>
      <c r="I28" s="17" t="s">
        <v>1037</v>
      </c>
      <c r="J28" s="18">
        <v>12</v>
      </c>
      <c r="K28" s="19">
        <f t="shared" si="1"/>
        <v>177.72480000000002</v>
      </c>
      <c r="L28" s="54"/>
      <c r="M28" s="3">
        <v>16.32</v>
      </c>
      <c r="N28" s="15">
        <v>10.89</v>
      </c>
    </row>
    <row r="29" spans="1:14" ht="20.25" customHeight="1" x14ac:dyDescent="0.15">
      <c r="A29" s="61" t="s">
        <v>1038</v>
      </c>
      <c r="B29" s="9" t="s">
        <v>173</v>
      </c>
      <c r="C29" s="58" t="s">
        <v>29</v>
      </c>
      <c r="D29" s="11" t="s">
        <v>188</v>
      </c>
      <c r="E29" s="10">
        <v>22</v>
      </c>
      <c r="F29" s="10"/>
      <c r="G29" s="12">
        <v>1665</v>
      </c>
      <c r="H29" s="12">
        <v>1238</v>
      </c>
      <c r="I29" s="17" t="s">
        <v>1039</v>
      </c>
      <c r="J29" s="18">
        <v>5</v>
      </c>
      <c r="K29" s="19">
        <f t="shared" si="1"/>
        <v>77.754599999999996</v>
      </c>
      <c r="L29" s="54"/>
      <c r="M29" s="3">
        <v>7.14</v>
      </c>
      <c r="N29" s="15">
        <v>10.89</v>
      </c>
    </row>
    <row r="30" spans="1:14" ht="20.25" customHeight="1" x14ac:dyDescent="0.15">
      <c r="A30" s="61"/>
      <c r="B30" s="9"/>
      <c r="C30" s="58" t="s">
        <v>29</v>
      </c>
      <c r="D30" s="11" t="s">
        <v>195</v>
      </c>
      <c r="E30" s="10">
        <v>22</v>
      </c>
      <c r="F30" s="10"/>
      <c r="G30" s="12">
        <v>754</v>
      </c>
      <c r="H30" s="12">
        <v>1967</v>
      </c>
      <c r="I30" s="51" t="s">
        <v>1040</v>
      </c>
      <c r="J30" s="52">
        <v>19</v>
      </c>
      <c r="K30" s="53">
        <f t="shared" si="1"/>
        <v>251.99460000000002</v>
      </c>
      <c r="L30" s="54"/>
      <c r="M30" s="3">
        <v>23.14</v>
      </c>
      <c r="N30" s="15">
        <v>10.89</v>
      </c>
    </row>
    <row r="31" spans="1:14" ht="20.25" customHeight="1" x14ac:dyDescent="0.15">
      <c r="A31" s="61" t="s">
        <v>1041</v>
      </c>
      <c r="B31" s="9" t="s">
        <v>173</v>
      </c>
      <c r="C31" s="58" t="s">
        <v>29</v>
      </c>
      <c r="D31" s="11" t="s">
        <v>188</v>
      </c>
      <c r="E31" s="10">
        <v>22</v>
      </c>
      <c r="F31" s="10"/>
      <c r="G31" s="12">
        <v>1440</v>
      </c>
      <c r="H31" s="12">
        <v>1238</v>
      </c>
      <c r="I31" s="51">
        <v>1</v>
      </c>
      <c r="J31" s="52">
        <v>1</v>
      </c>
      <c r="K31" s="53">
        <f t="shared" si="1"/>
        <v>19.3842</v>
      </c>
      <c r="L31" s="54"/>
      <c r="M31" s="3">
        <v>1.78</v>
      </c>
      <c r="N31" s="15">
        <v>10.89</v>
      </c>
    </row>
    <row r="32" spans="1:14" ht="20.25" customHeight="1" x14ac:dyDescent="0.15">
      <c r="A32" s="60"/>
      <c r="B32" s="9"/>
      <c r="C32" s="58" t="s">
        <v>29</v>
      </c>
      <c r="D32" s="11" t="s">
        <v>195</v>
      </c>
      <c r="E32" s="10">
        <v>22</v>
      </c>
      <c r="F32" s="10"/>
      <c r="G32" s="12">
        <v>1435</v>
      </c>
      <c r="H32" s="12">
        <v>1885</v>
      </c>
      <c r="I32" s="17" t="s">
        <v>1042</v>
      </c>
      <c r="J32" s="18">
        <v>3</v>
      </c>
      <c r="K32" s="19">
        <f t="shared" si="1"/>
        <v>60.1128</v>
      </c>
      <c r="L32" s="27"/>
      <c r="M32" s="3">
        <v>5.52</v>
      </c>
      <c r="N32" s="15">
        <v>10.89</v>
      </c>
    </row>
    <row r="33" spans="1:14" ht="20.25" customHeight="1" x14ac:dyDescent="0.15">
      <c r="A33" s="60" t="s">
        <v>1043</v>
      </c>
      <c r="B33" s="9" t="s">
        <v>173</v>
      </c>
      <c r="C33" s="58" t="s">
        <v>29</v>
      </c>
      <c r="D33" s="11" t="s">
        <v>188</v>
      </c>
      <c r="E33" s="10">
        <v>22</v>
      </c>
      <c r="F33" s="10"/>
      <c r="G33" s="12">
        <v>1967</v>
      </c>
      <c r="H33" s="12">
        <v>1238</v>
      </c>
      <c r="I33" s="17">
        <v>1</v>
      </c>
      <c r="J33" s="18">
        <v>1</v>
      </c>
      <c r="K33" s="19">
        <f t="shared" si="1"/>
        <v>26.5716</v>
      </c>
      <c r="L33" s="27"/>
      <c r="M33" s="3">
        <v>2.44</v>
      </c>
      <c r="N33" s="15">
        <v>10.89</v>
      </c>
    </row>
    <row r="34" spans="1:14" ht="20.25" customHeight="1" x14ac:dyDescent="0.15">
      <c r="A34" s="60"/>
      <c r="B34" s="9"/>
      <c r="C34" s="58" t="s">
        <v>29</v>
      </c>
      <c r="D34" s="11" t="s">
        <v>195</v>
      </c>
      <c r="E34" s="10">
        <v>22</v>
      </c>
      <c r="F34" s="10"/>
      <c r="G34" s="12">
        <v>754</v>
      </c>
      <c r="H34" s="12">
        <v>1967</v>
      </c>
      <c r="I34" s="17" t="s">
        <v>1044</v>
      </c>
      <c r="J34" s="18">
        <v>35</v>
      </c>
      <c r="K34" s="19">
        <f t="shared" si="1"/>
        <v>453.35070000000007</v>
      </c>
      <c r="L34" s="27"/>
      <c r="M34" s="3">
        <v>41.63</v>
      </c>
      <c r="N34" s="15">
        <v>10.89</v>
      </c>
    </row>
    <row r="35" spans="1:14" ht="20.25" customHeight="1" x14ac:dyDescent="0.15">
      <c r="A35" s="60" t="s">
        <v>1045</v>
      </c>
      <c r="B35" s="9" t="s">
        <v>178</v>
      </c>
      <c r="C35" s="58" t="s">
        <v>29</v>
      </c>
      <c r="D35" s="11" t="s">
        <v>247</v>
      </c>
      <c r="E35" s="10">
        <v>24</v>
      </c>
      <c r="F35" s="10" t="s">
        <v>11</v>
      </c>
      <c r="G35" s="12">
        <v>985</v>
      </c>
      <c r="H35" s="12">
        <v>1983</v>
      </c>
      <c r="I35" s="17" t="s">
        <v>1046</v>
      </c>
      <c r="J35" s="18">
        <v>127</v>
      </c>
      <c r="K35" s="19">
        <f t="shared" si="1"/>
        <v>1199.9691</v>
      </c>
      <c r="L35" s="27"/>
      <c r="M35" s="3">
        <v>110.19</v>
      </c>
      <c r="N35" s="15">
        <v>10.89</v>
      </c>
    </row>
    <row r="36" spans="1:14" ht="20.25" customHeight="1" x14ac:dyDescent="0.15">
      <c r="A36" s="60" t="s">
        <v>1047</v>
      </c>
      <c r="B36" s="9" t="s">
        <v>178</v>
      </c>
      <c r="C36" s="58" t="s">
        <v>29</v>
      </c>
      <c r="D36" s="11" t="s">
        <v>247</v>
      </c>
      <c r="E36" s="10">
        <v>24</v>
      </c>
      <c r="F36" s="10" t="s">
        <v>11</v>
      </c>
      <c r="G36" s="12">
        <v>908</v>
      </c>
      <c r="H36" s="12">
        <v>1905</v>
      </c>
      <c r="I36" s="17" t="s">
        <v>1048</v>
      </c>
      <c r="J36" s="18">
        <v>61</v>
      </c>
      <c r="K36" s="19">
        <f t="shared" si="1"/>
        <v>534.91679999999997</v>
      </c>
      <c r="L36" s="27"/>
      <c r="M36" s="3">
        <v>49.12</v>
      </c>
      <c r="N36" s="15">
        <v>10.89</v>
      </c>
    </row>
    <row r="37" spans="1:14" ht="20.25" customHeight="1" x14ac:dyDescent="0.15">
      <c r="A37" s="60" t="s">
        <v>1049</v>
      </c>
      <c r="B37" s="9" t="s">
        <v>1050</v>
      </c>
      <c r="C37" s="58" t="s">
        <v>29</v>
      </c>
      <c r="D37" s="11" t="s">
        <v>1051</v>
      </c>
      <c r="E37" s="10">
        <v>31</v>
      </c>
      <c r="F37" s="10" t="s">
        <v>11</v>
      </c>
      <c r="G37" s="12">
        <v>935</v>
      </c>
      <c r="H37" s="12">
        <v>700</v>
      </c>
      <c r="I37" s="17" t="s">
        <v>1052</v>
      </c>
      <c r="J37" s="18">
        <v>4</v>
      </c>
      <c r="K37" s="19">
        <f t="shared" si="1"/>
        <v>31.254300000000004</v>
      </c>
      <c r="L37" s="27"/>
      <c r="M37" s="3">
        <v>2.87</v>
      </c>
      <c r="N37" s="15">
        <v>10.89</v>
      </c>
    </row>
    <row r="38" spans="1:14" ht="20.25" customHeight="1" x14ac:dyDescent="0.15">
      <c r="A38" s="60" t="s">
        <v>1053</v>
      </c>
      <c r="B38" s="9" t="s">
        <v>177</v>
      </c>
      <c r="C38" s="58" t="s">
        <v>29</v>
      </c>
      <c r="D38" s="11" t="s">
        <v>247</v>
      </c>
      <c r="E38" s="10">
        <v>24</v>
      </c>
      <c r="F38" s="10" t="s">
        <v>11</v>
      </c>
      <c r="G38" s="12">
        <v>875</v>
      </c>
      <c r="H38" s="12">
        <v>1310</v>
      </c>
      <c r="I38" s="17">
        <v>6</v>
      </c>
      <c r="J38" s="18">
        <v>6</v>
      </c>
      <c r="K38" s="19">
        <f t="shared" si="1"/>
        <v>75.141000000000005</v>
      </c>
      <c r="L38" s="27"/>
      <c r="M38" s="3">
        <v>6.9</v>
      </c>
      <c r="N38" s="15">
        <v>10.89</v>
      </c>
    </row>
    <row r="39" spans="1:14" ht="20.25" customHeight="1" x14ac:dyDescent="0.15">
      <c r="A39" s="60" t="s">
        <v>1054</v>
      </c>
      <c r="B39" s="9" t="s">
        <v>178</v>
      </c>
      <c r="C39" s="58" t="s">
        <v>29</v>
      </c>
      <c r="D39" s="11" t="s">
        <v>247</v>
      </c>
      <c r="E39" s="10">
        <v>24</v>
      </c>
      <c r="F39" s="10" t="s">
        <v>11</v>
      </c>
      <c r="G39" s="12">
        <v>945</v>
      </c>
      <c r="H39" s="12">
        <v>785</v>
      </c>
      <c r="I39" s="17">
        <v>1</v>
      </c>
      <c r="J39" s="18">
        <v>1</v>
      </c>
      <c r="K39" s="19">
        <f t="shared" si="1"/>
        <v>8.0586000000000002</v>
      </c>
      <c r="L39" s="27"/>
      <c r="M39" s="3">
        <v>0.74</v>
      </c>
      <c r="N39" s="15">
        <v>10.89</v>
      </c>
    </row>
    <row r="40" spans="1:14" ht="20.25" customHeight="1" x14ac:dyDescent="0.15">
      <c r="A40" s="60"/>
      <c r="B40" s="9"/>
      <c r="C40" s="58"/>
      <c r="D40" s="11"/>
      <c r="E40" s="10"/>
      <c r="F40" s="10"/>
      <c r="G40" s="12"/>
      <c r="H40" s="12"/>
      <c r="I40" s="17"/>
      <c r="J40" s="18"/>
      <c r="K40" s="19">
        <f t="shared" si="1"/>
        <v>0</v>
      </c>
      <c r="L40" s="27"/>
      <c r="N40" s="15">
        <v>10.89</v>
      </c>
    </row>
    <row r="41" spans="1:14" ht="20.25" customHeight="1" x14ac:dyDescent="0.15">
      <c r="A41" s="57"/>
      <c r="B41" s="28"/>
      <c r="C41" s="10"/>
      <c r="D41" s="29"/>
      <c r="E41" s="30"/>
      <c r="F41" s="30"/>
      <c r="G41" s="30"/>
      <c r="H41" s="30"/>
      <c r="I41" s="13"/>
      <c r="J41" s="48">
        <f>SUM(J25:J40)</f>
        <v>436</v>
      </c>
      <c r="K41" s="49">
        <f>SUM(K25:K40)</f>
        <v>4126.9833000000008</v>
      </c>
      <c r="L41" s="31"/>
      <c r="N41" s="32"/>
    </row>
    <row r="42" spans="1:14" ht="20.25" customHeight="1" thickBot="1" x14ac:dyDescent="0.2">
      <c r="A42" s="55"/>
      <c r="B42" s="33"/>
      <c r="C42" s="33"/>
      <c r="D42" s="33"/>
      <c r="E42" s="33"/>
      <c r="F42" s="33"/>
      <c r="G42" s="33"/>
      <c r="H42" s="33"/>
      <c r="I42" s="33"/>
      <c r="J42" s="34"/>
      <c r="K42" s="35"/>
      <c r="L42" s="36"/>
    </row>
    <row r="43" spans="1:14" ht="20.25" customHeight="1" thickBot="1" x14ac:dyDescent="0.2">
      <c r="A43" s="37" t="s">
        <v>19</v>
      </c>
      <c r="B43" s="38" t="s">
        <v>20</v>
      </c>
      <c r="C43" s="77" t="s">
        <v>21</v>
      </c>
      <c r="D43" s="79"/>
      <c r="E43" s="77" t="s">
        <v>22</v>
      </c>
      <c r="F43" s="78"/>
      <c r="G43" s="79"/>
      <c r="H43" s="85" t="s">
        <v>23</v>
      </c>
      <c r="I43" s="86"/>
      <c r="J43" s="77" t="s">
        <v>24</v>
      </c>
      <c r="K43" s="79"/>
      <c r="L43" s="39" t="s">
        <v>13</v>
      </c>
    </row>
    <row r="44" spans="1:14" ht="20.25" customHeight="1" thickBot="1" x14ac:dyDescent="0.2">
      <c r="A44" s="40">
        <f>SUMIF($C$8:$C$42,"U1",$J$8:$J$42)</f>
        <v>0</v>
      </c>
      <c r="B44" s="41">
        <f>SUMIF($C$8:$C$42,"U2",$J$8:$J$42)</f>
        <v>0</v>
      </c>
      <c r="C44" s="77">
        <f>SUMIF($C$8:$C$42,"U3-1",$J$8:$J$42)</f>
        <v>0</v>
      </c>
      <c r="D44" s="79"/>
      <c r="E44" s="77">
        <f>SUMIF($C$8:$C$42,"U3",$J$8:$J$42)</f>
        <v>950</v>
      </c>
      <c r="F44" s="78"/>
      <c r="G44" s="79"/>
      <c r="H44" s="77">
        <f>SUMIF($C$8:$C$42,"E5",$J$8:$J$42)</f>
        <v>0</v>
      </c>
      <c r="I44" s="79"/>
      <c r="J44" s="77">
        <f>SUM(A44:I44)</f>
        <v>950</v>
      </c>
      <c r="K44" s="79"/>
      <c r="L44" s="42"/>
    </row>
    <row r="45" spans="1:14" ht="20.25" customHeight="1" thickBot="1" x14ac:dyDescent="0.2">
      <c r="A45" s="43" t="s">
        <v>25</v>
      </c>
      <c r="B45" s="44" t="s">
        <v>26</v>
      </c>
      <c r="C45" s="75">
        <v>13876</v>
      </c>
      <c r="D45" s="76"/>
      <c r="E45" s="77" t="s">
        <v>27</v>
      </c>
      <c r="F45" s="78"/>
      <c r="G45" s="78"/>
      <c r="H45" s="78"/>
      <c r="I45" s="79"/>
      <c r="J45" s="80">
        <v>146744.37</v>
      </c>
      <c r="K45" s="81"/>
      <c r="L45" s="82"/>
    </row>
    <row r="47" spans="1:14" x14ac:dyDescent="0.15">
      <c r="D47" s="45"/>
    </row>
  </sheetData>
  <mergeCells count="26">
    <mergeCell ref="C45:D45"/>
    <mergeCell ref="E45:I45"/>
    <mergeCell ref="J45:L45"/>
    <mergeCell ref="L6:L7"/>
    <mergeCell ref="C43:D43"/>
    <mergeCell ref="E43:G43"/>
    <mergeCell ref="H43:I43"/>
    <mergeCell ref="J43:K43"/>
    <mergeCell ref="C44:D44"/>
    <mergeCell ref="E44:G44"/>
    <mergeCell ref="H44:I44"/>
    <mergeCell ref="J44:K44"/>
    <mergeCell ref="B5:G5"/>
    <mergeCell ref="A6:A7"/>
    <mergeCell ref="B6:B7"/>
    <mergeCell ref="C6:C7"/>
    <mergeCell ref="D6:D7"/>
    <mergeCell ref="E6:E7"/>
    <mergeCell ref="F6:F7"/>
    <mergeCell ref="G6:K6"/>
    <mergeCell ref="L2:L4"/>
    <mergeCell ref="A1:G3"/>
    <mergeCell ref="H1:H4"/>
    <mergeCell ref="I2:I4"/>
    <mergeCell ref="J2:J4"/>
    <mergeCell ref="K2:K4"/>
  </mergeCells>
  <phoneticPr fontId="2" type="noConversion"/>
  <printOptions horizontalCentered="1"/>
  <pageMargins left="0.39370078740157483" right="0.39370078740157483" top="0.74803149606299213" bottom="0.19685039370078741" header="0.31496062992125984" footer="0.15748031496062992"/>
  <pageSetup paperSize="9" scale="84" orientation="portrait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N47"/>
  <sheetViews>
    <sheetView view="pageBreakPreview" zoomScaleSheetLayoutView="100" workbookViewId="0">
      <selection activeCell="B14" sqref="B14:E15"/>
    </sheetView>
  </sheetViews>
  <sheetFormatPr defaultColWidth="8.88671875" defaultRowHeight="13.5" x14ac:dyDescent="0.15"/>
  <cols>
    <col min="1" max="1" width="8.44140625" style="3" customWidth="1"/>
    <col min="2" max="2" width="14.77734375" style="3" customWidth="1"/>
    <col min="3" max="3" width="4.109375" style="3" customWidth="1"/>
    <col min="4" max="4" width="15.21875" style="3" customWidth="1"/>
    <col min="5" max="5" width="4.44140625" style="3" customWidth="1"/>
    <col min="6" max="6" width="4" style="3" customWidth="1"/>
    <col min="7" max="7" width="5.5546875" style="3" customWidth="1"/>
    <col min="8" max="8" width="5.44140625" style="3" customWidth="1"/>
    <col min="9" max="9" width="7.88671875" style="3" customWidth="1"/>
    <col min="10" max="10" width="7.109375" style="3" customWidth="1"/>
    <col min="11" max="11" width="7.21875" style="3" customWidth="1"/>
    <col min="12" max="12" width="6.77734375" style="3" customWidth="1"/>
    <col min="13" max="16384" width="8.88671875" style="3"/>
  </cols>
  <sheetData>
    <row r="1" spans="1:14" ht="18.75" customHeight="1" x14ac:dyDescent="0.15">
      <c r="A1" s="101" t="s">
        <v>0</v>
      </c>
      <c r="B1" s="102"/>
      <c r="C1" s="102"/>
      <c r="D1" s="102"/>
      <c r="E1" s="102"/>
      <c r="F1" s="102"/>
      <c r="G1" s="103"/>
      <c r="H1" s="107" t="s">
        <v>1</v>
      </c>
      <c r="I1" s="1" t="s">
        <v>2</v>
      </c>
      <c r="J1" s="1" t="s">
        <v>2</v>
      </c>
      <c r="K1" s="1" t="s">
        <v>3</v>
      </c>
      <c r="L1" s="2" t="s">
        <v>4</v>
      </c>
    </row>
    <row r="2" spans="1:14" ht="13.5" customHeight="1" x14ac:dyDescent="0.15">
      <c r="A2" s="104"/>
      <c r="B2" s="105"/>
      <c r="C2" s="105"/>
      <c r="D2" s="105"/>
      <c r="E2" s="105"/>
      <c r="F2" s="105"/>
      <c r="G2" s="106"/>
      <c r="H2" s="108"/>
      <c r="I2" s="110"/>
      <c r="J2" s="110"/>
      <c r="K2" s="110"/>
      <c r="L2" s="98"/>
    </row>
    <row r="3" spans="1:14" ht="13.5" customHeight="1" x14ac:dyDescent="0.15">
      <c r="A3" s="104"/>
      <c r="B3" s="105"/>
      <c r="C3" s="105"/>
      <c r="D3" s="105"/>
      <c r="E3" s="105"/>
      <c r="F3" s="105"/>
      <c r="G3" s="106"/>
      <c r="H3" s="108"/>
      <c r="I3" s="108"/>
      <c r="J3" s="108"/>
      <c r="K3" s="108"/>
      <c r="L3" s="99"/>
    </row>
    <row r="4" spans="1:14" ht="33" customHeight="1" x14ac:dyDescent="0.15">
      <c r="A4" s="4"/>
      <c r="B4" s="5"/>
      <c r="C4" s="5"/>
      <c r="D4" s="5"/>
      <c r="E4" s="5"/>
      <c r="F4" s="5"/>
      <c r="G4" s="5"/>
      <c r="H4" s="109"/>
      <c r="I4" s="109"/>
      <c r="J4" s="109"/>
      <c r="K4" s="109"/>
      <c r="L4" s="100"/>
    </row>
    <row r="5" spans="1:14" ht="17.25" customHeight="1" x14ac:dyDescent="0.15">
      <c r="A5" s="6" t="s">
        <v>5</v>
      </c>
      <c r="B5" s="87">
        <v>46066</v>
      </c>
      <c r="C5" s="88"/>
      <c r="D5" s="88"/>
      <c r="E5" s="88"/>
      <c r="F5" s="88"/>
      <c r="G5" s="88"/>
      <c r="H5" s="5"/>
      <c r="I5" s="5"/>
      <c r="J5" s="5"/>
      <c r="K5" s="5"/>
      <c r="L5" s="7"/>
    </row>
    <row r="6" spans="1:14" ht="13.5" customHeight="1" x14ac:dyDescent="0.15">
      <c r="A6" s="89" t="s">
        <v>6</v>
      </c>
      <c r="B6" s="91" t="s">
        <v>7</v>
      </c>
      <c r="C6" s="91" t="s">
        <v>8</v>
      </c>
      <c r="D6" s="91" t="s">
        <v>9</v>
      </c>
      <c r="E6" s="93" t="s">
        <v>10</v>
      </c>
      <c r="F6" s="93" t="s">
        <v>11</v>
      </c>
      <c r="G6" s="95" t="s">
        <v>12</v>
      </c>
      <c r="H6" s="96"/>
      <c r="I6" s="96"/>
      <c r="J6" s="96"/>
      <c r="K6" s="97"/>
      <c r="L6" s="83" t="s">
        <v>13</v>
      </c>
    </row>
    <row r="7" spans="1:14" x14ac:dyDescent="0.15">
      <c r="A7" s="90"/>
      <c r="B7" s="92"/>
      <c r="C7" s="92"/>
      <c r="D7" s="92"/>
      <c r="E7" s="94"/>
      <c r="F7" s="94"/>
      <c r="G7" s="8" t="s">
        <v>14</v>
      </c>
      <c r="H7" s="8" t="s">
        <v>15</v>
      </c>
      <c r="I7" s="8" t="s">
        <v>16</v>
      </c>
      <c r="J7" s="8" t="s">
        <v>17</v>
      </c>
      <c r="K7" s="8" t="s">
        <v>18</v>
      </c>
      <c r="L7" s="84"/>
    </row>
    <row r="8" spans="1:14" s="15" customFormat="1" ht="20.25" customHeight="1" x14ac:dyDescent="0.15">
      <c r="A8" s="60" t="s">
        <v>1055</v>
      </c>
      <c r="B8" s="9" t="s">
        <v>138</v>
      </c>
      <c r="C8" s="58" t="s">
        <v>29</v>
      </c>
      <c r="D8" s="11" t="s">
        <v>403</v>
      </c>
      <c r="E8" s="10">
        <v>24</v>
      </c>
      <c r="F8" s="58"/>
      <c r="G8" s="12">
        <v>1662</v>
      </c>
      <c r="H8" s="12">
        <v>1890</v>
      </c>
      <c r="I8" s="17">
        <v>10</v>
      </c>
      <c r="J8" s="18">
        <v>10</v>
      </c>
      <c r="K8" s="19">
        <f>+M8*N8</f>
        <v>341.94600000000003</v>
      </c>
      <c r="L8" s="14"/>
      <c r="M8" s="15">
        <v>31.4</v>
      </c>
      <c r="N8" s="15">
        <v>10.89</v>
      </c>
    </row>
    <row r="9" spans="1:14" s="15" customFormat="1" ht="20.25" customHeight="1" x14ac:dyDescent="0.15">
      <c r="A9" s="60"/>
      <c r="B9" s="9"/>
      <c r="C9" s="58" t="s">
        <v>29</v>
      </c>
      <c r="D9" s="11" t="s">
        <v>372</v>
      </c>
      <c r="E9" s="10">
        <v>24</v>
      </c>
      <c r="F9" s="58"/>
      <c r="G9" s="12">
        <v>775</v>
      </c>
      <c r="H9" s="12">
        <v>1890</v>
      </c>
      <c r="I9" s="17" t="s">
        <v>196</v>
      </c>
      <c r="J9" s="18">
        <v>90</v>
      </c>
      <c r="K9" s="19">
        <f t="shared" ref="K9:K23" si="0">+M9*N9</f>
        <v>823.28399999999999</v>
      </c>
      <c r="L9" s="14"/>
      <c r="M9" s="15">
        <v>75.599999999999994</v>
      </c>
      <c r="N9" s="15">
        <v>10.89</v>
      </c>
    </row>
    <row r="10" spans="1:14" s="15" customFormat="1" ht="20.25" customHeight="1" x14ac:dyDescent="0.15">
      <c r="A10" s="60"/>
      <c r="B10" s="9"/>
      <c r="C10" s="58" t="s">
        <v>29</v>
      </c>
      <c r="D10" s="11" t="s">
        <v>336</v>
      </c>
      <c r="E10" s="10">
        <v>24</v>
      </c>
      <c r="F10" s="58"/>
      <c r="G10" s="12">
        <v>1662</v>
      </c>
      <c r="H10" s="12">
        <v>1890</v>
      </c>
      <c r="I10" s="17" t="s">
        <v>194</v>
      </c>
      <c r="J10" s="18">
        <v>30</v>
      </c>
      <c r="K10" s="19">
        <f t="shared" si="0"/>
        <v>628.35300000000007</v>
      </c>
      <c r="L10" s="14"/>
      <c r="M10" s="15">
        <v>57.7</v>
      </c>
      <c r="N10" s="15">
        <v>10.89</v>
      </c>
    </row>
    <row r="11" spans="1:14" s="15" customFormat="1" ht="20.25" customHeight="1" x14ac:dyDescent="0.15">
      <c r="A11" s="60"/>
      <c r="B11" s="9"/>
      <c r="C11" s="58" t="s">
        <v>29</v>
      </c>
      <c r="D11" s="11" t="s">
        <v>224</v>
      </c>
      <c r="E11" s="10">
        <v>22</v>
      </c>
      <c r="F11" s="58" t="s">
        <v>11</v>
      </c>
      <c r="G11" s="12">
        <v>618</v>
      </c>
      <c r="H11" s="12">
        <v>1890</v>
      </c>
      <c r="I11" s="17">
        <v>10</v>
      </c>
      <c r="J11" s="18">
        <v>10</v>
      </c>
      <c r="K11" s="19">
        <f t="shared" si="0"/>
        <v>127.413</v>
      </c>
      <c r="L11" s="14"/>
      <c r="M11" s="15">
        <v>11.7</v>
      </c>
      <c r="N11" s="15">
        <v>10.89</v>
      </c>
    </row>
    <row r="12" spans="1:14" s="15" customFormat="1" ht="20.25" customHeight="1" x14ac:dyDescent="0.15">
      <c r="A12" s="60" t="s">
        <v>1017</v>
      </c>
      <c r="B12" s="9" t="s">
        <v>138</v>
      </c>
      <c r="C12" s="58" t="s">
        <v>29</v>
      </c>
      <c r="D12" s="11" t="s">
        <v>403</v>
      </c>
      <c r="E12" s="10">
        <v>24</v>
      </c>
      <c r="F12" s="58"/>
      <c r="G12" s="12">
        <v>1762</v>
      </c>
      <c r="H12" s="12">
        <v>1890</v>
      </c>
      <c r="I12" s="17">
        <v>9</v>
      </c>
      <c r="J12" s="18">
        <v>9</v>
      </c>
      <c r="K12" s="19">
        <f t="shared" si="0"/>
        <v>326.37330000000003</v>
      </c>
      <c r="L12" s="14"/>
      <c r="M12" s="15">
        <v>29.97</v>
      </c>
      <c r="N12" s="15">
        <v>10.89</v>
      </c>
    </row>
    <row r="13" spans="1:14" s="15" customFormat="1" ht="20.25" customHeight="1" x14ac:dyDescent="0.15">
      <c r="A13" s="60" t="s">
        <v>1018</v>
      </c>
      <c r="B13" s="9" t="s">
        <v>138</v>
      </c>
      <c r="C13" s="58" t="s">
        <v>29</v>
      </c>
      <c r="D13" s="11" t="s">
        <v>403</v>
      </c>
      <c r="E13" s="10">
        <v>24</v>
      </c>
      <c r="F13" s="58"/>
      <c r="G13" s="12">
        <v>1662</v>
      </c>
      <c r="H13" s="12">
        <v>1890</v>
      </c>
      <c r="I13" s="17">
        <v>10</v>
      </c>
      <c r="J13" s="18">
        <v>10</v>
      </c>
      <c r="K13" s="19">
        <f t="shared" si="0"/>
        <v>341.94600000000003</v>
      </c>
      <c r="L13" s="14"/>
      <c r="M13" s="15">
        <v>31.4</v>
      </c>
      <c r="N13" s="15">
        <v>10.89</v>
      </c>
    </row>
    <row r="14" spans="1:14" s="15" customFormat="1" ht="20.25" customHeight="1" x14ac:dyDescent="0.15">
      <c r="A14" s="60" t="s">
        <v>1056</v>
      </c>
      <c r="B14" s="9" t="s">
        <v>131</v>
      </c>
      <c r="C14" s="58" t="s">
        <v>29</v>
      </c>
      <c r="D14" s="11" t="s">
        <v>155</v>
      </c>
      <c r="E14" s="10">
        <v>22</v>
      </c>
      <c r="F14" s="58" t="s">
        <v>11</v>
      </c>
      <c r="G14" s="12">
        <v>764</v>
      </c>
      <c r="H14" s="12">
        <v>933</v>
      </c>
      <c r="I14" s="17" t="s">
        <v>1057</v>
      </c>
      <c r="J14" s="18">
        <v>72</v>
      </c>
      <c r="K14" s="19">
        <f t="shared" si="0"/>
        <v>310.1472</v>
      </c>
      <c r="L14" s="20"/>
      <c r="M14" s="15">
        <v>28.48</v>
      </c>
      <c r="N14" s="15">
        <v>10.89</v>
      </c>
    </row>
    <row r="15" spans="1:14" s="15" customFormat="1" ht="20.25" customHeight="1" x14ac:dyDescent="0.15">
      <c r="A15" s="60"/>
      <c r="B15" s="9"/>
      <c r="C15" s="58" t="s">
        <v>29</v>
      </c>
      <c r="D15" s="11" t="s">
        <v>156</v>
      </c>
      <c r="E15" s="10">
        <v>22</v>
      </c>
      <c r="F15" s="58" t="s">
        <v>11</v>
      </c>
      <c r="G15" s="12">
        <v>1421</v>
      </c>
      <c r="H15" s="12">
        <v>1763</v>
      </c>
      <c r="I15" s="17" t="s">
        <v>373</v>
      </c>
      <c r="J15" s="18">
        <f>8+112</f>
        <v>120</v>
      </c>
      <c r="K15" s="19">
        <f t="shared" si="0"/>
        <v>1031.5008</v>
      </c>
      <c r="L15" s="20"/>
      <c r="M15" s="15">
        <v>94.72</v>
      </c>
      <c r="N15" s="15">
        <v>10.89</v>
      </c>
    </row>
    <row r="16" spans="1:14" s="15" customFormat="1" ht="20.25" customHeight="1" x14ac:dyDescent="0.15">
      <c r="A16" s="60" t="s">
        <v>1058</v>
      </c>
      <c r="B16" s="9" t="s">
        <v>183</v>
      </c>
      <c r="C16" s="58" t="s">
        <v>29</v>
      </c>
      <c r="D16" s="11" t="s">
        <v>1059</v>
      </c>
      <c r="E16" s="10">
        <v>28</v>
      </c>
      <c r="F16" s="58" t="s">
        <v>11</v>
      </c>
      <c r="G16" s="12">
        <v>1840</v>
      </c>
      <c r="H16" s="12">
        <v>3305</v>
      </c>
      <c r="I16" s="17" t="s">
        <v>218</v>
      </c>
      <c r="J16" s="18">
        <v>3</v>
      </c>
      <c r="K16" s="19">
        <f t="shared" si="0"/>
        <v>166.61700000000002</v>
      </c>
      <c r="L16" s="20"/>
      <c r="M16" s="15">
        <v>15.3</v>
      </c>
      <c r="N16" s="15">
        <v>10.89</v>
      </c>
    </row>
    <row r="17" spans="1:14" s="15" customFormat="1" ht="20.25" customHeight="1" x14ac:dyDescent="0.15">
      <c r="A17" s="60"/>
      <c r="B17" s="9"/>
      <c r="C17" s="58" t="s">
        <v>29</v>
      </c>
      <c r="D17" s="11" t="s">
        <v>304</v>
      </c>
      <c r="E17" s="10">
        <v>28</v>
      </c>
      <c r="F17" s="58" t="s">
        <v>11</v>
      </c>
      <c r="G17" s="12">
        <v>1522</v>
      </c>
      <c r="H17" s="12">
        <v>3305</v>
      </c>
      <c r="I17" s="17" t="s">
        <v>385</v>
      </c>
      <c r="J17" s="18">
        <v>6</v>
      </c>
      <c r="K17" s="19">
        <f t="shared" si="0"/>
        <v>261.1422</v>
      </c>
      <c r="L17" s="20"/>
      <c r="M17" s="15">
        <v>23.98</v>
      </c>
      <c r="N17" s="15">
        <v>10.89</v>
      </c>
    </row>
    <row r="18" spans="1:14" s="15" customFormat="1" ht="20.25" customHeight="1" x14ac:dyDescent="0.15">
      <c r="A18" s="60" t="s">
        <v>1060</v>
      </c>
      <c r="B18" s="9" t="s">
        <v>36</v>
      </c>
      <c r="C18" s="58" t="s">
        <v>231</v>
      </c>
      <c r="D18" s="11" t="s">
        <v>312</v>
      </c>
      <c r="E18" s="10">
        <v>22</v>
      </c>
      <c r="F18" s="58"/>
      <c r="G18" s="12">
        <v>1640</v>
      </c>
      <c r="H18" s="12">
        <v>1963</v>
      </c>
      <c r="I18" s="17" t="s">
        <v>563</v>
      </c>
      <c r="J18" s="18">
        <v>11</v>
      </c>
      <c r="K18" s="19">
        <f t="shared" si="0"/>
        <v>226.83869999999999</v>
      </c>
      <c r="L18" s="20"/>
      <c r="M18" s="15">
        <v>20.83</v>
      </c>
      <c r="N18" s="15">
        <v>10.89</v>
      </c>
    </row>
    <row r="19" spans="1:14" s="15" customFormat="1" ht="20.25" customHeight="1" x14ac:dyDescent="0.15">
      <c r="A19" s="60"/>
      <c r="B19" s="9"/>
      <c r="C19" s="58"/>
      <c r="D19" s="11"/>
      <c r="E19" s="10"/>
      <c r="F19" s="58"/>
      <c r="G19" s="12"/>
      <c r="H19" s="12"/>
      <c r="I19" s="17"/>
      <c r="J19" s="18"/>
      <c r="K19" s="19">
        <f t="shared" si="0"/>
        <v>0</v>
      </c>
      <c r="L19" s="20"/>
      <c r="N19" s="15">
        <v>10.89</v>
      </c>
    </row>
    <row r="20" spans="1:14" s="15" customFormat="1" ht="20.25" customHeight="1" x14ac:dyDescent="0.15">
      <c r="A20" s="60"/>
      <c r="B20" s="9"/>
      <c r="C20" s="58"/>
      <c r="D20" s="11"/>
      <c r="E20" s="10"/>
      <c r="F20" s="58"/>
      <c r="G20" s="12"/>
      <c r="H20" s="12"/>
      <c r="I20" s="17"/>
      <c r="J20" s="18"/>
      <c r="K20" s="19">
        <f t="shared" si="0"/>
        <v>0</v>
      </c>
      <c r="L20" s="20"/>
      <c r="N20" s="15">
        <v>10.89</v>
      </c>
    </row>
    <row r="21" spans="1:14" s="15" customFormat="1" ht="20.25" customHeight="1" x14ac:dyDescent="0.15">
      <c r="A21" s="60"/>
      <c r="B21" s="9"/>
      <c r="C21" s="58"/>
      <c r="D21" s="11"/>
      <c r="E21" s="10"/>
      <c r="F21" s="58"/>
      <c r="G21" s="50"/>
      <c r="H21" s="50"/>
      <c r="I21" s="17"/>
      <c r="J21" s="18"/>
      <c r="K21" s="19">
        <f t="shared" si="0"/>
        <v>0</v>
      </c>
      <c r="L21" s="20"/>
      <c r="N21" s="15">
        <v>10.89</v>
      </c>
    </row>
    <row r="22" spans="1:14" s="15" customFormat="1" ht="20.25" customHeight="1" x14ac:dyDescent="0.15">
      <c r="A22" s="60"/>
      <c r="B22" s="9"/>
      <c r="C22" s="58"/>
      <c r="D22" s="11"/>
      <c r="E22" s="10"/>
      <c r="F22" s="58"/>
      <c r="G22" s="50"/>
      <c r="H22" s="50"/>
      <c r="I22" s="17"/>
      <c r="J22" s="18"/>
      <c r="K22" s="19">
        <f t="shared" si="0"/>
        <v>0</v>
      </c>
      <c r="L22" s="20"/>
      <c r="N22" s="15">
        <v>10.89</v>
      </c>
    </row>
    <row r="23" spans="1:14" ht="20.25" customHeight="1" x14ac:dyDescent="0.15">
      <c r="A23" s="60"/>
      <c r="B23" s="9"/>
      <c r="C23" s="58"/>
      <c r="D23" s="11"/>
      <c r="E23" s="10"/>
      <c r="F23" s="58"/>
      <c r="G23" s="16"/>
      <c r="H23" s="16"/>
      <c r="I23" s="17"/>
      <c r="J23" s="18"/>
      <c r="K23" s="19">
        <f t="shared" si="0"/>
        <v>0</v>
      </c>
      <c r="L23" s="20"/>
      <c r="N23" s="15">
        <v>10.89</v>
      </c>
    </row>
    <row r="24" spans="1:14" ht="20.25" customHeight="1" thickBot="1" x14ac:dyDescent="0.2">
      <c r="A24" s="56"/>
      <c r="B24" s="21"/>
      <c r="C24" s="59"/>
      <c r="D24" s="22"/>
      <c r="E24" s="23"/>
      <c r="F24" s="23"/>
      <c r="G24" s="24"/>
      <c r="H24" s="24"/>
      <c r="I24" s="25"/>
      <c r="J24" s="46">
        <f>SUM(J8:J23)</f>
        <v>371</v>
      </c>
      <c r="K24" s="47">
        <f>SUM(K8:K23)</f>
        <v>4585.561200000001</v>
      </c>
      <c r="L24" s="26"/>
    </row>
    <row r="25" spans="1:14" ht="20.25" customHeight="1" thickTop="1" x14ac:dyDescent="0.15">
      <c r="A25" s="60" t="s">
        <v>1061</v>
      </c>
      <c r="B25" s="9" t="s">
        <v>138</v>
      </c>
      <c r="C25" s="58" t="s">
        <v>29</v>
      </c>
      <c r="D25" s="11" t="s">
        <v>336</v>
      </c>
      <c r="E25" s="10">
        <v>24</v>
      </c>
      <c r="F25" s="58"/>
      <c r="G25" s="12">
        <v>1762</v>
      </c>
      <c r="H25" s="12">
        <v>1890</v>
      </c>
      <c r="I25" s="17" t="s">
        <v>1062</v>
      </c>
      <c r="J25" s="18">
        <v>78</v>
      </c>
      <c r="K25" s="19">
        <f t="shared" ref="K25:K40" si="1">+M25*N25</f>
        <v>1025.7291</v>
      </c>
      <c r="L25" s="54"/>
      <c r="M25" s="3">
        <v>94.19</v>
      </c>
      <c r="N25" s="15">
        <v>10.89</v>
      </c>
    </row>
    <row r="26" spans="1:14" ht="20.25" customHeight="1" x14ac:dyDescent="0.15">
      <c r="A26" s="60" t="s">
        <v>1063</v>
      </c>
      <c r="C26" s="58" t="s">
        <v>29</v>
      </c>
      <c r="D26" s="11" t="s">
        <v>372</v>
      </c>
      <c r="E26" s="10">
        <v>24</v>
      </c>
      <c r="F26" s="58"/>
      <c r="G26" s="12">
        <v>775</v>
      </c>
      <c r="H26" s="12">
        <v>1890</v>
      </c>
      <c r="I26" s="17" t="s">
        <v>1064</v>
      </c>
      <c r="J26" s="18">
        <v>46</v>
      </c>
      <c r="K26" s="19">
        <f t="shared" si="1"/>
        <v>310.80060000000003</v>
      </c>
      <c r="L26" s="54"/>
      <c r="M26" s="3">
        <v>28.54</v>
      </c>
      <c r="N26" s="15">
        <v>10.89</v>
      </c>
    </row>
    <row r="27" spans="1:14" ht="20.25" customHeight="1" x14ac:dyDescent="0.15">
      <c r="A27" s="61"/>
      <c r="B27" s="9"/>
      <c r="C27" s="58" t="s">
        <v>29</v>
      </c>
      <c r="D27" s="11" t="s">
        <v>336</v>
      </c>
      <c r="E27" s="10">
        <v>24</v>
      </c>
      <c r="F27" s="58"/>
      <c r="G27" s="12">
        <v>1662</v>
      </c>
      <c r="H27" s="12">
        <v>1890</v>
      </c>
      <c r="I27" s="17" t="s">
        <v>1065</v>
      </c>
      <c r="J27" s="18">
        <v>106</v>
      </c>
      <c r="K27" s="19">
        <f t="shared" si="1"/>
        <v>1332.7182</v>
      </c>
      <c r="L27" s="54"/>
      <c r="M27" s="3">
        <v>122.38</v>
      </c>
      <c r="N27" s="15">
        <v>10.89</v>
      </c>
    </row>
    <row r="28" spans="1:14" ht="20.25" customHeight="1" x14ac:dyDescent="0.15">
      <c r="A28" s="61"/>
      <c r="B28" s="9"/>
      <c r="C28" s="58" t="s">
        <v>29</v>
      </c>
      <c r="D28" s="11" t="s">
        <v>224</v>
      </c>
      <c r="E28" s="10">
        <v>22</v>
      </c>
      <c r="F28" s="58" t="s">
        <v>11</v>
      </c>
      <c r="G28" s="12">
        <v>618</v>
      </c>
      <c r="H28" s="12">
        <v>1890</v>
      </c>
      <c r="I28" s="17">
        <v>14</v>
      </c>
      <c r="J28" s="18">
        <v>14</v>
      </c>
      <c r="K28" s="19">
        <f t="shared" si="1"/>
        <v>178.37819999999999</v>
      </c>
      <c r="L28" s="54"/>
      <c r="M28" s="3">
        <v>16.38</v>
      </c>
      <c r="N28" s="15">
        <v>10.89</v>
      </c>
    </row>
    <row r="29" spans="1:14" ht="20.25" customHeight="1" x14ac:dyDescent="0.15">
      <c r="A29" s="61" t="s">
        <v>1066</v>
      </c>
      <c r="B29" s="9" t="s">
        <v>183</v>
      </c>
      <c r="C29" s="58" t="s">
        <v>29</v>
      </c>
      <c r="D29" s="11" t="s">
        <v>1059</v>
      </c>
      <c r="E29" s="10">
        <v>28</v>
      </c>
      <c r="F29" s="10" t="s">
        <v>11</v>
      </c>
      <c r="G29" s="12">
        <v>1545</v>
      </c>
      <c r="H29" s="12">
        <v>3305</v>
      </c>
      <c r="I29" s="17" t="s">
        <v>324</v>
      </c>
      <c r="J29" s="18">
        <v>8</v>
      </c>
      <c r="K29" s="19">
        <f t="shared" si="1"/>
        <v>331.60050000000001</v>
      </c>
      <c r="L29" s="54"/>
      <c r="M29" s="3">
        <v>30.45</v>
      </c>
      <c r="N29" s="15">
        <v>10.89</v>
      </c>
    </row>
    <row r="30" spans="1:14" ht="20.25" customHeight="1" x14ac:dyDescent="0.15">
      <c r="A30" s="61"/>
      <c r="B30" s="9"/>
      <c r="C30" s="58" t="s">
        <v>29</v>
      </c>
      <c r="D30" s="11" t="s">
        <v>304</v>
      </c>
      <c r="E30" s="10">
        <v>28</v>
      </c>
      <c r="F30" s="10" t="s">
        <v>11</v>
      </c>
      <c r="G30" s="12">
        <v>1862</v>
      </c>
      <c r="H30" s="12">
        <v>3305</v>
      </c>
      <c r="I30" s="51" t="s">
        <v>657</v>
      </c>
      <c r="J30" s="52">
        <v>9</v>
      </c>
      <c r="K30" s="53">
        <f t="shared" si="1"/>
        <v>409.68180000000001</v>
      </c>
      <c r="L30" s="54"/>
      <c r="M30" s="3">
        <v>37.619999999999997</v>
      </c>
      <c r="N30" s="15">
        <v>10.89</v>
      </c>
    </row>
    <row r="31" spans="1:14" ht="20.25" customHeight="1" x14ac:dyDescent="0.15">
      <c r="A31" s="61" t="s">
        <v>989</v>
      </c>
      <c r="B31" s="9" t="s">
        <v>127</v>
      </c>
      <c r="C31" s="58" t="s">
        <v>29</v>
      </c>
      <c r="D31" s="11" t="s">
        <v>1067</v>
      </c>
      <c r="E31" s="10">
        <v>26</v>
      </c>
      <c r="F31" s="10" t="s">
        <v>11</v>
      </c>
      <c r="G31" s="12">
        <v>985</v>
      </c>
      <c r="H31" s="12">
        <v>1935</v>
      </c>
      <c r="I31" s="51" t="s">
        <v>385</v>
      </c>
      <c r="J31" s="52">
        <v>6</v>
      </c>
      <c r="K31" s="53">
        <f t="shared" si="1"/>
        <v>94.851900000000015</v>
      </c>
      <c r="L31" s="54"/>
      <c r="M31" s="3">
        <v>8.7100000000000009</v>
      </c>
      <c r="N31" s="15">
        <v>10.89</v>
      </c>
    </row>
    <row r="32" spans="1:14" ht="20.25" customHeight="1" x14ac:dyDescent="0.15">
      <c r="A32" s="60" t="s">
        <v>1068</v>
      </c>
      <c r="B32" s="9" t="s">
        <v>55</v>
      </c>
      <c r="C32" s="58" t="s">
        <v>29</v>
      </c>
      <c r="D32" s="11" t="s">
        <v>1069</v>
      </c>
      <c r="E32" s="10">
        <v>26</v>
      </c>
      <c r="F32" s="10" t="s">
        <v>11</v>
      </c>
      <c r="G32" s="12">
        <v>350</v>
      </c>
      <c r="H32" s="12">
        <v>500</v>
      </c>
      <c r="I32" s="17">
        <v>12</v>
      </c>
      <c r="J32" s="18">
        <v>12</v>
      </c>
      <c r="K32" s="19">
        <f t="shared" si="1"/>
        <v>36.590400000000002</v>
      </c>
      <c r="L32" s="27"/>
      <c r="M32" s="3">
        <v>3.36</v>
      </c>
      <c r="N32" s="15">
        <v>10.89</v>
      </c>
    </row>
    <row r="33" spans="1:14" ht="20.25" customHeight="1" x14ac:dyDescent="0.15">
      <c r="A33" s="60" t="s">
        <v>1070</v>
      </c>
      <c r="B33" s="9" t="s">
        <v>145</v>
      </c>
      <c r="C33" s="58" t="s">
        <v>29</v>
      </c>
      <c r="D33" s="11" t="s">
        <v>1071</v>
      </c>
      <c r="E33" s="10">
        <v>24</v>
      </c>
      <c r="F33" s="10" t="s">
        <v>11</v>
      </c>
      <c r="G33" s="12">
        <v>1257</v>
      </c>
      <c r="H33" s="12">
        <v>1355</v>
      </c>
      <c r="I33" s="17">
        <v>4</v>
      </c>
      <c r="J33" s="18">
        <v>4</v>
      </c>
      <c r="K33" s="19">
        <f t="shared" si="1"/>
        <v>74.052000000000007</v>
      </c>
      <c r="L33" s="27"/>
      <c r="M33" s="3">
        <v>6.8</v>
      </c>
      <c r="N33" s="15">
        <v>10.89</v>
      </c>
    </row>
    <row r="34" spans="1:14" ht="20.25" customHeight="1" x14ac:dyDescent="0.15">
      <c r="A34" s="60" t="s">
        <v>1072</v>
      </c>
      <c r="B34" s="9" t="s">
        <v>150</v>
      </c>
      <c r="C34" s="58" t="s">
        <v>29</v>
      </c>
      <c r="D34" s="11" t="s">
        <v>195</v>
      </c>
      <c r="E34" s="10">
        <v>22</v>
      </c>
      <c r="F34" s="10"/>
      <c r="G34" s="12">
        <v>730</v>
      </c>
      <c r="H34" s="12">
        <v>2100</v>
      </c>
      <c r="I34" s="17" t="s">
        <v>1073</v>
      </c>
      <c r="J34" s="18">
        <v>14</v>
      </c>
      <c r="K34" s="19">
        <f t="shared" si="1"/>
        <v>227.81880000000004</v>
      </c>
      <c r="L34" s="27"/>
      <c r="M34" s="3">
        <v>20.92</v>
      </c>
      <c r="N34" s="15">
        <v>10.89</v>
      </c>
    </row>
    <row r="35" spans="1:14" ht="20.25" customHeight="1" x14ac:dyDescent="0.15">
      <c r="A35" s="60" t="s">
        <v>1074</v>
      </c>
      <c r="B35" s="9" t="s">
        <v>178</v>
      </c>
      <c r="C35" s="58" t="s">
        <v>29</v>
      </c>
      <c r="D35" s="11" t="s">
        <v>247</v>
      </c>
      <c r="E35" s="10">
        <v>24</v>
      </c>
      <c r="F35" s="10" t="s">
        <v>11</v>
      </c>
      <c r="G35" s="12">
        <v>1075</v>
      </c>
      <c r="H35" s="12">
        <v>1983</v>
      </c>
      <c r="I35" s="17" t="s">
        <v>366</v>
      </c>
      <c r="J35" s="18">
        <v>4</v>
      </c>
      <c r="K35" s="19">
        <f t="shared" si="1"/>
        <v>49.985100000000003</v>
      </c>
      <c r="L35" s="27"/>
      <c r="M35" s="3">
        <v>4.59</v>
      </c>
      <c r="N35" s="15">
        <v>10.89</v>
      </c>
    </row>
    <row r="36" spans="1:14" ht="20.25" customHeight="1" x14ac:dyDescent="0.15">
      <c r="A36" s="60" t="s">
        <v>1047</v>
      </c>
      <c r="B36" s="9" t="s">
        <v>178</v>
      </c>
      <c r="C36" s="58" t="s">
        <v>29</v>
      </c>
      <c r="D36" s="11" t="s">
        <v>247</v>
      </c>
      <c r="E36" s="10">
        <v>24</v>
      </c>
      <c r="F36" s="10" t="s">
        <v>11</v>
      </c>
      <c r="G36" s="12">
        <v>843</v>
      </c>
      <c r="H36" s="12">
        <v>1395</v>
      </c>
      <c r="I36" s="17">
        <v>1</v>
      </c>
      <c r="J36" s="18">
        <v>1</v>
      </c>
      <c r="K36" s="19">
        <f t="shared" si="1"/>
        <v>12.850199999999999</v>
      </c>
      <c r="L36" s="27"/>
      <c r="M36" s="3">
        <v>1.18</v>
      </c>
      <c r="N36" s="15">
        <v>10.89</v>
      </c>
    </row>
    <row r="37" spans="1:14" ht="20.25" customHeight="1" x14ac:dyDescent="0.15">
      <c r="A37" s="60"/>
      <c r="B37" s="9"/>
      <c r="C37" s="58"/>
      <c r="D37" s="11"/>
      <c r="E37" s="10"/>
      <c r="F37" s="10"/>
      <c r="G37" s="12"/>
      <c r="H37" s="12"/>
      <c r="I37" s="17"/>
      <c r="J37" s="18"/>
      <c r="K37" s="19">
        <f t="shared" si="1"/>
        <v>0</v>
      </c>
      <c r="L37" s="27"/>
      <c r="N37" s="15">
        <v>10.89</v>
      </c>
    </row>
    <row r="38" spans="1:14" ht="20.25" customHeight="1" x14ac:dyDescent="0.15">
      <c r="A38" s="60"/>
      <c r="B38" s="9"/>
      <c r="C38" s="58"/>
      <c r="D38" s="11"/>
      <c r="E38" s="10"/>
      <c r="F38" s="10"/>
      <c r="G38" s="12"/>
      <c r="H38" s="12"/>
      <c r="I38" s="17"/>
      <c r="J38" s="18"/>
      <c r="K38" s="19">
        <f t="shared" si="1"/>
        <v>0</v>
      </c>
      <c r="L38" s="27"/>
      <c r="N38" s="15">
        <v>10.89</v>
      </c>
    </row>
    <row r="39" spans="1:14" ht="20.25" customHeight="1" x14ac:dyDescent="0.15">
      <c r="A39" s="60"/>
      <c r="B39" s="9"/>
      <c r="C39" s="58"/>
      <c r="D39" s="11"/>
      <c r="E39" s="10"/>
      <c r="F39" s="10"/>
      <c r="G39" s="12"/>
      <c r="H39" s="12"/>
      <c r="I39" s="17"/>
      <c r="J39" s="18"/>
      <c r="K39" s="19">
        <f t="shared" si="1"/>
        <v>0</v>
      </c>
      <c r="L39" s="27"/>
      <c r="N39" s="15">
        <v>10.89</v>
      </c>
    </row>
    <row r="40" spans="1:14" ht="20.25" customHeight="1" x14ac:dyDescent="0.15">
      <c r="A40" s="60"/>
      <c r="B40" s="9"/>
      <c r="C40" s="58"/>
      <c r="D40" s="11"/>
      <c r="E40" s="10"/>
      <c r="F40" s="10"/>
      <c r="G40" s="12"/>
      <c r="H40" s="12"/>
      <c r="I40" s="17"/>
      <c r="J40" s="18"/>
      <c r="K40" s="19">
        <f t="shared" si="1"/>
        <v>0</v>
      </c>
      <c r="L40" s="27"/>
      <c r="N40" s="15">
        <v>10.89</v>
      </c>
    </row>
    <row r="41" spans="1:14" ht="20.25" customHeight="1" x14ac:dyDescent="0.15">
      <c r="A41" s="57"/>
      <c r="B41" s="28"/>
      <c r="C41" s="10"/>
      <c r="D41" s="29"/>
      <c r="E41" s="30"/>
      <c r="F41" s="30"/>
      <c r="G41" s="30"/>
      <c r="H41" s="30"/>
      <c r="I41" s="13"/>
      <c r="J41" s="48">
        <f>SUM(J25:J40)</f>
        <v>302</v>
      </c>
      <c r="K41" s="49">
        <f>SUM(K25:K40)</f>
        <v>4085.0568000000003</v>
      </c>
      <c r="L41" s="31"/>
      <c r="N41" s="32"/>
    </row>
    <row r="42" spans="1:14" ht="20.25" customHeight="1" thickBot="1" x14ac:dyDescent="0.2">
      <c r="A42" s="55"/>
      <c r="B42" s="33"/>
      <c r="C42" s="33"/>
      <c r="D42" s="33"/>
      <c r="E42" s="33"/>
      <c r="F42" s="33"/>
      <c r="G42" s="33"/>
      <c r="H42" s="33"/>
      <c r="I42" s="33"/>
      <c r="J42" s="34"/>
      <c r="K42" s="35"/>
      <c r="L42" s="36"/>
    </row>
    <row r="43" spans="1:14" ht="20.25" customHeight="1" thickBot="1" x14ac:dyDescent="0.2">
      <c r="A43" s="37" t="s">
        <v>19</v>
      </c>
      <c r="B43" s="38" t="s">
        <v>20</v>
      </c>
      <c r="C43" s="77" t="s">
        <v>21</v>
      </c>
      <c r="D43" s="79"/>
      <c r="E43" s="77" t="s">
        <v>22</v>
      </c>
      <c r="F43" s="78"/>
      <c r="G43" s="79"/>
      <c r="H43" s="85" t="s">
        <v>23</v>
      </c>
      <c r="I43" s="86"/>
      <c r="J43" s="77" t="s">
        <v>24</v>
      </c>
      <c r="K43" s="79"/>
      <c r="L43" s="39" t="s">
        <v>13</v>
      </c>
    </row>
    <row r="44" spans="1:14" ht="20.25" customHeight="1" thickBot="1" x14ac:dyDescent="0.2">
      <c r="A44" s="40">
        <f>SUMIF($C$8:$C$42,"U1",$J$8:$J$42)</f>
        <v>0</v>
      </c>
      <c r="B44" s="41">
        <f>SUMIF($C$8:$C$42,"U2",$J$8:$J$42)</f>
        <v>11</v>
      </c>
      <c r="C44" s="77">
        <f>SUMIF($C$8:$C$42,"U3-1",$J$8:$J$42)</f>
        <v>0</v>
      </c>
      <c r="D44" s="79"/>
      <c r="E44" s="77">
        <f>SUMIF($C$8:$C$42,"U3",$J$8:$J$42)</f>
        <v>662</v>
      </c>
      <c r="F44" s="78"/>
      <c r="G44" s="79"/>
      <c r="H44" s="77">
        <f>SUMIF($C$8:$C$42,"E5",$J$8:$J$42)</f>
        <v>0</v>
      </c>
      <c r="I44" s="79"/>
      <c r="J44" s="77">
        <f>SUM(A44:I44)</f>
        <v>673</v>
      </c>
      <c r="K44" s="79"/>
      <c r="L44" s="42"/>
    </row>
    <row r="45" spans="1:14" ht="20.25" customHeight="1" thickBot="1" x14ac:dyDescent="0.2">
      <c r="A45" s="43" t="s">
        <v>25</v>
      </c>
      <c r="B45" s="44" t="s">
        <v>26</v>
      </c>
      <c r="C45" s="75">
        <v>13876</v>
      </c>
      <c r="D45" s="76"/>
      <c r="E45" s="77" t="s">
        <v>27</v>
      </c>
      <c r="F45" s="78"/>
      <c r="G45" s="78"/>
      <c r="H45" s="78"/>
      <c r="I45" s="79"/>
      <c r="J45" s="80">
        <v>146744.37</v>
      </c>
      <c r="K45" s="81"/>
      <c r="L45" s="82"/>
    </row>
    <row r="47" spans="1:14" x14ac:dyDescent="0.15">
      <c r="D47" s="45"/>
    </row>
  </sheetData>
  <mergeCells count="26">
    <mergeCell ref="L2:L4"/>
    <mergeCell ref="A1:G3"/>
    <mergeCell ref="H1:H4"/>
    <mergeCell ref="I2:I4"/>
    <mergeCell ref="J2:J4"/>
    <mergeCell ref="K2:K4"/>
    <mergeCell ref="B5:G5"/>
    <mergeCell ref="A6:A7"/>
    <mergeCell ref="B6:B7"/>
    <mergeCell ref="C6:C7"/>
    <mergeCell ref="D6:D7"/>
    <mergeCell ref="E6:E7"/>
    <mergeCell ref="F6:F7"/>
    <mergeCell ref="G6:K6"/>
    <mergeCell ref="C45:D45"/>
    <mergeCell ref="E45:I45"/>
    <mergeCell ref="J45:L45"/>
    <mergeCell ref="L6:L7"/>
    <mergeCell ref="C43:D43"/>
    <mergeCell ref="E43:G43"/>
    <mergeCell ref="H43:I43"/>
    <mergeCell ref="J43:K43"/>
    <mergeCell ref="C44:D44"/>
    <mergeCell ref="E44:G44"/>
    <mergeCell ref="H44:I44"/>
    <mergeCell ref="J44:K44"/>
  </mergeCells>
  <phoneticPr fontId="2" type="noConversion"/>
  <printOptions horizontalCentered="1"/>
  <pageMargins left="0.39370078740157483" right="0.39370078740157483" top="0.74803149606299213" bottom="0.19685039370078741" header="0.31496062992125984" footer="0.15748031496062992"/>
  <pageSetup paperSize="9" scale="84"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N47"/>
  <sheetViews>
    <sheetView view="pageBreakPreview" zoomScaleSheetLayoutView="100" workbookViewId="0">
      <selection activeCell="B25" sqref="B25"/>
    </sheetView>
  </sheetViews>
  <sheetFormatPr defaultColWidth="8.88671875" defaultRowHeight="13.5" x14ac:dyDescent="0.15"/>
  <cols>
    <col min="1" max="1" width="8.44140625" style="3" customWidth="1"/>
    <col min="2" max="2" width="14.77734375" style="3" customWidth="1"/>
    <col min="3" max="3" width="4.109375" style="3" customWidth="1"/>
    <col min="4" max="4" width="15.21875" style="3" customWidth="1"/>
    <col min="5" max="5" width="4.44140625" style="3" customWidth="1"/>
    <col min="6" max="6" width="4" style="3" customWidth="1"/>
    <col min="7" max="7" width="5.5546875" style="3" customWidth="1"/>
    <col min="8" max="8" width="5.44140625" style="3" customWidth="1"/>
    <col min="9" max="9" width="7.88671875" style="3" customWidth="1"/>
    <col min="10" max="10" width="7.109375" style="3" customWidth="1"/>
    <col min="11" max="11" width="7.21875" style="3" customWidth="1"/>
    <col min="12" max="12" width="6.77734375" style="3" customWidth="1"/>
    <col min="13" max="16384" width="8.88671875" style="3"/>
  </cols>
  <sheetData>
    <row r="1" spans="1:14" ht="18.75" customHeight="1" x14ac:dyDescent="0.15">
      <c r="A1" s="101" t="s">
        <v>0</v>
      </c>
      <c r="B1" s="102"/>
      <c r="C1" s="102"/>
      <c r="D1" s="102"/>
      <c r="E1" s="102"/>
      <c r="F1" s="102"/>
      <c r="G1" s="103"/>
      <c r="H1" s="107" t="s">
        <v>1</v>
      </c>
      <c r="I1" s="1" t="s">
        <v>2</v>
      </c>
      <c r="J1" s="1" t="s">
        <v>2</v>
      </c>
      <c r="K1" s="1" t="s">
        <v>3</v>
      </c>
      <c r="L1" s="2" t="s">
        <v>4</v>
      </c>
    </row>
    <row r="2" spans="1:14" ht="13.5" customHeight="1" x14ac:dyDescent="0.15">
      <c r="A2" s="104"/>
      <c r="B2" s="105"/>
      <c r="C2" s="105"/>
      <c r="D2" s="105"/>
      <c r="E2" s="105"/>
      <c r="F2" s="105"/>
      <c r="G2" s="106"/>
      <c r="H2" s="108"/>
      <c r="I2" s="110"/>
      <c r="J2" s="110"/>
      <c r="K2" s="110"/>
      <c r="L2" s="98"/>
    </row>
    <row r="3" spans="1:14" ht="13.5" customHeight="1" x14ac:dyDescent="0.15">
      <c r="A3" s="104"/>
      <c r="B3" s="105"/>
      <c r="C3" s="105"/>
      <c r="D3" s="105"/>
      <c r="E3" s="105"/>
      <c r="F3" s="105"/>
      <c r="G3" s="106"/>
      <c r="H3" s="108"/>
      <c r="I3" s="108"/>
      <c r="J3" s="108"/>
      <c r="K3" s="108"/>
      <c r="L3" s="99"/>
    </row>
    <row r="4" spans="1:14" ht="33" customHeight="1" x14ac:dyDescent="0.15">
      <c r="A4" s="4"/>
      <c r="B4" s="5"/>
      <c r="C4" s="5"/>
      <c r="D4" s="5"/>
      <c r="E4" s="5"/>
      <c r="F4" s="5"/>
      <c r="G4" s="5"/>
      <c r="H4" s="109"/>
      <c r="I4" s="109"/>
      <c r="J4" s="109"/>
      <c r="K4" s="109"/>
      <c r="L4" s="100"/>
    </row>
    <row r="5" spans="1:14" ht="17.25" customHeight="1" x14ac:dyDescent="0.15">
      <c r="A5" s="6" t="s">
        <v>5</v>
      </c>
      <c r="B5" s="87">
        <v>46072</v>
      </c>
      <c r="C5" s="88"/>
      <c r="D5" s="88"/>
      <c r="E5" s="88"/>
      <c r="F5" s="88"/>
      <c r="G5" s="88"/>
      <c r="H5" s="5"/>
      <c r="I5" s="5"/>
      <c r="J5" s="5"/>
      <c r="K5" s="5"/>
      <c r="L5" s="7"/>
    </row>
    <row r="6" spans="1:14" ht="13.5" customHeight="1" x14ac:dyDescent="0.15">
      <c r="A6" s="89" t="s">
        <v>6</v>
      </c>
      <c r="B6" s="91" t="s">
        <v>7</v>
      </c>
      <c r="C6" s="91" t="s">
        <v>8</v>
      </c>
      <c r="D6" s="91" t="s">
        <v>9</v>
      </c>
      <c r="E6" s="93" t="s">
        <v>10</v>
      </c>
      <c r="F6" s="93" t="s">
        <v>11</v>
      </c>
      <c r="G6" s="95" t="s">
        <v>12</v>
      </c>
      <c r="H6" s="96"/>
      <c r="I6" s="96"/>
      <c r="J6" s="96"/>
      <c r="K6" s="97"/>
      <c r="L6" s="83" t="s">
        <v>13</v>
      </c>
    </row>
    <row r="7" spans="1:14" x14ac:dyDescent="0.15">
      <c r="A7" s="90"/>
      <c r="B7" s="92"/>
      <c r="C7" s="92"/>
      <c r="D7" s="92"/>
      <c r="E7" s="94"/>
      <c r="F7" s="94"/>
      <c r="G7" s="8" t="s">
        <v>14</v>
      </c>
      <c r="H7" s="8" t="s">
        <v>15</v>
      </c>
      <c r="I7" s="8" t="s">
        <v>16</v>
      </c>
      <c r="J7" s="8" t="s">
        <v>17</v>
      </c>
      <c r="K7" s="8" t="s">
        <v>18</v>
      </c>
      <c r="L7" s="84"/>
    </row>
    <row r="8" spans="1:14" s="15" customFormat="1" ht="20.25" customHeight="1" x14ac:dyDescent="0.15">
      <c r="A8" s="60" t="s">
        <v>818</v>
      </c>
      <c r="B8" s="9" t="s">
        <v>173</v>
      </c>
      <c r="C8" s="58" t="s">
        <v>29</v>
      </c>
      <c r="D8" s="11" t="s">
        <v>279</v>
      </c>
      <c r="E8" s="10">
        <v>25.76</v>
      </c>
      <c r="F8" s="58"/>
      <c r="G8" s="12">
        <v>990</v>
      </c>
      <c r="H8" s="12">
        <v>670</v>
      </c>
      <c r="I8" s="17" t="s">
        <v>1075</v>
      </c>
      <c r="J8" s="18">
        <v>11</v>
      </c>
      <c r="K8" s="19">
        <f>+M8*N8</f>
        <v>76.23</v>
      </c>
      <c r="L8" s="14"/>
      <c r="M8" s="15">
        <v>7</v>
      </c>
      <c r="N8" s="15">
        <v>10.89</v>
      </c>
    </row>
    <row r="9" spans="1:14" s="15" customFormat="1" ht="20.25" customHeight="1" x14ac:dyDescent="0.15">
      <c r="A9" s="60" t="s">
        <v>749</v>
      </c>
      <c r="B9" s="9" t="s">
        <v>173</v>
      </c>
      <c r="C9" s="58" t="s">
        <v>29</v>
      </c>
      <c r="D9" s="11" t="s">
        <v>279</v>
      </c>
      <c r="E9" s="10">
        <v>25.76</v>
      </c>
      <c r="F9" s="58"/>
      <c r="G9" s="12">
        <v>640</v>
      </c>
      <c r="H9" s="12">
        <v>670</v>
      </c>
      <c r="I9" s="17">
        <v>2</v>
      </c>
      <c r="J9" s="18">
        <v>2</v>
      </c>
      <c r="K9" s="19">
        <f t="shared" ref="K9:K23" si="0">+M9*N9</f>
        <v>9.3654000000000011</v>
      </c>
      <c r="L9" s="14"/>
      <c r="M9" s="15">
        <v>0.86</v>
      </c>
      <c r="N9" s="15">
        <v>10.89</v>
      </c>
    </row>
    <row r="10" spans="1:14" s="15" customFormat="1" ht="20.25" customHeight="1" x14ac:dyDescent="0.15">
      <c r="A10" s="60" t="s">
        <v>1055</v>
      </c>
      <c r="B10" s="9" t="s">
        <v>138</v>
      </c>
      <c r="C10" s="58" t="s">
        <v>29</v>
      </c>
      <c r="D10" s="11" t="s">
        <v>336</v>
      </c>
      <c r="E10" s="10">
        <v>24</v>
      </c>
      <c r="F10" s="58"/>
      <c r="G10" s="12">
        <v>618</v>
      </c>
      <c r="H10" s="12">
        <v>1890</v>
      </c>
      <c r="I10" s="17" t="s">
        <v>1076</v>
      </c>
      <c r="J10" s="18">
        <v>70</v>
      </c>
      <c r="K10" s="19">
        <f t="shared" si="0"/>
        <v>536.87699999999995</v>
      </c>
      <c r="L10" s="14"/>
      <c r="M10" s="15">
        <v>49.3</v>
      </c>
      <c r="N10" s="15">
        <v>10.89</v>
      </c>
    </row>
    <row r="11" spans="1:14" s="15" customFormat="1" ht="20.25" customHeight="1" x14ac:dyDescent="0.15">
      <c r="A11" s="60" t="s">
        <v>1077</v>
      </c>
      <c r="B11" s="9" t="s">
        <v>647</v>
      </c>
      <c r="C11" s="58" t="s">
        <v>29</v>
      </c>
      <c r="D11" s="11" t="s">
        <v>217</v>
      </c>
      <c r="E11" s="10">
        <v>22</v>
      </c>
      <c r="F11" s="58" t="s">
        <v>11</v>
      </c>
      <c r="G11" s="12">
        <v>2230</v>
      </c>
      <c r="H11" s="12">
        <v>1981</v>
      </c>
      <c r="I11" s="17" t="s">
        <v>1078</v>
      </c>
      <c r="J11" s="18">
        <v>14</v>
      </c>
      <c r="K11" s="19">
        <f t="shared" si="0"/>
        <v>545.80679999999995</v>
      </c>
      <c r="L11" s="14"/>
      <c r="M11" s="15">
        <v>50.12</v>
      </c>
      <c r="N11" s="15">
        <v>10.89</v>
      </c>
    </row>
    <row r="12" spans="1:14" s="15" customFormat="1" ht="20.25" customHeight="1" x14ac:dyDescent="0.15">
      <c r="A12" s="60" t="s">
        <v>1079</v>
      </c>
      <c r="B12" s="9" t="s">
        <v>1080</v>
      </c>
      <c r="C12" s="58" t="s">
        <v>29</v>
      </c>
      <c r="D12" s="11" t="s">
        <v>1081</v>
      </c>
      <c r="E12" s="10">
        <v>24</v>
      </c>
      <c r="F12" s="58" t="s">
        <v>11</v>
      </c>
      <c r="G12" s="12">
        <v>300</v>
      </c>
      <c r="H12" s="12">
        <v>300</v>
      </c>
      <c r="I12" s="17">
        <v>1</v>
      </c>
      <c r="J12" s="18">
        <v>1</v>
      </c>
      <c r="K12" s="19">
        <f t="shared" si="0"/>
        <v>3.0492000000000004</v>
      </c>
      <c r="L12" s="14"/>
      <c r="M12" s="15">
        <v>0.28000000000000003</v>
      </c>
      <c r="N12" s="15">
        <v>10.89</v>
      </c>
    </row>
    <row r="13" spans="1:14" s="15" customFormat="1" ht="20.25" customHeight="1" x14ac:dyDescent="0.15">
      <c r="A13" s="60"/>
      <c r="B13" s="9"/>
      <c r="C13" s="58" t="s">
        <v>29</v>
      </c>
      <c r="D13" s="11" t="s">
        <v>1082</v>
      </c>
      <c r="E13" s="10">
        <v>24</v>
      </c>
      <c r="F13" s="58" t="s">
        <v>11</v>
      </c>
      <c r="G13" s="12">
        <v>300</v>
      </c>
      <c r="H13" s="12">
        <v>300</v>
      </c>
      <c r="I13" s="17">
        <v>1</v>
      </c>
      <c r="J13" s="18">
        <v>1</v>
      </c>
      <c r="K13" s="19">
        <f t="shared" si="0"/>
        <v>3.0492000000000004</v>
      </c>
      <c r="L13" s="14"/>
      <c r="M13" s="15">
        <v>0.28000000000000003</v>
      </c>
      <c r="N13" s="15">
        <v>10.89</v>
      </c>
    </row>
    <row r="14" spans="1:14" s="15" customFormat="1" ht="20.25" customHeight="1" x14ac:dyDescent="0.15">
      <c r="A14" s="60"/>
      <c r="B14" s="9"/>
      <c r="C14" s="58"/>
      <c r="D14" s="11"/>
      <c r="E14" s="10"/>
      <c r="F14" s="58"/>
      <c r="G14" s="12"/>
      <c r="H14" s="12"/>
      <c r="I14" s="17"/>
      <c r="J14" s="18"/>
      <c r="K14" s="19">
        <f t="shared" si="0"/>
        <v>0</v>
      </c>
      <c r="L14" s="20"/>
      <c r="N14" s="15">
        <v>10.89</v>
      </c>
    </row>
    <row r="15" spans="1:14" s="15" customFormat="1" ht="20.25" customHeight="1" x14ac:dyDescent="0.15">
      <c r="A15" s="60"/>
      <c r="B15" s="9"/>
      <c r="C15" s="58"/>
      <c r="D15" s="11"/>
      <c r="E15" s="10"/>
      <c r="F15" s="58"/>
      <c r="G15" s="12"/>
      <c r="H15" s="12"/>
      <c r="I15" s="17"/>
      <c r="J15" s="18"/>
      <c r="K15" s="19">
        <f t="shared" si="0"/>
        <v>0</v>
      </c>
      <c r="L15" s="20"/>
      <c r="N15" s="15">
        <v>10.89</v>
      </c>
    </row>
    <row r="16" spans="1:14" s="15" customFormat="1" ht="20.25" customHeight="1" x14ac:dyDescent="0.15">
      <c r="A16" s="60"/>
      <c r="B16" s="9"/>
      <c r="C16" s="58"/>
      <c r="D16" s="11"/>
      <c r="E16" s="10"/>
      <c r="F16" s="58"/>
      <c r="G16" s="12"/>
      <c r="H16" s="12"/>
      <c r="I16" s="17"/>
      <c r="J16" s="18"/>
      <c r="K16" s="19">
        <f t="shared" si="0"/>
        <v>0</v>
      </c>
      <c r="L16" s="20"/>
      <c r="N16" s="15">
        <v>10.89</v>
      </c>
    </row>
    <row r="17" spans="1:14" s="15" customFormat="1" ht="20.25" customHeight="1" x14ac:dyDescent="0.15">
      <c r="A17" s="60"/>
      <c r="B17" s="9"/>
      <c r="C17" s="58"/>
      <c r="D17" s="11"/>
      <c r="E17" s="10"/>
      <c r="F17" s="58"/>
      <c r="G17" s="12"/>
      <c r="H17" s="12"/>
      <c r="I17" s="17"/>
      <c r="J17" s="18"/>
      <c r="K17" s="19">
        <f t="shared" si="0"/>
        <v>0</v>
      </c>
      <c r="L17" s="20"/>
      <c r="N17" s="15">
        <v>10.89</v>
      </c>
    </row>
    <row r="18" spans="1:14" s="15" customFormat="1" ht="20.25" customHeight="1" x14ac:dyDescent="0.15">
      <c r="A18" s="60"/>
      <c r="B18" s="9"/>
      <c r="C18" s="58"/>
      <c r="D18" s="11"/>
      <c r="E18" s="10"/>
      <c r="F18" s="58"/>
      <c r="G18" s="12"/>
      <c r="H18" s="12"/>
      <c r="I18" s="17"/>
      <c r="J18" s="18"/>
      <c r="K18" s="19">
        <f t="shared" si="0"/>
        <v>0</v>
      </c>
      <c r="L18" s="20"/>
      <c r="N18" s="15">
        <v>10.89</v>
      </c>
    </row>
    <row r="19" spans="1:14" s="15" customFormat="1" ht="20.25" customHeight="1" x14ac:dyDescent="0.15">
      <c r="A19" s="60"/>
      <c r="B19" s="9"/>
      <c r="C19" s="58"/>
      <c r="D19" s="11"/>
      <c r="E19" s="10"/>
      <c r="F19" s="58"/>
      <c r="G19" s="12"/>
      <c r="H19" s="12"/>
      <c r="I19" s="17"/>
      <c r="J19" s="18"/>
      <c r="K19" s="19">
        <f t="shared" si="0"/>
        <v>0</v>
      </c>
      <c r="L19" s="20"/>
      <c r="N19" s="15">
        <v>10.89</v>
      </c>
    </row>
    <row r="20" spans="1:14" s="15" customFormat="1" ht="20.25" customHeight="1" x14ac:dyDescent="0.15">
      <c r="A20" s="60"/>
      <c r="B20" s="9"/>
      <c r="C20" s="58"/>
      <c r="D20" s="11"/>
      <c r="E20" s="10"/>
      <c r="F20" s="58"/>
      <c r="G20" s="12"/>
      <c r="H20" s="12"/>
      <c r="I20" s="17"/>
      <c r="J20" s="18"/>
      <c r="K20" s="19">
        <f t="shared" si="0"/>
        <v>0</v>
      </c>
      <c r="L20" s="20"/>
      <c r="N20" s="15">
        <v>10.89</v>
      </c>
    </row>
    <row r="21" spans="1:14" s="15" customFormat="1" ht="20.25" customHeight="1" x14ac:dyDescent="0.15">
      <c r="A21" s="60"/>
      <c r="B21" s="9"/>
      <c r="C21" s="58"/>
      <c r="D21" s="11"/>
      <c r="E21" s="10"/>
      <c r="F21" s="58"/>
      <c r="G21" s="50"/>
      <c r="H21" s="50"/>
      <c r="I21" s="17"/>
      <c r="J21" s="18"/>
      <c r="K21" s="19">
        <f t="shared" si="0"/>
        <v>0</v>
      </c>
      <c r="L21" s="20"/>
      <c r="N21" s="15">
        <v>10.89</v>
      </c>
    </row>
    <row r="22" spans="1:14" s="15" customFormat="1" ht="20.25" customHeight="1" x14ac:dyDescent="0.15">
      <c r="A22" s="60"/>
      <c r="B22" s="9"/>
      <c r="C22" s="58"/>
      <c r="D22" s="11"/>
      <c r="E22" s="10"/>
      <c r="F22" s="58"/>
      <c r="G22" s="50"/>
      <c r="H22" s="50"/>
      <c r="I22" s="17"/>
      <c r="J22" s="18"/>
      <c r="K22" s="19">
        <f t="shared" si="0"/>
        <v>0</v>
      </c>
      <c r="L22" s="20"/>
      <c r="N22" s="15">
        <v>10.89</v>
      </c>
    </row>
    <row r="23" spans="1:14" ht="20.25" customHeight="1" x14ac:dyDescent="0.15">
      <c r="A23" s="60"/>
      <c r="B23" s="9"/>
      <c r="C23" s="58"/>
      <c r="D23" s="11"/>
      <c r="E23" s="10"/>
      <c r="F23" s="58"/>
      <c r="G23" s="16"/>
      <c r="H23" s="16"/>
      <c r="I23" s="17"/>
      <c r="J23" s="18"/>
      <c r="K23" s="19">
        <f t="shared" si="0"/>
        <v>0</v>
      </c>
      <c r="L23" s="20"/>
      <c r="N23" s="15">
        <v>10.89</v>
      </c>
    </row>
    <row r="24" spans="1:14" ht="20.25" customHeight="1" thickBot="1" x14ac:dyDescent="0.2">
      <c r="A24" s="56"/>
      <c r="B24" s="21"/>
      <c r="C24" s="59"/>
      <c r="D24" s="22"/>
      <c r="E24" s="23"/>
      <c r="F24" s="23"/>
      <c r="G24" s="24"/>
      <c r="H24" s="24"/>
      <c r="I24" s="25"/>
      <c r="J24" s="46">
        <f>SUM(J8:J23)</f>
        <v>99</v>
      </c>
      <c r="K24" s="47">
        <f>SUM(K8:K23)</f>
        <v>1174.3775999999998</v>
      </c>
      <c r="L24" s="26"/>
    </row>
    <row r="25" spans="1:14" ht="20.25" customHeight="1" thickTop="1" x14ac:dyDescent="0.15">
      <c r="A25" s="60" t="s">
        <v>1061</v>
      </c>
      <c r="B25" s="9" t="s">
        <v>138</v>
      </c>
      <c r="C25" s="58" t="s">
        <v>29</v>
      </c>
      <c r="D25" s="11" t="s">
        <v>372</v>
      </c>
      <c r="E25" s="10">
        <v>24</v>
      </c>
      <c r="F25" s="58"/>
      <c r="G25" s="12">
        <v>775</v>
      </c>
      <c r="H25" s="12">
        <v>1890</v>
      </c>
      <c r="I25" s="17" t="s">
        <v>480</v>
      </c>
      <c r="J25" s="18">
        <v>80</v>
      </c>
      <c r="K25" s="19">
        <f t="shared" ref="K25:K40" si="1">+M25*N25</f>
        <v>776.45699999999999</v>
      </c>
      <c r="L25" s="54"/>
      <c r="M25" s="3">
        <v>71.3</v>
      </c>
      <c r="N25" s="15">
        <v>10.89</v>
      </c>
    </row>
    <row r="26" spans="1:14" ht="20.25" customHeight="1" x14ac:dyDescent="0.15">
      <c r="A26" s="60"/>
      <c r="B26" s="9"/>
      <c r="C26" s="58" t="s">
        <v>29</v>
      </c>
      <c r="D26" s="11" t="s">
        <v>336</v>
      </c>
      <c r="E26" s="10">
        <v>24</v>
      </c>
      <c r="F26" s="58"/>
      <c r="G26" s="12">
        <v>468</v>
      </c>
      <c r="H26" s="12">
        <v>1890</v>
      </c>
      <c r="I26" s="17">
        <v>10</v>
      </c>
      <c r="J26" s="18">
        <v>10</v>
      </c>
      <c r="K26" s="19">
        <f t="shared" si="1"/>
        <v>30.492000000000001</v>
      </c>
      <c r="L26" s="54"/>
      <c r="M26" s="3">
        <v>2.8</v>
      </c>
      <c r="N26" s="15">
        <v>10.89</v>
      </c>
    </row>
    <row r="27" spans="1:14" ht="20.25" customHeight="1" x14ac:dyDescent="0.15">
      <c r="A27" s="61"/>
      <c r="B27" s="9"/>
      <c r="C27" s="58" t="s">
        <v>29</v>
      </c>
      <c r="D27" s="11" t="s">
        <v>224</v>
      </c>
      <c r="E27" s="10">
        <v>22</v>
      </c>
      <c r="F27" s="58" t="s">
        <v>11</v>
      </c>
      <c r="G27" s="12">
        <v>618</v>
      </c>
      <c r="H27" s="12">
        <v>1890</v>
      </c>
      <c r="I27" s="17">
        <v>10</v>
      </c>
      <c r="J27" s="18">
        <v>10</v>
      </c>
      <c r="K27" s="19">
        <f t="shared" si="1"/>
        <v>127.413</v>
      </c>
      <c r="L27" s="54"/>
      <c r="M27" s="3">
        <v>11.7</v>
      </c>
      <c r="N27" s="15">
        <v>10.89</v>
      </c>
    </row>
    <row r="28" spans="1:14" ht="20.25" customHeight="1" x14ac:dyDescent="0.15">
      <c r="A28" s="61" t="s">
        <v>1083</v>
      </c>
      <c r="B28" s="9" t="s">
        <v>183</v>
      </c>
      <c r="C28" s="58" t="s">
        <v>29</v>
      </c>
      <c r="D28" s="11" t="s">
        <v>304</v>
      </c>
      <c r="E28" s="10">
        <v>28</v>
      </c>
      <c r="F28" s="10" t="s">
        <v>11</v>
      </c>
      <c r="G28" s="12">
        <v>1785</v>
      </c>
      <c r="H28" s="12">
        <v>3305</v>
      </c>
      <c r="I28" s="17" t="s">
        <v>1084</v>
      </c>
      <c r="J28" s="18">
        <v>43</v>
      </c>
      <c r="K28" s="19">
        <f t="shared" si="1"/>
        <v>2534.3208</v>
      </c>
      <c r="L28" s="54"/>
      <c r="M28" s="3">
        <v>232.72</v>
      </c>
      <c r="N28" s="15">
        <v>10.89</v>
      </c>
    </row>
    <row r="29" spans="1:14" ht="20.25" customHeight="1" x14ac:dyDescent="0.15">
      <c r="A29" s="61" t="s">
        <v>1085</v>
      </c>
      <c r="B29" s="9" t="s">
        <v>173</v>
      </c>
      <c r="C29" s="58" t="s">
        <v>29</v>
      </c>
      <c r="D29" s="11" t="s">
        <v>195</v>
      </c>
      <c r="E29" s="10">
        <v>22</v>
      </c>
      <c r="F29" s="10"/>
      <c r="G29" s="12">
        <v>954</v>
      </c>
      <c r="H29" s="12">
        <v>1967</v>
      </c>
      <c r="I29" s="17" t="s">
        <v>1086</v>
      </c>
      <c r="J29" s="18">
        <v>152</v>
      </c>
      <c r="K29" s="19">
        <f t="shared" si="1"/>
        <v>2541.7260000000001</v>
      </c>
      <c r="L29" s="54"/>
      <c r="M29" s="3">
        <v>233.4</v>
      </c>
      <c r="N29" s="15">
        <v>10.89</v>
      </c>
    </row>
    <row r="30" spans="1:14" ht="20.25" customHeight="1" x14ac:dyDescent="0.15">
      <c r="A30" s="61" t="s">
        <v>1087</v>
      </c>
      <c r="B30" s="9" t="s">
        <v>183</v>
      </c>
      <c r="C30" s="58" t="s">
        <v>29</v>
      </c>
      <c r="D30" s="11" t="s">
        <v>304</v>
      </c>
      <c r="E30" s="10">
        <v>28</v>
      </c>
      <c r="F30" s="10" t="s">
        <v>11</v>
      </c>
      <c r="G30" s="12">
        <v>1763</v>
      </c>
      <c r="H30" s="12">
        <v>3305</v>
      </c>
      <c r="I30" s="51" t="s">
        <v>1088</v>
      </c>
      <c r="J30" s="52">
        <v>12</v>
      </c>
      <c r="K30" s="53">
        <f t="shared" si="1"/>
        <v>485.58510000000007</v>
      </c>
      <c r="L30" s="54"/>
      <c r="M30" s="3">
        <v>44.59</v>
      </c>
      <c r="N30" s="15">
        <v>10.89</v>
      </c>
    </row>
    <row r="31" spans="1:14" ht="20.25" customHeight="1" x14ac:dyDescent="0.15">
      <c r="A31" s="61"/>
      <c r="B31" s="9"/>
      <c r="C31" s="58"/>
      <c r="D31" s="11"/>
      <c r="E31" s="10"/>
      <c r="F31" s="10"/>
      <c r="G31" s="12"/>
      <c r="H31" s="12"/>
      <c r="I31" s="51"/>
      <c r="J31" s="52"/>
      <c r="K31" s="53">
        <f t="shared" si="1"/>
        <v>0</v>
      </c>
      <c r="L31" s="54"/>
      <c r="N31" s="15">
        <v>10.89</v>
      </c>
    </row>
    <row r="32" spans="1:14" ht="20.25" customHeight="1" x14ac:dyDescent="0.15">
      <c r="A32" s="60"/>
      <c r="B32" s="9"/>
      <c r="C32" s="58"/>
      <c r="D32" s="11"/>
      <c r="E32" s="10"/>
      <c r="F32" s="10"/>
      <c r="G32" s="12"/>
      <c r="H32" s="12"/>
      <c r="I32" s="17"/>
      <c r="J32" s="18"/>
      <c r="K32" s="19">
        <f t="shared" si="1"/>
        <v>0</v>
      </c>
      <c r="L32" s="27"/>
      <c r="N32" s="15">
        <v>10.89</v>
      </c>
    </row>
    <row r="33" spans="1:14" ht="20.25" customHeight="1" x14ac:dyDescent="0.15">
      <c r="A33" s="60"/>
      <c r="B33" s="9"/>
      <c r="C33" s="58"/>
      <c r="D33" s="11"/>
      <c r="E33" s="10"/>
      <c r="F33" s="10"/>
      <c r="G33" s="12"/>
      <c r="H33" s="12"/>
      <c r="I33" s="17"/>
      <c r="J33" s="18"/>
      <c r="K33" s="19">
        <f t="shared" si="1"/>
        <v>0</v>
      </c>
      <c r="L33" s="27"/>
      <c r="N33" s="15">
        <v>10.89</v>
      </c>
    </row>
    <row r="34" spans="1:14" ht="20.25" customHeight="1" x14ac:dyDescent="0.15">
      <c r="A34" s="60"/>
      <c r="B34" s="9"/>
      <c r="C34" s="58"/>
      <c r="D34" s="11"/>
      <c r="E34" s="10"/>
      <c r="F34" s="10"/>
      <c r="G34" s="12"/>
      <c r="H34" s="12"/>
      <c r="I34" s="17"/>
      <c r="J34" s="18"/>
      <c r="K34" s="19">
        <f t="shared" si="1"/>
        <v>0</v>
      </c>
      <c r="L34" s="27"/>
      <c r="N34" s="15">
        <v>10.89</v>
      </c>
    </row>
    <row r="35" spans="1:14" ht="20.25" customHeight="1" x14ac:dyDescent="0.15">
      <c r="A35" s="60"/>
      <c r="B35" s="9"/>
      <c r="C35" s="58"/>
      <c r="D35" s="11"/>
      <c r="E35" s="10"/>
      <c r="F35" s="10"/>
      <c r="G35" s="12"/>
      <c r="H35" s="12"/>
      <c r="I35" s="17"/>
      <c r="J35" s="18"/>
      <c r="K35" s="19">
        <f t="shared" si="1"/>
        <v>0</v>
      </c>
      <c r="L35" s="27"/>
      <c r="N35" s="15">
        <v>10.89</v>
      </c>
    </row>
    <row r="36" spans="1:14" ht="20.25" customHeight="1" x14ac:dyDescent="0.15">
      <c r="A36" s="60"/>
      <c r="B36" s="9"/>
      <c r="C36" s="58"/>
      <c r="D36" s="11"/>
      <c r="E36" s="10"/>
      <c r="F36" s="10"/>
      <c r="G36" s="12"/>
      <c r="H36" s="12"/>
      <c r="I36" s="17"/>
      <c r="J36" s="18"/>
      <c r="K36" s="19">
        <f t="shared" si="1"/>
        <v>0</v>
      </c>
      <c r="L36" s="27"/>
      <c r="N36" s="15">
        <v>10.89</v>
      </c>
    </row>
    <row r="37" spans="1:14" ht="20.25" customHeight="1" x14ac:dyDescent="0.15">
      <c r="A37" s="60"/>
      <c r="B37" s="9"/>
      <c r="C37" s="58"/>
      <c r="D37" s="11"/>
      <c r="E37" s="10"/>
      <c r="F37" s="10"/>
      <c r="G37" s="12"/>
      <c r="H37" s="12"/>
      <c r="I37" s="17"/>
      <c r="J37" s="18"/>
      <c r="K37" s="19">
        <f t="shared" si="1"/>
        <v>0</v>
      </c>
      <c r="L37" s="27"/>
      <c r="N37" s="15">
        <v>10.89</v>
      </c>
    </row>
    <row r="38" spans="1:14" ht="20.25" customHeight="1" x14ac:dyDescent="0.15">
      <c r="A38" s="60"/>
      <c r="B38" s="9"/>
      <c r="C38" s="58"/>
      <c r="D38" s="11"/>
      <c r="E38" s="10"/>
      <c r="F38" s="10"/>
      <c r="G38" s="12"/>
      <c r="H38" s="12"/>
      <c r="I38" s="17"/>
      <c r="J38" s="18"/>
      <c r="K38" s="19">
        <f t="shared" si="1"/>
        <v>0</v>
      </c>
      <c r="L38" s="27"/>
      <c r="N38" s="15">
        <v>10.89</v>
      </c>
    </row>
    <row r="39" spans="1:14" ht="20.25" customHeight="1" x14ac:dyDescent="0.15">
      <c r="A39" s="60"/>
      <c r="B39" s="9"/>
      <c r="C39" s="58"/>
      <c r="D39" s="11"/>
      <c r="E39" s="10"/>
      <c r="F39" s="10"/>
      <c r="G39" s="12"/>
      <c r="H39" s="12"/>
      <c r="I39" s="17"/>
      <c r="J39" s="18"/>
      <c r="K39" s="19">
        <f t="shared" si="1"/>
        <v>0</v>
      </c>
      <c r="L39" s="27"/>
      <c r="N39" s="15">
        <v>10.89</v>
      </c>
    </row>
    <row r="40" spans="1:14" ht="20.25" customHeight="1" x14ac:dyDescent="0.15">
      <c r="A40" s="60"/>
      <c r="B40" s="9"/>
      <c r="C40" s="58"/>
      <c r="D40" s="11"/>
      <c r="E40" s="10"/>
      <c r="F40" s="10"/>
      <c r="G40" s="12"/>
      <c r="H40" s="12"/>
      <c r="I40" s="17"/>
      <c r="J40" s="18"/>
      <c r="K40" s="19">
        <f t="shared" si="1"/>
        <v>0</v>
      </c>
      <c r="L40" s="27"/>
      <c r="N40" s="15">
        <v>10.89</v>
      </c>
    </row>
    <row r="41" spans="1:14" ht="20.25" customHeight="1" x14ac:dyDescent="0.15">
      <c r="A41" s="57"/>
      <c r="B41" s="28"/>
      <c r="C41" s="10"/>
      <c r="D41" s="29"/>
      <c r="E41" s="30"/>
      <c r="F41" s="30"/>
      <c r="G41" s="30"/>
      <c r="H41" s="30"/>
      <c r="I41" s="13"/>
      <c r="J41" s="48">
        <f>SUM(J25:J40)</f>
        <v>307</v>
      </c>
      <c r="K41" s="49">
        <f>SUM(K25:K40)</f>
        <v>6495.9939000000004</v>
      </c>
      <c r="L41" s="31"/>
      <c r="N41" s="32"/>
    </row>
    <row r="42" spans="1:14" ht="20.25" customHeight="1" thickBot="1" x14ac:dyDescent="0.2">
      <c r="A42" s="55"/>
      <c r="B42" s="33"/>
      <c r="C42" s="33"/>
      <c r="D42" s="33"/>
      <c r="E42" s="33"/>
      <c r="F42" s="33"/>
      <c r="G42" s="33"/>
      <c r="H42" s="33"/>
      <c r="I42" s="33"/>
      <c r="J42" s="34"/>
      <c r="K42" s="35"/>
      <c r="L42" s="36"/>
    </row>
    <row r="43" spans="1:14" ht="20.25" customHeight="1" thickBot="1" x14ac:dyDescent="0.2">
      <c r="A43" s="37" t="s">
        <v>19</v>
      </c>
      <c r="B43" s="38" t="s">
        <v>20</v>
      </c>
      <c r="C43" s="77" t="s">
        <v>21</v>
      </c>
      <c r="D43" s="79"/>
      <c r="E43" s="77" t="s">
        <v>22</v>
      </c>
      <c r="F43" s="78"/>
      <c r="G43" s="79"/>
      <c r="H43" s="85" t="s">
        <v>23</v>
      </c>
      <c r="I43" s="86"/>
      <c r="J43" s="77" t="s">
        <v>24</v>
      </c>
      <c r="K43" s="79"/>
      <c r="L43" s="39" t="s">
        <v>13</v>
      </c>
    </row>
    <row r="44" spans="1:14" ht="20.25" customHeight="1" thickBot="1" x14ac:dyDescent="0.2">
      <c r="A44" s="40">
        <f>SUMIF($C$8:$C$42,"U1",$J$8:$J$42)</f>
        <v>0</v>
      </c>
      <c r="B44" s="41">
        <f>SUMIF($C$8:$C$42,"U2",$J$8:$J$42)</f>
        <v>0</v>
      </c>
      <c r="C44" s="77">
        <f>SUMIF($C$8:$C$42,"U3-1",$J$8:$J$42)</f>
        <v>0</v>
      </c>
      <c r="D44" s="79"/>
      <c r="E44" s="77">
        <f>SUMIF($C$8:$C$42,"U3",$J$8:$J$42)</f>
        <v>406</v>
      </c>
      <c r="F44" s="78"/>
      <c r="G44" s="79"/>
      <c r="H44" s="77">
        <f>SUMIF($C$8:$C$42,"E5",$J$8:$J$42)</f>
        <v>0</v>
      </c>
      <c r="I44" s="79"/>
      <c r="J44" s="77">
        <f>SUM(A44:I44)</f>
        <v>406</v>
      </c>
      <c r="K44" s="79"/>
      <c r="L44" s="42"/>
    </row>
    <row r="45" spans="1:14" ht="20.25" customHeight="1" thickBot="1" x14ac:dyDescent="0.2">
      <c r="A45" s="43" t="s">
        <v>25</v>
      </c>
      <c r="B45" s="44" t="s">
        <v>26</v>
      </c>
      <c r="C45" s="75">
        <v>13876</v>
      </c>
      <c r="D45" s="76"/>
      <c r="E45" s="77" t="s">
        <v>27</v>
      </c>
      <c r="F45" s="78"/>
      <c r="G45" s="78"/>
      <c r="H45" s="78"/>
      <c r="I45" s="79"/>
      <c r="J45" s="80">
        <v>146744.37</v>
      </c>
      <c r="K45" s="81"/>
      <c r="L45" s="82"/>
    </row>
    <row r="47" spans="1:14" x14ac:dyDescent="0.15">
      <c r="D47" s="45"/>
    </row>
  </sheetData>
  <mergeCells count="26">
    <mergeCell ref="L2:L4"/>
    <mergeCell ref="A1:G3"/>
    <mergeCell ref="H1:H4"/>
    <mergeCell ref="I2:I4"/>
    <mergeCell ref="J2:J4"/>
    <mergeCell ref="K2:K4"/>
    <mergeCell ref="B5:G5"/>
    <mergeCell ref="A6:A7"/>
    <mergeCell ref="B6:B7"/>
    <mergeCell ref="C6:C7"/>
    <mergeCell ref="D6:D7"/>
    <mergeCell ref="E6:E7"/>
    <mergeCell ref="F6:F7"/>
    <mergeCell ref="G6:K6"/>
    <mergeCell ref="C45:D45"/>
    <mergeCell ref="E45:I45"/>
    <mergeCell ref="J45:L45"/>
    <mergeCell ref="L6:L7"/>
    <mergeCell ref="C43:D43"/>
    <mergeCell ref="E43:G43"/>
    <mergeCell ref="H43:I43"/>
    <mergeCell ref="J43:K43"/>
    <mergeCell ref="C44:D44"/>
    <mergeCell ref="E44:G44"/>
    <mergeCell ref="H44:I44"/>
    <mergeCell ref="J44:K44"/>
  </mergeCells>
  <phoneticPr fontId="2" type="noConversion"/>
  <printOptions horizontalCentered="1"/>
  <pageMargins left="0.39370078740157483" right="0.39370078740157483" top="0.74803149606299213" bottom="0.19685039370078741" header="0.31496062992125984" footer="0.15748031496062992"/>
  <pageSetup paperSize="9" scale="84" orientation="portrait"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N47"/>
  <sheetViews>
    <sheetView view="pageBreakPreview" topLeftCell="A16" zoomScaleSheetLayoutView="100" workbookViewId="0">
      <selection activeCell="D17" sqref="D17:F17"/>
    </sheetView>
  </sheetViews>
  <sheetFormatPr defaultColWidth="8.88671875" defaultRowHeight="13.5" x14ac:dyDescent="0.15"/>
  <cols>
    <col min="1" max="1" width="8.44140625" style="3" customWidth="1"/>
    <col min="2" max="2" width="14.77734375" style="3" customWidth="1"/>
    <col min="3" max="3" width="4.109375" style="3" customWidth="1"/>
    <col min="4" max="4" width="15.21875" style="3" customWidth="1"/>
    <col min="5" max="5" width="4.44140625" style="3" customWidth="1"/>
    <col min="6" max="6" width="4" style="3" customWidth="1"/>
    <col min="7" max="7" width="5.5546875" style="3" customWidth="1"/>
    <col min="8" max="8" width="5.44140625" style="3" customWidth="1"/>
    <col min="9" max="9" width="7.88671875" style="3" customWidth="1"/>
    <col min="10" max="10" width="7.109375" style="3" customWidth="1"/>
    <col min="11" max="11" width="7.21875" style="3" customWidth="1"/>
    <col min="12" max="12" width="6.77734375" style="3" customWidth="1"/>
    <col min="13" max="16384" width="8.88671875" style="3"/>
  </cols>
  <sheetData>
    <row r="1" spans="1:14" ht="18.75" customHeight="1" x14ac:dyDescent="0.15">
      <c r="A1" s="101" t="s">
        <v>0</v>
      </c>
      <c r="B1" s="102"/>
      <c r="C1" s="102"/>
      <c r="D1" s="102"/>
      <c r="E1" s="102"/>
      <c r="F1" s="102"/>
      <c r="G1" s="103"/>
      <c r="H1" s="107" t="s">
        <v>1</v>
      </c>
      <c r="I1" s="1" t="s">
        <v>2</v>
      </c>
      <c r="J1" s="1" t="s">
        <v>2</v>
      </c>
      <c r="K1" s="1" t="s">
        <v>3</v>
      </c>
      <c r="L1" s="2" t="s">
        <v>4</v>
      </c>
    </row>
    <row r="2" spans="1:14" ht="13.5" customHeight="1" x14ac:dyDescent="0.15">
      <c r="A2" s="104"/>
      <c r="B2" s="105"/>
      <c r="C2" s="105"/>
      <c r="D2" s="105"/>
      <c r="E2" s="105"/>
      <c r="F2" s="105"/>
      <c r="G2" s="106"/>
      <c r="H2" s="108"/>
      <c r="I2" s="110"/>
      <c r="J2" s="110"/>
      <c r="K2" s="110"/>
      <c r="L2" s="98"/>
    </row>
    <row r="3" spans="1:14" ht="13.5" customHeight="1" x14ac:dyDescent="0.15">
      <c r="A3" s="104"/>
      <c r="B3" s="105"/>
      <c r="C3" s="105"/>
      <c r="D3" s="105"/>
      <c r="E3" s="105"/>
      <c r="F3" s="105"/>
      <c r="G3" s="106"/>
      <c r="H3" s="108"/>
      <c r="I3" s="108"/>
      <c r="J3" s="108"/>
      <c r="K3" s="108"/>
      <c r="L3" s="99"/>
    </row>
    <row r="4" spans="1:14" ht="33" customHeight="1" x14ac:dyDescent="0.15">
      <c r="A4" s="4"/>
      <c r="B4" s="5"/>
      <c r="C4" s="5"/>
      <c r="D4" s="5"/>
      <c r="E4" s="5"/>
      <c r="F4" s="5"/>
      <c r="G4" s="5"/>
      <c r="H4" s="109"/>
      <c r="I4" s="109"/>
      <c r="J4" s="109"/>
      <c r="K4" s="109"/>
      <c r="L4" s="100"/>
    </row>
    <row r="5" spans="1:14" ht="17.25" customHeight="1" x14ac:dyDescent="0.15">
      <c r="A5" s="6" t="s">
        <v>5</v>
      </c>
      <c r="B5" s="87">
        <v>46073</v>
      </c>
      <c r="C5" s="88"/>
      <c r="D5" s="88"/>
      <c r="E5" s="88"/>
      <c r="F5" s="88"/>
      <c r="G5" s="88"/>
      <c r="H5" s="5"/>
      <c r="I5" s="5"/>
      <c r="J5" s="5"/>
      <c r="K5" s="5"/>
      <c r="L5" s="7"/>
    </row>
    <row r="6" spans="1:14" ht="13.5" customHeight="1" x14ac:dyDescent="0.15">
      <c r="A6" s="89" t="s">
        <v>6</v>
      </c>
      <c r="B6" s="91" t="s">
        <v>7</v>
      </c>
      <c r="C6" s="91" t="s">
        <v>8</v>
      </c>
      <c r="D6" s="91" t="s">
        <v>9</v>
      </c>
      <c r="E6" s="93" t="s">
        <v>10</v>
      </c>
      <c r="F6" s="93" t="s">
        <v>11</v>
      </c>
      <c r="G6" s="95" t="s">
        <v>12</v>
      </c>
      <c r="H6" s="96"/>
      <c r="I6" s="96"/>
      <c r="J6" s="96"/>
      <c r="K6" s="97"/>
      <c r="L6" s="83" t="s">
        <v>13</v>
      </c>
    </row>
    <row r="7" spans="1:14" x14ac:dyDescent="0.15">
      <c r="A7" s="90"/>
      <c r="B7" s="92"/>
      <c r="C7" s="92"/>
      <c r="D7" s="92"/>
      <c r="E7" s="94"/>
      <c r="F7" s="94"/>
      <c r="G7" s="8" t="s">
        <v>14</v>
      </c>
      <c r="H7" s="8" t="s">
        <v>15</v>
      </c>
      <c r="I7" s="8" t="s">
        <v>16</v>
      </c>
      <c r="J7" s="8" t="s">
        <v>17</v>
      </c>
      <c r="K7" s="8" t="s">
        <v>18</v>
      </c>
      <c r="L7" s="84"/>
    </row>
    <row r="8" spans="1:14" s="15" customFormat="1" ht="20.25" customHeight="1" x14ac:dyDescent="0.15">
      <c r="A8" s="60" t="s">
        <v>1089</v>
      </c>
      <c r="B8" s="9" t="s">
        <v>1090</v>
      </c>
      <c r="C8" s="58" t="s">
        <v>29</v>
      </c>
      <c r="D8" s="11" t="s">
        <v>195</v>
      </c>
      <c r="E8" s="10">
        <v>22</v>
      </c>
      <c r="F8" s="58"/>
      <c r="G8" s="12">
        <v>607</v>
      </c>
      <c r="H8" s="12">
        <v>1820</v>
      </c>
      <c r="I8" s="17">
        <v>1</v>
      </c>
      <c r="J8" s="18">
        <v>1</v>
      </c>
      <c r="K8" s="19">
        <f>+M8*N8</f>
        <v>11.979000000000001</v>
      </c>
      <c r="L8" s="14"/>
      <c r="M8" s="15">
        <v>1.1000000000000001</v>
      </c>
      <c r="N8" s="15">
        <v>10.89</v>
      </c>
    </row>
    <row r="9" spans="1:14" s="15" customFormat="1" ht="20.25" customHeight="1" x14ac:dyDescent="0.15">
      <c r="A9" s="60" t="s">
        <v>1091</v>
      </c>
      <c r="B9" s="9" t="s">
        <v>173</v>
      </c>
      <c r="C9" s="58" t="s">
        <v>29</v>
      </c>
      <c r="D9" s="11" t="s">
        <v>195</v>
      </c>
      <c r="E9" s="10">
        <v>22</v>
      </c>
      <c r="F9" s="58"/>
      <c r="G9" s="12">
        <v>954</v>
      </c>
      <c r="H9" s="12">
        <v>1967</v>
      </c>
      <c r="I9" s="17" t="s">
        <v>1092</v>
      </c>
      <c r="J9" s="18">
        <v>104</v>
      </c>
      <c r="K9" s="19">
        <f t="shared" ref="K9:K13" si="0">+M9*N9</f>
        <v>1174.5954000000002</v>
      </c>
      <c r="L9" s="14"/>
      <c r="M9" s="15">
        <v>107.86</v>
      </c>
      <c r="N9" s="15">
        <v>10.89</v>
      </c>
    </row>
    <row r="10" spans="1:14" s="15" customFormat="1" ht="20.25" customHeight="1" x14ac:dyDescent="0.15">
      <c r="A10" s="60" t="s">
        <v>1077</v>
      </c>
      <c r="B10" s="9" t="s">
        <v>647</v>
      </c>
      <c r="C10" s="58" t="s">
        <v>29</v>
      </c>
      <c r="D10" s="11" t="s">
        <v>217</v>
      </c>
      <c r="E10" s="10">
        <v>22</v>
      </c>
      <c r="F10" s="58" t="s">
        <v>11</v>
      </c>
      <c r="G10" s="12">
        <v>980</v>
      </c>
      <c r="H10" s="12">
        <v>1981</v>
      </c>
      <c r="I10" s="17" t="s">
        <v>1093</v>
      </c>
      <c r="J10" s="18">
        <v>136</v>
      </c>
      <c r="K10" s="19">
        <f t="shared" si="0"/>
        <v>1449.2412000000002</v>
      </c>
      <c r="L10" s="14"/>
      <c r="M10" s="15">
        <v>133.08000000000001</v>
      </c>
      <c r="N10" s="15">
        <v>10.89</v>
      </c>
    </row>
    <row r="11" spans="1:14" s="15" customFormat="1" ht="20.25" customHeight="1" x14ac:dyDescent="0.15">
      <c r="A11" s="60" t="s">
        <v>1094</v>
      </c>
      <c r="B11" s="9" t="s">
        <v>647</v>
      </c>
      <c r="C11" s="58" t="s">
        <v>29</v>
      </c>
      <c r="D11" s="11" t="s">
        <v>217</v>
      </c>
      <c r="E11" s="10">
        <v>22</v>
      </c>
      <c r="F11" s="58" t="s">
        <v>11</v>
      </c>
      <c r="G11" s="12">
        <v>1730</v>
      </c>
      <c r="H11" s="12">
        <v>1981</v>
      </c>
      <c r="I11" s="17" t="s">
        <v>1095</v>
      </c>
      <c r="J11" s="18">
        <v>220</v>
      </c>
      <c r="K11" s="19">
        <f t="shared" si="0"/>
        <v>3443.4180000000001</v>
      </c>
      <c r="L11" s="14"/>
      <c r="M11" s="15">
        <v>316.2</v>
      </c>
      <c r="N11" s="15">
        <v>10.89</v>
      </c>
    </row>
    <row r="12" spans="1:14" s="15" customFormat="1" ht="20.25" customHeight="1" x14ac:dyDescent="0.15">
      <c r="A12" s="60"/>
      <c r="B12" s="9"/>
      <c r="C12" s="58"/>
      <c r="D12" s="11"/>
      <c r="E12" s="10"/>
      <c r="F12" s="58"/>
      <c r="G12" s="50"/>
      <c r="H12" s="50"/>
      <c r="I12" s="17"/>
      <c r="J12" s="18"/>
      <c r="K12" s="19">
        <f t="shared" si="0"/>
        <v>0</v>
      </c>
      <c r="L12" s="20"/>
      <c r="N12" s="15">
        <v>10.89</v>
      </c>
    </row>
    <row r="13" spans="1:14" ht="20.25" customHeight="1" x14ac:dyDescent="0.15">
      <c r="A13" s="60"/>
      <c r="B13" s="9"/>
      <c r="C13" s="58"/>
      <c r="D13" s="11"/>
      <c r="E13" s="10"/>
      <c r="F13" s="58"/>
      <c r="G13" s="16"/>
      <c r="H13" s="16"/>
      <c r="I13" s="17"/>
      <c r="J13" s="18"/>
      <c r="K13" s="19">
        <f t="shared" si="0"/>
        <v>0</v>
      </c>
      <c r="L13" s="20"/>
      <c r="N13" s="15">
        <v>10.89</v>
      </c>
    </row>
    <row r="14" spans="1:14" ht="20.25" customHeight="1" thickBot="1" x14ac:dyDescent="0.2">
      <c r="A14" s="56"/>
      <c r="B14" s="21"/>
      <c r="C14" s="59"/>
      <c r="D14" s="22"/>
      <c r="E14" s="23"/>
      <c r="F14" s="23"/>
      <c r="G14" s="24"/>
      <c r="H14" s="24"/>
      <c r="I14" s="25"/>
      <c r="J14" s="46">
        <f>SUM(J8:J13)</f>
        <v>461</v>
      </c>
      <c r="K14" s="47">
        <f>SUM(K8:K13)</f>
        <v>6079.2336000000005</v>
      </c>
      <c r="L14" s="26"/>
    </row>
    <row r="15" spans="1:14" ht="20.25" customHeight="1" thickTop="1" x14ac:dyDescent="0.15">
      <c r="A15" s="60" t="s">
        <v>1061</v>
      </c>
      <c r="B15" s="9" t="s">
        <v>138</v>
      </c>
      <c r="C15" s="58" t="s">
        <v>29</v>
      </c>
      <c r="D15" s="11" t="s">
        <v>336</v>
      </c>
      <c r="E15" s="10">
        <v>24</v>
      </c>
      <c r="F15" s="58"/>
      <c r="G15" s="12">
        <v>1762</v>
      </c>
      <c r="H15" s="12">
        <v>1890</v>
      </c>
      <c r="I15" s="17">
        <v>2</v>
      </c>
      <c r="J15" s="18">
        <v>2</v>
      </c>
      <c r="K15" s="19">
        <f t="shared" ref="K15:K40" si="1">+M15*N15</f>
        <v>72.5274</v>
      </c>
      <c r="L15" s="54"/>
      <c r="M15" s="3">
        <v>6.66</v>
      </c>
      <c r="N15" s="15">
        <v>10.89</v>
      </c>
    </row>
    <row r="16" spans="1:14" ht="20.25" customHeight="1" x14ac:dyDescent="0.15">
      <c r="A16" s="60" t="s">
        <v>824</v>
      </c>
      <c r="B16" s="9" t="s">
        <v>173</v>
      </c>
      <c r="C16" s="58" t="s">
        <v>29</v>
      </c>
      <c r="D16" s="11" t="s">
        <v>280</v>
      </c>
      <c r="E16" s="10">
        <v>46.76</v>
      </c>
      <c r="F16" s="10" t="s">
        <v>11</v>
      </c>
      <c r="G16" s="12">
        <v>886</v>
      </c>
      <c r="H16" s="12">
        <v>508</v>
      </c>
      <c r="I16" s="17">
        <v>5</v>
      </c>
      <c r="J16" s="18">
        <v>5</v>
      </c>
      <c r="K16" s="19">
        <f t="shared" si="1"/>
        <v>24.502500000000001</v>
      </c>
      <c r="L16" s="54"/>
      <c r="M16" s="3">
        <v>2.25</v>
      </c>
      <c r="N16" s="15">
        <v>10.89</v>
      </c>
    </row>
    <row r="17" spans="1:14" ht="20.25" customHeight="1" x14ac:dyDescent="0.15">
      <c r="A17" s="61" t="s">
        <v>1085</v>
      </c>
      <c r="B17" s="9" t="s">
        <v>173</v>
      </c>
      <c r="C17" s="58" t="s">
        <v>29</v>
      </c>
      <c r="D17" s="11" t="s">
        <v>195</v>
      </c>
      <c r="E17" s="10">
        <v>22</v>
      </c>
      <c r="F17" s="58"/>
      <c r="G17" s="12">
        <v>754</v>
      </c>
      <c r="H17" s="12">
        <v>1217</v>
      </c>
      <c r="I17" s="17" t="s">
        <v>1096</v>
      </c>
      <c r="J17" s="18">
        <v>300</v>
      </c>
      <c r="K17" s="19">
        <f t="shared" si="1"/>
        <v>1680.9804000000001</v>
      </c>
      <c r="L17" s="54"/>
      <c r="M17" s="3">
        <v>154.36000000000001</v>
      </c>
      <c r="N17" s="15">
        <v>10.89</v>
      </c>
    </row>
    <row r="18" spans="1:14" ht="20.25" customHeight="1" x14ac:dyDescent="0.15">
      <c r="A18" s="61" t="s">
        <v>1013</v>
      </c>
      <c r="B18" s="9" t="s">
        <v>173</v>
      </c>
      <c r="C18" s="58" t="s">
        <v>29</v>
      </c>
      <c r="D18" s="11" t="s">
        <v>279</v>
      </c>
      <c r="E18" s="10">
        <v>25.76</v>
      </c>
      <c r="F18" s="10"/>
      <c r="G18" s="12">
        <v>590</v>
      </c>
      <c r="H18" s="12">
        <v>670</v>
      </c>
      <c r="I18" s="17">
        <v>30</v>
      </c>
      <c r="J18" s="18">
        <v>30</v>
      </c>
      <c r="K18" s="19">
        <f t="shared" si="1"/>
        <v>130.68</v>
      </c>
      <c r="L18" s="54"/>
      <c r="M18" s="3">
        <v>12</v>
      </c>
      <c r="N18" s="15">
        <v>10.89</v>
      </c>
    </row>
    <row r="19" spans="1:14" ht="20.25" customHeight="1" x14ac:dyDescent="0.15">
      <c r="A19" s="61"/>
      <c r="B19" s="9"/>
      <c r="C19" s="58" t="s">
        <v>29</v>
      </c>
      <c r="D19" s="11" t="s">
        <v>364</v>
      </c>
      <c r="E19" s="10">
        <v>22</v>
      </c>
      <c r="F19" s="10"/>
      <c r="G19" s="12">
        <v>1649</v>
      </c>
      <c r="H19" s="12">
        <v>1957</v>
      </c>
      <c r="I19" s="17">
        <v>2</v>
      </c>
      <c r="J19" s="18">
        <v>2</v>
      </c>
      <c r="K19" s="19">
        <f t="shared" si="1"/>
        <v>70.349400000000003</v>
      </c>
      <c r="L19" s="54"/>
      <c r="M19" s="3">
        <v>6.46</v>
      </c>
      <c r="N19" s="15">
        <v>10.89</v>
      </c>
    </row>
    <row r="20" spans="1:14" ht="20.25" customHeight="1" x14ac:dyDescent="0.15">
      <c r="A20" s="61"/>
      <c r="B20" s="9"/>
      <c r="C20" s="58" t="s">
        <v>29</v>
      </c>
      <c r="D20" s="11" t="s">
        <v>280</v>
      </c>
      <c r="E20" s="10">
        <v>46.76</v>
      </c>
      <c r="F20" s="10" t="s">
        <v>11</v>
      </c>
      <c r="G20" s="12">
        <v>886</v>
      </c>
      <c r="H20" s="12">
        <v>508</v>
      </c>
      <c r="I20" s="51">
        <v>5</v>
      </c>
      <c r="J20" s="52">
        <v>5</v>
      </c>
      <c r="K20" s="53">
        <f t="shared" si="1"/>
        <v>24.502500000000001</v>
      </c>
      <c r="L20" s="54"/>
      <c r="M20" s="3">
        <v>2.25</v>
      </c>
      <c r="N20" s="15">
        <v>10.89</v>
      </c>
    </row>
    <row r="21" spans="1:14" ht="20.25" customHeight="1" x14ac:dyDescent="0.15">
      <c r="A21" s="61" t="s">
        <v>1097</v>
      </c>
      <c r="B21" s="9" t="s">
        <v>173</v>
      </c>
      <c r="C21" s="58" t="s">
        <v>29</v>
      </c>
      <c r="D21" s="11" t="s">
        <v>279</v>
      </c>
      <c r="E21" s="10">
        <v>25.76</v>
      </c>
      <c r="F21" s="10"/>
      <c r="G21" s="12">
        <v>1445</v>
      </c>
      <c r="H21" s="12">
        <v>690</v>
      </c>
      <c r="I21" s="51" t="s">
        <v>218</v>
      </c>
      <c r="J21" s="52">
        <v>3</v>
      </c>
      <c r="K21" s="53">
        <f t="shared" si="1"/>
        <v>22.3245</v>
      </c>
      <c r="L21" s="54"/>
      <c r="M21" s="3">
        <v>2.0499999999999998</v>
      </c>
      <c r="N21" s="15">
        <v>10.89</v>
      </c>
    </row>
    <row r="22" spans="1:14" ht="20.25" customHeight="1" x14ac:dyDescent="0.15">
      <c r="A22" s="60"/>
      <c r="B22" s="9"/>
      <c r="C22" s="58" t="s">
        <v>29</v>
      </c>
      <c r="D22" s="11" t="s">
        <v>280</v>
      </c>
      <c r="E22" s="10">
        <v>46.76</v>
      </c>
      <c r="F22" s="10" t="s">
        <v>11</v>
      </c>
      <c r="G22" s="12">
        <v>886</v>
      </c>
      <c r="H22" s="12">
        <v>508</v>
      </c>
      <c r="I22" s="17">
        <v>1</v>
      </c>
      <c r="J22" s="18">
        <v>1</v>
      </c>
      <c r="K22" s="19">
        <f t="shared" si="1"/>
        <v>4.9005000000000001</v>
      </c>
      <c r="L22" s="27"/>
      <c r="M22" s="3">
        <v>0.45</v>
      </c>
      <c r="N22" s="15">
        <v>10.89</v>
      </c>
    </row>
    <row r="23" spans="1:14" ht="20.25" customHeight="1" x14ac:dyDescent="0.15">
      <c r="A23" s="60" t="s">
        <v>1098</v>
      </c>
      <c r="B23" s="9" t="s">
        <v>173</v>
      </c>
      <c r="C23" s="58" t="s">
        <v>29</v>
      </c>
      <c r="D23" s="11" t="s">
        <v>279</v>
      </c>
      <c r="E23" s="10">
        <v>25.76</v>
      </c>
      <c r="F23" s="10"/>
      <c r="G23" s="12">
        <v>800</v>
      </c>
      <c r="H23" s="12">
        <v>690</v>
      </c>
      <c r="I23" s="17">
        <v>1</v>
      </c>
      <c r="J23" s="18">
        <v>1</v>
      </c>
      <c r="K23" s="19">
        <f t="shared" si="1"/>
        <v>5.9895000000000005</v>
      </c>
      <c r="L23" s="27"/>
      <c r="M23" s="3">
        <v>0.55000000000000004</v>
      </c>
      <c r="N23" s="15">
        <v>10.89</v>
      </c>
    </row>
    <row r="24" spans="1:14" ht="20.25" customHeight="1" x14ac:dyDescent="0.15">
      <c r="A24" s="60"/>
      <c r="B24" s="9"/>
      <c r="C24" s="58" t="s">
        <v>29</v>
      </c>
      <c r="D24" s="11" t="s">
        <v>280</v>
      </c>
      <c r="E24" s="10">
        <v>46.76</v>
      </c>
      <c r="F24" s="10" t="s">
        <v>11</v>
      </c>
      <c r="G24" s="12">
        <v>886</v>
      </c>
      <c r="H24" s="12">
        <v>508</v>
      </c>
      <c r="I24" s="17">
        <v>1</v>
      </c>
      <c r="J24" s="18">
        <v>1</v>
      </c>
      <c r="K24" s="19">
        <f t="shared" si="1"/>
        <v>4.9005000000000001</v>
      </c>
      <c r="L24" s="27"/>
      <c r="M24" s="3">
        <v>0.45</v>
      </c>
      <c r="N24" s="15">
        <v>10.89</v>
      </c>
    </row>
    <row r="25" spans="1:14" ht="20.25" customHeight="1" x14ac:dyDescent="0.15">
      <c r="A25" s="60" t="s">
        <v>1099</v>
      </c>
      <c r="B25" s="9" t="s">
        <v>173</v>
      </c>
      <c r="C25" s="58" t="s">
        <v>29</v>
      </c>
      <c r="D25" s="11" t="s">
        <v>279</v>
      </c>
      <c r="E25" s="10">
        <v>25.76</v>
      </c>
      <c r="F25" s="10"/>
      <c r="G25" s="12">
        <v>1445</v>
      </c>
      <c r="H25" s="12">
        <v>690</v>
      </c>
      <c r="I25" s="17" t="s">
        <v>337</v>
      </c>
      <c r="J25" s="18">
        <v>2</v>
      </c>
      <c r="K25" s="19">
        <f t="shared" si="1"/>
        <v>18.077400000000001</v>
      </c>
      <c r="L25" s="27"/>
      <c r="M25" s="3">
        <v>1.66</v>
      </c>
      <c r="N25" s="15">
        <v>10.89</v>
      </c>
    </row>
    <row r="26" spans="1:14" ht="20.25" customHeight="1" x14ac:dyDescent="0.15">
      <c r="A26" s="60" t="s">
        <v>1100</v>
      </c>
      <c r="B26" s="9" t="s">
        <v>173</v>
      </c>
      <c r="C26" s="58" t="s">
        <v>29</v>
      </c>
      <c r="D26" s="11" t="s">
        <v>279</v>
      </c>
      <c r="E26" s="10">
        <v>25.76</v>
      </c>
      <c r="F26" s="10"/>
      <c r="G26" s="12">
        <v>1445</v>
      </c>
      <c r="H26" s="12">
        <v>690</v>
      </c>
      <c r="I26" s="17" t="s">
        <v>300</v>
      </c>
      <c r="J26" s="18">
        <v>7</v>
      </c>
      <c r="K26" s="19">
        <f t="shared" si="1"/>
        <v>45.084600000000002</v>
      </c>
      <c r="L26" s="27"/>
      <c r="M26" s="3">
        <v>4.1399999999999997</v>
      </c>
      <c r="N26" s="15">
        <v>10.89</v>
      </c>
    </row>
    <row r="27" spans="1:14" ht="20.25" customHeight="1" x14ac:dyDescent="0.15">
      <c r="A27" s="60"/>
      <c r="B27" s="9"/>
      <c r="C27" s="58" t="s">
        <v>29</v>
      </c>
      <c r="D27" s="11" t="s">
        <v>280</v>
      </c>
      <c r="E27" s="10">
        <v>46.76</v>
      </c>
      <c r="F27" s="10" t="s">
        <v>11</v>
      </c>
      <c r="G27" s="12">
        <v>886</v>
      </c>
      <c r="H27" s="12">
        <v>508</v>
      </c>
      <c r="I27" s="17">
        <v>6</v>
      </c>
      <c r="J27" s="18">
        <v>6</v>
      </c>
      <c r="K27" s="19">
        <f t="shared" si="1"/>
        <v>29.403000000000002</v>
      </c>
      <c r="L27" s="27"/>
      <c r="M27" s="3">
        <v>2.7</v>
      </c>
      <c r="N27" s="15">
        <v>10.89</v>
      </c>
    </row>
    <row r="28" spans="1:14" ht="20.25" customHeight="1" x14ac:dyDescent="0.15">
      <c r="A28" s="60" t="s">
        <v>1072</v>
      </c>
      <c r="B28" s="9" t="s">
        <v>150</v>
      </c>
      <c r="C28" s="58" t="s">
        <v>29</v>
      </c>
      <c r="D28" s="11" t="s">
        <v>1101</v>
      </c>
      <c r="E28" s="10">
        <v>25.76</v>
      </c>
      <c r="F28" s="10"/>
      <c r="G28" s="12">
        <v>725</v>
      </c>
      <c r="H28" s="12">
        <v>1070</v>
      </c>
      <c r="I28" s="17">
        <v>1</v>
      </c>
      <c r="J28" s="18">
        <v>1</v>
      </c>
      <c r="K28" s="19">
        <f t="shared" si="1"/>
        <v>8.4942000000000011</v>
      </c>
      <c r="L28" s="27"/>
      <c r="M28" s="3">
        <v>0.78</v>
      </c>
      <c r="N28" s="15">
        <v>10.89</v>
      </c>
    </row>
    <row r="29" spans="1:14" ht="20.25" customHeight="1" x14ac:dyDescent="0.15">
      <c r="A29" s="60"/>
      <c r="B29" s="9"/>
      <c r="C29" s="58" t="s">
        <v>29</v>
      </c>
      <c r="D29" s="11" t="s">
        <v>1102</v>
      </c>
      <c r="E29" s="10">
        <v>43</v>
      </c>
      <c r="F29" s="10" t="s">
        <v>11</v>
      </c>
      <c r="G29" s="12">
        <v>535</v>
      </c>
      <c r="H29" s="12">
        <v>245</v>
      </c>
      <c r="I29" s="17">
        <v>2</v>
      </c>
      <c r="J29" s="18">
        <v>2</v>
      </c>
      <c r="K29" s="19">
        <f t="shared" si="1"/>
        <v>6.0984000000000007</v>
      </c>
      <c r="L29" s="27"/>
      <c r="M29" s="3">
        <v>0.56000000000000005</v>
      </c>
      <c r="N29" s="15">
        <v>10.89</v>
      </c>
    </row>
    <row r="30" spans="1:14" s="15" customFormat="1" ht="20.25" customHeight="1" x14ac:dyDescent="0.15">
      <c r="A30" s="60" t="s">
        <v>1103</v>
      </c>
      <c r="B30" s="9" t="s">
        <v>148</v>
      </c>
      <c r="C30" s="58" t="s">
        <v>29</v>
      </c>
      <c r="D30" s="11" t="s">
        <v>217</v>
      </c>
      <c r="E30" s="10">
        <v>22</v>
      </c>
      <c r="F30" s="58" t="s">
        <v>11</v>
      </c>
      <c r="G30" s="12">
        <v>1735</v>
      </c>
      <c r="H30" s="12">
        <v>1975</v>
      </c>
      <c r="I30" s="17" t="s">
        <v>1105</v>
      </c>
      <c r="J30" s="18">
        <v>36</v>
      </c>
      <c r="K30" s="19">
        <f t="shared" ref="K30:K39" si="2">+M30*N30</f>
        <v>418.17599999999999</v>
      </c>
      <c r="L30" s="14"/>
      <c r="M30" s="15">
        <v>38.4</v>
      </c>
      <c r="N30" s="15">
        <v>10.89</v>
      </c>
    </row>
    <row r="31" spans="1:14" s="15" customFormat="1" ht="20.25" customHeight="1" x14ac:dyDescent="0.15">
      <c r="A31" s="60"/>
      <c r="B31" s="9"/>
      <c r="C31" s="58" t="s">
        <v>273</v>
      </c>
      <c r="D31" s="11" t="s">
        <v>675</v>
      </c>
      <c r="E31" s="10">
        <v>16</v>
      </c>
      <c r="F31" s="58"/>
      <c r="G31" s="12">
        <v>680</v>
      </c>
      <c r="H31" s="12">
        <v>730</v>
      </c>
      <c r="I31" s="17">
        <v>14</v>
      </c>
      <c r="J31" s="18">
        <v>14</v>
      </c>
      <c r="K31" s="19">
        <f t="shared" si="2"/>
        <v>76.23</v>
      </c>
      <c r="L31" s="14"/>
      <c r="M31" s="15">
        <v>7</v>
      </c>
      <c r="N31" s="15">
        <v>10.89</v>
      </c>
    </row>
    <row r="32" spans="1:14" s="15" customFormat="1" ht="20.25" customHeight="1" x14ac:dyDescent="0.15">
      <c r="A32" s="60"/>
      <c r="B32" s="9"/>
      <c r="C32" s="58" t="s">
        <v>29</v>
      </c>
      <c r="D32" s="11" t="s">
        <v>765</v>
      </c>
      <c r="E32" s="10">
        <v>24</v>
      </c>
      <c r="F32" s="58" t="s">
        <v>11</v>
      </c>
      <c r="G32" s="12">
        <v>1335</v>
      </c>
      <c r="H32" s="12">
        <v>1115</v>
      </c>
      <c r="I32" s="17" t="s">
        <v>1106</v>
      </c>
      <c r="J32" s="18">
        <v>16</v>
      </c>
      <c r="K32" s="19">
        <f t="shared" si="2"/>
        <v>256.5684</v>
      </c>
      <c r="L32" s="20"/>
      <c r="M32" s="15">
        <v>23.56</v>
      </c>
      <c r="N32" s="15">
        <v>10.89</v>
      </c>
    </row>
    <row r="33" spans="1:14" s="15" customFormat="1" ht="20.25" customHeight="1" x14ac:dyDescent="0.15">
      <c r="A33" s="60"/>
      <c r="B33" s="9"/>
      <c r="C33" s="58" t="s">
        <v>29</v>
      </c>
      <c r="D33" s="11" t="s">
        <v>1104</v>
      </c>
      <c r="E33" s="10">
        <v>24</v>
      </c>
      <c r="F33" s="58" t="s">
        <v>11</v>
      </c>
      <c r="G33" s="12">
        <v>1270</v>
      </c>
      <c r="H33" s="12">
        <v>490</v>
      </c>
      <c r="I33" s="17">
        <v>5</v>
      </c>
      <c r="J33" s="18">
        <v>5</v>
      </c>
      <c r="K33" s="19">
        <f t="shared" si="2"/>
        <v>33.759</v>
      </c>
      <c r="L33" s="20"/>
      <c r="M33" s="15">
        <v>3.1</v>
      </c>
      <c r="N33" s="15">
        <v>10.89</v>
      </c>
    </row>
    <row r="34" spans="1:14" s="15" customFormat="1" ht="20.25" customHeight="1" x14ac:dyDescent="0.15">
      <c r="A34" s="60" t="s">
        <v>1107</v>
      </c>
      <c r="B34" s="9" t="s">
        <v>175</v>
      </c>
      <c r="C34" s="58" t="s">
        <v>29</v>
      </c>
      <c r="D34" s="11" t="s">
        <v>414</v>
      </c>
      <c r="E34" s="10">
        <v>24</v>
      </c>
      <c r="F34" s="58" t="s">
        <v>11</v>
      </c>
      <c r="G34" s="12">
        <v>630</v>
      </c>
      <c r="H34" s="12">
        <v>3020</v>
      </c>
      <c r="I34" s="17" t="s">
        <v>1108</v>
      </c>
      <c r="J34" s="18">
        <v>10</v>
      </c>
      <c r="K34" s="19">
        <f t="shared" si="2"/>
        <v>157.57830000000001</v>
      </c>
      <c r="L34" s="20"/>
      <c r="M34" s="15">
        <v>14.47</v>
      </c>
      <c r="N34" s="15">
        <v>10.89</v>
      </c>
    </row>
    <row r="35" spans="1:14" s="15" customFormat="1" ht="20.25" customHeight="1" x14ac:dyDescent="0.15">
      <c r="A35" s="60" t="s">
        <v>1109</v>
      </c>
      <c r="B35" s="9" t="s">
        <v>175</v>
      </c>
      <c r="C35" s="58" t="s">
        <v>29</v>
      </c>
      <c r="D35" s="11" t="s">
        <v>414</v>
      </c>
      <c r="E35" s="10">
        <v>24</v>
      </c>
      <c r="F35" s="58" t="s">
        <v>11</v>
      </c>
      <c r="G35" s="12">
        <v>860</v>
      </c>
      <c r="H35" s="12">
        <v>2340</v>
      </c>
      <c r="I35" s="17" t="s">
        <v>1110</v>
      </c>
      <c r="J35" s="18">
        <v>23</v>
      </c>
      <c r="K35" s="19">
        <f t="shared" si="2"/>
        <v>297.62369999999999</v>
      </c>
      <c r="L35" s="20"/>
      <c r="M35" s="15">
        <v>27.33</v>
      </c>
      <c r="N35" s="15">
        <v>10.89</v>
      </c>
    </row>
    <row r="36" spans="1:14" s="15" customFormat="1" ht="20.25" customHeight="1" x14ac:dyDescent="0.15">
      <c r="A36" s="60" t="s">
        <v>1111</v>
      </c>
      <c r="B36" s="9" t="s">
        <v>178</v>
      </c>
      <c r="C36" s="58" t="s">
        <v>29</v>
      </c>
      <c r="D36" s="11" t="s">
        <v>247</v>
      </c>
      <c r="E36" s="10">
        <v>24</v>
      </c>
      <c r="F36" s="58" t="s">
        <v>11</v>
      </c>
      <c r="G36" s="12">
        <v>957</v>
      </c>
      <c r="H36" s="12">
        <v>1915</v>
      </c>
      <c r="I36" s="17" t="s">
        <v>1112</v>
      </c>
      <c r="J36" s="18">
        <v>16</v>
      </c>
      <c r="K36" s="19">
        <f t="shared" si="2"/>
        <v>247.85640000000004</v>
      </c>
      <c r="L36" s="20"/>
      <c r="M36" s="15">
        <v>22.76</v>
      </c>
      <c r="N36" s="15">
        <v>10.89</v>
      </c>
    </row>
    <row r="37" spans="1:14" s="15" customFormat="1" ht="20.25" customHeight="1" x14ac:dyDescent="0.15">
      <c r="A37" s="60" t="s">
        <v>1113</v>
      </c>
      <c r="B37" s="9" t="s">
        <v>186</v>
      </c>
      <c r="C37" s="58" t="s">
        <v>29</v>
      </c>
      <c r="D37" s="11" t="s">
        <v>310</v>
      </c>
      <c r="E37" s="10">
        <v>24</v>
      </c>
      <c r="F37" s="58" t="s">
        <v>11</v>
      </c>
      <c r="G37" s="12">
        <v>1048</v>
      </c>
      <c r="H37" s="12">
        <v>2175</v>
      </c>
      <c r="I37" s="17">
        <v>2</v>
      </c>
      <c r="J37" s="18">
        <v>2</v>
      </c>
      <c r="K37" s="19">
        <f t="shared" si="2"/>
        <v>49.6584</v>
      </c>
      <c r="L37" s="20"/>
      <c r="M37" s="15">
        <v>4.5599999999999996</v>
      </c>
      <c r="N37" s="15">
        <v>10.89</v>
      </c>
    </row>
    <row r="38" spans="1:14" s="15" customFormat="1" ht="20.25" customHeight="1" x14ac:dyDescent="0.15">
      <c r="A38" s="60"/>
      <c r="B38" s="9"/>
      <c r="C38" s="58"/>
      <c r="D38" s="11"/>
      <c r="E38" s="10"/>
      <c r="F38" s="58"/>
      <c r="G38" s="12"/>
      <c r="H38" s="12"/>
      <c r="I38" s="17"/>
      <c r="J38" s="18"/>
      <c r="K38" s="19">
        <f t="shared" si="2"/>
        <v>0</v>
      </c>
      <c r="L38" s="20"/>
      <c r="N38" s="15">
        <v>10.89</v>
      </c>
    </row>
    <row r="39" spans="1:14" s="15" customFormat="1" ht="20.25" customHeight="1" x14ac:dyDescent="0.15">
      <c r="A39" s="60"/>
      <c r="B39" s="9"/>
      <c r="C39" s="58"/>
      <c r="D39" s="11"/>
      <c r="E39" s="10"/>
      <c r="F39" s="58"/>
      <c r="G39" s="50"/>
      <c r="H39" s="50"/>
      <c r="I39" s="17"/>
      <c r="J39" s="18"/>
      <c r="K39" s="19">
        <f t="shared" si="2"/>
        <v>0</v>
      </c>
      <c r="L39" s="14"/>
      <c r="N39" s="15">
        <v>10.89</v>
      </c>
    </row>
    <row r="40" spans="1:14" ht="20.25" customHeight="1" x14ac:dyDescent="0.15">
      <c r="A40" s="60"/>
      <c r="B40" s="9"/>
      <c r="C40" s="58"/>
      <c r="D40" s="11"/>
      <c r="E40" s="10"/>
      <c r="F40" s="10"/>
      <c r="G40" s="12"/>
      <c r="H40" s="12"/>
      <c r="I40" s="17"/>
      <c r="J40" s="18"/>
      <c r="K40" s="19">
        <f t="shared" si="1"/>
        <v>0</v>
      </c>
      <c r="L40" s="27"/>
      <c r="N40" s="15">
        <v>10.89</v>
      </c>
    </row>
    <row r="41" spans="1:14" ht="20.25" customHeight="1" x14ac:dyDescent="0.15">
      <c r="A41" s="57"/>
      <c r="B41" s="28"/>
      <c r="C41" s="10"/>
      <c r="D41" s="29"/>
      <c r="E41" s="30"/>
      <c r="F41" s="30"/>
      <c r="G41" s="30"/>
      <c r="H41" s="30"/>
      <c r="I41" s="13"/>
      <c r="J41" s="48">
        <f>SUM(J15:J40)</f>
        <v>490</v>
      </c>
      <c r="K41" s="49">
        <f>SUM(K15:K40)</f>
        <v>3686.2650000000003</v>
      </c>
      <c r="L41" s="31"/>
      <c r="N41" s="32"/>
    </row>
    <row r="42" spans="1:14" ht="20.25" customHeight="1" thickBot="1" x14ac:dyDescent="0.2">
      <c r="A42" s="55"/>
      <c r="B42" s="33"/>
      <c r="C42" s="33"/>
      <c r="D42" s="33"/>
      <c r="E42" s="33"/>
      <c r="F42" s="33"/>
      <c r="G42" s="33"/>
      <c r="H42" s="33"/>
      <c r="I42" s="33"/>
      <c r="J42" s="34"/>
      <c r="K42" s="35"/>
      <c r="L42" s="36"/>
    </row>
    <row r="43" spans="1:14" ht="20.25" customHeight="1" thickBot="1" x14ac:dyDescent="0.2">
      <c r="A43" s="37" t="s">
        <v>19</v>
      </c>
      <c r="B43" s="38" t="s">
        <v>20</v>
      </c>
      <c r="C43" s="77" t="s">
        <v>21</v>
      </c>
      <c r="D43" s="79"/>
      <c r="E43" s="77" t="s">
        <v>22</v>
      </c>
      <c r="F43" s="78"/>
      <c r="G43" s="79"/>
      <c r="H43" s="85" t="s">
        <v>23</v>
      </c>
      <c r="I43" s="86"/>
      <c r="J43" s="77" t="s">
        <v>24</v>
      </c>
      <c r="K43" s="79"/>
      <c r="L43" s="39" t="s">
        <v>13</v>
      </c>
    </row>
    <row r="44" spans="1:14" ht="20.25" customHeight="1" thickBot="1" x14ac:dyDescent="0.2">
      <c r="A44" s="40">
        <f>SUMIF($C$8:$C$42,"U1",$J$8:$J$42)</f>
        <v>14</v>
      </c>
      <c r="B44" s="41">
        <f>SUMIF($C$8:$C$42,"U2",$J$8:$J$42)</f>
        <v>0</v>
      </c>
      <c r="C44" s="77">
        <f>SUMIF($C$8:$C$42,"U3-1",$J$8:$J$42)</f>
        <v>0</v>
      </c>
      <c r="D44" s="79"/>
      <c r="E44" s="77">
        <f>SUMIF($C$8:$C$42,"U3",$J$8:$J$42)</f>
        <v>937</v>
      </c>
      <c r="F44" s="78"/>
      <c r="G44" s="79"/>
      <c r="H44" s="77">
        <f>SUMIF($C$8:$C$42,"E5",$J$8:$J$42)</f>
        <v>0</v>
      </c>
      <c r="I44" s="79"/>
      <c r="J44" s="77">
        <f>SUM(A44:I44)</f>
        <v>951</v>
      </c>
      <c r="K44" s="79"/>
      <c r="L44" s="42"/>
    </row>
    <row r="45" spans="1:14" ht="20.25" customHeight="1" thickBot="1" x14ac:dyDescent="0.2">
      <c r="A45" s="43" t="s">
        <v>25</v>
      </c>
      <c r="B45" s="44" t="s">
        <v>26</v>
      </c>
      <c r="C45" s="75">
        <v>13876</v>
      </c>
      <c r="D45" s="76"/>
      <c r="E45" s="77" t="s">
        <v>27</v>
      </c>
      <c r="F45" s="78"/>
      <c r="G45" s="78"/>
      <c r="H45" s="78"/>
      <c r="I45" s="79"/>
      <c r="J45" s="80">
        <v>146744.37</v>
      </c>
      <c r="K45" s="81"/>
      <c r="L45" s="82"/>
    </row>
    <row r="47" spans="1:14" x14ac:dyDescent="0.15">
      <c r="D47" s="45"/>
    </row>
  </sheetData>
  <mergeCells count="26">
    <mergeCell ref="L2:L4"/>
    <mergeCell ref="A1:G3"/>
    <mergeCell ref="H1:H4"/>
    <mergeCell ref="I2:I4"/>
    <mergeCell ref="J2:J4"/>
    <mergeCell ref="K2:K4"/>
    <mergeCell ref="B5:G5"/>
    <mergeCell ref="A6:A7"/>
    <mergeCell ref="B6:B7"/>
    <mergeCell ref="C6:C7"/>
    <mergeCell ref="D6:D7"/>
    <mergeCell ref="E6:E7"/>
    <mergeCell ref="F6:F7"/>
    <mergeCell ref="G6:K6"/>
    <mergeCell ref="C45:D45"/>
    <mergeCell ref="E45:I45"/>
    <mergeCell ref="J45:L45"/>
    <mergeCell ref="L6:L7"/>
    <mergeCell ref="C43:D43"/>
    <mergeCell ref="E43:G43"/>
    <mergeCell ref="H43:I43"/>
    <mergeCell ref="J43:K43"/>
    <mergeCell ref="C44:D44"/>
    <mergeCell ref="E44:G44"/>
    <mergeCell ref="H44:I44"/>
    <mergeCell ref="J44:K44"/>
  </mergeCells>
  <phoneticPr fontId="2" type="noConversion"/>
  <printOptions horizontalCentered="1"/>
  <pageMargins left="0.39370078740157483" right="0.39370078740157483" top="0.74803149606299213" bottom="0.19685039370078741" header="0.31496062992125984" footer="0.15748031496062992"/>
  <pageSetup paperSize="9" scale="84" orientation="portrait"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N47"/>
  <sheetViews>
    <sheetView view="pageBreakPreview" topLeftCell="A4" zoomScaleSheetLayoutView="100" workbookViewId="0">
      <selection activeCell="B10" sqref="B10"/>
    </sheetView>
  </sheetViews>
  <sheetFormatPr defaultColWidth="8.88671875" defaultRowHeight="13.5" x14ac:dyDescent="0.15"/>
  <cols>
    <col min="1" max="1" width="8.44140625" style="3" customWidth="1"/>
    <col min="2" max="2" width="14.77734375" style="3" customWidth="1"/>
    <col min="3" max="3" width="4.109375" style="3" customWidth="1"/>
    <col min="4" max="4" width="15.21875" style="3" customWidth="1"/>
    <col min="5" max="5" width="4.44140625" style="3" customWidth="1"/>
    <col min="6" max="6" width="4" style="3" customWidth="1"/>
    <col min="7" max="7" width="5.5546875" style="3" customWidth="1"/>
    <col min="8" max="8" width="5.44140625" style="3" customWidth="1"/>
    <col min="9" max="9" width="7.88671875" style="3" customWidth="1"/>
    <col min="10" max="10" width="7.109375" style="3" customWidth="1"/>
    <col min="11" max="11" width="7.21875" style="3" customWidth="1"/>
    <col min="12" max="12" width="6.77734375" style="3" customWidth="1"/>
    <col min="13" max="16384" width="8.88671875" style="3"/>
  </cols>
  <sheetData>
    <row r="1" spans="1:14" ht="18.75" customHeight="1" x14ac:dyDescent="0.15">
      <c r="A1" s="101" t="s">
        <v>0</v>
      </c>
      <c r="B1" s="102"/>
      <c r="C1" s="102"/>
      <c r="D1" s="102"/>
      <c r="E1" s="102"/>
      <c r="F1" s="102"/>
      <c r="G1" s="103"/>
      <c r="H1" s="107" t="s">
        <v>1</v>
      </c>
      <c r="I1" s="1" t="s">
        <v>2</v>
      </c>
      <c r="J1" s="1" t="s">
        <v>2</v>
      </c>
      <c r="K1" s="1" t="s">
        <v>3</v>
      </c>
      <c r="L1" s="2" t="s">
        <v>4</v>
      </c>
    </row>
    <row r="2" spans="1:14" ht="13.5" customHeight="1" x14ac:dyDescent="0.15">
      <c r="A2" s="104"/>
      <c r="B2" s="105"/>
      <c r="C2" s="105"/>
      <c r="D2" s="105"/>
      <c r="E2" s="105"/>
      <c r="F2" s="105"/>
      <c r="G2" s="106"/>
      <c r="H2" s="108"/>
      <c r="I2" s="110"/>
      <c r="J2" s="110"/>
      <c r="K2" s="110"/>
      <c r="L2" s="98"/>
    </row>
    <row r="3" spans="1:14" ht="13.5" customHeight="1" x14ac:dyDescent="0.15">
      <c r="A3" s="104"/>
      <c r="B3" s="105"/>
      <c r="C3" s="105"/>
      <c r="D3" s="105"/>
      <c r="E3" s="105"/>
      <c r="F3" s="105"/>
      <c r="G3" s="106"/>
      <c r="H3" s="108"/>
      <c r="I3" s="108"/>
      <c r="J3" s="108"/>
      <c r="K3" s="108"/>
      <c r="L3" s="99"/>
    </row>
    <row r="4" spans="1:14" ht="33" customHeight="1" x14ac:dyDescent="0.15">
      <c r="A4" s="4"/>
      <c r="B4" s="5"/>
      <c r="C4" s="5"/>
      <c r="D4" s="5"/>
      <c r="E4" s="5"/>
      <c r="F4" s="5"/>
      <c r="G4" s="5"/>
      <c r="H4" s="109"/>
      <c r="I4" s="109"/>
      <c r="J4" s="109"/>
      <c r="K4" s="109"/>
      <c r="L4" s="100"/>
    </row>
    <row r="5" spans="1:14" ht="17.25" customHeight="1" x14ac:dyDescent="0.15">
      <c r="A5" s="6" t="s">
        <v>5</v>
      </c>
      <c r="B5" s="87">
        <v>46076</v>
      </c>
      <c r="C5" s="88"/>
      <c r="D5" s="88"/>
      <c r="E5" s="88"/>
      <c r="F5" s="88"/>
      <c r="G5" s="88"/>
      <c r="H5" s="5"/>
      <c r="I5" s="5"/>
      <c r="J5" s="5"/>
      <c r="K5" s="5"/>
      <c r="L5" s="7"/>
    </row>
    <row r="6" spans="1:14" ht="13.5" customHeight="1" x14ac:dyDescent="0.15">
      <c r="A6" s="89" t="s">
        <v>6</v>
      </c>
      <c r="B6" s="91" t="s">
        <v>7</v>
      </c>
      <c r="C6" s="91" t="s">
        <v>8</v>
      </c>
      <c r="D6" s="91" t="s">
        <v>9</v>
      </c>
      <c r="E6" s="93" t="s">
        <v>10</v>
      </c>
      <c r="F6" s="93" t="s">
        <v>11</v>
      </c>
      <c r="G6" s="95" t="s">
        <v>12</v>
      </c>
      <c r="H6" s="96"/>
      <c r="I6" s="96"/>
      <c r="J6" s="96"/>
      <c r="K6" s="97"/>
      <c r="L6" s="83" t="s">
        <v>13</v>
      </c>
    </row>
    <row r="7" spans="1:14" x14ac:dyDescent="0.15">
      <c r="A7" s="90"/>
      <c r="B7" s="92"/>
      <c r="C7" s="92"/>
      <c r="D7" s="92"/>
      <c r="E7" s="94"/>
      <c r="F7" s="94"/>
      <c r="G7" s="8" t="s">
        <v>14</v>
      </c>
      <c r="H7" s="8" t="s">
        <v>15</v>
      </c>
      <c r="I7" s="8" t="s">
        <v>16</v>
      </c>
      <c r="J7" s="8" t="s">
        <v>17</v>
      </c>
      <c r="K7" s="8" t="s">
        <v>18</v>
      </c>
      <c r="L7" s="84"/>
    </row>
    <row r="8" spans="1:14" s="15" customFormat="1" ht="20.25" customHeight="1" x14ac:dyDescent="0.15">
      <c r="A8" s="60" t="s">
        <v>1114</v>
      </c>
      <c r="B8" s="9" t="s">
        <v>173</v>
      </c>
      <c r="C8" s="58" t="s">
        <v>29</v>
      </c>
      <c r="D8" s="11" t="s">
        <v>279</v>
      </c>
      <c r="E8" s="10">
        <v>25.76</v>
      </c>
      <c r="F8" s="10"/>
      <c r="G8" s="12">
        <v>1445</v>
      </c>
      <c r="H8" s="12">
        <v>690</v>
      </c>
      <c r="I8" s="17" t="s">
        <v>1115</v>
      </c>
      <c r="J8" s="18">
        <v>164</v>
      </c>
      <c r="K8" s="19">
        <f>+M8*N8</f>
        <v>937.41120000000001</v>
      </c>
      <c r="L8" s="14"/>
      <c r="M8" s="15">
        <v>86.08</v>
      </c>
      <c r="N8" s="15">
        <v>10.89</v>
      </c>
    </row>
    <row r="9" spans="1:14" s="15" customFormat="1" ht="20.25" customHeight="1" x14ac:dyDescent="0.15">
      <c r="A9" s="60"/>
      <c r="B9" s="9"/>
      <c r="C9" s="58" t="s">
        <v>29</v>
      </c>
      <c r="D9" s="11" t="s">
        <v>280</v>
      </c>
      <c r="E9" s="10">
        <v>46.76</v>
      </c>
      <c r="F9" s="58" t="s">
        <v>11</v>
      </c>
      <c r="G9" s="12">
        <v>886</v>
      </c>
      <c r="H9" s="12">
        <v>508</v>
      </c>
      <c r="I9" s="17" t="s">
        <v>1116</v>
      </c>
      <c r="J9" s="18">
        <v>20</v>
      </c>
      <c r="K9" s="19">
        <f t="shared" ref="K9:K23" si="0">+M9*N9</f>
        <v>93.653999999999996</v>
      </c>
      <c r="L9" s="14"/>
      <c r="M9" s="15">
        <v>8.6</v>
      </c>
      <c r="N9" s="15">
        <v>10.89</v>
      </c>
    </row>
    <row r="10" spans="1:14" s="15" customFormat="1" ht="20.25" customHeight="1" x14ac:dyDescent="0.15">
      <c r="A10" s="60" t="s">
        <v>1117</v>
      </c>
      <c r="B10" s="9" t="s">
        <v>173</v>
      </c>
      <c r="C10" s="58" t="s">
        <v>29</v>
      </c>
      <c r="D10" s="11" t="s">
        <v>195</v>
      </c>
      <c r="E10" s="10">
        <v>22</v>
      </c>
      <c r="F10" s="58"/>
      <c r="G10" s="12">
        <v>304</v>
      </c>
      <c r="H10" s="12">
        <v>967</v>
      </c>
      <c r="I10" s="17">
        <v>22</v>
      </c>
      <c r="J10" s="18">
        <v>22</v>
      </c>
      <c r="K10" s="19">
        <f t="shared" si="0"/>
        <v>69.478200000000001</v>
      </c>
      <c r="L10" s="14"/>
      <c r="M10" s="15">
        <v>6.38</v>
      </c>
      <c r="N10" s="15">
        <v>10.89</v>
      </c>
    </row>
    <row r="11" spans="1:14" s="15" customFormat="1" ht="20.25" customHeight="1" x14ac:dyDescent="0.15">
      <c r="A11" s="60" t="s">
        <v>1118</v>
      </c>
      <c r="B11" s="9" t="s">
        <v>647</v>
      </c>
      <c r="C11" s="58" t="s">
        <v>29</v>
      </c>
      <c r="D11" s="11" t="s">
        <v>648</v>
      </c>
      <c r="E11" s="10">
        <v>24</v>
      </c>
      <c r="F11" s="58"/>
      <c r="G11" s="12">
        <v>770</v>
      </c>
      <c r="H11" s="12">
        <v>1981</v>
      </c>
      <c r="I11" s="17" t="s">
        <v>1119</v>
      </c>
      <c r="J11" s="18">
        <v>20</v>
      </c>
      <c r="K11" s="19">
        <f t="shared" si="0"/>
        <v>216.71099999999998</v>
      </c>
      <c r="L11" s="14"/>
      <c r="M11" s="15">
        <v>19.899999999999999</v>
      </c>
      <c r="N11" s="15">
        <v>10.89</v>
      </c>
    </row>
    <row r="12" spans="1:14" s="15" customFormat="1" ht="20.25" customHeight="1" x14ac:dyDescent="0.15">
      <c r="A12" s="60" t="s">
        <v>1120</v>
      </c>
      <c r="B12" s="9" t="s">
        <v>647</v>
      </c>
      <c r="C12" s="58" t="s">
        <v>29</v>
      </c>
      <c r="D12" s="11" t="s">
        <v>648</v>
      </c>
      <c r="E12" s="10">
        <v>24</v>
      </c>
      <c r="F12" s="58"/>
      <c r="G12" s="12">
        <v>720</v>
      </c>
      <c r="H12" s="12">
        <v>1981</v>
      </c>
      <c r="I12" s="17" t="s">
        <v>1121</v>
      </c>
      <c r="J12" s="18">
        <v>30</v>
      </c>
      <c r="K12" s="19">
        <f t="shared" si="0"/>
        <v>255.91500000000002</v>
      </c>
      <c r="L12" s="14"/>
      <c r="M12" s="15">
        <v>23.5</v>
      </c>
      <c r="N12" s="15">
        <v>10.89</v>
      </c>
    </row>
    <row r="13" spans="1:14" s="15" customFormat="1" ht="20.25" customHeight="1" x14ac:dyDescent="0.15">
      <c r="A13" s="60" t="s">
        <v>1122</v>
      </c>
      <c r="B13" s="9" t="s">
        <v>647</v>
      </c>
      <c r="C13" s="58" t="s">
        <v>29</v>
      </c>
      <c r="D13" s="11" t="s">
        <v>217</v>
      </c>
      <c r="E13" s="10">
        <v>22</v>
      </c>
      <c r="F13" s="58" t="s">
        <v>11</v>
      </c>
      <c r="G13" s="12">
        <v>1725</v>
      </c>
      <c r="H13" s="12">
        <v>1981</v>
      </c>
      <c r="I13" s="17" t="s">
        <v>1123</v>
      </c>
      <c r="J13" s="18">
        <v>178</v>
      </c>
      <c r="K13" s="19">
        <f t="shared" si="0"/>
        <v>2257.2791999999999</v>
      </c>
      <c r="L13" s="14"/>
      <c r="M13" s="15">
        <v>207.28</v>
      </c>
      <c r="N13" s="15">
        <v>10.89</v>
      </c>
    </row>
    <row r="14" spans="1:14" s="15" customFormat="1" ht="20.25" customHeight="1" x14ac:dyDescent="0.15">
      <c r="A14" s="60"/>
      <c r="B14" s="9"/>
      <c r="C14" s="58" t="s">
        <v>29</v>
      </c>
      <c r="D14" s="11" t="s">
        <v>648</v>
      </c>
      <c r="E14" s="10">
        <v>24</v>
      </c>
      <c r="F14" s="58"/>
      <c r="G14" s="12">
        <v>615</v>
      </c>
      <c r="H14" s="12">
        <v>1981</v>
      </c>
      <c r="I14" s="17" t="s">
        <v>1124</v>
      </c>
      <c r="J14" s="18">
        <v>28</v>
      </c>
      <c r="K14" s="19">
        <f t="shared" si="0"/>
        <v>223.02720000000002</v>
      </c>
      <c r="L14" s="20"/>
      <c r="M14" s="15">
        <v>20.48</v>
      </c>
      <c r="N14" s="15">
        <v>10.89</v>
      </c>
    </row>
    <row r="15" spans="1:14" s="15" customFormat="1" ht="20.25" customHeight="1" x14ac:dyDescent="0.15">
      <c r="A15" s="60"/>
      <c r="B15" s="9"/>
      <c r="C15" s="58"/>
      <c r="D15" s="11"/>
      <c r="E15" s="10"/>
      <c r="F15" s="58"/>
      <c r="G15" s="12"/>
      <c r="H15" s="12"/>
      <c r="I15" s="17"/>
      <c r="J15" s="18"/>
      <c r="K15" s="19">
        <f t="shared" si="0"/>
        <v>0</v>
      </c>
      <c r="L15" s="20"/>
      <c r="N15" s="15">
        <v>10.89</v>
      </c>
    </row>
    <row r="16" spans="1:14" s="15" customFormat="1" ht="20.25" customHeight="1" x14ac:dyDescent="0.15">
      <c r="A16" s="60"/>
      <c r="B16" s="9"/>
      <c r="C16" s="58"/>
      <c r="D16" s="11"/>
      <c r="E16" s="10"/>
      <c r="F16" s="58"/>
      <c r="G16" s="12"/>
      <c r="H16" s="12"/>
      <c r="I16" s="17"/>
      <c r="J16" s="18"/>
      <c r="K16" s="19">
        <f t="shared" si="0"/>
        <v>0</v>
      </c>
      <c r="L16" s="20"/>
      <c r="N16" s="15">
        <v>10.89</v>
      </c>
    </row>
    <row r="17" spans="1:14" s="15" customFormat="1" ht="20.25" customHeight="1" x14ac:dyDescent="0.15">
      <c r="A17" s="60"/>
      <c r="B17" s="9"/>
      <c r="C17" s="58"/>
      <c r="D17" s="11"/>
      <c r="E17" s="10"/>
      <c r="F17" s="58"/>
      <c r="G17" s="12"/>
      <c r="H17" s="12"/>
      <c r="I17" s="17"/>
      <c r="J17" s="18"/>
      <c r="K17" s="19">
        <f t="shared" si="0"/>
        <v>0</v>
      </c>
      <c r="L17" s="20"/>
      <c r="N17" s="15">
        <v>10.89</v>
      </c>
    </row>
    <row r="18" spans="1:14" s="15" customFormat="1" ht="20.25" customHeight="1" x14ac:dyDescent="0.15">
      <c r="A18" s="60"/>
      <c r="B18" s="9"/>
      <c r="C18" s="58"/>
      <c r="D18" s="11"/>
      <c r="E18" s="10"/>
      <c r="F18" s="58"/>
      <c r="G18" s="12"/>
      <c r="H18" s="12"/>
      <c r="I18" s="17"/>
      <c r="J18" s="18"/>
      <c r="K18" s="19">
        <f t="shared" si="0"/>
        <v>0</v>
      </c>
      <c r="L18" s="20"/>
      <c r="N18" s="15">
        <v>10.89</v>
      </c>
    </row>
    <row r="19" spans="1:14" s="15" customFormat="1" ht="20.25" customHeight="1" x14ac:dyDescent="0.15">
      <c r="A19" s="60"/>
      <c r="B19" s="9"/>
      <c r="C19" s="58"/>
      <c r="D19" s="11"/>
      <c r="E19" s="10"/>
      <c r="F19" s="58"/>
      <c r="G19" s="12"/>
      <c r="H19" s="12"/>
      <c r="I19" s="17"/>
      <c r="J19" s="18"/>
      <c r="K19" s="19">
        <f t="shared" si="0"/>
        <v>0</v>
      </c>
      <c r="L19" s="20"/>
      <c r="N19" s="15">
        <v>10.89</v>
      </c>
    </row>
    <row r="20" spans="1:14" s="15" customFormat="1" ht="20.25" customHeight="1" x14ac:dyDescent="0.15">
      <c r="A20" s="60"/>
      <c r="B20" s="9"/>
      <c r="C20" s="58"/>
      <c r="D20" s="11"/>
      <c r="E20" s="10"/>
      <c r="F20" s="58"/>
      <c r="G20" s="12"/>
      <c r="H20" s="12"/>
      <c r="I20" s="17"/>
      <c r="J20" s="18"/>
      <c r="K20" s="19">
        <f t="shared" si="0"/>
        <v>0</v>
      </c>
      <c r="L20" s="20"/>
      <c r="N20" s="15">
        <v>10.89</v>
      </c>
    </row>
    <row r="21" spans="1:14" s="15" customFormat="1" ht="20.25" customHeight="1" x14ac:dyDescent="0.15">
      <c r="A21" s="60"/>
      <c r="B21" s="9"/>
      <c r="C21" s="58"/>
      <c r="D21" s="11"/>
      <c r="E21" s="10"/>
      <c r="F21" s="58"/>
      <c r="G21" s="50"/>
      <c r="H21" s="50"/>
      <c r="I21" s="17"/>
      <c r="J21" s="18"/>
      <c r="K21" s="19">
        <f t="shared" si="0"/>
        <v>0</v>
      </c>
      <c r="L21" s="20"/>
      <c r="N21" s="15">
        <v>10.89</v>
      </c>
    </row>
    <row r="22" spans="1:14" s="15" customFormat="1" ht="20.25" customHeight="1" x14ac:dyDescent="0.15">
      <c r="A22" s="60"/>
      <c r="B22" s="9"/>
      <c r="C22" s="58"/>
      <c r="D22" s="11"/>
      <c r="E22" s="10"/>
      <c r="F22" s="58"/>
      <c r="G22" s="50"/>
      <c r="H22" s="50"/>
      <c r="I22" s="17"/>
      <c r="J22" s="18"/>
      <c r="K22" s="19">
        <f t="shared" si="0"/>
        <v>0</v>
      </c>
      <c r="L22" s="20"/>
      <c r="N22" s="15">
        <v>10.89</v>
      </c>
    </row>
    <row r="23" spans="1:14" ht="20.25" customHeight="1" x14ac:dyDescent="0.15">
      <c r="A23" s="60"/>
      <c r="B23" s="9"/>
      <c r="C23" s="58"/>
      <c r="D23" s="11"/>
      <c r="E23" s="10"/>
      <c r="F23" s="58"/>
      <c r="G23" s="16"/>
      <c r="H23" s="16"/>
      <c r="I23" s="17"/>
      <c r="J23" s="18"/>
      <c r="K23" s="19">
        <f t="shared" si="0"/>
        <v>0</v>
      </c>
      <c r="L23" s="20"/>
      <c r="N23" s="15">
        <v>10.89</v>
      </c>
    </row>
    <row r="24" spans="1:14" ht="20.25" customHeight="1" thickBot="1" x14ac:dyDescent="0.2">
      <c r="A24" s="56"/>
      <c r="B24" s="21"/>
      <c r="C24" s="59"/>
      <c r="D24" s="22"/>
      <c r="E24" s="23"/>
      <c r="F24" s="23"/>
      <c r="G24" s="24"/>
      <c r="H24" s="24"/>
      <c r="I24" s="25"/>
      <c r="J24" s="46">
        <f>SUM(J8:J23)</f>
        <v>462</v>
      </c>
      <c r="K24" s="47">
        <f>SUM(K8:K23)</f>
        <v>4053.4757999999997</v>
      </c>
      <c r="L24" s="26"/>
    </row>
    <row r="25" spans="1:14" ht="20.25" customHeight="1" thickTop="1" x14ac:dyDescent="0.15">
      <c r="A25" s="60" t="s">
        <v>1125</v>
      </c>
      <c r="B25" s="9" t="s">
        <v>138</v>
      </c>
      <c r="C25" s="58" t="s">
        <v>29</v>
      </c>
      <c r="D25" s="11" t="s">
        <v>403</v>
      </c>
      <c r="E25" s="10">
        <v>24</v>
      </c>
      <c r="F25" s="10"/>
      <c r="G25" s="12">
        <v>1762</v>
      </c>
      <c r="H25" s="12">
        <v>1890</v>
      </c>
      <c r="I25" s="17" t="s">
        <v>1126</v>
      </c>
      <c r="J25" s="18">
        <v>10</v>
      </c>
      <c r="K25" s="19">
        <f t="shared" ref="K25:K40" si="1">+M25*N25</f>
        <v>352.29150000000004</v>
      </c>
      <c r="L25" s="54"/>
      <c r="M25" s="3">
        <v>32.35</v>
      </c>
      <c r="N25" s="15">
        <v>10.89</v>
      </c>
    </row>
    <row r="26" spans="1:14" ht="20.25" customHeight="1" x14ac:dyDescent="0.15">
      <c r="A26" s="60" t="s">
        <v>1127</v>
      </c>
      <c r="B26" s="9" t="s">
        <v>173</v>
      </c>
      <c r="C26" s="58" t="s">
        <v>29</v>
      </c>
      <c r="D26" s="11" t="s">
        <v>188</v>
      </c>
      <c r="E26" s="10">
        <v>22</v>
      </c>
      <c r="F26" s="10"/>
      <c r="G26" s="12">
        <v>1967</v>
      </c>
      <c r="H26" s="12">
        <v>1238</v>
      </c>
      <c r="I26" s="17" t="s">
        <v>1128</v>
      </c>
      <c r="J26" s="18">
        <v>40</v>
      </c>
      <c r="K26" s="19">
        <f t="shared" si="1"/>
        <v>549.72720000000004</v>
      </c>
      <c r="L26" s="54"/>
      <c r="M26" s="3">
        <v>50.48</v>
      </c>
      <c r="N26" s="15">
        <v>10.89</v>
      </c>
    </row>
    <row r="27" spans="1:14" ht="20.25" customHeight="1" x14ac:dyDescent="0.15">
      <c r="A27" s="61"/>
      <c r="B27" s="9"/>
      <c r="C27" s="58" t="s">
        <v>29</v>
      </c>
      <c r="D27" s="11" t="s">
        <v>364</v>
      </c>
      <c r="E27" s="10">
        <v>22</v>
      </c>
      <c r="F27" s="10"/>
      <c r="G27" s="12">
        <v>1440</v>
      </c>
      <c r="H27" s="12">
        <v>1238</v>
      </c>
      <c r="I27" s="17" t="s">
        <v>1129</v>
      </c>
      <c r="J27" s="18">
        <v>12</v>
      </c>
      <c r="K27" s="19">
        <f t="shared" si="1"/>
        <v>143.74799999999999</v>
      </c>
      <c r="L27" s="54"/>
      <c r="M27" s="3">
        <v>13.2</v>
      </c>
      <c r="N27" s="15">
        <v>10.89</v>
      </c>
    </row>
    <row r="28" spans="1:14" ht="20.25" customHeight="1" x14ac:dyDescent="0.15">
      <c r="A28" s="61" t="s">
        <v>1130</v>
      </c>
      <c r="B28" s="9" t="s">
        <v>138</v>
      </c>
      <c r="C28" s="58" t="s">
        <v>29</v>
      </c>
      <c r="D28" s="11" t="s">
        <v>403</v>
      </c>
      <c r="E28" s="10">
        <v>24</v>
      </c>
      <c r="F28" s="10"/>
      <c r="G28" s="12">
        <v>1662</v>
      </c>
      <c r="H28" s="12">
        <v>1890</v>
      </c>
      <c r="I28" s="17">
        <v>12</v>
      </c>
      <c r="J28" s="18">
        <v>12</v>
      </c>
      <c r="K28" s="19">
        <f t="shared" si="1"/>
        <v>410.33520000000004</v>
      </c>
      <c r="L28" s="54"/>
      <c r="M28" s="3">
        <v>37.68</v>
      </c>
      <c r="N28" s="15">
        <v>10.89</v>
      </c>
    </row>
    <row r="29" spans="1:14" ht="20.25" customHeight="1" x14ac:dyDescent="0.15">
      <c r="A29" s="61" t="s">
        <v>1131</v>
      </c>
      <c r="B29" s="9" t="s">
        <v>101</v>
      </c>
      <c r="C29" s="58" t="s">
        <v>29</v>
      </c>
      <c r="D29" s="11" t="s">
        <v>331</v>
      </c>
      <c r="E29" s="10">
        <v>22</v>
      </c>
      <c r="F29" s="10"/>
      <c r="G29" s="12">
        <v>737</v>
      </c>
      <c r="H29" s="12">
        <v>1764</v>
      </c>
      <c r="I29" s="17" t="s">
        <v>1132</v>
      </c>
      <c r="J29" s="18">
        <v>248</v>
      </c>
      <c r="K29" s="19">
        <f t="shared" si="1"/>
        <v>3510.9360000000001</v>
      </c>
      <c r="L29" s="54"/>
      <c r="M29" s="3">
        <v>322.39999999999998</v>
      </c>
      <c r="N29" s="15">
        <v>10.89</v>
      </c>
    </row>
    <row r="30" spans="1:14" ht="20.25" customHeight="1" x14ac:dyDescent="0.15">
      <c r="A30" s="61" t="s">
        <v>1133</v>
      </c>
      <c r="B30" s="9" t="s">
        <v>148</v>
      </c>
      <c r="C30" s="58" t="s">
        <v>29</v>
      </c>
      <c r="D30" s="11" t="s">
        <v>1104</v>
      </c>
      <c r="E30" s="10">
        <v>24</v>
      </c>
      <c r="F30" s="10" t="s">
        <v>11</v>
      </c>
      <c r="G30" s="12">
        <v>1270</v>
      </c>
      <c r="H30" s="12">
        <v>490</v>
      </c>
      <c r="I30" s="51" t="s">
        <v>1134</v>
      </c>
      <c r="J30" s="52">
        <v>11</v>
      </c>
      <c r="K30" s="53">
        <f t="shared" si="1"/>
        <v>72.963000000000008</v>
      </c>
      <c r="L30" s="54"/>
      <c r="M30" s="3">
        <v>6.7</v>
      </c>
      <c r="N30" s="15">
        <v>10.89</v>
      </c>
    </row>
    <row r="31" spans="1:14" ht="20.25" customHeight="1" x14ac:dyDescent="0.15">
      <c r="A31" s="61" t="s">
        <v>1135</v>
      </c>
      <c r="B31" s="9" t="s">
        <v>175</v>
      </c>
      <c r="C31" s="58" t="s">
        <v>29</v>
      </c>
      <c r="D31" s="11" t="s">
        <v>415</v>
      </c>
      <c r="E31" s="10">
        <v>28</v>
      </c>
      <c r="F31" s="10" t="s">
        <v>11</v>
      </c>
      <c r="G31" s="12">
        <v>845</v>
      </c>
      <c r="H31" s="12">
        <v>445</v>
      </c>
      <c r="I31" s="51">
        <v>1</v>
      </c>
      <c r="J31" s="52">
        <v>1</v>
      </c>
      <c r="K31" s="53">
        <f t="shared" si="1"/>
        <v>4.1382000000000003</v>
      </c>
      <c r="L31" s="54"/>
      <c r="M31" s="3">
        <v>0.38</v>
      </c>
      <c r="N31" s="15">
        <v>10.89</v>
      </c>
    </row>
    <row r="32" spans="1:14" ht="20.25" customHeight="1" x14ac:dyDescent="0.15">
      <c r="A32" s="60" t="s">
        <v>1136</v>
      </c>
      <c r="B32" s="9" t="s">
        <v>101</v>
      </c>
      <c r="C32" s="58" t="s">
        <v>29</v>
      </c>
      <c r="D32" s="11" t="s">
        <v>694</v>
      </c>
      <c r="E32" s="10">
        <v>24</v>
      </c>
      <c r="F32" s="10" t="s">
        <v>11</v>
      </c>
      <c r="G32" s="12">
        <v>820</v>
      </c>
      <c r="H32" s="12">
        <v>785</v>
      </c>
      <c r="I32" s="17" t="s">
        <v>1137</v>
      </c>
      <c r="J32" s="18">
        <v>87</v>
      </c>
      <c r="K32" s="19">
        <f t="shared" si="1"/>
        <v>1161.5273999999999</v>
      </c>
      <c r="L32" s="27"/>
      <c r="M32" s="3">
        <v>106.66</v>
      </c>
      <c r="N32" s="15">
        <v>10.89</v>
      </c>
    </row>
    <row r="33" spans="1:14" ht="20.25" customHeight="1" x14ac:dyDescent="0.15">
      <c r="A33" s="60"/>
      <c r="B33" s="9"/>
      <c r="C33" s="58"/>
      <c r="D33" s="11"/>
      <c r="E33" s="10"/>
      <c r="F33" s="10"/>
      <c r="G33" s="12"/>
      <c r="H33" s="12"/>
      <c r="I33" s="17"/>
      <c r="J33" s="18"/>
      <c r="K33" s="19">
        <f t="shared" si="1"/>
        <v>0</v>
      </c>
      <c r="L33" s="27"/>
      <c r="N33" s="15">
        <v>10.89</v>
      </c>
    </row>
    <row r="34" spans="1:14" ht="20.25" customHeight="1" x14ac:dyDescent="0.15">
      <c r="A34" s="60"/>
      <c r="B34" s="9"/>
      <c r="C34" s="58"/>
      <c r="D34" s="11"/>
      <c r="E34" s="10"/>
      <c r="F34" s="10"/>
      <c r="G34" s="12"/>
      <c r="H34" s="12"/>
      <c r="I34" s="17"/>
      <c r="J34" s="18"/>
      <c r="K34" s="19">
        <f t="shared" si="1"/>
        <v>0</v>
      </c>
      <c r="L34" s="27"/>
      <c r="N34" s="15">
        <v>10.89</v>
      </c>
    </row>
    <row r="35" spans="1:14" ht="20.25" customHeight="1" x14ac:dyDescent="0.15">
      <c r="A35" s="60"/>
      <c r="B35" s="9"/>
      <c r="C35" s="58"/>
      <c r="D35" s="11"/>
      <c r="E35" s="10"/>
      <c r="F35" s="10"/>
      <c r="G35" s="12"/>
      <c r="H35" s="12"/>
      <c r="I35" s="17"/>
      <c r="J35" s="18"/>
      <c r="K35" s="19">
        <f t="shared" si="1"/>
        <v>0</v>
      </c>
      <c r="L35" s="27"/>
      <c r="N35" s="15">
        <v>10.89</v>
      </c>
    </row>
    <row r="36" spans="1:14" ht="20.25" customHeight="1" x14ac:dyDescent="0.15">
      <c r="A36" s="60"/>
      <c r="B36" s="9"/>
      <c r="C36" s="58"/>
      <c r="D36" s="11"/>
      <c r="E36" s="10"/>
      <c r="F36" s="10"/>
      <c r="G36" s="12"/>
      <c r="H36" s="12"/>
      <c r="I36" s="17"/>
      <c r="J36" s="18"/>
      <c r="K36" s="19">
        <f t="shared" si="1"/>
        <v>0</v>
      </c>
      <c r="L36" s="27"/>
      <c r="N36" s="15">
        <v>10.89</v>
      </c>
    </row>
    <row r="37" spans="1:14" ht="20.25" customHeight="1" x14ac:dyDescent="0.15">
      <c r="A37" s="60"/>
      <c r="B37" s="9"/>
      <c r="C37" s="58"/>
      <c r="D37" s="11"/>
      <c r="E37" s="10"/>
      <c r="F37" s="10"/>
      <c r="G37" s="12"/>
      <c r="H37" s="12"/>
      <c r="I37" s="17"/>
      <c r="J37" s="18"/>
      <c r="K37" s="19">
        <f t="shared" si="1"/>
        <v>0</v>
      </c>
      <c r="L37" s="27"/>
      <c r="N37" s="15">
        <v>10.89</v>
      </c>
    </row>
    <row r="38" spans="1:14" ht="20.25" customHeight="1" x14ac:dyDescent="0.15">
      <c r="A38" s="60"/>
      <c r="B38" s="9"/>
      <c r="C38" s="58"/>
      <c r="D38" s="11"/>
      <c r="E38" s="10"/>
      <c r="F38" s="10"/>
      <c r="G38" s="12"/>
      <c r="H38" s="12"/>
      <c r="I38" s="17"/>
      <c r="J38" s="18"/>
      <c r="K38" s="19">
        <f t="shared" si="1"/>
        <v>0</v>
      </c>
      <c r="L38" s="27"/>
      <c r="N38" s="15">
        <v>10.89</v>
      </c>
    </row>
    <row r="39" spans="1:14" ht="20.25" customHeight="1" x14ac:dyDescent="0.15">
      <c r="A39" s="60"/>
      <c r="B39" s="9"/>
      <c r="C39" s="58"/>
      <c r="D39" s="11"/>
      <c r="E39" s="10"/>
      <c r="F39" s="10"/>
      <c r="G39" s="12"/>
      <c r="H39" s="12"/>
      <c r="I39" s="17"/>
      <c r="J39" s="18"/>
      <c r="K39" s="19">
        <f t="shared" si="1"/>
        <v>0</v>
      </c>
      <c r="L39" s="27"/>
      <c r="N39" s="15">
        <v>10.89</v>
      </c>
    </row>
    <row r="40" spans="1:14" ht="20.25" customHeight="1" x14ac:dyDescent="0.15">
      <c r="A40" s="60"/>
      <c r="B40" s="9"/>
      <c r="C40" s="58"/>
      <c r="D40" s="11"/>
      <c r="E40" s="10"/>
      <c r="F40" s="10"/>
      <c r="G40" s="12"/>
      <c r="H40" s="12"/>
      <c r="I40" s="17"/>
      <c r="J40" s="18"/>
      <c r="K40" s="19">
        <f t="shared" si="1"/>
        <v>0</v>
      </c>
      <c r="L40" s="27"/>
      <c r="N40" s="15">
        <v>10.89</v>
      </c>
    </row>
    <row r="41" spans="1:14" ht="20.25" customHeight="1" x14ac:dyDescent="0.15">
      <c r="A41" s="57"/>
      <c r="B41" s="28"/>
      <c r="C41" s="10"/>
      <c r="D41" s="29"/>
      <c r="E41" s="30"/>
      <c r="F41" s="30"/>
      <c r="G41" s="30"/>
      <c r="H41" s="30"/>
      <c r="I41" s="13"/>
      <c r="J41" s="48">
        <f>SUM(J25:J40)</f>
        <v>421</v>
      </c>
      <c r="K41" s="49">
        <f>SUM(K25:K40)</f>
        <v>6205.6665000000003</v>
      </c>
      <c r="L41" s="31"/>
      <c r="N41" s="32"/>
    </row>
    <row r="42" spans="1:14" ht="20.25" customHeight="1" thickBot="1" x14ac:dyDescent="0.2">
      <c r="A42" s="55"/>
      <c r="B42" s="33"/>
      <c r="C42" s="33"/>
      <c r="D42" s="33"/>
      <c r="E42" s="33"/>
      <c r="F42" s="33"/>
      <c r="G42" s="33"/>
      <c r="H42" s="33"/>
      <c r="I42" s="33"/>
      <c r="J42" s="34"/>
      <c r="K42" s="35"/>
      <c r="L42" s="36"/>
    </row>
    <row r="43" spans="1:14" ht="20.25" customHeight="1" thickBot="1" x14ac:dyDescent="0.2">
      <c r="A43" s="37" t="s">
        <v>19</v>
      </c>
      <c r="B43" s="38" t="s">
        <v>20</v>
      </c>
      <c r="C43" s="77" t="s">
        <v>21</v>
      </c>
      <c r="D43" s="79"/>
      <c r="E43" s="77" t="s">
        <v>22</v>
      </c>
      <c r="F43" s="78"/>
      <c r="G43" s="79"/>
      <c r="H43" s="85" t="s">
        <v>23</v>
      </c>
      <c r="I43" s="86"/>
      <c r="J43" s="77" t="s">
        <v>24</v>
      </c>
      <c r="K43" s="79"/>
      <c r="L43" s="39" t="s">
        <v>13</v>
      </c>
    </row>
    <row r="44" spans="1:14" ht="20.25" customHeight="1" thickBot="1" x14ac:dyDescent="0.2">
      <c r="A44" s="40">
        <f>SUMIF($C$8:$C$42,"U1",$J$8:$J$42)</f>
        <v>0</v>
      </c>
      <c r="B44" s="41">
        <f>SUMIF($C$8:$C$42,"U2",$J$8:$J$42)</f>
        <v>0</v>
      </c>
      <c r="C44" s="77">
        <f>SUMIF($C$8:$C$42,"U3-1",$J$8:$J$42)</f>
        <v>0</v>
      </c>
      <c r="D44" s="79"/>
      <c r="E44" s="77">
        <f>SUMIF($C$8:$C$42,"U3",$J$8:$J$42)</f>
        <v>883</v>
      </c>
      <c r="F44" s="78"/>
      <c r="G44" s="79"/>
      <c r="H44" s="77">
        <f>SUMIF($C$8:$C$42,"E5",$J$8:$J$42)</f>
        <v>0</v>
      </c>
      <c r="I44" s="79"/>
      <c r="J44" s="77">
        <f>SUM(A44:I44)</f>
        <v>883</v>
      </c>
      <c r="K44" s="79"/>
      <c r="L44" s="42"/>
    </row>
    <row r="45" spans="1:14" ht="20.25" customHeight="1" thickBot="1" x14ac:dyDescent="0.2">
      <c r="A45" s="43" t="s">
        <v>25</v>
      </c>
      <c r="B45" s="44" t="s">
        <v>26</v>
      </c>
      <c r="C45" s="75">
        <v>13876</v>
      </c>
      <c r="D45" s="76"/>
      <c r="E45" s="77" t="s">
        <v>27</v>
      </c>
      <c r="F45" s="78"/>
      <c r="G45" s="78"/>
      <c r="H45" s="78"/>
      <c r="I45" s="79"/>
      <c r="J45" s="80">
        <v>146744.37</v>
      </c>
      <c r="K45" s="81"/>
      <c r="L45" s="82"/>
    </row>
    <row r="47" spans="1:14" x14ac:dyDescent="0.15">
      <c r="D47" s="45"/>
    </row>
  </sheetData>
  <mergeCells count="26">
    <mergeCell ref="L2:L4"/>
    <mergeCell ref="A1:G3"/>
    <mergeCell ref="H1:H4"/>
    <mergeCell ref="I2:I4"/>
    <mergeCell ref="J2:J4"/>
    <mergeCell ref="K2:K4"/>
    <mergeCell ref="B5:G5"/>
    <mergeCell ref="A6:A7"/>
    <mergeCell ref="B6:B7"/>
    <mergeCell ref="C6:C7"/>
    <mergeCell ref="D6:D7"/>
    <mergeCell ref="E6:E7"/>
    <mergeCell ref="F6:F7"/>
    <mergeCell ref="G6:K6"/>
    <mergeCell ref="C45:D45"/>
    <mergeCell ref="E45:I45"/>
    <mergeCell ref="J45:L45"/>
    <mergeCell ref="L6:L7"/>
    <mergeCell ref="C43:D43"/>
    <mergeCell ref="E43:G43"/>
    <mergeCell ref="H43:I43"/>
    <mergeCell ref="J43:K43"/>
    <mergeCell ref="C44:D44"/>
    <mergeCell ref="E44:G44"/>
    <mergeCell ref="H44:I44"/>
    <mergeCell ref="J44:K44"/>
  </mergeCells>
  <phoneticPr fontId="2" type="noConversion"/>
  <printOptions horizontalCentered="1"/>
  <pageMargins left="0.39370078740157483" right="0.39370078740157483" top="0.74803149606299213" bottom="0.19685039370078741" header="0.31496062992125984" footer="0.15748031496062992"/>
  <pageSetup paperSize="9" scale="84" orientation="portrait"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N47"/>
  <sheetViews>
    <sheetView view="pageBreakPreview" topLeftCell="A4" zoomScaleSheetLayoutView="100" workbookViewId="0">
      <selection activeCell="B14" sqref="B14:E14"/>
    </sheetView>
  </sheetViews>
  <sheetFormatPr defaultColWidth="8.88671875" defaultRowHeight="13.5" x14ac:dyDescent="0.15"/>
  <cols>
    <col min="1" max="1" width="8.44140625" style="3" customWidth="1"/>
    <col min="2" max="2" width="14.77734375" style="3" customWidth="1"/>
    <col min="3" max="3" width="4.109375" style="3" customWidth="1"/>
    <col min="4" max="4" width="15.21875" style="3" customWidth="1"/>
    <col min="5" max="5" width="4.44140625" style="3" customWidth="1"/>
    <col min="6" max="6" width="4" style="3" customWidth="1"/>
    <col min="7" max="7" width="5.5546875" style="3" customWidth="1"/>
    <col min="8" max="8" width="5.44140625" style="3" customWidth="1"/>
    <col min="9" max="9" width="7.88671875" style="3" customWidth="1"/>
    <col min="10" max="10" width="7.109375" style="3" customWidth="1"/>
    <col min="11" max="11" width="7.21875" style="3" customWidth="1"/>
    <col min="12" max="12" width="6.77734375" style="3" customWidth="1"/>
    <col min="13" max="16384" width="8.88671875" style="3"/>
  </cols>
  <sheetData>
    <row r="1" spans="1:14" ht="18.75" customHeight="1" x14ac:dyDescent="0.15">
      <c r="A1" s="101" t="s">
        <v>0</v>
      </c>
      <c r="B1" s="102"/>
      <c r="C1" s="102"/>
      <c r="D1" s="102"/>
      <c r="E1" s="102"/>
      <c r="F1" s="102"/>
      <c r="G1" s="103"/>
      <c r="H1" s="107" t="s">
        <v>1</v>
      </c>
      <c r="I1" s="1" t="s">
        <v>2</v>
      </c>
      <c r="J1" s="1" t="s">
        <v>2</v>
      </c>
      <c r="K1" s="1" t="s">
        <v>3</v>
      </c>
      <c r="L1" s="2" t="s">
        <v>4</v>
      </c>
    </row>
    <row r="2" spans="1:14" ht="13.5" customHeight="1" x14ac:dyDescent="0.15">
      <c r="A2" s="104"/>
      <c r="B2" s="105"/>
      <c r="C2" s="105"/>
      <c r="D2" s="105"/>
      <c r="E2" s="105"/>
      <c r="F2" s="105"/>
      <c r="G2" s="106"/>
      <c r="H2" s="108"/>
      <c r="I2" s="110"/>
      <c r="J2" s="110"/>
      <c r="K2" s="110"/>
      <c r="L2" s="98"/>
    </row>
    <row r="3" spans="1:14" ht="13.5" customHeight="1" x14ac:dyDescent="0.15">
      <c r="A3" s="104"/>
      <c r="B3" s="105"/>
      <c r="C3" s="105"/>
      <c r="D3" s="105"/>
      <c r="E3" s="105"/>
      <c r="F3" s="105"/>
      <c r="G3" s="106"/>
      <c r="H3" s="108"/>
      <c r="I3" s="108"/>
      <c r="J3" s="108"/>
      <c r="K3" s="108"/>
      <c r="L3" s="99"/>
    </row>
    <row r="4" spans="1:14" ht="33" customHeight="1" x14ac:dyDescent="0.15">
      <c r="A4" s="4"/>
      <c r="B4" s="5"/>
      <c r="C4" s="5"/>
      <c r="D4" s="5"/>
      <c r="E4" s="5"/>
      <c r="F4" s="5"/>
      <c r="G4" s="5"/>
      <c r="H4" s="109"/>
      <c r="I4" s="109"/>
      <c r="J4" s="109"/>
      <c r="K4" s="109"/>
      <c r="L4" s="100"/>
    </row>
    <row r="5" spans="1:14" ht="17.25" customHeight="1" x14ac:dyDescent="0.15">
      <c r="A5" s="6" t="s">
        <v>5</v>
      </c>
      <c r="B5" s="87">
        <v>46077</v>
      </c>
      <c r="C5" s="88"/>
      <c r="D5" s="88"/>
      <c r="E5" s="88"/>
      <c r="F5" s="88"/>
      <c r="G5" s="88"/>
      <c r="H5" s="5"/>
      <c r="I5" s="5"/>
      <c r="J5" s="5"/>
      <c r="K5" s="5"/>
      <c r="L5" s="7"/>
    </row>
    <row r="6" spans="1:14" ht="13.5" customHeight="1" x14ac:dyDescent="0.15">
      <c r="A6" s="89" t="s">
        <v>6</v>
      </c>
      <c r="B6" s="91" t="s">
        <v>7</v>
      </c>
      <c r="C6" s="91" t="s">
        <v>8</v>
      </c>
      <c r="D6" s="91" t="s">
        <v>9</v>
      </c>
      <c r="E6" s="93" t="s">
        <v>10</v>
      </c>
      <c r="F6" s="93" t="s">
        <v>11</v>
      </c>
      <c r="G6" s="95" t="s">
        <v>12</v>
      </c>
      <c r="H6" s="96"/>
      <c r="I6" s="96"/>
      <c r="J6" s="96"/>
      <c r="K6" s="97"/>
      <c r="L6" s="83" t="s">
        <v>13</v>
      </c>
    </row>
    <row r="7" spans="1:14" x14ac:dyDescent="0.15">
      <c r="A7" s="90"/>
      <c r="B7" s="92"/>
      <c r="C7" s="92"/>
      <c r="D7" s="92"/>
      <c r="E7" s="94"/>
      <c r="F7" s="94"/>
      <c r="G7" s="8" t="s">
        <v>14</v>
      </c>
      <c r="H7" s="8" t="s">
        <v>15</v>
      </c>
      <c r="I7" s="8" t="s">
        <v>16</v>
      </c>
      <c r="J7" s="8" t="s">
        <v>17</v>
      </c>
      <c r="K7" s="8" t="s">
        <v>18</v>
      </c>
      <c r="L7" s="84"/>
    </row>
    <row r="8" spans="1:14" s="15" customFormat="1" ht="20.25" customHeight="1" x14ac:dyDescent="0.15">
      <c r="A8" s="60" t="s">
        <v>1138</v>
      </c>
      <c r="B8" s="9" t="s">
        <v>183</v>
      </c>
      <c r="C8" s="58" t="s">
        <v>29</v>
      </c>
      <c r="D8" s="11" t="s">
        <v>304</v>
      </c>
      <c r="E8" s="10">
        <v>28</v>
      </c>
      <c r="F8" s="58" t="s">
        <v>11</v>
      </c>
      <c r="G8" s="12">
        <v>1845</v>
      </c>
      <c r="H8" s="12">
        <v>3305</v>
      </c>
      <c r="I8" s="17" t="s">
        <v>692</v>
      </c>
      <c r="J8" s="18">
        <v>5</v>
      </c>
      <c r="K8" s="19">
        <f>+M8*N8</f>
        <v>330.2937</v>
      </c>
      <c r="L8" s="14"/>
      <c r="M8" s="15">
        <v>30.33</v>
      </c>
      <c r="N8" s="15">
        <v>10.89</v>
      </c>
    </row>
    <row r="9" spans="1:14" s="15" customFormat="1" ht="20.25" customHeight="1" x14ac:dyDescent="0.15">
      <c r="A9" s="60" t="s">
        <v>1139</v>
      </c>
      <c r="B9" s="9" t="s">
        <v>183</v>
      </c>
      <c r="C9" s="58" t="s">
        <v>29</v>
      </c>
      <c r="D9" s="11" t="s">
        <v>304</v>
      </c>
      <c r="E9" s="10">
        <v>28</v>
      </c>
      <c r="F9" s="58" t="s">
        <v>11</v>
      </c>
      <c r="G9" s="12">
        <v>1763</v>
      </c>
      <c r="H9" s="12">
        <v>3305</v>
      </c>
      <c r="I9" s="17">
        <v>1</v>
      </c>
      <c r="J9" s="18">
        <v>1</v>
      </c>
      <c r="K9" s="19">
        <f t="shared" ref="K9:K23" si="0">+M9*N9</f>
        <v>63.488700000000001</v>
      </c>
      <c r="L9" s="14"/>
      <c r="M9" s="15">
        <v>5.83</v>
      </c>
      <c r="N9" s="15">
        <v>10.89</v>
      </c>
    </row>
    <row r="10" spans="1:14" s="15" customFormat="1" ht="20.25" customHeight="1" x14ac:dyDescent="0.15">
      <c r="A10" s="60" t="s">
        <v>1017</v>
      </c>
      <c r="B10" s="9" t="s">
        <v>138</v>
      </c>
      <c r="C10" s="58" t="s">
        <v>29</v>
      </c>
      <c r="D10" s="11" t="s">
        <v>403</v>
      </c>
      <c r="E10" s="10">
        <v>24</v>
      </c>
      <c r="F10" s="10"/>
      <c r="G10" s="12">
        <v>1762</v>
      </c>
      <c r="H10" s="12">
        <v>1890</v>
      </c>
      <c r="I10" s="17">
        <v>1</v>
      </c>
      <c r="J10" s="18">
        <v>1</v>
      </c>
      <c r="K10" s="19">
        <f t="shared" si="0"/>
        <v>36.2637</v>
      </c>
      <c r="L10" s="14"/>
      <c r="M10" s="15">
        <v>3.33</v>
      </c>
      <c r="N10" s="15">
        <v>10.89</v>
      </c>
    </row>
    <row r="11" spans="1:14" s="15" customFormat="1" ht="20.25" customHeight="1" x14ac:dyDescent="0.15">
      <c r="A11" s="60" t="s">
        <v>1140</v>
      </c>
      <c r="B11" s="9" t="s">
        <v>173</v>
      </c>
      <c r="C11" s="58" t="s">
        <v>29</v>
      </c>
      <c r="D11" s="11" t="s">
        <v>195</v>
      </c>
      <c r="E11" s="10">
        <v>22</v>
      </c>
      <c r="F11" s="58"/>
      <c r="G11" s="12">
        <v>604</v>
      </c>
      <c r="H11" s="12">
        <v>1967</v>
      </c>
      <c r="I11" s="17" t="s">
        <v>1141</v>
      </c>
      <c r="J11" s="18">
        <v>96</v>
      </c>
      <c r="K11" s="19">
        <f t="shared" si="0"/>
        <v>784.73340000000007</v>
      </c>
      <c r="L11" s="14"/>
      <c r="M11" s="15">
        <v>72.06</v>
      </c>
      <c r="N11" s="15">
        <v>10.89</v>
      </c>
    </row>
    <row r="12" spans="1:14" s="15" customFormat="1" ht="20.25" customHeight="1" x14ac:dyDescent="0.15">
      <c r="A12" s="60" t="s">
        <v>1060</v>
      </c>
      <c r="B12" s="9" t="s">
        <v>36</v>
      </c>
      <c r="C12" s="58" t="s">
        <v>29</v>
      </c>
      <c r="D12" s="11" t="s">
        <v>313</v>
      </c>
      <c r="E12" s="10">
        <v>25.76</v>
      </c>
      <c r="F12" s="58" t="s">
        <v>11</v>
      </c>
      <c r="G12" s="12">
        <v>1086</v>
      </c>
      <c r="H12" s="12">
        <v>884</v>
      </c>
      <c r="I12" s="17">
        <v>1</v>
      </c>
      <c r="J12" s="18">
        <v>1</v>
      </c>
      <c r="K12" s="19">
        <f t="shared" si="0"/>
        <v>10.4544</v>
      </c>
      <c r="L12" s="14"/>
      <c r="M12" s="15">
        <v>0.96</v>
      </c>
      <c r="N12" s="15">
        <v>10.89</v>
      </c>
    </row>
    <row r="13" spans="1:14" s="15" customFormat="1" ht="20.25" customHeight="1" x14ac:dyDescent="0.15">
      <c r="A13" s="60" t="s">
        <v>1142</v>
      </c>
      <c r="B13" s="9" t="s">
        <v>647</v>
      </c>
      <c r="C13" s="58" t="s">
        <v>29</v>
      </c>
      <c r="D13" s="11" t="s">
        <v>217</v>
      </c>
      <c r="E13" s="10">
        <v>22</v>
      </c>
      <c r="F13" s="58" t="s">
        <v>11</v>
      </c>
      <c r="G13" s="12">
        <v>315</v>
      </c>
      <c r="H13" s="12">
        <v>985</v>
      </c>
      <c r="I13" s="17">
        <v>56</v>
      </c>
      <c r="J13" s="18">
        <v>56</v>
      </c>
      <c r="K13" s="19">
        <f t="shared" si="0"/>
        <v>189.0504</v>
      </c>
      <c r="L13" s="14"/>
      <c r="M13" s="15">
        <v>17.36</v>
      </c>
      <c r="N13" s="15">
        <v>10.89</v>
      </c>
    </row>
    <row r="14" spans="1:14" s="15" customFormat="1" ht="20.25" customHeight="1" x14ac:dyDescent="0.15">
      <c r="A14" s="60" t="s">
        <v>1143</v>
      </c>
      <c r="B14" s="9" t="s">
        <v>1144</v>
      </c>
      <c r="C14" s="58" t="s">
        <v>29</v>
      </c>
      <c r="D14" s="11" t="s">
        <v>1145</v>
      </c>
      <c r="E14" s="10">
        <v>26</v>
      </c>
      <c r="F14" s="58" t="s">
        <v>11</v>
      </c>
      <c r="G14" s="12">
        <v>647</v>
      </c>
      <c r="H14" s="12">
        <v>540</v>
      </c>
      <c r="I14" s="17" t="s">
        <v>1146</v>
      </c>
      <c r="J14" s="18">
        <f>15+95</f>
        <v>110</v>
      </c>
      <c r="K14" s="19">
        <f t="shared" si="0"/>
        <v>909.20609999999999</v>
      </c>
      <c r="L14" s="20"/>
      <c r="M14" s="15">
        <v>83.49</v>
      </c>
      <c r="N14" s="15">
        <v>10.89</v>
      </c>
    </row>
    <row r="15" spans="1:14" s="15" customFormat="1" ht="20.25" customHeight="1" x14ac:dyDescent="0.15">
      <c r="A15" s="60" t="s">
        <v>1147</v>
      </c>
      <c r="B15" s="9" t="s">
        <v>1144</v>
      </c>
      <c r="C15" s="58" t="s">
        <v>29</v>
      </c>
      <c r="D15" s="11" t="s">
        <v>1145</v>
      </c>
      <c r="E15" s="10">
        <v>26</v>
      </c>
      <c r="F15" s="58" t="s">
        <v>11</v>
      </c>
      <c r="G15" s="12">
        <v>647</v>
      </c>
      <c r="H15" s="12">
        <v>540</v>
      </c>
      <c r="I15" s="17" t="s">
        <v>1148</v>
      </c>
      <c r="J15" s="18">
        <v>77</v>
      </c>
      <c r="K15" s="19">
        <f t="shared" si="0"/>
        <v>472.19040000000001</v>
      </c>
      <c r="L15" s="20"/>
      <c r="M15" s="15">
        <v>43.36</v>
      </c>
      <c r="N15" s="15">
        <v>10.89</v>
      </c>
    </row>
    <row r="16" spans="1:14" s="15" customFormat="1" ht="20.25" customHeight="1" x14ac:dyDescent="0.15">
      <c r="A16" s="60" t="s">
        <v>1149</v>
      </c>
      <c r="B16" s="9" t="s">
        <v>1144</v>
      </c>
      <c r="C16" s="58" t="s">
        <v>29</v>
      </c>
      <c r="D16" s="11" t="s">
        <v>1145</v>
      </c>
      <c r="E16" s="10">
        <v>26</v>
      </c>
      <c r="F16" s="58" t="s">
        <v>11</v>
      </c>
      <c r="G16" s="12">
        <v>632</v>
      </c>
      <c r="H16" s="12">
        <v>540</v>
      </c>
      <c r="I16" s="17" t="s">
        <v>1150</v>
      </c>
      <c r="J16" s="18">
        <v>44</v>
      </c>
      <c r="K16" s="19">
        <f t="shared" si="0"/>
        <v>276.49710000000005</v>
      </c>
      <c r="L16" s="20"/>
      <c r="M16" s="15">
        <v>25.39</v>
      </c>
      <c r="N16" s="15">
        <v>10.89</v>
      </c>
    </row>
    <row r="17" spans="1:14" s="15" customFormat="1" ht="20.25" customHeight="1" x14ac:dyDescent="0.15">
      <c r="A17" s="60"/>
      <c r="B17" s="9"/>
      <c r="C17" s="58"/>
      <c r="D17" s="11"/>
      <c r="E17" s="10"/>
      <c r="F17" s="58"/>
      <c r="G17" s="12"/>
      <c r="H17" s="12"/>
      <c r="I17" s="17"/>
      <c r="J17" s="18"/>
      <c r="K17" s="19">
        <f t="shared" si="0"/>
        <v>0</v>
      </c>
      <c r="L17" s="20"/>
      <c r="N17" s="15">
        <v>10.89</v>
      </c>
    </row>
    <row r="18" spans="1:14" s="15" customFormat="1" ht="20.25" customHeight="1" x14ac:dyDescent="0.15">
      <c r="A18" s="60"/>
      <c r="B18" s="9"/>
      <c r="C18" s="58"/>
      <c r="D18" s="11"/>
      <c r="E18" s="10"/>
      <c r="F18" s="58"/>
      <c r="G18" s="12"/>
      <c r="H18" s="12"/>
      <c r="I18" s="17"/>
      <c r="J18" s="18"/>
      <c r="K18" s="19">
        <f t="shared" si="0"/>
        <v>0</v>
      </c>
      <c r="L18" s="20"/>
      <c r="N18" s="15">
        <v>10.89</v>
      </c>
    </row>
    <row r="19" spans="1:14" s="15" customFormat="1" ht="20.25" customHeight="1" x14ac:dyDescent="0.15">
      <c r="A19" s="60"/>
      <c r="B19" s="9"/>
      <c r="C19" s="58"/>
      <c r="D19" s="11"/>
      <c r="E19" s="10"/>
      <c r="F19" s="58"/>
      <c r="G19" s="12"/>
      <c r="H19" s="12"/>
      <c r="I19" s="17"/>
      <c r="J19" s="18"/>
      <c r="K19" s="19">
        <f t="shared" si="0"/>
        <v>0</v>
      </c>
      <c r="L19" s="20"/>
      <c r="N19" s="15">
        <v>10.89</v>
      </c>
    </row>
    <row r="20" spans="1:14" s="15" customFormat="1" ht="20.25" customHeight="1" x14ac:dyDescent="0.15">
      <c r="A20" s="60"/>
      <c r="B20" s="9"/>
      <c r="C20" s="58"/>
      <c r="D20" s="11"/>
      <c r="E20" s="10"/>
      <c r="F20" s="58"/>
      <c r="G20" s="12"/>
      <c r="H20" s="12"/>
      <c r="I20" s="17"/>
      <c r="J20" s="18"/>
      <c r="K20" s="19">
        <f t="shared" si="0"/>
        <v>0</v>
      </c>
      <c r="L20" s="20"/>
      <c r="N20" s="15">
        <v>10.89</v>
      </c>
    </row>
    <row r="21" spans="1:14" s="15" customFormat="1" ht="20.25" customHeight="1" x14ac:dyDescent="0.15">
      <c r="A21" s="60"/>
      <c r="B21" s="9"/>
      <c r="C21" s="58"/>
      <c r="D21" s="11"/>
      <c r="E21" s="10"/>
      <c r="F21" s="58"/>
      <c r="G21" s="50"/>
      <c r="H21" s="50"/>
      <c r="I21" s="17"/>
      <c r="J21" s="18"/>
      <c r="K21" s="19">
        <f t="shared" si="0"/>
        <v>0</v>
      </c>
      <c r="L21" s="20"/>
      <c r="N21" s="15">
        <v>10.89</v>
      </c>
    </row>
    <row r="22" spans="1:14" s="15" customFormat="1" ht="20.25" customHeight="1" x14ac:dyDescent="0.15">
      <c r="A22" s="60"/>
      <c r="B22" s="9"/>
      <c r="C22" s="58"/>
      <c r="D22" s="11"/>
      <c r="E22" s="10"/>
      <c r="F22" s="58"/>
      <c r="G22" s="50"/>
      <c r="H22" s="50"/>
      <c r="I22" s="17"/>
      <c r="J22" s="18"/>
      <c r="K22" s="19">
        <f t="shared" si="0"/>
        <v>0</v>
      </c>
      <c r="L22" s="20"/>
      <c r="N22" s="15">
        <v>10.89</v>
      </c>
    </row>
    <row r="23" spans="1:14" ht="20.25" customHeight="1" x14ac:dyDescent="0.15">
      <c r="A23" s="60"/>
      <c r="B23" s="9"/>
      <c r="C23" s="58"/>
      <c r="D23" s="11"/>
      <c r="E23" s="10"/>
      <c r="F23" s="58"/>
      <c r="G23" s="16"/>
      <c r="H23" s="16"/>
      <c r="I23" s="17"/>
      <c r="J23" s="18"/>
      <c r="K23" s="19">
        <f t="shared" si="0"/>
        <v>0</v>
      </c>
      <c r="L23" s="20"/>
      <c r="N23" s="15">
        <v>10.89</v>
      </c>
    </row>
    <row r="24" spans="1:14" ht="20.25" customHeight="1" thickBot="1" x14ac:dyDescent="0.2">
      <c r="A24" s="56"/>
      <c r="B24" s="21"/>
      <c r="C24" s="59"/>
      <c r="D24" s="22"/>
      <c r="E24" s="23"/>
      <c r="F24" s="23"/>
      <c r="G24" s="24"/>
      <c r="H24" s="24"/>
      <c r="I24" s="25"/>
      <c r="J24" s="46">
        <f>SUM(J8:J23)</f>
        <v>391</v>
      </c>
      <c r="K24" s="47">
        <f>SUM(K8:K23)</f>
        <v>3072.1779000000001</v>
      </c>
      <c r="L24" s="26"/>
    </row>
    <row r="25" spans="1:14" ht="20.25" customHeight="1" thickTop="1" x14ac:dyDescent="0.15">
      <c r="A25" s="60" t="s">
        <v>1085</v>
      </c>
      <c r="B25" s="9" t="s">
        <v>173</v>
      </c>
      <c r="C25" s="58" t="s">
        <v>29</v>
      </c>
      <c r="D25" s="11" t="s">
        <v>279</v>
      </c>
      <c r="E25" s="10">
        <v>25.76</v>
      </c>
      <c r="F25" s="10" t="s">
        <v>11</v>
      </c>
      <c r="G25" s="12">
        <v>1445</v>
      </c>
      <c r="H25" s="12">
        <v>690</v>
      </c>
      <c r="I25" s="17" t="s">
        <v>875</v>
      </c>
      <c r="J25" s="18">
        <v>164</v>
      </c>
      <c r="K25" s="19">
        <f t="shared" ref="K25:K40" si="1">+M25*N25</f>
        <v>982.71360000000004</v>
      </c>
      <c r="L25" s="54"/>
      <c r="M25" s="3">
        <v>90.24</v>
      </c>
      <c r="N25" s="15">
        <v>10.89</v>
      </c>
    </row>
    <row r="26" spans="1:14" ht="20.25" customHeight="1" x14ac:dyDescent="0.15">
      <c r="A26" s="60"/>
      <c r="B26" s="9"/>
      <c r="C26" s="58" t="s">
        <v>29</v>
      </c>
      <c r="D26" s="11" t="s">
        <v>280</v>
      </c>
      <c r="E26" s="10">
        <v>46.76</v>
      </c>
      <c r="F26" s="10" t="s">
        <v>11</v>
      </c>
      <c r="G26" s="12">
        <v>886</v>
      </c>
      <c r="H26" s="12">
        <v>508</v>
      </c>
      <c r="I26" s="17" t="s">
        <v>1151</v>
      </c>
      <c r="J26" s="18">
        <v>20</v>
      </c>
      <c r="K26" s="19">
        <f t="shared" si="1"/>
        <v>95.832000000000008</v>
      </c>
      <c r="L26" s="54"/>
      <c r="M26" s="3">
        <v>8.8000000000000007</v>
      </c>
      <c r="N26" s="15">
        <v>10.89</v>
      </c>
    </row>
    <row r="27" spans="1:14" ht="20.25" customHeight="1" x14ac:dyDescent="0.15">
      <c r="A27" s="61" t="s">
        <v>1152</v>
      </c>
      <c r="B27" s="9" t="s">
        <v>101</v>
      </c>
      <c r="C27" s="58" t="s">
        <v>29</v>
      </c>
      <c r="D27" s="11" t="s">
        <v>332</v>
      </c>
      <c r="E27" s="10">
        <v>22</v>
      </c>
      <c r="F27" s="10"/>
      <c r="G27" s="12">
        <v>740</v>
      </c>
      <c r="H27" s="12">
        <v>805</v>
      </c>
      <c r="I27" s="17">
        <v>90</v>
      </c>
      <c r="J27" s="18">
        <v>90</v>
      </c>
      <c r="K27" s="19">
        <f t="shared" si="1"/>
        <v>588.06000000000006</v>
      </c>
      <c r="L27" s="54"/>
      <c r="M27" s="3">
        <v>54</v>
      </c>
      <c r="N27" s="15">
        <v>10.89</v>
      </c>
    </row>
    <row r="28" spans="1:14" ht="20.25" customHeight="1" x14ac:dyDescent="0.15">
      <c r="A28" s="61"/>
      <c r="B28" s="9"/>
      <c r="C28" s="58" t="s">
        <v>29</v>
      </c>
      <c r="D28" s="11" t="s">
        <v>331</v>
      </c>
      <c r="E28" s="10">
        <v>22</v>
      </c>
      <c r="F28" s="10"/>
      <c r="G28" s="12">
        <v>737</v>
      </c>
      <c r="H28" s="12">
        <v>1764</v>
      </c>
      <c r="I28" s="17" t="s">
        <v>1153</v>
      </c>
      <c r="J28" s="18">
        <v>144</v>
      </c>
      <c r="K28" s="19">
        <f t="shared" si="1"/>
        <v>1842.588</v>
      </c>
      <c r="L28" s="54"/>
      <c r="M28" s="3">
        <v>169.2</v>
      </c>
      <c r="N28" s="15">
        <v>10.89</v>
      </c>
    </row>
    <row r="29" spans="1:14" ht="20.25" customHeight="1" x14ac:dyDescent="0.15">
      <c r="A29" s="61" t="s">
        <v>1070</v>
      </c>
      <c r="B29" s="9" t="s">
        <v>145</v>
      </c>
      <c r="C29" s="58" t="s">
        <v>29</v>
      </c>
      <c r="D29" s="11" t="s">
        <v>1154</v>
      </c>
      <c r="E29" s="10">
        <v>43</v>
      </c>
      <c r="F29" s="10" t="s">
        <v>11</v>
      </c>
      <c r="G29" s="12">
        <v>1420</v>
      </c>
      <c r="H29" s="12">
        <v>1355</v>
      </c>
      <c r="I29" s="17" t="s">
        <v>1156</v>
      </c>
      <c r="J29" s="18">
        <f>8+46</f>
        <v>54</v>
      </c>
      <c r="K29" s="19">
        <f t="shared" si="1"/>
        <v>855.51840000000004</v>
      </c>
      <c r="L29" s="54"/>
      <c r="M29" s="3">
        <v>78.56</v>
      </c>
      <c r="N29" s="15">
        <v>10.89</v>
      </c>
    </row>
    <row r="30" spans="1:14" ht="20.25" customHeight="1" x14ac:dyDescent="0.15">
      <c r="A30" s="61"/>
      <c r="B30" s="9"/>
      <c r="C30" s="58" t="s">
        <v>29</v>
      </c>
      <c r="D30" s="11" t="s">
        <v>1155</v>
      </c>
      <c r="E30" s="10">
        <v>24</v>
      </c>
      <c r="F30" s="10" t="s">
        <v>11</v>
      </c>
      <c r="G30" s="12">
        <v>1093</v>
      </c>
      <c r="H30" s="12">
        <v>410</v>
      </c>
      <c r="I30" s="51">
        <v>1</v>
      </c>
      <c r="J30" s="52">
        <v>1</v>
      </c>
      <c r="K30" s="53">
        <f t="shared" si="1"/>
        <v>4.9005000000000001</v>
      </c>
      <c r="L30" s="54"/>
      <c r="M30" s="3">
        <v>0.45</v>
      </c>
      <c r="N30" s="15">
        <v>10.89</v>
      </c>
    </row>
    <row r="31" spans="1:14" ht="20.25" customHeight="1" x14ac:dyDescent="0.15">
      <c r="A31" s="61"/>
      <c r="B31" s="9"/>
      <c r="C31" s="58"/>
      <c r="D31" s="11"/>
      <c r="E31" s="10"/>
      <c r="F31" s="10"/>
      <c r="G31" s="12"/>
      <c r="H31" s="12"/>
      <c r="I31" s="51"/>
      <c r="J31" s="52"/>
      <c r="K31" s="53">
        <f t="shared" si="1"/>
        <v>0</v>
      </c>
      <c r="L31" s="54"/>
      <c r="N31" s="15">
        <v>10.89</v>
      </c>
    </row>
    <row r="32" spans="1:14" ht="20.25" customHeight="1" x14ac:dyDescent="0.15">
      <c r="A32" s="60"/>
      <c r="B32" s="9"/>
      <c r="C32" s="58"/>
      <c r="D32" s="11"/>
      <c r="E32" s="10"/>
      <c r="F32" s="10"/>
      <c r="G32" s="12"/>
      <c r="H32" s="12"/>
      <c r="I32" s="17"/>
      <c r="J32" s="18"/>
      <c r="K32" s="19">
        <f t="shared" si="1"/>
        <v>0</v>
      </c>
      <c r="L32" s="27"/>
      <c r="N32" s="15">
        <v>10.89</v>
      </c>
    </row>
    <row r="33" spans="1:14" ht="20.25" customHeight="1" x14ac:dyDescent="0.15">
      <c r="A33" s="60"/>
      <c r="B33" s="9"/>
      <c r="C33" s="58"/>
      <c r="D33" s="11"/>
      <c r="E33" s="10"/>
      <c r="F33" s="10"/>
      <c r="G33" s="12"/>
      <c r="H33" s="12"/>
      <c r="I33" s="17"/>
      <c r="J33" s="18"/>
      <c r="K33" s="19">
        <f t="shared" si="1"/>
        <v>0</v>
      </c>
      <c r="L33" s="27"/>
      <c r="N33" s="15">
        <v>10.89</v>
      </c>
    </row>
    <row r="34" spans="1:14" ht="20.25" customHeight="1" x14ac:dyDescent="0.15">
      <c r="A34" s="60"/>
      <c r="B34" s="9"/>
      <c r="C34" s="58"/>
      <c r="D34" s="11"/>
      <c r="E34" s="10"/>
      <c r="F34" s="10"/>
      <c r="G34" s="12"/>
      <c r="H34" s="12"/>
      <c r="I34" s="17"/>
      <c r="J34" s="18"/>
      <c r="K34" s="19">
        <f t="shared" si="1"/>
        <v>0</v>
      </c>
      <c r="L34" s="27"/>
      <c r="N34" s="15">
        <v>10.89</v>
      </c>
    </row>
    <row r="35" spans="1:14" ht="20.25" customHeight="1" x14ac:dyDescent="0.15">
      <c r="A35" s="60"/>
      <c r="B35" s="9"/>
      <c r="C35" s="58"/>
      <c r="D35" s="11"/>
      <c r="E35" s="10"/>
      <c r="F35" s="10"/>
      <c r="G35" s="12"/>
      <c r="H35" s="12"/>
      <c r="I35" s="17"/>
      <c r="J35" s="18"/>
      <c r="K35" s="19">
        <f t="shared" si="1"/>
        <v>0</v>
      </c>
      <c r="L35" s="27"/>
      <c r="N35" s="15">
        <v>10.89</v>
      </c>
    </row>
    <row r="36" spans="1:14" ht="20.25" customHeight="1" x14ac:dyDescent="0.15">
      <c r="A36" s="60"/>
      <c r="B36" s="9"/>
      <c r="C36" s="58"/>
      <c r="D36" s="11"/>
      <c r="E36" s="10"/>
      <c r="F36" s="10"/>
      <c r="G36" s="12"/>
      <c r="H36" s="12"/>
      <c r="I36" s="17"/>
      <c r="J36" s="18"/>
      <c r="K36" s="19">
        <f t="shared" si="1"/>
        <v>0</v>
      </c>
      <c r="L36" s="27"/>
      <c r="N36" s="15">
        <v>10.89</v>
      </c>
    </row>
    <row r="37" spans="1:14" ht="20.25" customHeight="1" x14ac:dyDescent="0.15">
      <c r="A37" s="60"/>
      <c r="B37" s="9"/>
      <c r="C37" s="58"/>
      <c r="D37" s="11"/>
      <c r="E37" s="10"/>
      <c r="F37" s="10"/>
      <c r="G37" s="12"/>
      <c r="H37" s="12"/>
      <c r="I37" s="17"/>
      <c r="J37" s="18"/>
      <c r="K37" s="19">
        <f t="shared" si="1"/>
        <v>0</v>
      </c>
      <c r="L37" s="27"/>
      <c r="N37" s="15">
        <v>10.89</v>
      </c>
    </row>
    <row r="38" spans="1:14" ht="20.25" customHeight="1" x14ac:dyDescent="0.15">
      <c r="A38" s="60"/>
      <c r="B38" s="9"/>
      <c r="C38" s="58"/>
      <c r="D38" s="11"/>
      <c r="E38" s="10"/>
      <c r="F38" s="10"/>
      <c r="G38" s="12"/>
      <c r="H38" s="12"/>
      <c r="I38" s="17"/>
      <c r="J38" s="18"/>
      <c r="K38" s="19">
        <f t="shared" si="1"/>
        <v>0</v>
      </c>
      <c r="L38" s="27"/>
      <c r="N38" s="15">
        <v>10.89</v>
      </c>
    </row>
    <row r="39" spans="1:14" ht="20.25" customHeight="1" x14ac:dyDescent="0.15">
      <c r="A39" s="60"/>
      <c r="B39" s="9"/>
      <c r="C39" s="58"/>
      <c r="D39" s="11"/>
      <c r="E39" s="10"/>
      <c r="F39" s="10"/>
      <c r="G39" s="12"/>
      <c r="H39" s="12"/>
      <c r="I39" s="17"/>
      <c r="J39" s="18"/>
      <c r="K39" s="19">
        <f t="shared" si="1"/>
        <v>0</v>
      </c>
      <c r="L39" s="27"/>
      <c r="N39" s="15">
        <v>10.89</v>
      </c>
    </row>
    <row r="40" spans="1:14" ht="20.25" customHeight="1" x14ac:dyDescent="0.15">
      <c r="A40" s="60"/>
      <c r="B40" s="9"/>
      <c r="C40" s="58"/>
      <c r="D40" s="11"/>
      <c r="E40" s="10"/>
      <c r="F40" s="10"/>
      <c r="G40" s="12"/>
      <c r="H40" s="12"/>
      <c r="I40" s="17"/>
      <c r="J40" s="18"/>
      <c r="K40" s="19">
        <f t="shared" si="1"/>
        <v>0</v>
      </c>
      <c r="L40" s="27"/>
      <c r="N40" s="15">
        <v>10.89</v>
      </c>
    </row>
    <row r="41" spans="1:14" ht="20.25" customHeight="1" x14ac:dyDescent="0.15">
      <c r="A41" s="57"/>
      <c r="B41" s="28"/>
      <c r="C41" s="10"/>
      <c r="D41" s="29"/>
      <c r="E41" s="30"/>
      <c r="F41" s="30"/>
      <c r="G41" s="30"/>
      <c r="H41" s="30"/>
      <c r="I41" s="13"/>
      <c r="J41" s="48">
        <f>SUM(J25:J40)</f>
        <v>473</v>
      </c>
      <c r="K41" s="49">
        <f>SUM(K25:K40)</f>
        <v>4369.6125000000002</v>
      </c>
      <c r="L41" s="31"/>
      <c r="N41" s="32"/>
    </row>
    <row r="42" spans="1:14" ht="20.25" customHeight="1" thickBot="1" x14ac:dyDescent="0.2">
      <c r="A42" s="55"/>
      <c r="B42" s="33"/>
      <c r="C42" s="33"/>
      <c r="D42" s="33"/>
      <c r="E42" s="33"/>
      <c r="F42" s="33"/>
      <c r="G42" s="33"/>
      <c r="H42" s="33"/>
      <c r="I42" s="33"/>
      <c r="J42" s="34"/>
      <c r="K42" s="35"/>
      <c r="L42" s="36"/>
    </row>
    <row r="43" spans="1:14" ht="20.25" customHeight="1" thickBot="1" x14ac:dyDescent="0.2">
      <c r="A43" s="37" t="s">
        <v>19</v>
      </c>
      <c r="B43" s="38" t="s">
        <v>20</v>
      </c>
      <c r="C43" s="77" t="s">
        <v>21</v>
      </c>
      <c r="D43" s="79"/>
      <c r="E43" s="77" t="s">
        <v>22</v>
      </c>
      <c r="F43" s="78"/>
      <c r="G43" s="79"/>
      <c r="H43" s="85" t="s">
        <v>23</v>
      </c>
      <c r="I43" s="86"/>
      <c r="J43" s="77" t="s">
        <v>24</v>
      </c>
      <c r="K43" s="79"/>
      <c r="L43" s="39" t="s">
        <v>13</v>
      </c>
    </row>
    <row r="44" spans="1:14" ht="20.25" customHeight="1" thickBot="1" x14ac:dyDescent="0.2">
      <c r="A44" s="40">
        <f>SUMIF($C$8:$C$42,"U1",$J$8:$J$42)</f>
        <v>0</v>
      </c>
      <c r="B44" s="41">
        <f>SUMIF($C$8:$C$42,"U2",$J$8:$J$42)</f>
        <v>0</v>
      </c>
      <c r="C44" s="77">
        <f>SUMIF($C$8:$C$42,"U3-1",$J$8:$J$42)</f>
        <v>0</v>
      </c>
      <c r="D44" s="79"/>
      <c r="E44" s="77">
        <f>SUMIF($C$8:$C$42,"U3",$J$8:$J$42)</f>
        <v>864</v>
      </c>
      <c r="F44" s="78"/>
      <c r="G44" s="79"/>
      <c r="H44" s="77">
        <f>SUMIF($C$8:$C$42,"E5",$J$8:$J$42)</f>
        <v>0</v>
      </c>
      <c r="I44" s="79"/>
      <c r="J44" s="77">
        <f>SUM(A44:I44)</f>
        <v>864</v>
      </c>
      <c r="K44" s="79"/>
      <c r="L44" s="42"/>
    </row>
    <row r="45" spans="1:14" ht="20.25" customHeight="1" thickBot="1" x14ac:dyDescent="0.2">
      <c r="A45" s="43" t="s">
        <v>25</v>
      </c>
      <c r="B45" s="44" t="s">
        <v>26</v>
      </c>
      <c r="C45" s="75">
        <v>13876</v>
      </c>
      <c r="D45" s="76"/>
      <c r="E45" s="77" t="s">
        <v>27</v>
      </c>
      <c r="F45" s="78"/>
      <c r="G45" s="78"/>
      <c r="H45" s="78"/>
      <c r="I45" s="79"/>
      <c r="J45" s="80">
        <v>146744.37</v>
      </c>
      <c r="K45" s="81"/>
      <c r="L45" s="82"/>
    </row>
    <row r="47" spans="1:14" x14ac:dyDescent="0.15">
      <c r="D47" s="45"/>
    </row>
  </sheetData>
  <mergeCells count="26">
    <mergeCell ref="C45:D45"/>
    <mergeCell ref="E45:I45"/>
    <mergeCell ref="J45:L45"/>
    <mergeCell ref="L6:L7"/>
    <mergeCell ref="C43:D43"/>
    <mergeCell ref="E43:G43"/>
    <mergeCell ref="H43:I43"/>
    <mergeCell ref="J43:K43"/>
    <mergeCell ref="C44:D44"/>
    <mergeCell ref="E44:G44"/>
    <mergeCell ref="H44:I44"/>
    <mergeCell ref="J44:K44"/>
    <mergeCell ref="B5:G5"/>
    <mergeCell ref="A6:A7"/>
    <mergeCell ref="B6:B7"/>
    <mergeCell ref="C6:C7"/>
    <mergeCell ref="D6:D7"/>
    <mergeCell ref="E6:E7"/>
    <mergeCell ref="F6:F7"/>
    <mergeCell ref="G6:K6"/>
    <mergeCell ref="L2:L4"/>
    <mergeCell ref="A1:G3"/>
    <mergeCell ref="H1:H4"/>
    <mergeCell ref="I2:I4"/>
    <mergeCell ref="J2:J4"/>
    <mergeCell ref="K2:K4"/>
  </mergeCells>
  <phoneticPr fontId="2" type="noConversion"/>
  <printOptions horizontalCentered="1"/>
  <pageMargins left="0.39370078740157483" right="0.39370078740157483" top="0.74803149606299213" bottom="0.19685039370078741" header="0.31496062992125984" footer="0.15748031496062992"/>
  <pageSetup paperSize="9" scale="84" orientation="portrait"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N47"/>
  <sheetViews>
    <sheetView view="pageBreakPreview" topLeftCell="A10" zoomScaleSheetLayoutView="100" workbookViewId="0">
      <selection activeCell="B30" sqref="B30:E31"/>
    </sheetView>
  </sheetViews>
  <sheetFormatPr defaultColWidth="8.88671875" defaultRowHeight="13.5" x14ac:dyDescent="0.15"/>
  <cols>
    <col min="1" max="1" width="8.44140625" style="3" customWidth="1"/>
    <col min="2" max="2" width="14.77734375" style="3" customWidth="1"/>
    <col min="3" max="3" width="4.109375" style="3" customWidth="1"/>
    <col min="4" max="4" width="15.21875" style="3" customWidth="1"/>
    <col min="5" max="5" width="4.44140625" style="3" customWidth="1"/>
    <col min="6" max="6" width="4" style="3" customWidth="1"/>
    <col min="7" max="7" width="5.5546875" style="3" customWidth="1"/>
    <col min="8" max="8" width="5.44140625" style="3" customWidth="1"/>
    <col min="9" max="9" width="7.88671875" style="3" customWidth="1"/>
    <col min="10" max="10" width="7.109375" style="3" customWidth="1"/>
    <col min="11" max="11" width="7.21875" style="3" customWidth="1"/>
    <col min="12" max="12" width="6.77734375" style="3" customWidth="1"/>
    <col min="13" max="16384" width="8.88671875" style="3"/>
  </cols>
  <sheetData>
    <row r="1" spans="1:14" ht="18.75" customHeight="1" x14ac:dyDescent="0.15">
      <c r="A1" s="101" t="s">
        <v>0</v>
      </c>
      <c r="B1" s="102"/>
      <c r="C1" s="102"/>
      <c r="D1" s="102"/>
      <c r="E1" s="102"/>
      <c r="F1" s="102"/>
      <c r="G1" s="103"/>
      <c r="H1" s="107" t="s">
        <v>1</v>
      </c>
      <c r="I1" s="1" t="s">
        <v>2</v>
      </c>
      <c r="J1" s="1" t="s">
        <v>2</v>
      </c>
      <c r="K1" s="1" t="s">
        <v>3</v>
      </c>
      <c r="L1" s="2" t="s">
        <v>4</v>
      </c>
    </row>
    <row r="2" spans="1:14" ht="13.5" customHeight="1" x14ac:dyDescent="0.15">
      <c r="A2" s="104"/>
      <c r="B2" s="105"/>
      <c r="C2" s="105"/>
      <c r="D2" s="105"/>
      <c r="E2" s="105"/>
      <c r="F2" s="105"/>
      <c r="G2" s="106"/>
      <c r="H2" s="108"/>
      <c r="I2" s="110"/>
      <c r="J2" s="110"/>
      <c r="K2" s="110"/>
      <c r="L2" s="98"/>
    </row>
    <row r="3" spans="1:14" ht="13.5" customHeight="1" x14ac:dyDescent="0.15">
      <c r="A3" s="104"/>
      <c r="B3" s="105"/>
      <c r="C3" s="105"/>
      <c r="D3" s="105"/>
      <c r="E3" s="105"/>
      <c r="F3" s="105"/>
      <c r="G3" s="106"/>
      <c r="H3" s="108"/>
      <c r="I3" s="108"/>
      <c r="J3" s="108"/>
      <c r="K3" s="108"/>
      <c r="L3" s="99"/>
    </row>
    <row r="4" spans="1:14" ht="33" customHeight="1" x14ac:dyDescent="0.15">
      <c r="A4" s="4"/>
      <c r="B4" s="5"/>
      <c r="C4" s="5"/>
      <c r="D4" s="5"/>
      <c r="E4" s="5"/>
      <c r="F4" s="5"/>
      <c r="G4" s="5"/>
      <c r="H4" s="109"/>
      <c r="I4" s="109"/>
      <c r="J4" s="109"/>
      <c r="K4" s="109"/>
      <c r="L4" s="100"/>
    </row>
    <row r="5" spans="1:14" ht="17.25" customHeight="1" x14ac:dyDescent="0.15">
      <c r="A5" s="6" t="s">
        <v>5</v>
      </c>
      <c r="B5" s="87">
        <v>46078</v>
      </c>
      <c r="C5" s="88"/>
      <c r="D5" s="88"/>
      <c r="E5" s="88"/>
      <c r="F5" s="88"/>
      <c r="G5" s="88"/>
      <c r="H5" s="5"/>
      <c r="I5" s="5"/>
      <c r="J5" s="5"/>
      <c r="K5" s="5"/>
      <c r="L5" s="7"/>
    </row>
    <row r="6" spans="1:14" ht="13.5" customHeight="1" x14ac:dyDescent="0.15">
      <c r="A6" s="89" t="s">
        <v>6</v>
      </c>
      <c r="B6" s="91" t="s">
        <v>7</v>
      </c>
      <c r="C6" s="91" t="s">
        <v>8</v>
      </c>
      <c r="D6" s="91" t="s">
        <v>9</v>
      </c>
      <c r="E6" s="93" t="s">
        <v>10</v>
      </c>
      <c r="F6" s="93" t="s">
        <v>11</v>
      </c>
      <c r="G6" s="95" t="s">
        <v>12</v>
      </c>
      <c r="H6" s="96"/>
      <c r="I6" s="96"/>
      <c r="J6" s="96"/>
      <c r="K6" s="97"/>
      <c r="L6" s="83" t="s">
        <v>13</v>
      </c>
    </row>
    <row r="7" spans="1:14" x14ac:dyDescent="0.15">
      <c r="A7" s="90"/>
      <c r="B7" s="92"/>
      <c r="C7" s="92"/>
      <c r="D7" s="92"/>
      <c r="E7" s="94"/>
      <c r="F7" s="94"/>
      <c r="G7" s="8" t="s">
        <v>14</v>
      </c>
      <c r="H7" s="8" t="s">
        <v>15</v>
      </c>
      <c r="I7" s="8" t="s">
        <v>16</v>
      </c>
      <c r="J7" s="8" t="s">
        <v>17</v>
      </c>
      <c r="K7" s="8" t="s">
        <v>18</v>
      </c>
      <c r="L7" s="84"/>
    </row>
    <row r="8" spans="1:14" s="15" customFormat="1" ht="20.25" customHeight="1" x14ac:dyDescent="0.15">
      <c r="A8" s="60" t="s">
        <v>1157</v>
      </c>
      <c r="B8" s="9" t="s">
        <v>183</v>
      </c>
      <c r="C8" s="58" t="s">
        <v>29</v>
      </c>
      <c r="D8" s="11" t="s">
        <v>304</v>
      </c>
      <c r="E8" s="10">
        <v>28</v>
      </c>
      <c r="F8" s="58" t="s">
        <v>11</v>
      </c>
      <c r="G8" s="12">
        <v>1845</v>
      </c>
      <c r="H8" s="12">
        <v>3305</v>
      </c>
      <c r="I8" s="17" t="s">
        <v>1158</v>
      </c>
      <c r="J8" s="18">
        <v>30</v>
      </c>
      <c r="K8" s="19">
        <f>+M8*N8</f>
        <v>1992.8700000000001</v>
      </c>
      <c r="L8" s="14"/>
      <c r="M8" s="15">
        <v>183</v>
      </c>
      <c r="N8" s="15">
        <v>10.89</v>
      </c>
    </row>
    <row r="9" spans="1:14" s="15" customFormat="1" ht="20.25" customHeight="1" x14ac:dyDescent="0.15">
      <c r="A9" s="60" t="s">
        <v>1159</v>
      </c>
      <c r="B9" s="9" t="s">
        <v>183</v>
      </c>
      <c r="C9" s="58" t="s">
        <v>29</v>
      </c>
      <c r="D9" s="11" t="s">
        <v>1160</v>
      </c>
      <c r="E9" s="10">
        <v>26</v>
      </c>
      <c r="F9" s="58" t="s">
        <v>11</v>
      </c>
      <c r="G9" s="12">
        <v>1845</v>
      </c>
      <c r="H9" s="12">
        <v>3305</v>
      </c>
      <c r="I9" s="17" t="s">
        <v>1161</v>
      </c>
      <c r="J9" s="18">
        <v>8</v>
      </c>
      <c r="K9" s="19">
        <f t="shared" ref="K9:K23" si="0">+M9*N9</f>
        <v>531.43200000000002</v>
      </c>
      <c r="L9" s="14"/>
      <c r="M9" s="15">
        <v>48.8</v>
      </c>
      <c r="N9" s="15">
        <v>10.89</v>
      </c>
    </row>
    <row r="10" spans="1:14" s="15" customFormat="1" ht="20.25" customHeight="1" x14ac:dyDescent="0.15">
      <c r="A10" s="60" t="s">
        <v>1162</v>
      </c>
      <c r="B10" s="9" t="s">
        <v>183</v>
      </c>
      <c r="C10" s="58" t="s">
        <v>29</v>
      </c>
      <c r="D10" s="11" t="s">
        <v>304</v>
      </c>
      <c r="E10" s="10">
        <v>28</v>
      </c>
      <c r="F10" s="58" t="s">
        <v>11</v>
      </c>
      <c r="G10" s="12">
        <v>1877</v>
      </c>
      <c r="H10" s="12">
        <v>3305</v>
      </c>
      <c r="I10" s="17" t="s">
        <v>1163</v>
      </c>
      <c r="J10" s="18">
        <v>15</v>
      </c>
      <c r="K10" s="19">
        <f t="shared" si="0"/>
        <v>854.10270000000014</v>
      </c>
      <c r="L10" s="14"/>
      <c r="M10" s="15">
        <v>78.430000000000007</v>
      </c>
      <c r="N10" s="15">
        <v>10.89</v>
      </c>
    </row>
    <row r="11" spans="1:14" s="15" customFormat="1" ht="20.25" customHeight="1" x14ac:dyDescent="0.15">
      <c r="A11" s="60"/>
      <c r="B11" s="9"/>
      <c r="C11" s="58" t="s">
        <v>29</v>
      </c>
      <c r="D11" s="11" t="s">
        <v>1160</v>
      </c>
      <c r="E11" s="10">
        <v>26</v>
      </c>
      <c r="F11" s="58" t="s">
        <v>11</v>
      </c>
      <c r="G11" s="12">
        <v>1852</v>
      </c>
      <c r="H11" s="12">
        <v>3305</v>
      </c>
      <c r="I11" s="17" t="s">
        <v>1164</v>
      </c>
      <c r="J11" s="18">
        <v>7</v>
      </c>
      <c r="K11" s="19">
        <f t="shared" si="0"/>
        <v>461.08260000000007</v>
      </c>
      <c r="L11" s="14"/>
      <c r="M11" s="15">
        <v>42.34</v>
      </c>
      <c r="N11" s="15">
        <v>10.89</v>
      </c>
    </row>
    <row r="12" spans="1:14" s="15" customFormat="1" ht="20.25" customHeight="1" x14ac:dyDescent="0.15">
      <c r="A12" s="60" t="s">
        <v>1165</v>
      </c>
      <c r="B12" s="9" t="s">
        <v>183</v>
      </c>
      <c r="C12" s="58" t="s">
        <v>29</v>
      </c>
      <c r="D12" s="11" t="s">
        <v>1160</v>
      </c>
      <c r="E12" s="10">
        <v>26</v>
      </c>
      <c r="F12" s="58" t="s">
        <v>11</v>
      </c>
      <c r="G12" s="12">
        <v>1763</v>
      </c>
      <c r="H12" s="12">
        <v>3305</v>
      </c>
      <c r="I12" s="17">
        <v>1</v>
      </c>
      <c r="J12" s="18">
        <v>1</v>
      </c>
      <c r="K12" s="19">
        <f t="shared" si="0"/>
        <v>63.488700000000001</v>
      </c>
      <c r="L12" s="14"/>
      <c r="M12" s="15">
        <v>5.83</v>
      </c>
      <c r="N12" s="15">
        <v>10.89</v>
      </c>
    </row>
    <row r="13" spans="1:14" s="15" customFormat="1" ht="20.25" customHeight="1" x14ac:dyDescent="0.15">
      <c r="A13" s="60" t="s">
        <v>1166</v>
      </c>
      <c r="B13" s="9" t="s">
        <v>183</v>
      </c>
      <c r="C13" s="58" t="s">
        <v>29</v>
      </c>
      <c r="D13" s="11" t="s">
        <v>1160</v>
      </c>
      <c r="E13" s="10">
        <v>26</v>
      </c>
      <c r="F13" s="58" t="s">
        <v>11</v>
      </c>
      <c r="G13" s="12">
        <v>1892</v>
      </c>
      <c r="H13" s="12">
        <v>3305</v>
      </c>
      <c r="I13" s="17">
        <v>1</v>
      </c>
      <c r="J13" s="18">
        <v>1</v>
      </c>
      <c r="K13" s="19">
        <f t="shared" si="0"/>
        <v>68.0625</v>
      </c>
      <c r="L13" s="14"/>
      <c r="M13" s="15">
        <v>6.25</v>
      </c>
      <c r="N13" s="15">
        <v>10.89</v>
      </c>
    </row>
    <row r="14" spans="1:14" s="15" customFormat="1" ht="20.25" customHeight="1" x14ac:dyDescent="0.15">
      <c r="A14" s="60" t="s">
        <v>1167</v>
      </c>
      <c r="B14" s="9" t="s">
        <v>183</v>
      </c>
      <c r="C14" s="58" t="s">
        <v>29</v>
      </c>
      <c r="D14" s="11" t="s">
        <v>304</v>
      </c>
      <c r="E14" s="10">
        <v>28</v>
      </c>
      <c r="F14" s="58" t="s">
        <v>11</v>
      </c>
      <c r="G14" s="12">
        <v>1785</v>
      </c>
      <c r="H14" s="12">
        <v>3305</v>
      </c>
      <c r="I14" s="17">
        <v>21</v>
      </c>
      <c r="J14" s="18">
        <v>21</v>
      </c>
      <c r="K14" s="19">
        <f t="shared" si="0"/>
        <v>1349.2710000000002</v>
      </c>
      <c r="L14" s="20"/>
      <c r="M14" s="15">
        <v>123.9</v>
      </c>
      <c r="N14" s="15">
        <v>10.89</v>
      </c>
    </row>
    <row r="15" spans="1:14" s="15" customFormat="1" ht="20.25" customHeight="1" x14ac:dyDescent="0.15">
      <c r="A15" s="60" t="s">
        <v>1168</v>
      </c>
      <c r="B15" s="9" t="s">
        <v>183</v>
      </c>
      <c r="C15" s="58" t="s">
        <v>29</v>
      </c>
      <c r="D15" s="11" t="s">
        <v>304</v>
      </c>
      <c r="E15" s="10">
        <v>28</v>
      </c>
      <c r="F15" s="58" t="s">
        <v>11</v>
      </c>
      <c r="G15" s="12">
        <v>1785</v>
      </c>
      <c r="H15" s="12">
        <v>3305</v>
      </c>
      <c r="I15" s="17" t="s">
        <v>1169</v>
      </c>
      <c r="J15" s="18">
        <v>18</v>
      </c>
      <c r="K15" s="19">
        <f t="shared" si="0"/>
        <v>903.54330000000004</v>
      </c>
      <c r="L15" s="20"/>
      <c r="M15" s="15">
        <v>82.97</v>
      </c>
      <c r="N15" s="15">
        <v>10.89</v>
      </c>
    </row>
    <row r="16" spans="1:14" s="15" customFormat="1" ht="20.25" customHeight="1" x14ac:dyDescent="0.15">
      <c r="A16" s="60"/>
      <c r="B16" s="9"/>
      <c r="C16" s="58"/>
      <c r="D16" s="11"/>
      <c r="E16" s="10"/>
      <c r="F16" s="58"/>
      <c r="G16" s="12"/>
      <c r="H16" s="12"/>
      <c r="I16" s="17"/>
      <c r="J16" s="18"/>
      <c r="K16" s="19">
        <f t="shared" si="0"/>
        <v>0</v>
      </c>
      <c r="L16" s="20"/>
      <c r="N16" s="15">
        <v>10.89</v>
      </c>
    </row>
    <row r="17" spans="1:14" s="15" customFormat="1" ht="20.25" customHeight="1" x14ac:dyDescent="0.15">
      <c r="A17" s="60"/>
      <c r="B17" s="9"/>
      <c r="C17" s="58"/>
      <c r="D17" s="11"/>
      <c r="E17" s="10"/>
      <c r="F17" s="58"/>
      <c r="G17" s="12"/>
      <c r="H17" s="12"/>
      <c r="I17" s="17"/>
      <c r="J17" s="18"/>
      <c r="K17" s="19">
        <f t="shared" si="0"/>
        <v>0</v>
      </c>
      <c r="L17" s="20"/>
      <c r="N17" s="15">
        <v>10.89</v>
      </c>
    </row>
    <row r="18" spans="1:14" s="15" customFormat="1" ht="20.25" customHeight="1" x14ac:dyDescent="0.15">
      <c r="A18" s="60"/>
      <c r="B18" s="9"/>
      <c r="C18" s="58"/>
      <c r="D18" s="11"/>
      <c r="E18" s="10"/>
      <c r="F18" s="58"/>
      <c r="G18" s="12"/>
      <c r="H18" s="12"/>
      <c r="I18" s="17"/>
      <c r="J18" s="18"/>
      <c r="K18" s="19">
        <f t="shared" si="0"/>
        <v>0</v>
      </c>
      <c r="L18" s="20"/>
      <c r="N18" s="15">
        <v>10.89</v>
      </c>
    </row>
    <row r="19" spans="1:14" s="15" customFormat="1" ht="20.25" customHeight="1" x14ac:dyDescent="0.15">
      <c r="A19" s="60"/>
      <c r="B19" s="9"/>
      <c r="C19" s="58"/>
      <c r="D19" s="11"/>
      <c r="E19" s="10"/>
      <c r="F19" s="58"/>
      <c r="G19" s="12"/>
      <c r="H19" s="12"/>
      <c r="I19" s="17"/>
      <c r="J19" s="18"/>
      <c r="K19" s="19">
        <f t="shared" si="0"/>
        <v>0</v>
      </c>
      <c r="L19" s="20"/>
      <c r="N19" s="15">
        <v>10.89</v>
      </c>
    </row>
    <row r="20" spans="1:14" s="15" customFormat="1" ht="20.25" customHeight="1" x14ac:dyDescent="0.15">
      <c r="A20" s="60"/>
      <c r="B20" s="9"/>
      <c r="C20" s="58"/>
      <c r="D20" s="11"/>
      <c r="E20" s="10"/>
      <c r="F20" s="58"/>
      <c r="G20" s="12"/>
      <c r="H20" s="12"/>
      <c r="I20" s="17"/>
      <c r="J20" s="18"/>
      <c r="K20" s="19">
        <f t="shared" si="0"/>
        <v>0</v>
      </c>
      <c r="L20" s="20"/>
      <c r="N20" s="15">
        <v>10.89</v>
      </c>
    </row>
    <row r="21" spans="1:14" s="15" customFormat="1" ht="20.25" customHeight="1" x14ac:dyDescent="0.15">
      <c r="A21" s="60"/>
      <c r="B21" s="9"/>
      <c r="C21" s="58"/>
      <c r="D21" s="11"/>
      <c r="E21" s="10"/>
      <c r="F21" s="58"/>
      <c r="G21" s="50"/>
      <c r="H21" s="50"/>
      <c r="I21" s="17"/>
      <c r="J21" s="18"/>
      <c r="K21" s="19">
        <f t="shared" si="0"/>
        <v>0</v>
      </c>
      <c r="L21" s="20"/>
      <c r="N21" s="15">
        <v>10.89</v>
      </c>
    </row>
    <row r="22" spans="1:14" s="15" customFormat="1" ht="20.25" customHeight="1" x14ac:dyDescent="0.15">
      <c r="A22" s="60"/>
      <c r="B22" s="9"/>
      <c r="C22" s="58"/>
      <c r="D22" s="11"/>
      <c r="E22" s="10"/>
      <c r="F22" s="58"/>
      <c r="G22" s="50"/>
      <c r="H22" s="50"/>
      <c r="I22" s="17"/>
      <c r="J22" s="18"/>
      <c r="K22" s="19">
        <f t="shared" si="0"/>
        <v>0</v>
      </c>
      <c r="L22" s="20"/>
      <c r="N22" s="15">
        <v>10.89</v>
      </c>
    </row>
    <row r="23" spans="1:14" ht="20.25" customHeight="1" x14ac:dyDescent="0.15">
      <c r="A23" s="60"/>
      <c r="B23" s="9"/>
      <c r="C23" s="58"/>
      <c r="D23" s="11"/>
      <c r="E23" s="10"/>
      <c r="F23" s="58"/>
      <c r="G23" s="16"/>
      <c r="H23" s="16"/>
      <c r="I23" s="17"/>
      <c r="J23" s="18"/>
      <c r="K23" s="19">
        <f t="shared" si="0"/>
        <v>0</v>
      </c>
      <c r="L23" s="20"/>
      <c r="N23" s="15">
        <v>10.89</v>
      </c>
    </row>
    <row r="24" spans="1:14" ht="20.25" customHeight="1" thickBot="1" x14ac:dyDescent="0.2">
      <c r="A24" s="56"/>
      <c r="B24" s="21"/>
      <c r="C24" s="59"/>
      <c r="D24" s="22"/>
      <c r="E24" s="23"/>
      <c r="F24" s="23"/>
      <c r="G24" s="24"/>
      <c r="H24" s="24"/>
      <c r="I24" s="25"/>
      <c r="J24" s="46">
        <f>SUM(J8:J23)</f>
        <v>101</v>
      </c>
      <c r="K24" s="47">
        <f>SUM(K8:K23)</f>
        <v>6223.8528000000006</v>
      </c>
      <c r="L24" s="26"/>
    </row>
    <row r="25" spans="1:14" ht="20.25" customHeight="1" thickTop="1" x14ac:dyDescent="0.15">
      <c r="A25" s="60" t="s">
        <v>1170</v>
      </c>
      <c r="B25" s="9" t="s">
        <v>138</v>
      </c>
      <c r="C25" s="58" t="s">
        <v>29</v>
      </c>
      <c r="D25" s="11" t="s">
        <v>372</v>
      </c>
      <c r="E25" s="10">
        <v>24</v>
      </c>
      <c r="F25" s="10"/>
      <c r="G25" s="12">
        <v>775</v>
      </c>
      <c r="H25" s="12">
        <v>1890</v>
      </c>
      <c r="I25" s="17" t="s">
        <v>1171</v>
      </c>
      <c r="J25" s="18">
        <v>80</v>
      </c>
      <c r="K25" s="19">
        <f t="shared" ref="K25:K40" si="1">+M25*N25</f>
        <v>887.53500000000008</v>
      </c>
      <c r="L25" s="54"/>
      <c r="M25" s="3">
        <v>81.5</v>
      </c>
      <c r="N25" s="15">
        <v>10.89</v>
      </c>
    </row>
    <row r="26" spans="1:14" ht="20.25" customHeight="1" x14ac:dyDescent="0.15">
      <c r="A26" s="60"/>
      <c r="B26" s="9"/>
      <c r="C26" s="58" t="s">
        <v>29</v>
      </c>
      <c r="D26" s="11" t="s">
        <v>224</v>
      </c>
      <c r="E26" s="10">
        <v>22</v>
      </c>
      <c r="F26" s="10" t="s">
        <v>11</v>
      </c>
      <c r="G26" s="12">
        <v>618</v>
      </c>
      <c r="H26" s="12">
        <v>1890</v>
      </c>
      <c r="I26" s="17">
        <v>10</v>
      </c>
      <c r="J26" s="18">
        <v>10</v>
      </c>
      <c r="K26" s="19">
        <f t="shared" si="1"/>
        <v>127.413</v>
      </c>
      <c r="L26" s="54"/>
      <c r="M26" s="3">
        <v>11.7</v>
      </c>
      <c r="N26" s="15">
        <v>10.89</v>
      </c>
    </row>
    <row r="27" spans="1:14" ht="20.25" customHeight="1" x14ac:dyDescent="0.15">
      <c r="A27" s="61" t="s">
        <v>1172</v>
      </c>
      <c r="B27" s="9" t="s">
        <v>101</v>
      </c>
      <c r="C27" s="58" t="s">
        <v>29</v>
      </c>
      <c r="D27" s="11" t="s">
        <v>332</v>
      </c>
      <c r="E27" s="10">
        <v>22</v>
      </c>
      <c r="F27" s="10"/>
      <c r="G27" s="12">
        <v>740</v>
      </c>
      <c r="H27" s="12">
        <v>805</v>
      </c>
      <c r="I27" s="17" t="s">
        <v>1173</v>
      </c>
      <c r="J27" s="18">
        <v>294</v>
      </c>
      <c r="K27" s="19">
        <f t="shared" si="1"/>
        <v>1834.7472</v>
      </c>
      <c r="L27" s="54"/>
      <c r="M27" s="3">
        <v>168.48</v>
      </c>
      <c r="N27" s="15">
        <v>10.89</v>
      </c>
    </row>
    <row r="28" spans="1:14" ht="20.25" customHeight="1" x14ac:dyDescent="0.15">
      <c r="A28" s="61" t="s">
        <v>1174</v>
      </c>
      <c r="B28" s="9" t="s">
        <v>1175</v>
      </c>
      <c r="C28" s="58" t="s">
        <v>29</v>
      </c>
      <c r="D28" s="11" t="s">
        <v>1009</v>
      </c>
      <c r="E28" s="10">
        <v>24</v>
      </c>
      <c r="F28" s="10" t="s">
        <v>11</v>
      </c>
      <c r="G28" s="12">
        <v>665</v>
      </c>
      <c r="H28" s="12">
        <v>937</v>
      </c>
      <c r="I28" s="17" t="s">
        <v>1177</v>
      </c>
      <c r="J28" s="18">
        <v>51</v>
      </c>
      <c r="K28" s="19">
        <f t="shared" si="1"/>
        <v>316.24560000000002</v>
      </c>
      <c r="L28" s="54"/>
      <c r="M28" s="3">
        <v>29.04</v>
      </c>
      <c r="N28" s="15">
        <v>10.89</v>
      </c>
    </row>
    <row r="29" spans="1:14" ht="20.25" customHeight="1" x14ac:dyDescent="0.15">
      <c r="A29" s="61"/>
      <c r="B29" s="9"/>
      <c r="C29" s="58" t="s">
        <v>29</v>
      </c>
      <c r="D29" s="11" t="s">
        <v>1176</v>
      </c>
      <c r="E29" s="10">
        <v>39</v>
      </c>
      <c r="F29" s="10" t="s">
        <v>11</v>
      </c>
      <c r="G29" s="12">
        <v>1612</v>
      </c>
      <c r="H29" s="12">
        <v>1694</v>
      </c>
      <c r="I29" s="17" t="s">
        <v>1178</v>
      </c>
      <c r="J29" s="18">
        <v>23</v>
      </c>
      <c r="K29" s="19">
        <f t="shared" si="1"/>
        <v>620.83889999999997</v>
      </c>
      <c r="L29" s="54"/>
      <c r="M29" s="3">
        <v>57.01</v>
      </c>
      <c r="N29" s="15">
        <v>10.89</v>
      </c>
    </row>
    <row r="30" spans="1:14" ht="20.25" customHeight="1" x14ac:dyDescent="0.15">
      <c r="A30" s="61" t="s">
        <v>1179</v>
      </c>
      <c r="B30" s="9" t="s">
        <v>131</v>
      </c>
      <c r="C30" s="58" t="s">
        <v>29</v>
      </c>
      <c r="D30" s="11" t="s">
        <v>155</v>
      </c>
      <c r="E30" s="10">
        <v>22</v>
      </c>
      <c r="F30" s="10" t="s">
        <v>11</v>
      </c>
      <c r="G30" s="12">
        <v>1434</v>
      </c>
      <c r="H30" s="12">
        <v>1927</v>
      </c>
      <c r="I30" s="51" t="s">
        <v>1180</v>
      </c>
      <c r="J30" s="52">
        <v>10</v>
      </c>
      <c r="K30" s="53">
        <f t="shared" si="1"/>
        <v>137.3229</v>
      </c>
      <c r="L30" s="54"/>
      <c r="M30" s="3">
        <v>12.61</v>
      </c>
      <c r="N30" s="15">
        <v>10.89</v>
      </c>
    </row>
    <row r="31" spans="1:14" ht="20.25" customHeight="1" x14ac:dyDescent="0.15">
      <c r="A31" s="61"/>
      <c r="B31" s="9"/>
      <c r="C31" s="58" t="s">
        <v>29</v>
      </c>
      <c r="D31" s="11" t="s">
        <v>156</v>
      </c>
      <c r="E31" s="10">
        <v>22</v>
      </c>
      <c r="F31" s="10" t="s">
        <v>11</v>
      </c>
      <c r="G31" s="12">
        <v>1434</v>
      </c>
      <c r="H31" s="12">
        <v>1927</v>
      </c>
      <c r="I31" s="51" t="s">
        <v>1181</v>
      </c>
      <c r="J31" s="52">
        <v>5</v>
      </c>
      <c r="K31" s="53">
        <f t="shared" si="1"/>
        <v>68.171400000000006</v>
      </c>
      <c r="L31" s="54"/>
      <c r="M31" s="3">
        <v>6.26</v>
      </c>
      <c r="N31" s="15">
        <v>10.89</v>
      </c>
    </row>
    <row r="32" spans="1:14" ht="20.25" customHeight="1" x14ac:dyDescent="0.15">
      <c r="A32" s="60" t="s">
        <v>1182</v>
      </c>
      <c r="B32" s="9" t="s">
        <v>131</v>
      </c>
      <c r="C32" s="58" t="s">
        <v>29</v>
      </c>
      <c r="D32" s="11" t="s">
        <v>155</v>
      </c>
      <c r="E32" s="10">
        <v>22</v>
      </c>
      <c r="F32" s="10" t="s">
        <v>11</v>
      </c>
      <c r="G32" s="12">
        <v>614</v>
      </c>
      <c r="H32" s="12">
        <v>383</v>
      </c>
      <c r="I32" s="17">
        <v>16</v>
      </c>
      <c r="J32" s="18">
        <v>16</v>
      </c>
      <c r="K32" s="19">
        <f t="shared" si="1"/>
        <v>48.787200000000006</v>
      </c>
      <c r="L32" s="27"/>
      <c r="M32" s="3">
        <v>4.4800000000000004</v>
      </c>
      <c r="N32" s="15">
        <v>10.89</v>
      </c>
    </row>
    <row r="33" spans="1:14" ht="20.25" customHeight="1" x14ac:dyDescent="0.15">
      <c r="A33" s="60"/>
      <c r="B33" s="9"/>
      <c r="C33" s="58" t="s">
        <v>29</v>
      </c>
      <c r="D33" s="11" t="s">
        <v>156</v>
      </c>
      <c r="E33" s="10">
        <v>22</v>
      </c>
      <c r="F33" s="10" t="s">
        <v>11</v>
      </c>
      <c r="G33" s="12">
        <v>614</v>
      </c>
      <c r="H33" s="12">
        <v>383</v>
      </c>
      <c r="I33" s="17">
        <v>16</v>
      </c>
      <c r="J33" s="18">
        <v>16</v>
      </c>
      <c r="K33" s="19">
        <f t="shared" si="1"/>
        <v>48.787200000000006</v>
      </c>
      <c r="L33" s="27"/>
      <c r="M33" s="3">
        <v>4.4800000000000004</v>
      </c>
      <c r="N33" s="15">
        <v>10.89</v>
      </c>
    </row>
    <row r="34" spans="1:14" ht="20.25" customHeight="1" x14ac:dyDescent="0.15">
      <c r="A34" s="60"/>
      <c r="B34" s="9"/>
      <c r="C34" s="58"/>
      <c r="D34" s="11"/>
      <c r="E34" s="10"/>
      <c r="F34" s="10"/>
      <c r="G34" s="12"/>
      <c r="H34" s="12"/>
      <c r="I34" s="17"/>
      <c r="J34" s="18"/>
      <c r="K34" s="19">
        <f t="shared" si="1"/>
        <v>0</v>
      </c>
      <c r="L34" s="27"/>
      <c r="N34" s="15">
        <v>10.89</v>
      </c>
    </row>
    <row r="35" spans="1:14" ht="20.25" customHeight="1" x14ac:dyDescent="0.15">
      <c r="A35" s="60"/>
      <c r="B35" s="9"/>
      <c r="C35" s="58"/>
      <c r="D35" s="11"/>
      <c r="E35" s="10"/>
      <c r="F35" s="10"/>
      <c r="G35" s="12"/>
      <c r="H35" s="12"/>
      <c r="I35" s="17"/>
      <c r="J35" s="18"/>
      <c r="K35" s="19">
        <f t="shared" si="1"/>
        <v>0</v>
      </c>
      <c r="L35" s="27"/>
      <c r="N35" s="15">
        <v>10.89</v>
      </c>
    </row>
    <row r="36" spans="1:14" ht="20.25" customHeight="1" x14ac:dyDescent="0.15">
      <c r="A36" s="60"/>
      <c r="B36" s="9"/>
      <c r="C36" s="58"/>
      <c r="D36" s="11"/>
      <c r="E36" s="10"/>
      <c r="F36" s="10"/>
      <c r="G36" s="12"/>
      <c r="H36" s="12"/>
      <c r="I36" s="17"/>
      <c r="J36" s="18"/>
      <c r="K36" s="19">
        <f t="shared" si="1"/>
        <v>0</v>
      </c>
      <c r="L36" s="27"/>
      <c r="N36" s="15">
        <v>10.89</v>
      </c>
    </row>
    <row r="37" spans="1:14" ht="20.25" customHeight="1" x14ac:dyDescent="0.15">
      <c r="A37" s="60"/>
      <c r="B37" s="9"/>
      <c r="C37" s="58"/>
      <c r="D37" s="11"/>
      <c r="E37" s="10"/>
      <c r="F37" s="10"/>
      <c r="G37" s="12"/>
      <c r="H37" s="12"/>
      <c r="I37" s="17"/>
      <c r="J37" s="18"/>
      <c r="K37" s="19">
        <f t="shared" si="1"/>
        <v>0</v>
      </c>
      <c r="L37" s="27"/>
      <c r="N37" s="15">
        <v>10.89</v>
      </c>
    </row>
    <row r="38" spans="1:14" ht="20.25" customHeight="1" x14ac:dyDescent="0.15">
      <c r="A38" s="60"/>
      <c r="B38" s="9"/>
      <c r="C38" s="58"/>
      <c r="D38" s="11"/>
      <c r="E38" s="10"/>
      <c r="F38" s="10"/>
      <c r="G38" s="12"/>
      <c r="H38" s="12"/>
      <c r="I38" s="17"/>
      <c r="J38" s="18"/>
      <c r="K38" s="19">
        <f t="shared" si="1"/>
        <v>0</v>
      </c>
      <c r="L38" s="27"/>
      <c r="N38" s="15">
        <v>10.89</v>
      </c>
    </row>
    <row r="39" spans="1:14" ht="20.25" customHeight="1" x14ac:dyDescent="0.15">
      <c r="A39" s="60"/>
      <c r="B39" s="9"/>
      <c r="C39" s="58"/>
      <c r="D39" s="11"/>
      <c r="E39" s="10"/>
      <c r="F39" s="10"/>
      <c r="G39" s="12"/>
      <c r="H39" s="12"/>
      <c r="I39" s="17"/>
      <c r="J39" s="18"/>
      <c r="K39" s="19">
        <f t="shared" si="1"/>
        <v>0</v>
      </c>
      <c r="L39" s="27"/>
      <c r="N39" s="15">
        <v>10.89</v>
      </c>
    </row>
    <row r="40" spans="1:14" ht="20.25" customHeight="1" x14ac:dyDescent="0.15">
      <c r="A40" s="60"/>
      <c r="B40" s="9"/>
      <c r="C40" s="58"/>
      <c r="D40" s="11"/>
      <c r="E40" s="10"/>
      <c r="F40" s="10"/>
      <c r="G40" s="12"/>
      <c r="H40" s="12"/>
      <c r="I40" s="17"/>
      <c r="J40" s="18"/>
      <c r="K40" s="19">
        <f t="shared" si="1"/>
        <v>0</v>
      </c>
      <c r="L40" s="27"/>
      <c r="N40" s="15">
        <v>10.89</v>
      </c>
    </row>
    <row r="41" spans="1:14" ht="20.25" customHeight="1" x14ac:dyDescent="0.15">
      <c r="A41" s="57"/>
      <c r="B41" s="28"/>
      <c r="C41" s="10"/>
      <c r="D41" s="29"/>
      <c r="E41" s="30"/>
      <c r="F41" s="30"/>
      <c r="G41" s="30"/>
      <c r="H41" s="30"/>
      <c r="I41" s="13"/>
      <c r="J41" s="48">
        <f>SUM(J25:J40)</f>
        <v>505</v>
      </c>
      <c r="K41" s="49">
        <f>SUM(K25:K40)</f>
        <v>4089.8484000000008</v>
      </c>
      <c r="L41" s="31"/>
      <c r="N41" s="32"/>
    </row>
    <row r="42" spans="1:14" ht="20.25" customHeight="1" thickBot="1" x14ac:dyDescent="0.2">
      <c r="A42" s="55"/>
      <c r="B42" s="33"/>
      <c r="C42" s="33"/>
      <c r="D42" s="33"/>
      <c r="E42" s="33"/>
      <c r="F42" s="33"/>
      <c r="G42" s="33"/>
      <c r="H42" s="33"/>
      <c r="I42" s="33"/>
      <c r="J42" s="34"/>
      <c r="K42" s="35"/>
      <c r="L42" s="36"/>
    </row>
    <row r="43" spans="1:14" ht="20.25" customHeight="1" thickBot="1" x14ac:dyDescent="0.2">
      <c r="A43" s="37" t="s">
        <v>19</v>
      </c>
      <c r="B43" s="38" t="s">
        <v>20</v>
      </c>
      <c r="C43" s="77" t="s">
        <v>21</v>
      </c>
      <c r="D43" s="79"/>
      <c r="E43" s="77" t="s">
        <v>22</v>
      </c>
      <c r="F43" s="78"/>
      <c r="G43" s="79"/>
      <c r="H43" s="85" t="s">
        <v>23</v>
      </c>
      <c r="I43" s="86"/>
      <c r="J43" s="77" t="s">
        <v>24</v>
      </c>
      <c r="K43" s="79"/>
      <c r="L43" s="39" t="s">
        <v>13</v>
      </c>
    </row>
    <row r="44" spans="1:14" ht="20.25" customHeight="1" thickBot="1" x14ac:dyDescent="0.2">
      <c r="A44" s="40">
        <f>SUMIF($C$8:$C$42,"U1",$J$8:$J$42)</f>
        <v>0</v>
      </c>
      <c r="B44" s="41">
        <f>SUMIF($C$8:$C$42,"U2",$J$8:$J$42)</f>
        <v>0</v>
      </c>
      <c r="C44" s="77">
        <f>SUMIF($C$8:$C$42,"U3-1",$J$8:$J$42)</f>
        <v>0</v>
      </c>
      <c r="D44" s="79"/>
      <c r="E44" s="77">
        <f>SUMIF($C$8:$C$42,"U3",$J$8:$J$42)</f>
        <v>606</v>
      </c>
      <c r="F44" s="78"/>
      <c r="G44" s="79"/>
      <c r="H44" s="77">
        <f>SUMIF($C$8:$C$42,"E5",$J$8:$J$42)</f>
        <v>0</v>
      </c>
      <c r="I44" s="79"/>
      <c r="J44" s="77">
        <f>SUM(A44:I44)</f>
        <v>606</v>
      </c>
      <c r="K44" s="79"/>
      <c r="L44" s="42"/>
    </row>
    <row r="45" spans="1:14" ht="20.25" customHeight="1" thickBot="1" x14ac:dyDescent="0.2">
      <c r="A45" s="43" t="s">
        <v>25</v>
      </c>
      <c r="B45" s="44" t="s">
        <v>26</v>
      </c>
      <c r="C45" s="75">
        <v>13876</v>
      </c>
      <c r="D45" s="76"/>
      <c r="E45" s="77" t="s">
        <v>27</v>
      </c>
      <c r="F45" s="78"/>
      <c r="G45" s="78"/>
      <c r="H45" s="78"/>
      <c r="I45" s="79"/>
      <c r="J45" s="80">
        <v>146744.37</v>
      </c>
      <c r="K45" s="81"/>
      <c r="L45" s="82"/>
    </row>
    <row r="47" spans="1:14" x14ac:dyDescent="0.15">
      <c r="D47" s="45"/>
    </row>
  </sheetData>
  <mergeCells count="26">
    <mergeCell ref="C45:D45"/>
    <mergeCell ref="E45:I45"/>
    <mergeCell ref="J45:L45"/>
    <mergeCell ref="L6:L7"/>
    <mergeCell ref="C43:D43"/>
    <mergeCell ref="E43:G43"/>
    <mergeCell ref="H43:I43"/>
    <mergeCell ref="J43:K43"/>
    <mergeCell ref="C44:D44"/>
    <mergeCell ref="E44:G44"/>
    <mergeCell ref="H44:I44"/>
    <mergeCell ref="J44:K44"/>
    <mergeCell ref="B5:G5"/>
    <mergeCell ref="A6:A7"/>
    <mergeCell ref="B6:B7"/>
    <mergeCell ref="C6:C7"/>
    <mergeCell ref="D6:D7"/>
    <mergeCell ref="E6:E7"/>
    <mergeCell ref="F6:F7"/>
    <mergeCell ref="G6:K6"/>
    <mergeCell ref="L2:L4"/>
    <mergeCell ref="A1:G3"/>
    <mergeCell ref="H1:H4"/>
    <mergeCell ref="I2:I4"/>
    <mergeCell ref="J2:J4"/>
    <mergeCell ref="K2:K4"/>
  </mergeCells>
  <phoneticPr fontId="2" type="noConversion"/>
  <printOptions horizontalCentered="1"/>
  <pageMargins left="0.39370078740157483" right="0.39370078740157483" top="0.74803149606299213" bottom="0.19685039370078741" header="0.31496062992125984" footer="0.15748031496062992"/>
  <pageSetup paperSize="9" scale="84" orientation="portrait"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N47"/>
  <sheetViews>
    <sheetView view="pageBreakPreview" topLeftCell="A10" zoomScaleSheetLayoutView="100" workbookViewId="0">
      <selection activeCell="G22" sqref="G22"/>
    </sheetView>
  </sheetViews>
  <sheetFormatPr defaultColWidth="8.88671875" defaultRowHeight="13.5" x14ac:dyDescent="0.15"/>
  <cols>
    <col min="1" max="1" width="8.44140625" style="3" customWidth="1"/>
    <col min="2" max="2" width="14.77734375" style="3" customWidth="1"/>
    <col min="3" max="3" width="4.109375" style="3" customWidth="1"/>
    <col min="4" max="4" width="15.21875" style="3" customWidth="1"/>
    <col min="5" max="5" width="4.44140625" style="3" customWidth="1"/>
    <col min="6" max="6" width="4" style="3" customWidth="1"/>
    <col min="7" max="7" width="5.5546875" style="3" customWidth="1"/>
    <col min="8" max="8" width="5.44140625" style="3" customWidth="1"/>
    <col min="9" max="9" width="7.88671875" style="3" customWidth="1"/>
    <col min="10" max="10" width="7.109375" style="3" customWidth="1"/>
    <col min="11" max="11" width="7.21875" style="3" customWidth="1"/>
    <col min="12" max="12" width="6.77734375" style="3" customWidth="1"/>
    <col min="13" max="16384" width="8.88671875" style="3"/>
  </cols>
  <sheetData>
    <row r="1" spans="1:14" ht="18.75" customHeight="1" x14ac:dyDescent="0.15">
      <c r="A1" s="101" t="s">
        <v>0</v>
      </c>
      <c r="B1" s="102"/>
      <c r="C1" s="102"/>
      <c r="D1" s="102"/>
      <c r="E1" s="102"/>
      <c r="F1" s="102"/>
      <c r="G1" s="103"/>
      <c r="H1" s="107" t="s">
        <v>1</v>
      </c>
      <c r="I1" s="1" t="s">
        <v>2</v>
      </c>
      <c r="J1" s="1" t="s">
        <v>2</v>
      </c>
      <c r="K1" s="1" t="s">
        <v>3</v>
      </c>
      <c r="L1" s="2" t="s">
        <v>4</v>
      </c>
    </row>
    <row r="2" spans="1:14" ht="13.5" customHeight="1" x14ac:dyDescent="0.15">
      <c r="A2" s="104"/>
      <c r="B2" s="105"/>
      <c r="C2" s="105"/>
      <c r="D2" s="105"/>
      <c r="E2" s="105"/>
      <c r="F2" s="105"/>
      <c r="G2" s="106"/>
      <c r="H2" s="108"/>
      <c r="I2" s="110"/>
      <c r="J2" s="110"/>
      <c r="K2" s="110"/>
      <c r="L2" s="98"/>
    </row>
    <row r="3" spans="1:14" ht="13.5" customHeight="1" x14ac:dyDescent="0.15">
      <c r="A3" s="104"/>
      <c r="B3" s="105"/>
      <c r="C3" s="105"/>
      <c r="D3" s="105"/>
      <c r="E3" s="105"/>
      <c r="F3" s="105"/>
      <c r="G3" s="106"/>
      <c r="H3" s="108"/>
      <c r="I3" s="108"/>
      <c r="J3" s="108"/>
      <c r="K3" s="108"/>
      <c r="L3" s="99"/>
    </row>
    <row r="4" spans="1:14" ht="33" customHeight="1" x14ac:dyDescent="0.15">
      <c r="A4" s="4"/>
      <c r="B4" s="5"/>
      <c r="C4" s="5"/>
      <c r="D4" s="5"/>
      <c r="E4" s="5"/>
      <c r="F4" s="5"/>
      <c r="G4" s="5"/>
      <c r="H4" s="109"/>
      <c r="I4" s="109"/>
      <c r="J4" s="109"/>
      <c r="K4" s="109"/>
      <c r="L4" s="100"/>
    </row>
    <row r="5" spans="1:14" ht="17.25" customHeight="1" x14ac:dyDescent="0.15">
      <c r="A5" s="6" t="s">
        <v>5</v>
      </c>
      <c r="B5" s="87">
        <v>46079</v>
      </c>
      <c r="C5" s="88"/>
      <c r="D5" s="88"/>
      <c r="E5" s="88"/>
      <c r="F5" s="88"/>
      <c r="G5" s="88"/>
      <c r="H5" s="5"/>
      <c r="I5" s="5"/>
      <c r="J5" s="5"/>
      <c r="K5" s="5"/>
      <c r="L5" s="7"/>
    </row>
    <row r="6" spans="1:14" ht="13.5" customHeight="1" x14ac:dyDescent="0.15">
      <c r="A6" s="89" t="s">
        <v>6</v>
      </c>
      <c r="B6" s="91" t="s">
        <v>7</v>
      </c>
      <c r="C6" s="91" t="s">
        <v>8</v>
      </c>
      <c r="D6" s="91" t="s">
        <v>9</v>
      </c>
      <c r="E6" s="93" t="s">
        <v>10</v>
      </c>
      <c r="F6" s="93" t="s">
        <v>11</v>
      </c>
      <c r="G6" s="95" t="s">
        <v>12</v>
      </c>
      <c r="H6" s="96"/>
      <c r="I6" s="96"/>
      <c r="J6" s="96"/>
      <c r="K6" s="97"/>
      <c r="L6" s="83" t="s">
        <v>13</v>
      </c>
    </row>
    <row r="7" spans="1:14" x14ac:dyDescent="0.15">
      <c r="A7" s="90"/>
      <c r="B7" s="92"/>
      <c r="C7" s="92"/>
      <c r="D7" s="92"/>
      <c r="E7" s="94"/>
      <c r="F7" s="94"/>
      <c r="G7" s="8" t="s">
        <v>14</v>
      </c>
      <c r="H7" s="8" t="s">
        <v>15</v>
      </c>
      <c r="I7" s="8" t="s">
        <v>16</v>
      </c>
      <c r="J7" s="8" t="s">
        <v>17</v>
      </c>
      <c r="K7" s="8" t="s">
        <v>18</v>
      </c>
      <c r="L7" s="84"/>
    </row>
    <row r="8" spans="1:14" s="15" customFormat="1" ht="20.25" customHeight="1" x14ac:dyDescent="0.15">
      <c r="A8" s="60" t="s">
        <v>1183</v>
      </c>
      <c r="B8" s="9" t="s">
        <v>183</v>
      </c>
      <c r="C8" s="58" t="s">
        <v>29</v>
      </c>
      <c r="D8" s="11" t="s">
        <v>304</v>
      </c>
      <c r="E8" s="10">
        <v>28</v>
      </c>
      <c r="F8" s="58" t="s">
        <v>11</v>
      </c>
      <c r="G8" s="12">
        <v>1795</v>
      </c>
      <c r="H8" s="12">
        <v>3305</v>
      </c>
      <c r="I8" s="17" t="s">
        <v>1184</v>
      </c>
      <c r="J8" s="18">
        <v>13</v>
      </c>
      <c r="K8" s="19">
        <f>+M8*N8</f>
        <v>647.62829999999997</v>
      </c>
      <c r="L8" s="14"/>
      <c r="M8" s="15">
        <v>59.47</v>
      </c>
      <c r="N8" s="15">
        <v>10.89</v>
      </c>
    </row>
    <row r="9" spans="1:14" s="15" customFormat="1" ht="20.25" customHeight="1" x14ac:dyDescent="0.15">
      <c r="A9" s="60" t="s">
        <v>1185</v>
      </c>
      <c r="B9" s="9" t="s">
        <v>173</v>
      </c>
      <c r="C9" s="58" t="s">
        <v>29</v>
      </c>
      <c r="D9" s="11" t="s">
        <v>188</v>
      </c>
      <c r="E9" s="10">
        <v>22</v>
      </c>
      <c r="F9" s="58"/>
      <c r="G9" s="12">
        <v>1440</v>
      </c>
      <c r="H9" s="12">
        <v>1238</v>
      </c>
      <c r="I9" s="17" t="s">
        <v>1186</v>
      </c>
      <c r="J9" s="18">
        <v>20</v>
      </c>
      <c r="K9" s="19">
        <f t="shared" ref="K9:K23" si="0">+M9*N9</f>
        <v>215.62200000000001</v>
      </c>
      <c r="L9" s="14"/>
      <c r="M9" s="15">
        <v>19.8</v>
      </c>
      <c r="N9" s="15">
        <v>10.89</v>
      </c>
    </row>
    <row r="10" spans="1:14" s="15" customFormat="1" ht="20.25" customHeight="1" x14ac:dyDescent="0.15">
      <c r="A10" s="60" t="s">
        <v>1187</v>
      </c>
      <c r="B10" s="9" t="s">
        <v>173</v>
      </c>
      <c r="C10" s="58" t="s">
        <v>29</v>
      </c>
      <c r="D10" s="11" t="s">
        <v>188</v>
      </c>
      <c r="E10" s="10">
        <v>22</v>
      </c>
      <c r="F10" s="58"/>
      <c r="G10" s="12">
        <v>1967</v>
      </c>
      <c r="H10" s="12">
        <v>1238</v>
      </c>
      <c r="I10" s="17" t="s">
        <v>1188</v>
      </c>
      <c r="J10" s="18">
        <v>12</v>
      </c>
      <c r="K10" s="19">
        <f t="shared" si="0"/>
        <v>209.08799999999999</v>
      </c>
      <c r="L10" s="14"/>
      <c r="M10" s="15">
        <v>19.2</v>
      </c>
      <c r="N10" s="15">
        <v>10.89</v>
      </c>
    </row>
    <row r="11" spans="1:14" s="15" customFormat="1" ht="20.25" customHeight="1" x14ac:dyDescent="0.15">
      <c r="A11" s="60"/>
      <c r="B11" s="9"/>
      <c r="C11" s="58" t="s">
        <v>29</v>
      </c>
      <c r="D11" s="11" t="s">
        <v>195</v>
      </c>
      <c r="E11" s="10">
        <v>22</v>
      </c>
      <c r="F11" s="58"/>
      <c r="G11" s="12">
        <v>754</v>
      </c>
      <c r="H11" s="12">
        <v>1967</v>
      </c>
      <c r="I11" s="17" t="s">
        <v>1189</v>
      </c>
      <c r="J11" s="18">
        <f>12+108</f>
        <v>120</v>
      </c>
      <c r="K11" s="19">
        <f t="shared" si="0"/>
        <v>1132.9956000000002</v>
      </c>
      <c r="L11" s="14"/>
      <c r="M11" s="15">
        <v>104.04</v>
      </c>
      <c r="N11" s="15">
        <v>10.89</v>
      </c>
    </row>
    <row r="12" spans="1:14" s="15" customFormat="1" ht="20.25" customHeight="1" x14ac:dyDescent="0.15">
      <c r="A12" s="60" t="s">
        <v>1190</v>
      </c>
      <c r="B12" s="9" t="s">
        <v>173</v>
      </c>
      <c r="C12" s="58" t="s">
        <v>29</v>
      </c>
      <c r="D12" s="11" t="s">
        <v>188</v>
      </c>
      <c r="E12" s="10">
        <v>22</v>
      </c>
      <c r="F12" s="58"/>
      <c r="G12" s="12">
        <v>1665</v>
      </c>
      <c r="H12" s="12">
        <v>1238</v>
      </c>
      <c r="I12" s="17" t="s">
        <v>1188</v>
      </c>
      <c r="J12" s="18">
        <v>12</v>
      </c>
      <c r="K12" s="19">
        <f t="shared" si="0"/>
        <v>184.25880000000004</v>
      </c>
      <c r="L12" s="14"/>
      <c r="M12" s="15">
        <v>16.920000000000002</v>
      </c>
      <c r="N12" s="15">
        <v>10.89</v>
      </c>
    </row>
    <row r="13" spans="1:14" s="15" customFormat="1" ht="20.25" customHeight="1" x14ac:dyDescent="0.15">
      <c r="A13" s="60" t="s">
        <v>1191</v>
      </c>
      <c r="B13" s="9" t="s">
        <v>173</v>
      </c>
      <c r="C13" s="58" t="s">
        <v>29</v>
      </c>
      <c r="D13" s="11" t="s">
        <v>188</v>
      </c>
      <c r="E13" s="10">
        <v>22</v>
      </c>
      <c r="F13" s="58"/>
      <c r="G13" s="12">
        <v>1440</v>
      </c>
      <c r="H13" s="12">
        <v>1238</v>
      </c>
      <c r="I13" s="17" t="s">
        <v>1192</v>
      </c>
      <c r="J13" s="18">
        <v>35</v>
      </c>
      <c r="K13" s="19">
        <f t="shared" si="0"/>
        <v>411.85980000000001</v>
      </c>
      <c r="L13" s="14"/>
      <c r="M13" s="15">
        <v>37.82</v>
      </c>
      <c r="N13" s="15">
        <v>10.89</v>
      </c>
    </row>
    <row r="14" spans="1:14" s="15" customFormat="1" ht="20.25" customHeight="1" x14ac:dyDescent="0.15">
      <c r="A14" s="60"/>
      <c r="B14" s="9"/>
      <c r="C14" s="58" t="s">
        <v>29</v>
      </c>
      <c r="D14" s="11" t="s">
        <v>195</v>
      </c>
      <c r="E14" s="10">
        <v>22</v>
      </c>
      <c r="F14" s="58"/>
      <c r="G14" s="12">
        <v>754</v>
      </c>
      <c r="H14" s="12">
        <v>1967</v>
      </c>
      <c r="I14" s="17" t="s">
        <v>1193</v>
      </c>
      <c r="J14" s="18">
        <v>103</v>
      </c>
      <c r="K14" s="19">
        <f t="shared" si="0"/>
        <v>1627.0749000000001</v>
      </c>
      <c r="L14" s="20"/>
      <c r="M14" s="15">
        <v>149.41</v>
      </c>
      <c r="N14" s="15">
        <v>10.89</v>
      </c>
    </row>
    <row r="15" spans="1:14" s="15" customFormat="1" ht="20.25" customHeight="1" x14ac:dyDescent="0.15">
      <c r="A15" s="60" t="s">
        <v>1194</v>
      </c>
      <c r="B15" s="9" t="s">
        <v>183</v>
      </c>
      <c r="C15" s="58" t="s">
        <v>29</v>
      </c>
      <c r="D15" s="11" t="s">
        <v>1059</v>
      </c>
      <c r="E15" s="10">
        <v>28</v>
      </c>
      <c r="F15" s="58" t="s">
        <v>11</v>
      </c>
      <c r="G15" s="12">
        <v>1870</v>
      </c>
      <c r="H15" s="12">
        <v>3305</v>
      </c>
      <c r="I15" s="17" t="s">
        <v>1195</v>
      </c>
      <c r="J15" s="18">
        <v>8</v>
      </c>
      <c r="K15" s="19">
        <f t="shared" si="0"/>
        <v>369.71550000000008</v>
      </c>
      <c r="L15" s="20"/>
      <c r="M15" s="15">
        <v>33.950000000000003</v>
      </c>
      <c r="N15" s="15">
        <v>10.89</v>
      </c>
    </row>
    <row r="16" spans="1:14" s="15" customFormat="1" ht="20.25" customHeight="1" x14ac:dyDescent="0.15">
      <c r="A16" s="60"/>
      <c r="B16" s="9"/>
      <c r="C16" s="58" t="s">
        <v>29</v>
      </c>
      <c r="D16" s="11" t="s">
        <v>304</v>
      </c>
      <c r="E16" s="10">
        <v>28</v>
      </c>
      <c r="F16" s="58" t="s">
        <v>11</v>
      </c>
      <c r="G16" s="12">
        <v>1932</v>
      </c>
      <c r="H16" s="12">
        <v>3305</v>
      </c>
      <c r="I16" s="17" t="s">
        <v>1195</v>
      </c>
      <c r="J16" s="18">
        <v>8</v>
      </c>
      <c r="K16" s="19">
        <f t="shared" si="0"/>
        <v>433.74869999999999</v>
      </c>
      <c r="L16" s="20"/>
      <c r="M16" s="15">
        <v>39.83</v>
      </c>
      <c r="N16" s="15">
        <v>10.89</v>
      </c>
    </row>
    <row r="17" spans="1:14" s="15" customFormat="1" ht="20.25" customHeight="1" x14ac:dyDescent="0.15">
      <c r="A17" s="60" t="s">
        <v>1196</v>
      </c>
      <c r="B17" s="9" t="s">
        <v>1144</v>
      </c>
      <c r="C17" s="58" t="s">
        <v>29</v>
      </c>
      <c r="D17" s="11" t="s">
        <v>1145</v>
      </c>
      <c r="E17" s="10">
        <v>26</v>
      </c>
      <c r="F17" s="58" t="s">
        <v>11</v>
      </c>
      <c r="G17" s="12">
        <v>632</v>
      </c>
      <c r="H17" s="12">
        <v>540</v>
      </c>
      <c r="I17" s="17">
        <v>2</v>
      </c>
      <c r="J17" s="18">
        <v>2</v>
      </c>
      <c r="K17" s="19">
        <f t="shared" si="0"/>
        <v>7.4052000000000007</v>
      </c>
      <c r="L17" s="20"/>
      <c r="M17" s="15">
        <v>0.68</v>
      </c>
      <c r="N17" s="15">
        <v>10.89</v>
      </c>
    </row>
    <row r="18" spans="1:14" s="15" customFormat="1" ht="20.25" customHeight="1" x14ac:dyDescent="0.15">
      <c r="A18" s="60" t="s">
        <v>1147</v>
      </c>
      <c r="B18" s="9" t="s">
        <v>1144</v>
      </c>
      <c r="C18" s="58" t="s">
        <v>29</v>
      </c>
      <c r="D18" s="11" t="s">
        <v>1145</v>
      </c>
      <c r="E18" s="10">
        <v>26</v>
      </c>
      <c r="F18" s="58" t="s">
        <v>11</v>
      </c>
      <c r="G18" s="12">
        <v>653</v>
      </c>
      <c r="H18" s="12">
        <v>1055</v>
      </c>
      <c r="I18" s="17">
        <v>1</v>
      </c>
      <c r="J18" s="18">
        <v>1</v>
      </c>
      <c r="K18" s="19">
        <f t="shared" si="0"/>
        <v>7.5141</v>
      </c>
      <c r="L18" s="20"/>
      <c r="M18" s="15">
        <v>0.69</v>
      </c>
      <c r="N18" s="15">
        <v>10.89</v>
      </c>
    </row>
    <row r="19" spans="1:14" s="15" customFormat="1" ht="20.25" customHeight="1" x14ac:dyDescent="0.15">
      <c r="A19" s="60" t="s">
        <v>1197</v>
      </c>
      <c r="B19" s="9" t="s">
        <v>53</v>
      </c>
      <c r="C19" s="58" t="s">
        <v>29</v>
      </c>
      <c r="D19" s="11" t="s">
        <v>188</v>
      </c>
      <c r="E19" s="10">
        <v>22</v>
      </c>
      <c r="F19" s="58"/>
      <c r="G19" s="12">
        <v>1700</v>
      </c>
      <c r="H19" s="12">
        <v>1810</v>
      </c>
      <c r="I19" s="17" t="s">
        <v>1198</v>
      </c>
      <c r="J19" s="18">
        <v>3</v>
      </c>
      <c r="K19" s="19">
        <f t="shared" si="0"/>
        <v>63.5976</v>
      </c>
      <c r="L19" s="20"/>
      <c r="M19" s="15">
        <v>5.84</v>
      </c>
      <c r="N19" s="15">
        <v>10.89</v>
      </c>
    </row>
    <row r="20" spans="1:14" s="15" customFormat="1" ht="20.25" customHeight="1" x14ac:dyDescent="0.15">
      <c r="A20" s="60"/>
      <c r="B20" s="9"/>
      <c r="C20" s="58" t="s">
        <v>29</v>
      </c>
      <c r="D20" s="11" t="s">
        <v>195</v>
      </c>
      <c r="E20" s="10">
        <v>22</v>
      </c>
      <c r="F20" s="58"/>
      <c r="G20" s="12">
        <v>761</v>
      </c>
      <c r="H20" s="12">
        <v>1810</v>
      </c>
      <c r="I20" s="17" t="s">
        <v>1198</v>
      </c>
      <c r="J20" s="18">
        <v>3</v>
      </c>
      <c r="K20" s="19">
        <f t="shared" si="0"/>
        <v>40.619700000000002</v>
      </c>
      <c r="L20" s="20"/>
      <c r="M20" s="15">
        <v>3.73</v>
      </c>
      <c r="N20" s="15">
        <v>10.89</v>
      </c>
    </row>
    <row r="21" spans="1:14" s="15" customFormat="1" ht="20.25" customHeight="1" x14ac:dyDescent="0.15">
      <c r="A21" s="60"/>
      <c r="B21" s="9"/>
      <c r="C21" s="58"/>
      <c r="D21" s="11"/>
      <c r="E21" s="10"/>
      <c r="F21" s="58"/>
      <c r="G21" s="50"/>
      <c r="H21" s="50"/>
      <c r="I21" s="17"/>
      <c r="J21" s="18"/>
      <c r="K21" s="19">
        <f t="shared" si="0"/>
        <v>0</v>
      </c>
      <c r="L21" s="20"/>
      <c r="N21" s="15">
        <v>10.89</v>
      </c>
    </row>
    <row r="22" spans="1:14" s="15" customFormat="1" ht="20.25" customHeight="1" x14ac:dyDescent="0.15">
      <c r="A22" s="60"/>
      <c r="B22" s="9"/>
      <c r="C22" s="58"/>
      <c r="D22" s="11"/>
      <c r="E22" s="10"/>
      <c r="F22" s="58"/>
      <c r="G22" s="50"/>
      <c r="H22" s="50"/>
      <c r="I22" s="17"/>
      <c r="J22" s="18"/>
      <c r="K22" s="19">
        <f t="shared" si="0"/>
        <v>0</v>
      </c>
      <c r="L22" s="20"/>
      <c r="N22" s="15">
        <v>10.89</v>
      </c>
    </row>
    <row r="23" spans="1:14" ht="20.25" customHeight="1" x14ac:dyDescent="0.15">
      <c r="A23" s="60"/>
      <c r="B23" s="9"/>
      <c r="C23" s="58"/>
      <c r="D23" s="11"/>
      <c r="E23" s="10"/>
      <c r="F23" s="58"/>
      <c r="G23" s="16"/>
      <c r="H23" s="16"/>
      <c r="I23" s="17"/>
      <c r="J23" s="18"/>
      <c r="K23" s="19">
        <f t="shared" si="0"/>
        <v>0</v>
      </c>
      <c r="L23" s="20"/>
      <c r="N23" s="15">
        <v>10.89</v>
      </c>
    </row>
    <row r="24" spans="1:14" ht="20.25" customHeight="1" thickBot="1" x14ac:dyDescent="0.2">
      <c r="A24" s="56"/>
      <c r="B24" s="21"/>
      <c r="C24" s="59"/>
      <c r="D24" s="22"/>
      <c r="E24" s="23"/>
      <c r="F24" s="23"/>
      <c r="G24" s="24"/>
      <c r="H24" s="24"/>
      <c r="I24" s="25"/>
      <c r="J24" s="46">
        <f>SUM(J8:J23)</f>
        <v>340</v>
      </c>
      <c r="K24" s="47">
        <f>SUM(K8:K23)</f>
        <v>5351.1282000000019</v>
      </c>
      <c r="L24" s="26"/>
    </row>
    <row r="25" spans="1:14" ht="20.25" customHeight="1" thickTop="1" x14ac:dyDescent="0.15">
      <c r="A25" s="60" t="s">
        <v>1199</v>
      </c>
      <c r="B25" s="9" t="s">
        <v>101</v>
      </c>
      <c r="C25" s="58" t="s">
        <v>29</v>
      </c>
      <c r="D25" s="11" t="s">
        <v>729</v>
      </c>
      <c r="E25" s="10">
        <v>27.76</v>
      </c>
      <c r="F25" s="10"/>
      <c r="G25" s="12">
        <v>790</v>
      </c>
      <c r="H25" s="12">
        <v>846</v>
      </c>
      <c r="I25" s="17" t="s">
        <v>1200</v>
      </c>
      <c r="J25" s="18">
        <v>286</v>
      </c>
      <c r="K25" s="19">
        <f t="shared" ref="K25:K40" si="1">+M25*N25</f>
        <v>2086.7418000000002</v>
      </c>
      <c r="L25" s="54"/>
      <c r="M25" s="3">
        <v>191.62</v>
      </c>
      <c r="N25" s="15">
        <v>10.89</v>
      </c>
    </row>
    <row r="26" spans="1:14" ht="20.25" customHeight="1" x14ac:dyDescent="0.15">
      <c r="A26" s="60"/>
      <c r="B26" s="9"/>
      <c r="C26" s="58" t="s">
        <v>29</v>
      </c>
      <c r="D26" s="11" t="s">
        <v>332</v>
      </c>
      <c r="E26" s="10">
        <v>22</v>
      </c>
      <c r="F26" s="10"/>
      <c r="G26" s="12">
        <v>740</v>
      </c>
      <c r="H26" s="12">
        <v>805</v>
      </c>
      <c r="I26" s="17" t="s">
        <v>1201</v>
      </c>
      <c r="J26" s="18">
        <v>8</v>
      </c>
      <c r="K26" s="19">
        <f t="shared" si="1"/>
        <v>51.400799999999997</v>
      </c>
      <c r="L26" s="54"/>
      <c r="M26" s="3">
        <v>4.72</v>
      </c>
      <c r="N26" s="15">
        <v>10.89</v>
      </c>
    </row>
    <row r="27" spans="1:14" ht="20.25" customHeight="1" x14ac:dyDescent="0.15">
      <c r="A27" s="61" t="s">
        <v>1202</v>
      </c>
      <c r="B27" s="9" t="s">
        <v>1175</v>
      </c>
      <c r="C27" s="58" t="s">
        <v>29</v>
      </c>
      <c r="D27" s="11" t="s">
        <v>1176</v>
      </c>
      <c r="E27" s="10">
        <v>39</v>
      </c>
      <c r="F27" s="10" t="s">
        <v>11</v>
      </c>
      <c r="G27" s="12">
        <v>1412</v>
      </c>
      <c r="H27" s="12">
        <v>1694</v>
      </c>
      <c r="I27" s="17" t="s">
        <v>1203</v>
      </c>
      <c r="J27" s="18">
        <v>122</v>
      </c>
      <c r="K27" s="19">
        <f t="shared" si="1"/>
        <v>1208.79</v>
      </c>
      <c r="L27" s="54"/>
      <c r="M27" s="3">
        <v>111</v>
      </c>
      <c r="N27" s="15">
        <v>10.89</v>
      </c>
    </row>
    <row r="28" spans="1:14" ht="20.25" customHeight="1" x14ac:dyDescent="0.15">
      <c r="A28" s="61" t="s">
        <v>1204</v>
      </c>
      <c r="B28" s="9" t="s">
        <v>57</v>
      </c>
      <c r="C28" s="58" t="s">
        <v>29</v>
      </c>
      <c r="D28" s="11" t="s">
        <v>233</v>
      </c>
      <c r="E28" s="10">
        <v>27.76</v>
      </c>
      <c r="F28" s="10" t="s">
        <v>11</v>
      </c>
      <c r="G28" s="12">
        <v>1524</v>
      </c>
      <c r="H28" s="12">
        <v>700</v>
      </c>
      <c r="I28" s="17">
        <v>2</v>
      </c>
      <c r="J28" s="18">
        <v>2</v>
      </c>
      <c r="K28" s="19">
        <f t="shared" si="1"/>
        <v>23.304600000000004</v>
      </c>
      <c r="L28" s="54"/>
      <c r="M28" s="3">
        <v>2.14</v>
      </c>
      <c r="N28" s="15">
        <v>10.89</v>
      </c>
    </row>
    <row r="29" spans="1:14" ht="20.25" customHeight="1" x14ac:dyDescent="0.15">
      <c r="A29" s="61"/>
      <c r="B29" s="9"/>
      <c r="C29" s="58" t="s">
        <v>29</v>
      </c>
      <c r="D29" s="11" t="s">
        <v>534</v>
      </c>
      <c r="E29" s="10">
        <v>42.76</v>
      </c>
      <c r="F29" s="10" t="s">
        <v>11</v>
      </c>
      <c r="G29" s="12">
        <v>888</v>
      </c>
      <c r="H29" s="12">
        <v>410</v>
      </c>
      <c r="I29" s="17">
        <v>1</v>
      </c>
      <c r="J29" s="18">
        <v>1</v>
      </c>
      <c r="K29" s="19">
        <f t="shared" si="1"/>
        <v>3.9203999999999999</v>
      </c>
      <c r="L29" s="54"/>
      <c r="M29" s="3">
        <v>0.36</v>
      </c>
      <c r="N29" s="15">
        <v>10.89</v>
      </c>
    </row>
    <row r="30" spans="1:14" ht="20.25" customHeight="1" x14ac:dyDescent="0.15">
      <c r="A30" s="61" t="s">
        <v>1205</v>
      </c>
      <c r="B30" s="9" t="s">
        <v>101</v>
      </c>
      <c r="C30" s="58" t="s">
        <v>29</v>
      </c>
      <c r="D30" s="11" t="s">
        <v>694</v>
      </c>
      <c r="E30" s="10">
        <v>24</v>
      </c>
      <c r="F30" s="10" t="s">
        <v>11</v>
      </c>
      <c r="G30" s="12">
        <v>1225</v>
      </c>
      <c r="H30" s="12">
        <v>255</v>
      </c>
      <c r="I30" s="51">
        <v>3</v>
      </c>
      <c r="J30" s="52">
        <v>3</v>
      </c>
      <c r="K30" s="53">
        <f t="shared" si="1"/>
        <v>10.127700000000001</v>
      </c>
      <c r="L30" s="54"/>
      <c r="M30" s="3">
        <v>0.93</v>
      </c>
      <c r="N30" s="15">
        <v>10.89</v>
      </c>
    </row>
    <row r="31" spans="1:14" ht="20.25" customHeight="1" x14ac:dyDescent="0.15">
      <c r="A31" s="61" t="s">
        <v>1206</v>
      </c>
      <c r="B31" s="9" t="s">
        <v>55</v>
      </c>
      <c r="C31" s="58" t="s">
        <v>29</v>
      </c>
      <c r="D31" s="11" t="s">
        <v>1207</v>
      </c>
      <c r="E31" s="10">
        <v>25.76</v>
      </c>
      <c r="F31" s="10" t="s">
        <v>11</v>
      </c>
      <c r="G31" s="12">
        <v>1533</v>
      </c>
      <c r="H31" s="12">
        <v>915</v>
      </c>
      <c r="I31" s="51" t="s">
        <v>1209</v>
      </c>
      <c r="J31" s="52">
        <v>2</v>
      </c>
      <c r="K31" s="53">
        <f t="shared" si="1"/>
        <v>30.492000000000001</v>
      </c>
      <c r="L31" s="54"/>
      <c r="M31" s="3">
        <v>2.8</v>
      </c>
      <c r="N31" s="15">
        <v>10.89</v>
      </c>
    </row>
    <row r="32" spans="1:14" ht="20.25" customHeight="1" x14ac:dyDescent="0.15">
      <c r="A32" s="60"/>
      <c r="B32" s="9"/>
      <c r="C32" s="58" t="s">
        <v>29</v>
      </c>
      <c r="D32" s="11" t="s">
        <v>1208</v>
      </c>
      <c r="E32" s="10">
        <v>22</v>
      </c>
      <c r="F32" s="10" t="s">
        <v>11</v>
      </c>
      <c r="G32" s="12">
        <v>1643</v>
      </c>
      <c r="H32" s="12">
        <v>929</v>
      </c>
      <c r="I32" s="17">
        <v>1</v>
      </c>
      <c r="J32" s="18">
        <v>1</v>
      </c>
      <c r="K32" s="19">
        <f t="shared" si="1"/>
        <v>16.6617</v>
      </c>
      <c r="L32" s="27"/>
      <c r="M32" s="3">
        <v>1.53</v>
      </c>
      <c r="N32" s="15">
        <v>10.89</v>
      </c>
    </row>
    <row r="33" spans="1:14" ht="20.25" customHeight="1" x14ac:dyDescent="0.15">
      <c r="A33" s="60" t="s">
        <v>1210</v>
      </c>
      <c r="B33" s="9" t="s">
        <v>177</v>
      </c>
      <c r="C33" s="58" t="s">
        <v>29</v>
      </c>
      <c r="D33" s="11" t="s">
        <v>247</v>
      </c>
      <c r="E33" s="10">
        <v>24</v>
      </c>
      <c r="F33" s="10" t="s">
        <v>11</v>
      </c>
      <c r="G33" s="12">
        <v>910</v>
      </c>
      <c r="H33" s="12">
        <v>1045</v>
      </c>
      <c r="I33" s="17" t="s">
        <v>1211</v>
      </c>
      <c r="J33" s="18">
        <v>4</v>
      </c>
      <c r="K33" s="19">
        <f t="shared" si="1"/>
        <v>31.254300000000004</v>
      </c>
      <c r="L33" s="27"/>
      <c r="M33" s="3">
        <v>2.87</v>
      </c>
      <c r="N33" s="15">
        <v>10.89</v>
      </c>
    </row>
    <row r="34" spans="1:14" ht="20.25" customHeight="1" x14ac:dyDescent="0.15">
      <c r="A34" s="60" t="s">
        <v>1212</v>
      </c>
      <c r="B34" s="9" t="s">
        <v>1213</v>
      </c>
      <c r="C34" s="58" t="s">
        <v>29</v>
      </c>
      <c r="D34" s="11" t="s">
        <v>276</v>
      </c>
      <c r="E34" s="10">
        <v>24</v>
      </c>
      <c r="F34" s="10" t="s">
        <v>11</v>
      </c>
      <c r="G34" s="12">
        <v>640</v>
      </c>
      <c r="H34" s="12">
        <v>1920</v>
      </c>
      <c r="I34" s="17">
        <v>1</v>
      </c>
      <c r="J34" s="18">
        <v>1</v>
      </c>
      <c r="K34" s="19">
        <f t="shared" si="1"/>
        <v>13.3947</v>
      </c>
      <c r="L34" s="27"/>
      <c r="M34" s="3">
        <v>1.23</v>
      </c>
      <c r="N34" s="15">
        <v>10.89</v>
      </c>
    </row>
    <row r="35" spans="1:14" ht="20.25" customHeight="1" x14ac:dyDescent="0.15">
      <c r="A35" s="60"/>
      <c r="B35" s="9"/>
      <c r="C35" s="58"/>
      <c r="D35" s="11"/>
      <c r="E35" s="10"/>
      <c r="F35" s="10"/>
      <c r="G35" s="12"/>
      <c r="H35" s="12"/>
      <c r="I35" s="17"/>
      <c r="J35" s="18"/>
      <c r="K35" s="19">
        <f t="shared" si="1"/>
        <v>0</v>
      </c>
      <c r="L35" s="27"/>
      <c r="N35" s="15">
        <v>10.89</v>
      </c>
    </row>
    <row r="36" spans="1:14" ht="20.25" customHeight="1" x14ac:dyDescent="0.15">
      <c r="A36" s="60"/>
      <c r="B36" s="9"/>
      <c r="C36" s="58"/>
      <c r="D36" s="11"/>
      <c r="E36" s="10"/>
      <c r="F36" s="10"/>
      <c r="G36" s="12"/>
      <c r="H36" s="12"/>
      <c r="I36" s="17"/>
      <c r="J36" s="18"/>
      <c r="K36" s="19">
        <f t="shared" si="1"/>
        <v>0</v>
      </c>
      <c r="L36" s="27"/>
      <c r="N36" s="15">
        <v>10.89</v>
      </c>
    </row>
    <row r="37" spans="1:14" ht="20.25" customHeight="1" x14ac:dyDescent="0.15">
      <c r="A37" s="60"/>
      <c r="B37" s="9"/>
      <c r="C37" s="58"/>
      <c r="D37" s="11"/>
      <c r="E37" s="10"/>
      <c r="F37" s="10"/>
      <c r="G37" s="12"/>
      <c r="H37" s="12"/>
      <c r="I37" s="17"/>
      <c r="J37" s="18"/>
      <c r="K37" s="19">
        <f t="shared" si="1"/>
        <v>0</v>
      </c>
      <c r="L37" s="27"/>
      <c r="N37" s="15">
        <v>10.89</v>
      </c>
    </row>
    <row r="38" spans="1:14" ht="20.25" customHeight="1" x14ac:dyDescent="0.15">
      <c r="A38" s="60"/>
      <c r="B38" s="9"/>
      <c r="C38" s="58"/>
      <c r="D38" s="11"/>
      <c r="E38" s="10"/>
      <c r="F38" s="10"/>
      <c r="G38" s="12"/>
      <c r="H38" s="12"/>
      <c r="I38" s="17"/>
      <c r="J38" s="18"/>
      <c r="K38" s="19">
        <f t="shared" si="1"/>
        <v>0</v>
      </c>
      <c r="L38" s="27"/>
      <c r="N38" s="15">
        <v>10.89</v>
      </c>
    </row>
    <row r="39" spans="1:14" ht="20.25" customHeight="1" x14ac:dyDescent="0.15">
      <c r="A39" s="60"/>
      <c r="B39" s="9"/>
      <c r="C39" s="58"/>
      <c r="D39" s="11"/>
      <c r="E39" s="10"/>
      <c r="F39" s="10"/>
      <c r="G39" s="12"/>
      <c r="H39" s="12"/>
      <c r="I39" s="17"/>
      <c r="J39" s="18"/>
      <c r="K39" s="19">
        <f t="shared" si="1"/>
        <v>0</v>
      </c>
      <c r="L39" s="27"/>
      <c r="N39" s="15">
        <v>10.89</v>
      </c>
    </row>
    <row r="40" spans="1:14" ht="20.25" customHeight="1" x14ac:dyDescent="0.15">
      <c r="A40" s="60"/>
      <c r="B40" s="9"/>
      <c r="C40" s="58"/>
      <c r="D40" s="11"/>
      <c r="E40" s="10"/>
      <c r="F40" s="10"/>
      <c r="G40" s="12"/>
      <c r="H40" s="12"/>
      <c r="I40" s="17"/>
      <c r="J40" s="18"/>
      <c r="K40" s="19">
        <f t="shared" si="1"/>
        <v>0</v>
      </c>
      <c r="L40" s="27"/>
      <c r="N40" s="15">
        <v>10.89</v>
      </c>
    </row>
    <row r="41" spans="1:14" ht="20.25" customHeight="1" x14ac:dyDescent="0.15">
      <c r="A41" s="57"/>
      <c r="B41" s="28"/>
      <c r="C41" s="10"/>
      <c r="D41" s="29"/>
      <c r="E41" s="30"/>
      <c r="F41" s="30"/>
      <c r="G41" s="30"/>
      <c r="H41" s="30"/>
      <c r="I41" s="13"/>
      <c r="J41" s="48">
        <f>SUM(J25:J40)</f>
        <v>430</v>
      </c>
      <c r="K41" s="49">
        <f>SUM(K25:K40)</f>
        <v>3476.0880000000002</v>
      </c>
      <c r="L41" s="31"/>
      <c r="N41" s="32"/>
    </row>
    <row r="42" spans="1:14" ht="20.25" customHeight="1" thickBot="1" x14ac:dyDescent="0.2">
      <c r="A42" s="55"/>
      <c r="B42" s="33"/>
      <c r="C42" s="33"/>
      <c r="D42" s="33"/>
      <c r="E42" s="33"/>
      <c r="F42" s="33"/>
      <c r="G42" s="33"/>
      <c r="H42" s="33"/>
      <c r="I42" s="33"/>
      <c r="J42" s="34"/>
      <c r="K42" s="35"/>
      <c r="L42" s="36"/>
    </row>
    <row r="43" spans="1:14" ht="20.25" customHeight="1" thickBot="1" x14ac:dyDescent="0.2">
      <c r="A43" s="37" t="s">
        <v>19</v>
      </c>
      <c r="B43" s="38" t="s">
        <v>20</v>
      </c>
      <c r="C43" s="77" t="s">
        <v>21</v>
      </c>
      <c r="D43" s="79"/>
      <c r="E43" s="77" t="s">
        <v>22</v>
      </c>
      <c r="F43" s="78"/>
      <c r="G43" s="79"/>
      <c r="H43" s="85" t="s">
        <v>23</v>
      </c>
      <c r="I43" s="86"/>
      <c r="J43" s="77" t="s">
        <v>24</v>
      </c>
      <c r="K43" s="79"/>
      <c r="L43" s="39" t="s">
        <v>13</v>
      </c>
    </row>
    <row r="44" spans="1:14" ht="20.25" customHeight="1" thickBot="1" x14ac:dyDescent="0.2">
      <c r="A44" s="40">
        <f>SUMIF($C$8:$C$42,"U1",$J$8:$J$42)</f>
        <v>0</v>
      </c>
      <c r="B44" s="41">
        <f>SUMIF($C$8:$C$42,"U2",$J$8:$J$42)</f>
        <v>0</v>
      </c>
      <c r="C44" s="77">
        <f>SUMIF($C$8:$C$42,"U3-1",$J$8:$J$42)</f>
        <v>0</v>
      </c>
      <c r="D44" s="79"/>
      <c r="E44" s="77">
        <f>SUMIF($C$8:$C$42,"U3",$J$8:$J$42)</f>
        <v>770</v>
      </c>
      <c r="F44" s="78"/>
      <c r="G44" s="79"/>
      <c r="H44" s="77">
        <f>SUMIF($C$8:$C$42,"E5",$J$8:$J$42)</f>
        <v>0</v>
      </c>
      <c r="I44" s="79"/>
      <c r="J44" s="77">
        <f>SUM(A44:I44)</f>
        <v>770</v>
      </c>
      <c r="K44" s="79"/>
      <c r="L44" s="42"/>
    </row>
    <row r="45" spans="1:14" ht="20.25" customHeight="1" thickBot="1" x14ac:dyDescent="0.2">
      <c r="A45" s="43" t="s">
        <v>25</v>
      </c>
      <c r="B45" s="44" t="s">
        <v>26</v>
      </c>
      <c r="C45" s="75">
        <v>13876</v>
      </c>
      <c r="D45" s="76"/>
      <c r="E45" s="77" t="s">
        <v>27</v>
      </c>
      <c r="F45" s="78"/>
      <c r="G45" s="78"/>
      <c r="H45" s="78"/>
      <c r="I45" s="79"/>
      <c r="J45" s="80">
        <v>146744.37</v>
      </c>
      <c r="K45" s="81"/>
      <c r="L45" s="82"/>
    </row>
    <row r="47" spans="1:14" x14ac:dyDescent="0.15">
      <c r="D47" s="45"/>
    </row>
  </sheetData>
  <mergeCells count="26">
    <mergeCell ref="C45:D45"/>
    <mergeCell ref="E45:I45"/>
    <mergeCell ref="J45:L45"/>
    <mergeCell ref="L6:L7"/>
    <mergeCell ref="C43:D43"/>
    <mergeCell ref="E43:G43"/>
    <mergeCell ref="H43:I43"/>
    <mergeCell ref="J43:K43"/>
    <mergeCell ref="C44:D44"/>
    <mergeCell ref="E44:G44"/>
    <mergeCell ref="H44:I44"/>
    <mergeCell ref="J44:K44"/>
    <mergeCell ref="B5:G5"/>
    <mergeCell ref="A6:A7"/>
    <mergeCell ref="B6:B7"/>
    <mergeCell ref="C6:C7"/>
    <mergeCell ref="D6:D7"/>
    <mergeCell ref="E6:E7"/>
    <mergeCell ref="F6:F7"/>
    <mergeCell ref="G6:K6"/>
    <mergeCell ref="L2:L4"/>
    <mergeCell ref="A1:G3"/>
    <mergeCell ref="H1:H4"/>
    <mergeCell ref="I2:I4"/>
    <mergeCell ref="J2:J4"/>
    <mergeCell ref="K2:K4"/>
  </mergeCells>
  <phoneticPr fontId="2" type="noConversion"/>
  <printOptions horizontalCentered="1"/>
  <pageMargins left="0.39370078740157483" right="0.39370078740157483" top="0.74803149606299213" bottom="0.19685039370078741" header="0.31496062992125984" footer="0.15748031496062992"/>
  <pageSetup paperSize="9" scale="84" orientation="portrait"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N47"/>
  <sheetViews>
    <sheetView view="pageBreakPreview" zoomScaleSheetLayoutView="100" workbookViewId="0">
      <selection activeCell="B27" sqref="B27:F27"/>
    </sheetView>
  </sheetViews>
  <sheetFormatPr defaultColWidth="8.88671875" defaultRowHeight="13.5" x14ac:dyDescent="0.15"/>
  <cols>
    <col min="1" max="1" width="8.44140625" style="3" customWidth="1"/>
    <col min="2" max="2" width="14.77734375" style="3" customWidth="1"/>
    <col min="3" max="3" width="4.109375" style="3" customWidth="1"/>
    <col min="4" max="4" width="15.21875" style="3" customWidth="1"/>
    <col min="5" max="5" width="4.44140625" style="3" customWidth="1"/>
    <col min="6" max="6" width="4" style="3" customWidth="1"/>
    <col min="7" max="7" width="5.5546875" style="3" customWidth="1"/>
    <col min="8" max="8" width="5.44140625" style="3" customWidth="1"/>
    <col min="9" max="9" width="7.88671875" style="3" customWidth="1"/>
    <col min="10" max="10" width="7.109375" style="3" customWidth="1"/>
    <col min="11" max="11" width="7.21875" style="3" customWidth="1"/>
    <col min="12" max="12" width="6.77734375" style="3" customWidth="1"/>
    <col min="13" max="16384" width="8.88671875" style="3"/>
  </cols>
  <sheetData>
    <row r="1" spans="1:14" ht="18.75" customHeight="1" x14ac:dyDescent="0.15">
      <c r="A1" s="101" t="s">
        <v>0</v>
      </c>
      <c r="B1" s="102"/>
      <c r="C1" s="102"/>
      <c r="D1" s="102"/>
      <c r="E1" s="102"/>
      <c r="F1" s="102"/>
      <c r="G1" s="103"/>
      <c r="H1" s="107" t="s">
        <v>1</v>
      </c>
      <c r="I1" s="1" t="s">
        <v>2</v>
      </c>
      <c r="J1" s="1" t="s">
        <v>2</v>
      </c>
      <c r="K1" s="1" t="s">
        <v>3</v>
      </c>
      <c r="L1" s="2" t="s">
        <v>4</v>
      </c>
    </row>
    <row r="2" spans="1:14" ht="13.5" customHeight="1" x14ac:dyDescent="0.15">
      <c r="A2" s="104"/>
      <c r="B2" s="105"/>
      <c r="C2" s="105"/>
      <c r="D2" s="105"/>
      <c r="E2" s="105"/>
      <c r="F2" s="105"/>
      <c r="G2" s="106"/>
      <c r="H2" s="108"/>
      <c r="I2" s="110"/>
      <c r="J2" s="110"/>
      <c r="K2" s="110"/>
      <c r="L2" s="98"/>
    </row>
    <row r="3" spans="1:14" ht="13.5" customHeight="1" x14ac:dyDescent="0.15">
      <c r="A3" s="104"/>
      <c r="B3" s="105"/>
      <c r="C3" s="105"/>
      <c r="D3" s="105"/>
      <c r="E3" s="105"/>
      <c r="F3" s="105"/>
      <c r="G3" s="106"/>
      <c r="H3" s="108"/>
      <c r="I3" s="108"/>
      <c r="J3" s="108"/>
      <c r="K3" s="108"/>
      <c r="L3" s="99"/>
    </row>
    <row r="4" spans="1:14" ht="33" customHeight="1" x14ac:dyDescent="0.15">
      <c r="A4" s="4"/>
      <c r="B4" s="5"/>
      <c r="C4" s="5"/>
      <c r="D4" s="5"/>
      <c r="E4" s="5"/>
      <c r="F4" s="5"/>
      <c r="G4" s="5"/>
      <c r="H4" s="109"/>
      <c r="I4" s="109"/>
      <c r="J4" s="109"/>
      <c r="K4" s="109"/>
      <c r="L4" s="100"/>
    </row>
    <row r="5" spans="1:14" ht="17.25" customHeight="1" x14ac:dyDescent="0.15">
      <c r="A5" s="6" t="s">
        <v>5</v>
      </c>
      <c r="B5" s="87">
        <v>46080</v>
      </c>
      <c r="C5" s="88"/>
      <c r="D5" s="88"/>
      <c r="E5" s="88"/>
      <c r="F5" s="88"/>
      <c r="G5" s="88"/>
      <c r="H5" s="5"/>
      <c r="I5" s="5"/>
      <c r="J5" s="5"/>
      <c r="K5" s="5"/>
      <c r="L5" s="7"/>
    </row>
    <row r="6" spans="1:14" ht="13.5" customHeight="1" x14ac:dyDescent="0.15">
      <c r="A6" s="89" t="s">
        <v>6</v>
      </c>
      <c r="B6" s="91" t="s">
        <v>7</v>
      </c>
      <c r="C6" s="91" t="s">
        <v>8</v>
      </c>
      <c r="D6" s="91" t="s">
        <v>9</v>
      </c>
      <c r="E6" s="93" t="s">
        <v>10</v>
      </c>
      <c r="F6" s="93" t="s">
        <v>11</v>
      </c>
      <c r="G6" s="95" t="s">
        <v>12</v>
      </c>
      <c r="H6" s="96"/>
      <c r="I6" s="96"/>
      <c r="J6" s="96"/>
      <c r="K6" s="97"/>
      <c r="L6" s="83" t="s">
        <v>13</v>
      </c>
    </row>
    <row r="7" spans="1:14" x14ac:dyDescent="0.15">
      <c r="A7" s="90"/>
      <c r="B7" s="92"/>
      <c r="C7" s="92"/>
      <c r="D7" s="92"/>
      <c r="E7" s="94"/>
      <c r="F7" s="94"/>
      <c r="G7" s="8" t="s">
        <v>14</v>
      </c>
      <c r="H7" s="8" t="s">
        <v>15</v>
      </c>
      <c r="I7" s="8" t="s">
        <v>16</v>
      </c>
      <c r="J7" s="8" t="s">
        <v>17</v>
      </c>
      <c r="K7" s="8" t="s">
        <v>18</v>
      </c>
      <c r="L7" s="84"/>
    </row>
    <row r="8" spans="1:14" s="15" customFormat="1" ht="20.25" customHeight="1" x14ac:dyDescent="0.15">
      <c r="A8" s="60" t="s">
        <v>1214</v>
      </c>
      <c r="B8" s="9" t="s">
        <v>138</v>
      </c>
      <c r="C8" s="58" t="s">
        <v>29</v>
      </c>
      <c r="D8" s="11" t="s">
        <v>336</v>
      </c>
      <c r="E8" s="10">
        <v>24</v>
      </c>
      <c r="F8" s="58"/>
      <c r="G8" s="12">
        <v>1762</v>
      </c>
      <c r="H8" s="12">
        <v>1890</v>
      </c>
      <c r="I8" s="17" t="s">
        <v>1215</v>
      </c>
      <c r="J8" s="18">
        <v>90</v>
      </c>
      <c r="K8" s="19">
        <f>+M8*N8</f>
        <v>1250.172</v>
      </c>
      <c r="L8" s="14"/>
      <c r="M8" s="15">
        <v>114.8</v>
      </c>
      <c r="N8" s="15">
        <v>10.89</v>
      </c>
    </row>
    <row r="9" spans="1:14" s="15" customFormat="1" ht="20.25" customHeight="1" x14ac:dyDescent="0.15">
      <c r="A9" s="60" t="s">
        <v>1216</v>
      </c>
      <c r="B9" s="9" t="s">
        <v>138</v>
      </c>
      <c r="C9" s="58" t="s">
        <v>29</v>
      </c>
      <c r="D9" s="11" t="s">
        <v>372</v>
      </c>
      <c r="E9" s="10">
        <v>24</v>
      </c>
      <c r="F9" s="58"/>
      <c r="G9" s="12">
        <v>1331</v>
      </c>
      <c r="H9" s="12">
        <v>1890</v>
      </c>
      <c r="I9" s="17" t="s">
        <v>1217</v>
      </c>
      <c r="J9" s="18">
        <v>85</v>
      </c>
      <c r="K9" s="19">
        <f t="shared" ref="K9:K23" si="0">+M9*N9</f>
        <v>990.99</v>
      </c>
      <c r="L9" s="14"/>
      <c r="M9" s="15">
        <v>91</v>
      </c>
      <c r="N9" s="15">
        <v>10.89</v>
      </c>
    </row>
    <row r="10" spans="1:14" s="15" customFormat="1" ht="20.25" customHeight="1" x14ac:dyDescent="0.15">
      <c r="A10" s="60"/>
      <c r="B10" s="9"/>
      <c r="C10" s="58" t="s">
        <v>29</v>
      </c>
      <c r="D10" s="11" t="s">
        <v>336</v>
      </c>
      <c r="E10" s="10">
        <v>24</v>
      </c>
      <c r="F10" s="58"/>
      <c r="G10" s="12">
        <v>1762</v>
      </c>
      <c r="H10" s="12">
        <v>1890</v>
      </c>
      <c r="I10" s="17" t="s">
        <v>1218</v>
      </c>
      <c r="J10" s="18">
        <v>93</v>
      </c>
      <c r="K10" s="19">
        <f t="shared" si="0"/>
        <v>1181.4561000000001</v>
      </c>
      <c r="L10" s="14"/>
      <c r="M10" s="15">
        <v>108.49</v>
      </c>
      <c r="N10" s="15">
        <v>10.89</v>
      </c>
    </row>
    <row r="11" spans="1:14" s="15" customFormat="1" ht="20.25" customHeight="1" x14ac:dyDescent="0.15">
      <c r="A11" s="60"/>
      <c r="B11" s="9"/>
      <c r="C11" s="58" t="s">
        <v>29</v>
      </c>
      <c r="D11" s="11" t="s">
        <v>224</v>
      </c>
      <c r="E11" s="10">
        <v>22</v>
      </c>
      <c r="F11" s="58" t="s">
        <v>11</v>
      </c>
      <c r="G11" s="12">
        <v>668</v>
      </c>
      <c r="H11" s="12">
        <v>1890</v>
      </c>
      <c r="I11" s="17">
        <v>10</v>
      </c>
      <c r="J11" s="18">
        <v>10</v>
      </c>
      <c r="K11" s="19">
        <f t="shared" si="0"/>
        <v>137.214</v>
      </c>
      <c r="L11" s="14"/>
      <c r="M11" s="15">
        <v>12.6</v>
      </c>
      <c r="N11" s="15">
        <v>10.89</v>
      </c>
    </row>
    <row r="12" spans="1:14" s="15" customFormat="1" ht="20.25" customHeight="1" x14ac:dyDescent="0.15">
      <c r="A12" s="60" t="s">
        <v>1219</v>
      </c>
      <c r="B12" s="9" t="s">
        <v>173</v>
      </c>
      <c r="C12" s="58" t="s">
        <v>29</v>
      </c>
      <c r="D12" s="11" t="s">
        <v>195</v>
      </c>
      <c r="E12" s="10">
        <v>22</v>
      </c>
      <c r="F12" s="58"/>
      <c r="G12" s="12">
        <v>949</v>
      </c>
      <c r="H12" s="12">
        <v>1217</v>
      </c>
      <c r="I12" s="17" t="s">
        <v>1220</v>
      </c>
      <c r="J12" s="18">
        <v>221</v>
      </c>
      <c r="K12" s="19">
        <f t="shared" si="0"/>
        <v>1270.1007</v>
      </c>
      <c r="L12" s="14"/>
      <c r="M12" s="15">
        <v>116.63</v>
      </c>
      <c r="N12" s="15">
        <v>10.89</v>
      </c>
    </row>
    <row r="13" spans="1:14" s="15" customFormat="1" ht="20.25" customHeight="1" x14ac:dyDescent="0.15">
      <c r="A13" s="60"/>
      <c r="B13" s="9"/>
      <c r="C13" s="58"/>
      <c r="D13" s="11"/>
      <c r="E13" s="10"/>
      <c r="F13" s="58"/>
      <c r="G13" s="12"/>
      <c r="H13" s="12"/>
      <c r="I13" s="17"/>
      <c r="J13" s="18"/>
      <c r="K13" s="19">
        <f t="shared" si="0"/>
        <v>0</v>
      </c>
      <c r="L13" s="14"/>
      <c r="N13" s="15">
        <v>10.89</v>
      </c>
    </row>
    <row r="14" spans="1:14" s="15" customFormat="1" ht="20.25" customHeight="1" x14ac:dyDescent="0.15">
      <c r="A14" s="60"/>
      <c r="B14" s="9"/>
      <c r="C14" s="58"/>
      <c r="D14" s="11"/>
      <c r="E14" s="10"/>
      <c r="F14" s="58"/>
      <c r="G14" s="12"/>
      <c r="H14" s="12"/>
      <c r="I14" s="17"/>
      <c r="J14" s="18"/>
      <c r="K14" s="19">
        <f t="shared" si="0"/>
        <v>0</v>
      </c>
      <c r="L14" s="20"/>
      <c r="N14" s="15">
        <v>10.89</v>
      </c>
    </row>
    <row r="15" spans="1:14" s="15" customFormat="1" ht="20.25" customHeight="1" x14ac:dyDescent="0.15">
      <c r="A15" s="60"/>
      <c r="B15" s="9"/>
      <c r="C15" s="58"/>
      <c r="D15" s="11"/>
      <c r="E15" s="10"/>
      <c r="F15" s="58"/>
      <c r="G15" s="12"/>
      <c r="H15" s="12"/>
      <c r="I15" s="17"/>
      <c r="J15" s="18"/>
      <c r="K15" s="19">
        <f t="shared" si="0"/>
        <v>0</v>
      </c>
      <c r="L15" s="20"/>
      <c r="N15" s="15">
        <v>10.89</v>
      </c>
    </row>
    <row r="16" spans="1:14" s="15" customFormat="1" ht="20.25" customHeight="1" x14ac:dyDescent="0.15">
      <c r="A16" s="60"/>
      <c r="B16" s="9"/>
      <c r="C16" s="58"/>
      <c r="D16" s="11"/>
      <c r="E16" s="10"/>
      <c r="F16" s="58"/>
      <c r="G16" s="12"/>
      <c r="H16" s="12"/>
      <c r="I16" s="17"/>
      <c r="J16" s="18"/>
      <c r="K16" s="19">
        <f t="shared" si="0"/>
        <v>0</v>
      </c>
      <c r="L16" s="20"/>
      <c r="N16" s="15">
        <v>10.89</v>
      </c>
    </row>
    <row r="17" spans="1:14" s="15" customFormat="1" ht="20.25" customHeight="1" x14ac:dyDescent="0.15">
      <c r="A17" s="60"/>
      <c r="B17" s="9"/>
      <c r="C17" s="58"/>
      <c r="D17" s="11"/>
      <c r="E17" s="10"/>
      <c r="F17" s="58"/>
      <c r="G17" s="12"/>
      <c r="H17" s="12"/>
      <c r="I17" s="17"/>
      <c r="J17" s="18"/>
      <c r="K17" s="19">
        <f t="shared" si="0"/>
        <v>0</v>
      </c>
      <c r="L17" s="20"/>
      <c r="N17" s="15">
        <v>10.89</v>
      </c>
    </row>
    <row r="18" spans="1:14" s="15" customFormat="1" ht="20.25" customHeight="1" x14ac:dyDescent="0.15">
      <c r="A18" s="60"/>
      <c r="B18" s="9"/>
      <c r="C18" s="58"/>
      <c r="D18" s="11"/>
      <c r="E18" s="10"/>
      <c r="F18" s="58"/>
      <c r="G18" s="12"/>
      <c r="H18" s="12"/>
      <c r="I18" s="17"/>
      <c r="J18" s="18"/>
      <c r="K18" s="19">
        <f t="shared" si="0"/>
        <v>0</v>
      </c>
      <c r="L18" s="20"/>
      <c r="N18" s="15">
        <v>10.89</v>
      </c>
    </row>
    <row r="19" spans="1:14" s="15" customFormat="1" ht="20.25" customHeight="1" x14ac:dyDescent="0.15">
      <c r="A19" s="60"/>
      <c r="B19" s="9"/>
      <c r="C19" s="58"/>
      <c r="D19" s="11"/>
      <c r="E19" s="10"/>
      <c r="F19" s="58"/>
      <c r="G19" s="12"/>
      <c r="H19" s="12"/>
      <c r="I19" s="17"/>
      <c r="J19" s="18"/>
      <c r="K19" s="19">
        <f t="shared" si="0"/>
        <v>0</v>
      </c>
      <c r="L19" s="20"/>
      <c r="N19" s="15">
        <v>10.89</v>
      </c>
    </row>
    <row r="20" spans="1:14" s="15" customFormat="1" ht="20.25" customHeight="1" x14ac:dyDescent="0.15">
      <c r="A20" s="60"/>
      <c r="B20" s="9"/>
      <c r="C20" s="58"/>
      <c r="D20" s="11"/>
      <c r="E20" s="10"/>
      <c r="F20" s="58"/>
      <c r="G20" s="12"/>
      <c r="H20" s="12"/>
      <c r="I20" s="17"/>
      <c r="J20" s="18"/>
      <c r="K20" s="19">
        <f t="shared" si="0"/>
        <v>0</v>
      </c>
      <c r="L20" s="20"/>
      <c r="N20" s="15">
        <v>10.89</v>
      </c>
    </row>
    <row r="21" spans="1:14" s="15" customFormat="1" ht="20.25" customHeight="1" x14ac:dyDescent="0.15">
      <c r="A21" s="60"/>
      <c r="B21" s="9"/>
      <c r="C21" s="58"/>
      <c r="D21" s="11"/>
      <c r="E21" s="10"/>
      <c r="F21" s="58"/>
      <c r="G21" s="50"/>
      <c r="H21" s="50"/>
      <c r="I21" s="17"/>
      <c r="J21" s="18"/>
      <c r="K21" s="19">
        <f t="shared" si="0"/>
        <v>0</v>
      </c>
      <c r="L21" s="20"/>
      <c r="N21" s="15">
        <v>10.89</v>
      </c>
    </row>
    <row r="22" spans="1:14" s="15" customFormat="1" ht="20.25" customHeight="1" x14ac:dyDescent="0.15">
      <c r="A22" s="60"/>
      <c r="B22" s="9"/>
      <c r="C22" s="58"/>
      <c r="D22" s="11"/>
      <c r="E22" s="10"/>
      <c r="F22" s="58"/>
      <c r="G22" s="50"/>
      <c r="H22" s="50"/>
      <c r="I22" s="17"/>
      <c r="J22" s="18"/>
      <c r="K22" s="19">
        <f t="shared" si="0"/>
        <v>0</v>
      </c>
      <c r="L22" s="20"/>
      <c r="N22" s="15">
        <v>10.89</v>
      </c>
    </row>
    <row r="23" spans="1:14" ht="20.25" customHeight="1" x14ac:dyDescent="0.15">
      <c r="A23" s="60"/>
      <c r="B23" s="9"/>
      <c r="C23" s="58"/>
      <c r="D23" s="11"/>
      <c r="E23" s="10"/>
      <c r="F23" s="58"/>
      <c r="G23" s="16"/>
      <c r="H23" s="16"/>
      <c r="I23" s="17"/>
      <c r="J23" s="18"/>
      <c r="K23" s="19">
        <f t="shared" si="0"/>
        <v>0</v>
      </c>
      <c r="L23" s="20"/>
      <c r="N23" s="15">
        <v>10.89</v>
      </c>
    </row>
    <row r="24" spans="1:14" ht="20.25" customHeight="1" thickBot="1" x14ac:dyDescent="0.2">
      <c r="A24" s="56"/>
      <c r="B24" s="21"/>
      <c r="C24" s="59"/>
      <c r="D24" s="22"/>
      <c r="E24" s="23"/>
      <c r="F24" s="23"/>
      <c r="G24" s="24"/>
      <c r="H24" s="24"/>
      <c r="I24" s="25"/>
      <c r="J24" s="46">
        <f>SUM(J8:J23)</f>
        <v>499</v>
      </c>
      <c r="K24" s="47">
        <f>SUM(K8:K23)</f>
        <v>4829.9328000000005</v>
      </c>
      <c r="L24" s="26"/>
    </row>
    <row r="25" spans="1:14" ht="20.25" customHeight="1" thickTop="1" x14ac:dyDescent="0.15">
      <c r="A25" s="60" t="s">
        <v>1199</v>
      </c>
      <c r="B25" s="9" t="s">
        <v>101</v>
      </c>
      <c r="C25" s="58" t="s">
        <v>29</v>
      </c>
      <c r="D25" s="11" t="s">
        <v>729</v>
      </c>
      <c r="E25" s="10">
        <v>27.76</v>
      </c>
      <c r="F25" s="10"/>
      <c r="G25" s="12">
        <v>790</v>
      </c>
      <c r="H25" s="12">
        <v>846</v>
      </c>
      <c r="I25" s="17" t="s">
        <v>1221</v>
      </c>
      <c r="J25" s="18">
        <v>106</v>
      </c>
      <c r="K25" s="19">
        <f t="shared" ref="K25:K40" si="1">+M25*N25</f>
        <v>1154.3400000000001</v>
      </c>
      <c r="L25" s="54"/>
      <c r="M25" s="3">
        <v>106</v>
      </c>
      <c r="N25" s="15">
        <v>10.89</v>
      </c>
    </row>
    <row r="26" spans="1:14" ht="20.25" customHeight="1" x14ac:dyDescent="0.15">
      <c r="A26" s="60" t="s">
        <v>1222</v>
      </c>
      <c r="B26" s="9" t="s">
        <v>173</v>
      </c>
      <c r="C26" s="58" t="s">
        <v>29</v>
      </c>
      <c r="D26" s="11" t="s">
        <v>195</v>
      </c>
      <c r="E26" s="10">
        <v>22</v>
      </c>
      <c r="F26" s="58"/>
      <c r="G26" s="12">
        <v>954</v>
      </c>
      <c r="H26" s="12">
        <v>1967</v>
      </c>
      <c r="I26" s="17" t="s">
        <v>1223</v>
      </c>
      <c r="J26" s="18">
        <v>126</v>
      </c>
      <c r="K26" s="19">
        <f t="shared" si="1"/>
        <v>1244.0735999999999</v>
      </c>
      <c r="L26" s="54"/>
      <c r="M26" s="3">
        <v>114.24</v>
      </c>
      <c r="N26" s="15">
        <v>10.89</v>
      </c>
    </row>
    <row r="27" spans="1:14" ht="20.25" customHeight="1" x14ac:dyDescent="0.15">
      <c r="A27" s="60" t="s">
        <v>1224</v>
      </c>
      <c r="B27" s="9" t="s">
        <v>173</v>
      </c>
      <c r="C27" s="58" t="s">
        <v>29</v>
      </c>
      <c r="D27" s="11" t="s">
        <v>195</v>
      </c>
      <c r="E27" s="10">
        <v>22</v>
      </c>
      <c r="F27" s="58"/>
      <c r="G27" s="12">
        <v>954</v>
      </c>
      <c r="H27" s="12">
        <v>1967</v>
      </c>
      <c r="I27" s="17" t="s">
        <v>1225</v>
      </c>
      <c r="J27" s="18">
        <v>137</v>
      </c>
      <c r="K27" s="19">
        <f t="shared" si="1"/>
        <v>1839.8654999999999</v>
      </c>
      <c r="L27" s="54"/>
      <c r="M27" s="3">
        <v>168.95</v>
      </c>
      <c r="N27" s="15">
        <v>10.89</v>
      </c>
    </row>
    <row r="28" spans="1:14" ht="20.25" customHeight="1" x14ac:dyDescent="0.15">
      <c r="A28" s="61" t="s">
        <v>1226</v>
      </c>
      <c r="B28" s="9" t="s">
        <v>138</v>
      </c>
      <c r="C28" s="58" t="s">
        <v>29</v>
      </c>
      <c r="D28" s="11" t="s">
        <v>372</v>
      </c>
      <c r="E28" s="10">
        <v>24</v>
      </c>
      <c r="F28" s="58"/>
      <c r="G28" s="12">
        <v>775</v>
      </c>
      <c r="H28" s="12">
        <v>1890</v>
      </c>
      <c r="I28" s="17" t="s">
        <v>1227</v>
      </c>
      <c r="J28" s="18">
        <v>30</v>
      </c>
      <c r="K28" s="19">
        <f t="shared" si="1"/>
        <v>323.21520000000004</v>
      </c>
      <c r="L28" s="54"/>
      <c r="M28" s="3">
        <v>29.68</v>
      </c>
      <c r="N28" s="15">
        <v>10.89</v>
      </c>
    </row>
    <row r="29" spans="1:14" ht="20.25" customHeight="1" x14ac:dyDescent="0.15">
      <c r="A29" s="61"/>
      <c r="B29" s="9"/>
      <c r="C29" s="58" t="s">
        <v>29</v>
      </c>
      <c r="D29" s="11" t="s">
        <v>336</v>
      </c>
      <c r="E29" s="10">
        <v>24</v>
      </c>
      <c r="F29" s="58"/>
      <c r="G29" s="12">
        <v>1762</v>
      </c>
      <c r="H29" s="12">
        <v>1890</v>
      </c>
      <c r="I29" s="17" t="s">
        <v>1228</v>
      </c>
      <c r="J29" s="18">
        <v>32</v>
      </c>
      <c r="K29" s="19">
        <f t="shared" si="1"/>
        <v>395.74260000000004</v>
      </c>
      <c r="L29" s="54"/>
      <c r="M29" s="3">
        <v>36.340000000000003</v>
      </c>
      <c r="N29" s="15">
        <v>10.89</v>
      </c>
    </row>
    <row r="30" spans="1:14" ht="20.25" customHeight="1" x14ac:dyDescent="0.15">
      <c r="A30" s="61"/>
      <c r="B30" s="9"/>
      <c r="C30" s="58" t="s">
        <v>29</v>
      </c>
      <c r="D30" s="11" t="s">
        <v>224</v>
      </c>
      <c r="E30" s="10">
        <v>22</v>
      </c>
      <c r="F30" s="58" t="s">
        <v>11</v>
      </c>
      <c r="G30" s="12">
        <v>618</v>
      </c>
      <c r="H30" s="12">
        <v>1890</v>
      </c>
      <c r="I30" s="51" t="s">
        <v>1229</v>
      </c>
      <c r="J30" s="52">
        <v>8</v>
      </c>
      <c r="K30" s="53">
        <f t="shared" si="1"/>
        <v>100.188</v>
      </c>
      <c r="L30" s="54"/>
      <c r="M30" s="3">
        <v>9.1999999999999993</v>
      </c>
      <c r="N30" s="15">
        <v>10.89</v>
      </c>
    </row>
    <row r="31" spans="1:14" ht="20.25" customHeight="1" x14ac:dyDescent="0.15">
      <c r="A31" s="61" t="s">
        <v>1230</v>
      </c>
      <c r="B31" s="9" t="s">
        <v>138</v>
      </c>
      <c r="C31" s="58" t="s">
        <v>29</v>
      </c>
      <c r="D31" s="11" t="s">
        <v>372</v>
      </c>
      <c r="E31" s="10">
        <v>24</v>
      </c>
      <c r="F31" s="58"/>
      <c r="G31" s="12">
        <v>1331</v>
      </c>
      <c r="H31" s="12">
        <v>1890</v>
      </c>
      <c r="I31" s="51" t="s">
        <v>1231</v>
      </c>
      <c r="J31" s="52">
        <v>38</v>
      </c>
      <c r="K31" s="53">
        <f t="shared" si="1"/>
        <v>408.59280000000007</v>
      </c>
      <c r="L31" s="54"/>
      <c r="M31" s="3">
        <v>37.520000000000003</v>
      </c>
      <c r="N31" s="15">
        <v>10.89</v>
      </c>
    </row>
    <row r="32" spans="1:14" ht="20.25" customHeight="1" x14ac:dyDescent="0.15">
      <c r="A32" s="60"/>
      <c r="B32" s="9"/>
      <c r="C32" s="58" t="s">
        <v>29</v>
      </c>
      <c r="D32" s="11" t="s">
        <v>336</v>
      </c>
      <c r="E32" s="10">
        <v>24</v>
      </c>
      <c r="F32" s="58"/>
      <c r="G32" s="12">
        <v>1331</v>
      </c>
      <c r="H32" s="12">
        <v>1890</v>
      </c>
      <c r="I32" s="17" t="s">
        <v>1231</v>
      </c>
      <c r="J32" s="18">
        <v>38</v>
      </c>
      <c r="K32" s="19">
        <f t="shared" si="1"/>
        <v>408.59280000000007</v>
      </c>
      <c r="L32" s="27"/>
      <c r="M32" s="3">
        <v>37.520000000000003</v>
      </c>
      <c r="N32" s="15">
        <v>10.89</v>
      </c>
    </row>
    <row r="33" spans="1:14" ht="20.25" customHeight="1" x14ac:dyDescent="0.15">
      <c r="A33" s="60"/>
      <c r="B33" s="9"/>
      <c r="C33" s="58" t="s">
        <v>29</v>
      </c>
      <c r="D33" s="11" t="s">
        <v>224</v>
      </c>
      <c r="E33" s="10">
        <v>22</v>
      </c>
      <c r="F33" s="58" t="s">
        <v>11</v>
      </c>
      <c r="G33" s="12">
        <v>668</v>
      </c>
      <c r="H33" s="12">
        <v>1890</v>
      </c>
      <c r="I33" s="17" t="s">
        <v>1229</v>
      </c>
      <c r="J33" s="18">
        <v>8</v>
      </c>
      <c r="K33" s="19">
        <f t="shared" si="1"/>
        <v>104.10840000000002</v>
      </c>
      <c r="L33" s="27"/>
      <c r="M33" s="3">
        <v>9.56</v>
      </c>
      <c r="N33" s="15">
        <v>10.89</v>
      </c>
    </row>
    <row r="34" spans="1:14" ht="20.25" customHeight="1" x14ac:dyDescent="0.15">
      <c r="A34" s="60" t="s">
        <v>1232</v>
      </c>
      <c r="B34" s="9" t="s">
        <v>1233</v>
      </c>
      <c r="C34" s="58" t="s">
        <v>29</v>
      </c>
      <c r="D34" s="11" t="s">
        <v>1234</v>
      </c>
      <c r="E34" s="10">
        <v>25</v>
      </c>
      <c r="F34" s="10" t="s">
        <v>11</v>
      </c>
      <c r="G34" s="12">
        <v>935</v>
      </c>
      <c r="H34" s="12">
        <v>520</v>
      </c>
      <c r="I34" s="17">
        <v>1</v>
      </c>
      <c r="J34" s="18">
        <v>1</v>
      </c>
      <c r="K34" s="19">
        <f t="shared" si="1"/>
        <v>5.3361000000000001</v>
      </c>
      <c r="L34" s="27"/>
      <c r="M34" s="3">
        <v>0.49</v>
      </c>
      <c r="N34" s="15">
        <v>10.89</v>
      </c>
    </row>
    <row r="35" spans="1:14" ht="20.25" customHeight="1" x14ac:dyDescent="0.15">
      <c r="A35" s="60"/>
      <c r="B35" s="9"/>
      <c r="C35" s="58"/>
      <c r="D35" s="11"/>
      <c r="E35" s="10"/>
      <c r="F35" s="10"/>
      <c r="G35" s="12"/>
      <c r="H35" s="12"/>
      <c r="I35" s="17"/>
      <c r="J35" s="18"/>
      <c r="K35" s="19">
        <f t="shared" si="1"/>
        <v>0</v>
      </c>
      <c r="L35" s="27"/>
      <c r="N35" s="15">
        <v>10.89</v>
      </c>
    </row>
    <row r="36" spans="1:14" ht="20.25" customHeight="1" x14ac:dyDescent="0.15">
      <c r="A36" s="60"/>
      <c r="B36" s="9"/>
      <c r="C36" s="58"/>
      <c r="D36" s="11"/>
      <c r="E36" s="10"/>
      <c r="F36" s="10"/>
      <c r="G36" s="12"/>
      <c r="H36" s="12"/>
      <c r="I36" s="17"/>
      <c r="J36" s="18"/>
      <c r="K36" s="19">
        <f t="shared" si="1"/>
        <v>0</v>
      </c>
      <c r="L36" s="27"/>
      <c r="N36" s="15">
        <v>10.89</v>
      </c>
    </row>
    <row r="37" spans="1:14" ht="20.25" customHeight="1" x14ac:dyDescent="0.15">
      <c r="A37" s="60"/>
      <c r="B37" s="9"/>
      <c r="C37" s="58"/>
      <c r="D37" s="11"/>
      <c r="E37" s="10"/>
      <c r="F37" s="10"/>
      <c r="G37" s="12"/>
      <c r="H37" s="12"/>
      <c r="I37" s="17"/>
      <c r="J37" s="18"/>
      <c r="K37" s="19">
        <f t="shared" si="1"/>
        <v>0</v>
      </c>
      <c r="L37" s="27"/>
      <c r="N37" s="15">
        <v>10.89</v>
      </c>
    </row>
    <row r="38" spans="1:14" ht="20.25" customHeight="1" x14ac:dyDescent="0.15">
      <c r="A38" s="60"/>
      <c r="B38" s="9"/>
      <c r="C38" s="58"/>
      <c r="D38" s="11"/>
      <c r="E38" s="10"/>
      <c r="F38" s="10"/>
      <c r="G38" s="12"/>
      <c r="H38" s="12"/>
      <c r="I38" s="17"/>
      <c r="J38" s="18"/>
      <c r="K38" s="19">
        <f t="shared" si="1"/>
        <v>0</v>
      </c>
      <c r="L38" s="27"/>
      <c r="N38" s="15">
        <v>10.89</v>
      </c>
    </row>
    <row r="39" spans="1:14" ht="20.25" customHeight="1" x14ac:dyDescent="0.15">
      <c r="A39" s="60"/>
      <c r="B39" s="9"/>
      <c r="C39" s="58"/>
      <c r="D39" s="11"/>
      <c r="E39" s="10"/>
      <c r="F39" s="10"/>
      <c r="G39" s="12"/>
      <c r="H39" s="12"/>
      <c r="I39" s="17"/>
      <c r="J39" s="18"/>
      <c r="K39" s="19">
        <f t="shared" si="1"/>
        <v>0</v>
      </c>
      <c r="L39" s="27"/>
      <c r="N39" s="15">
        <v>10.89</v>
      </c>
    </row>
    <row r="40" spans="1:14" ht="20.25" customHeight="1" x14ac:dyDescent="0.15">
      <c r="A40" s="60"/>
      <c r="B40" s="9"/>
      <c r="C40" s="58"/>
      <c r="D40" s="11"/>
      <c r="E40" s="10"/>
      <c r="F40" s="10"/>
      <c r="G40" s="12"/>
      <c r="H40" s="12"/>
      <c r="I40" s="17"/>
      <c r="J40" s="18"/>
      <c r="K40" s="19">
        <f t="shared" si="1"/>
        <v>0</v>
      </c>
      <c r="L40" s="27"/>
      <c r="N40" s="15">
        <v>10.89</v>
      </c>
    </row>
    <row r="41" spans="1:14" ht="20.25" customHeight="1" x14ac:dyDescent="0.15">
      <c r="A41" s="57"/>
      <c r="B41" s="28"/>
      <c r="C41" s="10"/>
      <c r="D41" s="29"/>
      <c r="E41" s="30"/>
      <c r="F41" s="30"/>
      <c r="G41" s="30"/>
      <c r="H41" s="30"/>
      <c r="I41" s="13"/>
      <c r="J41" s="48">
        <f>SUM(J25:J40)</f>
        <v>524</v>
      </c>
      <c r="K41" s="49">
        <f>SUM(K25:K40)</f>
        <v>5984.0550000000012</v>
      </c>
      <c r="L41" s="31"/>
      <c r="N41" s="32"/>
    </row>
    <row r="42" spans="1:14" ht="20.25" customHeight="1" thickBot="1" x14ac:dyDescent="0.2">
      <c r="A42" s="55"/>
      <c r="B42" s="33"/>
      <c r="C42" s="33"/>
      <c r="D42" s="33"/>
      <c r="E42" s="33"/>
      <c r="F42" s="33"/>
      <c r="G42" s="33"/>
      <c r="H42" s="33"/>
      <c r="I42" s="33"/>
      <c r="J42" s="34"/>
      <c r="K42" s="35"/>
      <c r="L42" s="36"/>
    </row>
    <row r="43" spans="1:14" ht="20.25" customHeight="1" thickBot="1" x14ac:dyDescent="0.2">
      <c r="A43" s="37" t="s">
        <v>19</v>
      </c>
      <c r="B43" s="38" t="s">
        <v>20</v>
      </c>
      <c r="C43" s="77" t="s">
        <v>21</v>
      </c>
      <c r="D43" s="79"/>
      <c r="E43" s="77" t="s">
        <v>22</v>
      </c>
      <c r="F43" s="78"/>
      <c r="G43" s="79"/>
      <c r="H43" s="85" t="s">
        <v>23</v>
      </c>
      <c r="I43" s="86"/>
      <c r="J43" s="77" t="s">
        <v>24</v>
      </c>
      <c r="K43" s="79"/>
      <c r="L43" s="39" t="s">
        <v>13</v>
      </c>
    </row>
    <row r="44" spans="1:14" ht="20.25" customHeight="1" thickBot="1" x14ac:dyDescent="0.2">
      <c r="A44" s="40">
        <f>SUMIF($C$8:$C$42,"U1",$J$8:$J$42)</f>
        <v>0</v>
      </c>
      <c r="B44" s="41">
        <f>SUMIF($C$8:$C$42,"U2",$J$8:$J$42)</f>
        <v>0</v>
      </c>
      <c r="C44" s="77">
        <f>SUMIF($C$8:$C$42,"U3-1",$J$8:$J$42)</f>
        <v>0</v>
      </c>
      <c r="D44" s="79"/>
      <c r="E44" s="77">
        <f>SUMIF($C$8:$C$42,"U3",$J$8:$J$42)</f>
        <v>1023</v>
      </c>
      <c r="F44" s="78"/>
      <c r="G44" s="79"/>
      <c r="H44" s="77">
        <f>SUMIF($C$8:$C$42,"E5",$J$8:$J$42)</f>
        <v>0</v>
      </c>
      <c r="I44" s="79"/>
      <c r="J44" s="77">
        <f>SUM(A44:I44)</f>
        <v>1023</v>
      </c>
      <c r="K44" s="79"/>
      <c r="L44" s="42"/>
    </row>
    <row r="45" spans="1:14" ht="20.25" customHeight="1" thickBot="1" x14ac:dyDescent="0.2">
      <c r="A45" s="43" t="s">
        <v>25</v>
      </c>
      <c r="B45" s="44" t="s">
        <v>26</v>
      </c>
      <c r="C45" s="75">
        <v>13876</v>
      </c>
      <c r="D45" s="76"/>
      <c r="E45" s="77" t="s">
        <v>27</v>
      </c>
      <c r="F45" s="78"/>
      <c r="G45" s="78"/>
      <c r="H45" s="78"/>
      <c r="I45" s="79"/>
      <c r="J45" s="80">
        <v>146744.37</v>
      </c>
      <c r="K45" s="81"/>
      <c r="L45" s="82"/>
    </row>
    <row r="47" spans="1:14" x14ac:dyDescent="0.15">
      <c r="D47" s="45"/>
    </row>
  </sheetData>
  <mergeCells count="26">
    <mergeCell ref="L2:L4"/>
    <mergeCell ref="A1:G3"/>
    <mergeCell ref="H1:H4"/>
    <mergeCell ref="I2:I4"/>
    <mergeCell ref="J2:J4"/>
    <mergeCell ref="K2:K4"/>
    <mergeCell ref="B5:G5"/>
    <mergeCell ref="A6:A7"/>
    <mergeCell ref="B6:B7"/>
    <mergeCell ref="C6:C7"/>
    <mergeCell ref="D6:D7"/>
    <mergeCell ref="E6:E7"/>
    <mergeCell ref="F6:F7"/>
    <mergeCell ref="G6:K6"/>
    <mergeCell ref="C45:D45"/>
    <mergeCell ref="E45:I45"/>
    <mergeCell ref="J45:L45"/>
    <mergeCell ref="L6:L7"/>
    <mergeCell ref="C43:D43"/>
    <mergeCell ref="E43:G43"/>
    <mergeCell ref="H43:I43"/>
    <mergeCell ref="J43:K43"/>
    <mergeCell ref="C44:D44"/>
    <mergeCell ref="E44:G44"/>
    <mergeCell ref="H44:I44"/>
    <mergeCell ref="J44:K44"/>
  </mergeCells>
  <phoneticPr fontId="2" type="noConversion"/>
  <printOptions horizontalCentered="1"/>
  <pageMargins left="0.39370078740157483" right="0.39370078740157483" top="0.74803149606299213" bottom="0.19685039370078741" header="0.31496062992125984" footer="0.15748031496062992"/>
  <pageSetup paperSize="9" scale="84" orientation="portrait"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N47"/>
  <sheetViews>
    <sheetView view="pageBreakPreview" zoomScaleSheetLayoutView="100" workbookViewId="0">
      <selection activeCell="I17" sqref="I17"/>
    </sheetView>
  </sheetViews>
  <sheetFormatPr defaultColWidth="8.88671875" defaultRowHeight="13.5" x14ac:dyDescent="0.15"/>
  <cols>
    <col min="1" max="1" width="8.44140625" style="3" customWidth="1"/>
    <col min="2" max="2" width="14.77734375" style="3" customWidth="1"/>
    <col min="3" max="3" width="4.109375" style="3" customWidth="1"/>
    <col min="4" max="4" width="15.21875" style="3" customWidth="1"/>
    <col min="5" max="5" width="4.44140625" style="3" customWidth="1"/>
    <col min="6" max="6" width="4" style="3" customWidth="1"/>
    <col min="7" max="7" width="5.5546875" style="3" customWidth="1"/>
    <col min="8" max="8" width="5.44140625" style="3" customWidth="1"/>
    <col min="9" max="9" width="7.88671875" style="3" customWidth="1"/>
    <col min="10" max="10" width="7.109375" style="3" customWidth="1"/>
    <col min="11" max="11" width="7.21875" style="3" customWidth="1"/>
    <col min="12" max="12" width="6.77734375" style="3" customWidth="1"/>
    <col min="13" max="16384" width="8.88671875" style="3"/>
  </cols>
  <sheetData>
    <row r="1" spans="1:14" ht="18.75" customHeight="1" x14ac:dyDescent="0.15">
      <c r="A1" s="101" t="s">
        <v>0</v>
      </c>
      <c r="B1" s="102"/>
      <c r="C1" s="102"/>
      <c r="D1" s="102"/>
      <c r="E1" s="102"/>
      <c r="F1" s="102"/>
      <c r="G1" s="103"/>
      <c r="H1" s="107" t="s">
        <v>1</v>
      </c>
      <c r="I1" s="1" t="s">
        <v>2</v>
      </c>
      <c r="J1" s="1" t="s">
        <v>2</v>
      </c>
      <c r="K1" s="1" t="s">
        <v>3</v>
      </c>
      <c r="L1" s="2" t="s">
        <v>4</v>
      </c>
    </row>
    <row r="2" spans="1:14" ht="13.5" customHeight="1" x14ac:dyDescent="0.15">
      <c r="A2" s="104"/>
      <c r="B2" s="105"/>
      <c r="C2" s="105"/>
      <c r="D2" s="105"/>
      <c r="E2" s="105"/>
      <c r="F2" s="105"/>
      <c r="G2" s="106"/>
      <c r="H2" s="108"/>
      <c r="I2" s="110"/>
      <c r="J2" s="110"/>
      <c r="K2" s="110"/>
      <c r="L2" s="98"/>
    </row>
    <row r="3" spans="1:14" ht="13.5" customHeight="1" x14ac:dyDescent="0.15">
      <c r="A3" s="104"/>
      <c r="B3" s="105"/>
      <c r="C3" s="105"/>
      <c r="D3" s="105"/>
      <c r="E3" s="105"/>
      <c r="F3" s="105"/>
      <c r="G3" s="106"/>
      <c r="H3" s="108"/>
      <c r="I3" s="108"/>
      <c r="J3" s="108"/>
      <c r="K3" s="108"/>
      <c r="L3" s="99"/>
    </row>
    <row r="4" spans="1:14" ht="33" customHeight="1" x14ac:dyDescent="0.15">
      <c r="A4" s="4"/>
      <c r="B4" s="5"/>
      <c r="C4" s="5"/>
      <c r="D4" s="5"/>
      <c r="E4" s="5"/>
      <c r="F4" s="5"/>
      <c r="G4" s="5"/>
      <c r="H4" s="109"/>
      <c r="I4" s="109"/>
      <c r="J4" s="109"/>
      <c r="K4" s="109"/>
      <c r="L4" s="100"/>
    </row>
    <row r="5" spans="1:14" ht="17.25" customHeight="1" x14ac:dyDescent="0.15">
      <c r="A5" s="6" t="s">
        <v>5</v>
      </c>
      <c r="B5" s="87">
        <v>46084</v>
      </c>
      <c r="C5" s="88"/>
      <c r="D5" s="88"/>
      <c r="E5" s="88"/>
      <c r="F5" s="88"/>
      <c r="G5" s="88"/>
      <c r="H5" s="5"/>
      <c r="I5" s="5"/>
      <c r="J5" s="5"/>
      <c r="K5" s="5"/>
      <c r="L5" s="7"/>
    </row>
    <row r="6" spans="1:14" ht="13.5" customHeight="1" x14ac:dyDescent="0.15">
      <c r="A6" s="89" t="s">
        <v>6</v>
      </c>
      <c r="B6" s="91" t="s">
        <v>7</v>
      </c>
      <c r="C6" s="91" t="s">
        <v>8</v>
      </c>
      <c r="D6" s="91" t="s">
        <v>9</v>
      </c>
      <c r="E6" s="93" t="s">
        <v>10</v>
      </c>
      <c r="F6" s="93" t="s">
        <v>11</v>
      </c>
      <c r="G6" s="95" t="s">
        <v>12</v>
      </c>
      <c r="H6" s="96"/>
      <c r="I6" s="96"/>
      <c r="J6" s="96"/>
      <c r="K6" s="97"/>
      <c r="L6" s="83" t="s">
        <v>13</v>
      </c>
    </row>
    <row r="7" spans="1:14" x14ac:dyDescent="0.15">
      <c r="A7" s="90"/>
      <c r="B7" s="92"/>
      <c r="C7" s="92"/>
      <c r="D7" s="92"/>
      <c r="E7" s="94"/>
      <c r="F7" s="94"/>
      <c r="G7" s="8" t="s">
        <v>14</v>
      </c>
      <c r="H7" s="8" t="s">
        <v>15</v>
      </c>
      <c r="I7" s="8" t="s">
        <v>16</v>
      </c>
      <c r="J7" s="8" t="s">
        <v>17</v>
      </c>
      <c r="K7" s="8" t="s">
        <v>18</v>
      </c>
      <c r="L7" s="84"/>
    </row>
    <row r="8" spans="1:14" s="15" customFormat="1" ht="20.25" customHeight="1" x14ac:dyDescent="0.15">
      <c r="A8" s="60" t="s">
        <v>1235</v>
      </c>
      <c r="B8" s="9" t="s">
        <v>138</v>
      </c>
      <c r="C8" s="58" t="s">
        <v>29</v>
      </c>
      <c r="D8" s="11" t="s">
        <v>403</v>
      </c>
      <c r="E8" s="10">
        <v>24</v>
      </c>
      <c r="F8" s="58"/>
      <c r="G8" s="12">
        <v>1762</v>
      </c>
      <c r="H8" s="12">
        <v>1890</v>
      </c>
      <c r="I8" s="17">
        <v>10</v>
      </c>
      <c r="J8" s="18">
        <v>10</v>
      </c>
      <c r="K8" s="19">
        <f>+M8*N8</f>
        <v>362.637</v>
      </c>
      <c r="L8" s="14"/>
      <c r="M8" s="15">
        <v>33.299999999999997</v>
      </c>
      <c r="N8" s="15">
        <v>10.89</v>
      </c>
    </row>
    <row r="9" spans="1:14" s="15" customFormat="1" ht="20.25" customHeight="1" x14ac:dyDescent="0.15">
      <c r="A9" s="60" t="s">
        <v>1216</v>
      </c>
      <c r="B9" s="9" t="s">
        <v>138</v>
      </c>
      <c r="C9" s="58" t="s">
        <v>29</v>
      </c>
      <c r="D9" s="11" t="s">
        <v>403</v>
      </c>
      <c r="E9" s="10">
        <v>24</v>
      </c>
      <c r="F9" s="58"/>
      <c r="G9" s="12">
        <v>1762</v>
      </c>
      <c r="H9" s="12">
        <v>1890</v>
      </c>
      <c r="I9" s="17">
        <v>5</v>
      </c>
      <c r="J9" s="18">
        <v>5</v>
      </c>
      <c r="K9" s="19">
        <f t="shared" ref="K9:K23" si="0">+M9*N9</f>
        <v>181.3185</v>
      </c>
      <c r="L9" s="14"/>
      <c r="M9" s="15">
        <v>16.649999999999999</v>
      </c>
      <c r="N9" s="15">
        <v>10.89</v>
      </c>
    </row>
    <row r="10" spans="1:14" s="15" customFormat="1" ht="20.25" customHeight="1" x14ac:dyDescent="0.15">
      <c r="A10" s="60"/>
      <c r="B10" s="9"/>
      <c r="C10" s="58" t="s">
        <v>29</v>
      </c>
      <c r="D10" s="11" t="s">
        <v>372</v>
      </c>
      <c r="E10" s="10">
        <v>24</v>
      </c>
      <c r="F10" s="58"/>
      <c r="G10" s="12">
        <v>318</v>
      </c>
      <c r="H10" s="12">
        <v>340</v>
      </c>
      <c r="I10" s="17">
        <v>10</v>
      </c>
      <c r="J10" s="18">
        <v>10</v>
      </c>
      <c r="K10" s="19">
        <f t="shared" si="0"/>
        <v>30.492000000000001</v>
      </c>
      <c r="L10" s="14"/>
      <c r="M10" s="15">
        <v>2.8</v>
      </c>
      <c r="N10" s="15">
        <v>10.89</v>
      </c>
    </row>
    <row r="11" spans="1:14" s="15" customFormat="1" ht="20.25" customHeight="1" x14ac:dyDescent="0.15">
      <c r="A11" s="60"/>
      <c r="B11" s="9"/>
      <c r="C11" s="58" t="s">
        <v>29</v>
      </c>
      <c r="D11" s="11" t="s">
        <v>336</v>
      </c>
      <c r="E11" s="10">
        <v>24</v>
      </c>
      <c r="F11" s="58"/>
      <c r="G11" s="12">
        <v>318</v>
      </c>
      <c r="H11" s="12">
        <v>340</v>
      </c>
      <c r="I11" s="17">
        <v>7</v>
      </c>
      <c r="J11" s="18">
        <v>7</v>
      </c>
      <c r="K11" s="19">
        <f t="shared" si="0"/>
        <v>21.3444</v>
      </c>
      <c r="L11" s="14"/>
      <c r="M11" s="15">
        <v>1.96</v>
      </c>
      <c r="N11" s="15">
        <v>10.89</v>
      </c>
    </row>
    <row r="12" spans="1:14" s="15" customFormat="1" ht="20.25" customHeight="1" x14ac:dyDescent="0.15">
      <c r="A12" s="60" t="s">
        <v>1236</v>
      </c>
      <c r="B12" s="9" t="s">
        <v>1237</v>
      </c>
      <c r="C12" s="58" t="s">
        <v>29</v>
      </c>
      <c r="D12" s="11" t="s">
        <v>1145</v>
      </c>
      <c r="E12" s="10">
        <v>26</v>
      </c>
      <c r="F12" s="58" t="s">
        <v>11</v>
      </c>
      <c r="G12" s="12">
        <v>1037</v>
      </c>
      <c r="H12" s="12">
        <v>540</v>
      </c>
      <c r="I12" s="17" t="s">
        <v>1238</v>
      </c>
      <c r="J12" s="18">
        <f>3+259</f>
        <v>262</v>
      </c>
      <c r="K12" s="19">
        <f t="shared" si="0"/>
        <v>1867.3083000000001</v>
      </c>
      <c r="L12" s="14"/>
      <c r="M12" s="15">
        <v>171.47</v>
      </c>
      <c r="N12" s="15">
        <v>10.89</v>
      </c>
    </row>
    <row r="13" spans="1:14" s="15" customFormat="1" ht="20.25" customHeight="1" x14ac:dyDescent="0.15">
      <c r="A13" s="60" t="s">
        <v>1239</v>
      </c>
      <c r="B13" s="9" t="s">
        <v>1237</v>
      </c>
      <c r="C13" s="58" t="s">
        <v>29</v>
      </c>
      <c r="D13" s="11" t="s">
        <v>1145</v>
      </c>
      <c r="E13" s="10">
        <v>26</v>
      </c>
      <c r="F13" s="58" t="s">
        <v>11</v>
      </c>
      <c r="G13" s="12">
        <v>632</v>
      </c>
      <c r="H13" s="12">
        <v>540</v>
      </c>
      <c r="I13" s="17" t="s">
        <v>1240</v>
      </c>
      <c r="J13" s="18">
        <v>164</v>
      </c>
      <c r="K13" s="19">
        <f t="shared" si="0"/>
        <v>689.5548</v>
      </c>
      <c r="L13" s="14"/>
      <c r="M13" s="15">
        <v>63.32</v>
      </c>
      <c r="N13" s="15">
        <v>10.89</v>
      </c>
    </row>
    <row r="14" spans="1:14" s="15" customFormat="1" ht="20.25" customHeight="1" x14ac:dyDescent="0.15">
      <c r="A14" s="60" t="s">
        <v>1241</v>
      </c>
      <c r="B14" s="9" t="s">
        <v>126</v>
      </c>
      <c r="C14" s="58" t="s">
        <v>29</v>
      </c>
      <c r="D14" s="11" t="s">
        <v>201</v>
      </c>
      <c r="E14" s="10">
        <v>22</v>
      </c>
      <c r="F14" s="58"/>
      <c r="G14" s="12">
        <v>362</v>
      </c>
      <c r="H14" s="12">
        <v>972</v>
      </c>
      <c r="I14" s="17">
        <v>1</v>
      </c>
      <c r="J14" s="18">
        <v>1</v>
      </c>
      <c r="K14" s="19">
        <f t="shared" si="0"/>
        <v>3.8115000000000001</v>
      </c>
      <c r="L14" s="20"/>
      <c r="M14" s="15">
        <v>0.35</v>
      </c>
      <c r="N14" s="15">
        <v>10.89</v>
      </c>
    </row>
    <row r="15" spans="1:14" s="15" customFormat="1" ht="20.25" customHeight="1" x14ac:dyDescent="0.15">
      <c r="A15" s="60"/>
      <c r="B15" s="9"/>
      <c r="C15" s="58"/>
      <c r="D15" s="11"/>
      <c r="E15" s="10"/>
      <c r="F15" s="58"/>
      <c r="G15" s="12"/>
      <c r="H15" s="12"/>
      <c r="I15" s="17"/>
      <c r="J15" s="18"/>
      <c r="K15" s="19">
        <f t="shared" si="0"/>
        <v>0</v>
      </c>
      <c r="L15" s="20"/>
      <c r="N15" s="15">
        <v>10.89</v>
      </c>
    </row>
    <row r="16" spans="1:14" s="15" customFormat="1" ht="20.25" customHeight="1" x14ac:dyDescent="0.15">
      <c r="A16" s="60"/>
      <c r="B16" s="9"/>
      <c r="C16" s="58"/>
      <c r="D16" s="11"/>
      <c r="E16" s="10"/>
      <c r="F16" s="58"/>
      <c r="G16" s="12"/>
      <c r="H16" s="12"/>
      <c r="I16" s="17"/>
      <c r="J16" s="18"/>
      <c r="K16" s="19">
        <f t="shared" si="0"/>
        <v>0</v>
      </c>
      <c r="L16" s="20"/>
      <c r="N16" s="15">
        <v>10.89</v>
      </c>
    </row>
    <row r="17" spans="1:14" s="15" customFormat="1" ht="20.25" customHeight="1" x14ac:dyDescent="0.15">
      <c r="A17" s="60"/>
      <c r="B17" s="9"/>
      <c r="C17" s="58"/>
      <c r="D17" s="11"/>
      <c r="E17" s="10"/>
      <c r="F17" s="58"/>
      <c r="G17" s="12"/>
      <c r="H17" s="12"/>
      <c r="I17" s="17"/>
      <c r="J17" s="18"/>
      <c r="K17" s="19">
        <f t="shared" si="0"/>
        <v>0</v>
      </c>
      <c r="L17" s="20"/>
      <c r="N17" s="15">
        <v>10.89</v>
      </c>
    </row>
    <row r="18" spans="1:14" s="15" customFormat="1" ht="20.25" customHeight="1" x14ac:dyDescent="0.15">
      <c r="A18" s="60"/>
      <c r="B18" s="9"/>
      <c r="C18" s="58"/>
      <c r="D18" s="11"/>
      <c r="E18" s="10"/>
      <c r="F18" s="58"/>
      <c r="G18" s="12"/>
      <c r="H18" s="12"/>
      <c r="I18" s="17"/>
      <c r="J18" s="18"/>
      <c r="K18" s="19">
        <f t="shared" si="0"/>
        <v>0</v>
      </c>
      <c r="L18" s="20"/>
      <c r="N18" s="15">
        <v>10.89</v>
      </c>
    </row>
    <row r="19" spans="1:14" s="15" customFormat="1" ht="20.25" customHeight="1" x14ac:dyDescent="0.15">
      <c r="A19" s="60"/>
      <c r="B19" s="9"/>
      <c r="C19" s="58"/>
      <c r="D19" s="11"/>
      <c r="E19" s="10"/>
      <c r="F19" s="58"/>
      <c r="G19" s="12"/>
      <c r="H19" s="12"/>
      <c r="I19" s="17"/>
      <c r="J19" s="18"/>
      <c r="K19" s="19">
        <f t="shared" si="0"/>
        <v>0</v>
      </c>
      <c r="L19" s="20"/>
      <c r="N19" s="15">
        <v>10.89</v>
      </c>
    </row>
    <row r="20" spans="1:14" s="15" customFormat="1" ht="20.25" customHeight="1" x14ac:dyDescent="0.15">
      <c r="A20" s="60"/>
      <c r="B20" s="9"/>
      <c r="C20" s="58"/>
      <c r="D20" s="11"/>
      <c r="E20" s="10"/>
      <c r="F20" s="58"/>
      <c r="G20" s="12"/>
      <c r="H20" s="12"/>
      <c r="I20" s="17"/>
      <c r="J20" s="18"/>
      <c r="K20" s="19">
        <f t="shared" si="0"/>
        <v>0</v>
      </c>
      <c r="L20" s="20"/>
      <c r="N20" s="15">
        <v>10.89</v>
      </c>
    </row>
    <row r="21" spans="1:14" s="15" customFormat="1" ht="20.25" customHeight="1" x14ac:dyDescent="0.15">
      <c r="A21" s="60"/>
      <c r="B21" s="9"/>
      <c r="C21" s="58"/>
      <c r="D21" s="11"/>
      <c r="E21" s="10"/>
      <c r="F21" s="58"/>
      <c r="G21" s="50"/>
      <c r="H21" s="50"/>
      <c r="I21" s="17"/>
      <c r="J21" s="18"/>
      <c r="K21" s="19">
        <f t="shared" si="0"/>
        <v>0</v>
      </c>
      <c r="L21" s="20"/>
      <c r="N21" s="15">
        <v>10.89</v>
      </c>
    </row>
    <row r="22" spans="1:14" s="15" customFormat="1" ht="20.25" customHeight="1" x14ac:dyDescent="0.15">
      <c r="A22" s="60"/>
      <c r="B22" s="9"/>
      <c r="C22" s="58"/>
      <c r="D22" s="11"/>
      <c r="E22" s="10"/>
      <c r="F22" s="58"/>
      <c r="G22" s="50"/>
      <c r="H22" s="50"/>
      <c r="I22" s="17"/>
      <c r="J22" s="18"/>
      <c r="K22" s="19">
        <f t="shared" si="0"/>
        <v>0</v>
      </c>
      <c r="L22" s="20"/>
      <c r="N22" s="15">
        <v>10.89</v>
      </c>
    </row>
    <row r="23" spans="1:14" ht="20.25" customHeight="1" x14ac:dyDescent="0.15">
      <c r="A23" s="60"/>
      <c r="B23" s="9"/>
      <c r="C23" s="58"/>
      <c r="D23" s="11"/>
      <c r="E23" s="10"/>
      <c r="F23" s="58"/>
      <c r="G23" s="16"/>
      <c r="H23" s="16"/>
      <c r="I23" s="17"/>
      <c r="J23" s="18"/>
      <c r="K23" s="19">
        <f t="shared" si="0"/>
        <v>0</v>
      </c>
      <c r="L23" s="20"/>
      <c r="N23" s="15">
        <v>10.89</v>
      </c>
    </row>
    <row r="24" spans="1:14" ht="20.25" customHeight="1" thickBot="1" x14ac:dyDescent="0.2">
      <c r="A24" s="56"/>
      <c r="B24" s="21"/>
      <c r="C24" s="59"/>
      <c r="D24" s="22"/>
      <c r="E24" s="23"/>
      <c r="F24" s="23"/>
      <c r="G24" s="24"/>
      <c r="H24" s="24"/>
      <c r="I24" s="25"/>
      <c r="J24" s="46">
        <f>SUM(J8:J23)</f>
        <v>459</v>
      </c>
      <c r="K24" s="47">
        <f>SUM(K8:K23)</f>
        <v>3156.4664999999995</v>
      </c>
      <c r="L24" s="26"/>
    </row>
    <row r="25" spans="1:14" ht="20.25" customHeight="1" thickTop="1" x14ac:dyDescent="0.15">
      <c r="A25" s="60" t="s">
        <v>1242</v>
      </c>
      <c r="B25" s="9" t="s">
        <v>173</v>
      </c>
      <c r="C25" s="58" t="s">
        <v>29</v>
      </c>
      <c r="D25" s="11" t="s">
        <v>195</v>
      </c>
      <c r="E25" s="10">
        <v>22</v>
      </c>
      <c r="F25" s="58"/>
      <c r="G25" s="12">
        <v>564</v>
      </c>
      <c r="H25" s="12">
        <v>1181</v>
      </c>
      <c r="I25" s="17" t="s">
        <v>1243</v>
      </c>
      <c r="J25" s="18">
        <v>103</v>
      </c>
      <c r="K25" s="19">
        <f t="shared" ref="K25:K40" si="1">+M25*N25</f>
        <v>354.25170000000003</v>
      </c>
      <c r="L25" s="54"/>
      <c r="M25" s="3">
        <v>32.53</v>
      </c>
      <c r="N25" s="15">
        <v>10.89</v>
      </c>
    </row>
    <row r="26" spans="1:14" ht="20.25" customHeight="1" x14ac:dyDescent="0.15">
      <c r="A26" s="60" t="s">
        <v>1244</v>
      </c>
      <c r="B26" s="9" t="s">
        <v>173</v>
      </c>
      <c r="C26" s="58" t="s">
        <v>29</v>
      </c>
      <c r="D26" s="11" t="s">
        <v>195</v>
      </c>
      <c r="E26" s="10">
        <v>22</v>
      </c>
      <c r="F26" s="58"/>
      <c r="G26" s="12">
        <v>754</v>
      </c>
      <c r="H26" s="12">
        <v>1967</v>
      </c>
      <c r="I26" s="17" t="s">
        <v>1245</v>
      </c>
      <c r="J26" s="18">
        <v>312</v>
      </c>
      <c r="K26" s="19">
        <f t="shared" si="1"/>
        <v>2778.9102000000003</v>
      </c>
      <c r="L26" s="54"/>
      <c r="M26" s="3">
        <v>255.18</v>
      </c>
      <c r="N26" s="15">
        <v>10.89</v>
      </c>
    </row>
    <row r="27" spans="1:14" ht="20.25" customHeight="1" x14ac:dyDescent="0.15">
      <c r="A27" s="61" t="s">
        <v>1246</v>
      </c>
      <c r="B27" s="9" t="s">
        <v>131</v>
      </c>
      <c r="C27" s="58" t="s">
        <v>29</v>
      </c>
      <c r="D27" s="11" t="s">
        <v>155</v>
      </c>
      <c r="E27" s="10">
        <v>22</v>
      </c>
      <c r="F27" s="10" t="s">
        <v>11</v>
      </c>
      <c r="G27" s="12">
        <v>1421</v>
      </c>
      <c r="H27" s="12">
        <v>1763</v>
      </c>
      <c r="I27" s="17" t="s">
        <v>1247</v>
      </c>
      <c r="J27" s="18">
        <v>150</v>
      </c>
      <c r="K27" s="19">
        <f t="shared" si="1"/>
        <v>1289.3760000000002</v>
      </c>
      <c r="L27" s="54"/>
      <c r="M27" s="3">
        <v>118.4</v>
      </c>
      <c r="N27" s="15">
        <v>10.89</v>
      </c>
    </row>
    <row r="28" spans="1:14" ht="20.25" customHeight="1" x14ac:dyDescent="0.15">
      <c r="A28" s="61"/>
      <c r="B28" s="9"/>
      <c r="C28" s="58" t="s">
        <v>29</v>
      </c>
      <c r="D28" s="11" t="s">
        <v>156</v>
      </c>
      <c r="E28" s="10">
        <v>22</v>
      </c>
      <c r="F28" s="10" t="s">
        <v>11</v>
      </c>
      <c r="G28" s="12">
        <v>1421</v>
      </c>
      <c r="H28" s="12">
        <v>1763</v>
      </c>
      <c r="I28" s="17" t="s">
        <v>1248</v>
      </c>
      <c r="J28" s="18">
        <v>30</v>
      </c>
      <c r="K28" s="19">
        <f t="shared" si="1"/>
        <v>597.86099999999999</v>
      </c>
      <c r="L28" s="54"/>
      <c r="M28" s="3">
        <v>54.9</v>
      </c>
      <c r="N28" s="15">
        <v>10.89</v>
      </c>
    </row>
    <row r="29" spans="1:14" ht="20.25" customHeight="1" x14ac:dyDescent="0.15">
      <c r="A29" s="61"/>
      <c r="B29" s="9"/>
      <c r="C29" s="58"/>
      <c r="D29" s="11"/>
      <c r="E29" s="10"/>
      <c r="F29" s="10"/>
      <c r="G29" s="12"/>
      <c r="H29" s="12"/>
      <c r="I29" s="17"/>
      <c r="J29" s="18"/>
      <c r="K29" s="19">
        <f t="shared" si="1"/>
        <v>0</v>
      </c>
      <c r="L29" s="54"/>
      <c r="N29" s="15">
        <v>10.89</v>
      </c>
    </row>
    <row r="30" spans="1:14" ht="20.25" customHeight="1" x14ac:dyDescent="0.15">
      <c r="A30" s="61"/>
      <c r="B30" s="9"/>
      <c r="C30" s="58"/>
      <c r="D30" s="11"/>
      <c r="E30" s="10"/>
      <c r="F30" s="10"/>
      <c r="G30" s="12"/>
      <c r="H30" s="12"/>
      <c r="I30" s="51"/>
      <c r="J30" s="52"/>
      <c r="K30" s="53">
        <f t="shared" si="1"/>
        <v>0</v>
      </c>
      <c r="L30" s="54"/>
      <c r="N30" s="15">
        <v>10.89</v>
      </c>
    </row>
    <row r="31" spans="1:14" ht="20.25" customHeight="1" x14ac:dyDescent="0.15">
      <c r="A31" s="61"/>
      <c r="B31" s="9"/>
      <c r="C31" s="58"/>
      <c r="D31" s="11"/>
      <c r="E31" s="10"/>
      <c r="F31" s="10"/>
      <c r="G31" s="12"/>
      <c r="H31" s="12"/>
      <c r="I31" s="51"/>
      <c r="J31" s="52"/>
      <c r="K31" s="53">
        <f t="shared" si="1"/>
        <v>0</v>
      </c>
      <c r="L31" s="54"/>
      <c r="N31" s="15">
        <v>10.89</v>
      </c>
    </row>
    <row r="32" spans="1:14" ht="20.25" customHeight="1" x14ac:dyDescent="0.15">
      <c r="A32" s="60"/>
      <c r="B32" s="9"/>
      <c r="C32" s="58"/>
      <c r="D32" s="11"/>
      <c r="E32" s="10"/>
      <c r="F32" s="10"/>
      <c r="G32" s="12"/>
      <c r="H32" s="12"/>
      <c r="I32" s="17"/>
      <c r="J32" s="18"/>
      <c r="K32" s="19">
        <f t="shared" si="1"/>
        <v>0</v>
      </c>
      <c r="L32" s="27"/>
      <c r="N32" s="15">
        <v>10.89</v>
      </c>
    </row>
    <row r="33" spans="1:14" ht="20.25" customHeight="1" x14ac:dyDescent="0.15">
      <c r="A33" s="60"/>
      <c r="B33" s="9"/>
      <c r="C33" s="58"/>
      <c r="D33" s="11"/>
      <c r="E33" s="10"/>
      <c r="F33" s="10"/>
      <c r="G33" s="12"/>
      <c r="H33" s="12"/>
      <c r="I33" s="17"/>
      <c r="J33" s="18"/>
      <c r="K33" s="19">
        <f t="shared" si="1"/>
        <v>0</v>
      </c>
      <c r="L33" s="27"/>
      <c r="N33" s="15">
        <v>10.89</v>
      </c>
    </row>
    <row r="34" spans="1:14" ht="20.25" customHeight="1" x14ac:dyDescent="0.15">
      <c r="A34" s="60"/>
      <c r="B34" s="9"/>
      <c r="C34" s="58"/>
      <c r="D34" s="11"/>
      <c r="E34" s="10"/>
      <c r="F34" s="10"/>
      <c r="G34" s="12"/>
      <c r="H34" s="12"/>
      <c r="I34" s="17"/>
      <c r="J34" s="18"/>
      <c r="K34" s="19">
        <f t="shared" si="1"/>
        <v>0</v>
      </c>
      <c r="L34" s="27"/>
      <c r="N34" s="15">
        <v>10.89</v>
      </c>
    </row>
    <row r="35" spans="1:14" ht="20.25" customHeight="1" x14ac:dyDescent="0.15">
      <c r="A35" s="60"/>
      <c r="B35" s="9"/>
      <c r="C35" s="58"/>
      <c r="D35" s="11"/>
      <c r="E35" s="10"/>
      <c r="F35" s="10"/>
      <c r="G35" s="12"/>
      <c r="H35" s="12"/>
      <c r="I35" s="17"/>
      <c r="J35" s="18"/>
      <c r="K35" s="19">
        <f t="shared" si="1"/>
        <v>0</v>
      </c>
      <c r="L35" s="27"/>
      <c r="N35" s="15">
        <v>10.89</v>
      </c>
    </row>
    <row r="36" spans="1:14" ht="20.25" customHeight="1" x14ac:dyDescent="0.15">
      <c r="A36" s="60"/>
      <c r="B36" s="9"/>
      <c r="C36" s="58"/>
      <c r="D36" s="11"/>
      <c r="E36" s="10"/>
      <c r="F36" s="10"/>
      <c r="G36" s="12"/>
      <c r="H36" s="12"/>
      <c r="I36" s="17"/>
      <c r="J36" s="18"/>
      <c r="K36" s="19">
        <f t="shared" si="1"/>
        <v>0</v>
      </c>
      <c r="L36" s="27"/>
      <c r="N36" s="15">
        <v>10.89</v>
      </c>
    </row>
    <row r="37" spans="1:14" ht="20.25" customHeight="1" x14ac:dyDescent="0.15">
      <c r="A37" s="60"/>
      <c r="B37" s="9"/>
      <c r="C37" s="58"/>
      <c r="D37" s="11"/>
      <c r="E37" s="10"/>
      <c r="F37" s="10"/>
      <c r="G37" s="12"/>
      <c r="H37" s="12"/>
      <c r="I37" s="17"/>
      <c r="J37" s="18"/>
      <c r="K37" s="19">
        <f t="shared" si="1"/>
        <v>0</v>
      </c>
      <c r="L37" s="27"/>
      <c r="N37" s="15">
        <v>10.89</v>
      </c>
    </row>
    <row r="38" spans="1:14" ht="20.25" customHeight="1" x14ac:dyDescent="0.15">
      <c r="A38" s="60"/>
      <c r="B38" s="9"/>
      <c r="C38" s="58"/>
      <c r="D38" s="11"/>
      <c r="E38" s="10"/>
      <c r="F38" s="10"/>
      <c r="G38" s="12"/>
      <c r="H38" s="12"/>
      <c r="I38" s="17"/>
      <c r="J38" s="18"/>
      <c r="K38" s="19">
        <f t="shared" si="1"/>
        <v>0</v>
      </c>
      <c r="L38" s="27"/>
      <c r="N38" s="15">
        <v>10.89</v>
      </c>
    </row>
    <row r="39" spans="1:14" ht="20.25" customHeight="1" x14ac:dyDescent="0.15">
      <c r="A39" s="60"/>
      <c r="B39" s="9"/>
      <c r="C39" s="58"/>
      <c r="D39" s="11"/>
      <c r="E39" s="10"/>
      <c r="F39" s="10"/>
      <c r="G39" s="12"/>
      <c r="H39" s="12"/>
      <c r="I39" s="17"/>
      <c r="J39" s="18"/>
      <c r="K39" s="19">
        <f t="shared" si="1"/>
        <v>0</v>
      </c>
      <c r="L39" s="27"/>
      <c r="N39" s="15">
        <v>10.89</v>
      </c>
    </row>
    <row r="40" spans="1:14" ht="20.25" customHeight="1" x14ac:dyDescent="0.15">
      <c r="A40" s="60"/>
      <c r="B40" s="9"/>
      <c r="C40" s="58"/>
      <c r="D40" s="11"/>
      <c r="E40" s="10"/>
      <c r="F40" s="10"/>
      <c r="G40" s="12"/>
      <c r="H40" s="12"/>
      <c r="I40" s="17"/>
      <c r="J40" s="18"/>
      <c r="K40" s="19">
        <f t="shared" si="1"/>
        <v>0</v>
      </c>
      <c r="L40" s="27"/>
      <c r="N40" s="15">
        <v>10.89</v>
      </c>
    </row>
    <row r="41" spans="1:14" ht="20.25" customHeight="1" x14ac:dyDescent="0.15">
      <c r="A41" s="57"/>
      <c r="B41" s="28"/>
      <c r="C41" s="10"/>
      <c r="D41" s="29"/>
      <c r="E41" s="30"/>
      <c r="F41" s="30"/>
      <c r="G41" s="30"/>
      <c r="H41" s="30"/>
      <c r="I41" s="13"/>
      <c r="J41" s="48">
        <f>SUM(J25:J40)</f>
        <v>595</v>
      </c>
      <c r="K41" s="49">
        <f>SUM(K25:K40)</f>
        <v>5020.3989000000001</v>
      </c>
      <c r="L41" s="31"/>
      <c r="N41" s="32"/>
    </row>
    <row r="42" spans="1:14" ht="20.25" customHeight="1" thickBot="1" x14ac:dyDescent="0.2">
      <c r="A42" s="55"/>
      <c r="B42" s="33"/>
      <c r="C42" s="33"/>
      <c r="D42" s="33"/>
      <c r="E42" s="33"/>
      <c r="F42" s="33"/>
      <c r="G42" s="33"/>
      <c r="H42" s="33"/>
      <c r="I42" s="33"/>
      <c r="J42" s="34"/>
      <c r="K42" s="35"/>
      <c r="L42" s="36"/>
    </row>
    <row r="43" spans="1:14" ht="20.25" customHeight="1" thickBot="1" x14ac:dyDescent="0.2">
      <c r="A43" s="37" t="s">
        <v>19</v>
      </c>
      <c r="B43" s="38" t="s">
        <v>20</v>
      </c>
      <c r="C43" s="77" t="s">
        <v>21</v>
      </c>
      <c r="D43" s="79"/>
      <c r="E43" s="77" t="s">
        <v>22</v>
      </c>
      <c r="F43" s="78"/>
      <c r="G43" s="79"/>
      <c r="H43" s="85" t="s">
        <v>23</v>
      </c>
      <c r="I43" s="86"/>
      <c r="J43" s="77" t="s">
        <v>24</v>
      </c>
      <c r="K43" s="79"/>
      <c r="L43" s="39" t="s">
        <v>13</v>
      </c>
    </row>
    <row r="44" spans="1:14" ht="20.25" customHeight="1" thickBot="1" x14ac:dyDescent="0.2">
      <c r="A44" s="40">
        <f>SUMIF($C$8:$C$42,"U1",$J$8:$J$42)</f>
        <v>0</v>
      </c>
      <c r="B44" s="41">
        <f>SUMIF($C$8:$C$42,"U2",$J$8:$J$42)</f>
        <v>0</v>
      </c>
      <c r="C44" s="77">
        <f>SUMIF($C$8:$C$42,"U3-1",$J$8:$J$42)</f>
        <v>0</v>
      </c>
      <c r="D44" s="79"/>
      <c r="E44" s="77">
        <f>SUMIF($C$8:$C$42,"U3",$J$8:$J$42)</f>
        <v>1054</v>
      </c>
      <c r="F44" s="78"/>
      <c r="G44" s="79"/>
      <c r="H44" s="77">
        <f>SUMIF($C$8:$C$42,"E5",$J$8:$J$42)</f>
        <v>0</v>
      </c>
      <c r="I44" s="79"/>
      <c r="J44" s="77">
        <f>SUM(A44:I44)</f>
        <v>1054</v>
      </c>
      <c r="K44" s="79"/>
      <c r="L44" s="42"/>
    </row>
    <row r="45" spans="1:14" ht="20.25" customHeight="1" thickBot="1" x14ac:dyDescent="0.2">
      <c r="A45" s="43" t="s">
        <v>25</v>
      </c>
      <c r="B45" s="44" t="s">
        <v>26</v>
      </c>
      <c r="C45" s="75">
        <v>13876</v>
      </c>
      <c r="D45" s="76"/>
      <c r="E45" s="77" t="s">
        <v>27</v>
      </c>
      <c r="F45" s="78"/>
      <c r="G45" s="78"/>
      <c r="H45" s="78"/>
      <c r="I45" s="79"/>
      <c r="J45" s="80">
        <v>146744.37</v>
      </c>
      <c r="K45" s="81"/>
      <c r="L45" s="82"/>
    </row>
    <row r="47" spans="1:14" x14ac:dyDescent="0.15">
      <c r="D47" s="45"/>
    </row>
  </sheetData>
  <mergeCells count="26">
    <mergeCell ref="C45:D45"/>
    <mergeCell ref="E45:I45"/>
    <mergeCell ref="J45:L45"/>
    <mergeCell ref="L6:L7"/>
    <mergeCell ref="C43:D43"/>
    <mergeCell ref="E43:G43"/>
    <mergeCell ref="H43:I43"/>
    <mergeCell ref="J43:K43"/>
    <mergeCell ref="C44:D44"/>
    <mergeCell ref="E44:G44"/>
    <mergeCell ref="H44:I44"/>
    <mergeCell ref="J44:K44"/>
    <mergeCell ref="B5:G5"/>
    <mergeCell ref="A6:A7"/>
    <mergeCell ref="B6:B7"/>
    <mergeCell ref="C6:C7"/>
    <mergeCell ref="D6:D7"/>
    <mergeCell ref="E6:E7"/>
    <mergeCell ref="F6:F7"/>
    <mergeCell ref="G6:K6"/>
    <mergeCell ref="L2:L4"/>
    <mergeCell ref="A1:G3"/>
    <mergeCell ref="H1:H4"/>
    <mergeCell ref="I2:I4"/>
    <mergeCell ref="J2:J4"/>
    <mergeCell ref="K2:K4"/>
  </mergeCells>
  <phoneticPr fontId="2" type="noConversion"/>
  <printOptions horizontalCentered="1"/>
  <pageMargins left="0.39370078740157483" right="0.39370078740157483" top="0.74803149606299213" bottom="0.19685039370078741" header="0.31496062992125984" footer="0.15748031496062992"/>
  <pageSetup paperSize="9" scale="84" orientation="portrait" r:id="rId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1:N47"/>
  <sheetViews>
    <sheetView view="pageBreakPreview" zoomScaleSheetLayoutView="100" workbookViewId="0">
      <selection activeCell="B25" sqref="B25"/>
    </sheetView>
  </sheetViews>
  <sheetFormatPr defaultColWidth="8.88671875" defaultRowHeight="13.5" x14ac:dyDescent="0.15"/>
  <cols>
    <col min="1" max="1" width="8.44140625" style="3" customWidth="1"/>
    <col min="2" max="2" width="14.77734375" style="3" customWidth="1"/>
    <col min="3" max="3" width="4.109375" style="3" customWidth="1"/>
    <col min="4" max="4" width="15.21875" style="3" customWidth="1"/>
    <col min="5" max="5" width="4.44140625" style="3" customWidth="1"/>
    <col min="6" max="6" width="4" style="3" customWidth="1"/>
    <col min="7" max="7" width="5.5546875" style="3" customWidth="1"/>
    <col min="8" max="8" width="5.44140625" style="3" customWidth="1"/>
    <col min="9" max="9" width="7.88671875" style="3" customWidth="1"/>
    <col min="10" max="10" width="7.109375" style="3" customWidth="1"/>
    <col min="11" max="11" width="7.21875" style="3" customWidth="1"/>
    <col min="12" max="12" width="6.77734375" style="3" customWidth="1"/>
    <col min="13" max="16384" width="8.88671875" style="3"/>
  </cols>
  <sheetData>
    <row r="1" spans="1:14" ht="18.75" customHeight="1" x14ac:dyDescent="0.15">
      <c r="A1" s="101" t="s">
        <v>0</v>
      </c>
      <c r="B1" s="102"/>
      <c r="C1" s="102"/>
      <c r="D1" s="102"/>
      <c r="E1" s="102"/>
      <c r="F1" s="102"/>
      <c r="G1" s="103"/>
      <c r="H1" s="107" t="s">
        <v>1</v>
      </c>
      <c r="I1" s="1" t="s">
        <v>2</v>
      </c>
      <c r="J1" s="1" t="s">
        <v>2</v>
      </c>
      <c r="K1" s="1" t="s">
        <v>3</v>
      </c>
      <c r="L1" s="2" t="s">
        <v>4</v>
      </c>
    </row>
    <row r="2" spans="1:14" ht="13.5" customHeight="1" x14ac:dyDescent="0.15">
      <c r="A2" s="104"/>
      <c r="B2" s="105"/>
      <c r="C2" s="105"/>
      <c r="D2" s="105"/>
      <c r="E2" s="105"/>
      <c r="F2" s="105"/>
      <c r="G2" s="106"/>
      <c r="H2" s="108"/>
      <c r="I2" s="110"/>
      <c r="J2" s="110"/>
      <c r="K2" s="110"/>
      <c r="L2" s="98"/>
    </row>
    <row r="3" spans="1:14" ht="13.5" customHeight="1" x14ac:dyDescent="0.15">
      <c r="A3" s="104"/>
      <c r="B3" s="105"/>
      <c r="C3" s="105"/>
      <c r="D3" s="105"/>
      <c r="E3" s="105"/>
      <c r="F3" s="105"/>
      <c r="G3" s="106"/>
      <c r="H3" s="108"/>
      <c r="I3" s="108"/>
      <c r="J3" s="108"/>
      <c r="K3" s="108"/>
      <c r="L3" s="99"/>
    </row>
    <row r="4" spans="1:14" ht="33" customHeight="1" x14ac:dyDescent="0.15">
      <c r="A4" s="4"/>
      <c r="B4" s="5"/>
      <c r="C4" s="5"/>
      <c r="D4" s="5"/>
      <c r="E4" s="5"/>
      <c r="F4" s="5"/>
      <c r="G4" s="5"/>
      <c r="H4" s="109"/>
      <c r="I4" s="109"/>
      <c r="J4" s="109"/>
      <c r="K4" s="109"/>
      <c r="L4" s="100"/>
    </row>
    <row r="5" spans="1:14" ht="17.25" customHeight="1" x14ac:dyDescent="0.15">
      <c r="A5" s="6" t="s">
        <v>5</v>
      </c>
      <c r="B5" s="87">
        <v>46085</v>
      </c>
      <c r="C5" s="88"/>
      <c r="D5" s="88"/>
      <c r="E5" s="88"/>
      <c r="F5" s="88"/>
      <c r="G5" s="88"/>
      <c r="H5" s="5"/>
      <c r="I5" s="5"/>
      <c r="J5" s="5"/>
      <c r="K5" s="5"/>
      <c r="L5" s="7"/>
    </row>
    <row r="6" spans="1:14" ht="13.5" customHeight="1" x14ac:dyDescent="0.15">
      <c r="A6" s="89" t="s">
        <v>6</v>
      </c>
      <c r="B6" s="91" t="s">
        <v>7</v>
      </c>
      <c r="C6" s="91" t="s">
        <v>8</v>
      </c>
      <c r="D6" s="91" t="s">
        <v>9</v>
      </c>
      <c r="E6" s="93" t="s">
        <v>10</v>
      </c>
      <c r="F6" s="93" t="s">
        <v>11</v>
      </c>
      <c r="G6" s="95" t="s">
        <v>12</v>
      </c>
      <c r="H6" s="96"/>
      <c r="I6" s="96"/>
      <c r="J6" s="96"/>
      <c r="K6" s="97"/>
      <c r="L6" s="83" t="s">
        <v>13</v>
      </c>
    </row>
    <row r="7" spans="1:14" x14ac:dyDescent="0.15">
      <c r="A7" s="90"/>
      <c r="B7" s="92"/>
      <c r="C7" s="92"/>
      <c r="D7" s="92"/>
      <c r="E7" s="94"/>
      <c r="F7" s="94"/>
      <c r="G7" s="8" t="s">
        <v>14</v>
      </c>
      <c r="H7" s="8" t="s">
        <v>15</v>
      </c>
      <c r="I7" s="8" t="s">
        <v>16</v>
      </c>
      <c r="J7" s="8" t="s">
        <v>17</v>
      </c>
      <c r="K7" s="8" t="s">
        <v>18</v>
      </c>
      <c r="L7" s="84"/>
    </row>
    <row r="8" spans="1:14" s="15" customFormat="1" ht="20.25" customHeight="1" x14ac:dyDescent="0.15">
      <c r="A8" s="60" t="s">
        <v>1249</v>
      </c>
      <c r="B8" s="9" t="s">
        <v>138</v>
      </c>
      <c r="C8" s="58" t="s">
        <v>29</v>
      </c>
      <c r="D8" s="11" t="s">
        <v>403</v>
      </c>
      <c r="E8" s="10">
        <v>24</v>
      </c>
      <c r="F8" s="58"/>
      <c r="G8" s="12">
        <v>1662</v>
      </c>
      <c r="H8" s="12">
        <v>1890</v>
      </c>
      <c r="I8" s="17">
        <v>15</v>
      </c>
      <c r="J8" s="18">
        <v>15</v>
      </c>
      <c r="K8" s="19">
        <f>+M8*N8</f>
        <v>512.9190000000001</v>
      </c>
      <c r="L8" s="14"/>
      <c r="M8" s="15">
        <v>47.1</v>
      </c>
      <c r="N8" s="15">
        <v>10.89</v>
      </c>
    </row>
    <row r="9" spans="1:14" s="15" customFormat="1" ht="20.25" customHeight="1" x14ac:dyDescent="0.15">
      <c r="A9" s="60" t="s">
        <v>1250</v>
      </c>
      <c r="B9" s="9" t="s">
        <v>1144</v>
      </c>
      <c r="C9" s="58" t="s">
        <v>29</v>
      </c>
      <c r="D9" s="11" t="s">
        <v>1145</v>
      </c>
      <c r="E9" s="10">
        <v>26</v>
      </c>
      <c r="F9" s="58" t="s">
        <v>11</v>
      </c>
      <c r="G9" s="12">
        <v>690</v>
      </c>
      <c r="H9" s="12">
        <v>1055</v>
      </c>
      <c r="I9" s="17" t="s">
        <v>1251</v>
      </c>
      <c r="J9" s="18">
        <v>124</v>
      </c>
      <c r="K9" s="19">
        <f t="shared" ref="K9:K23" si="0">+M9*N9</f>
        <v>980.53560000000016</v>
      </c>
      <c r="L9" s="14"/>
      <c r="M9" s="15">
        <v>90.04</v>
      </c>
      <c r="N9" s="15">
        <v>10.89</v>
      </c>
    </row>
    <row r="10" spans="1:14" s="15" customFormat="1" ht="20.25" customHeight="1" x14ac:dyDescent="0.15">
      <c r="A10" s="60" t="s">
        <v>1252</v>
      </c>
      <c r="B10" s="9" t="s">
        <v>1144</v>
      </c>
      <c r="C10" s="58" t="s">
        <v>29</v>
      </c>
      <c r="D10" s="11" t="s">
        <v>1145</v>
      </c>
      <c r="E10" s="10">
        <v>26</v>
      </c>
      <c r="F10" s="58" t="s">
        <v>11</v>
      </c>
      <c r="G10" s="12">
        <v>1027</v>
      </c>
      <c r="H10" s="12">
        <v>540</v>
      </c>
      <c r="I10" s="17" t="s">
        <v>1253</v>
      </c>
      <c r="J10" s="18">
        <v>152</v>
      </c>
      <c r="K10" s="19">
        <f t="shared" si="0"/>
        <v>900.82080000000008</v>
      </c>
      <c r="L10" s="14"/>
      <c r="M10" s="15">
        <v>82.72</v>
      </c>
      <c r="N10" s="15">
        <v>10.89</v>
      </c>
    </row>
    <row r="11" spans="1:14" s="15" customFormat="1" ht="20.25" customHeight="1" x14ac:dyDescent="0.15">
      <c r="A11" s="60" t="s">
        <v>1254</v>
      </c>
      <c r="B11" s="9" t="s">
        <v>131</v>
      </c>
      <c r="C11" s="58" t="s">
        <v>29</v>
      </c>
      <c r="D11" s="11" t="s">
        <v>155</v>
      </c>
      <c r="E11" s="10">
        <v>22</v>
      </c>
      <c r="F11" s="58" t="s">
        <v>11</v>
      </c>
      <c r="G11" s="12">
        <v>1421</v>
      </c>
      <c r="H11" s="12">
        <v>1763</v>
      </c>
      <c r="I11" s="17" t="s">
        <v>1255</v>
      </c>
      <c r="J11" s="18">
        <v>76</v>
      </c>
      <c r="K11" s="19">
        <f t="shared" si="0"/>
        <v>1025.4023999999999</v>
      </c>
      <c r="L11" s="14"/>
      <c r="M11" s="15">
        <v>94.16</v>
      </c>
      <c r="N11" s="15">
        <v>10.89</v>
      </c>
    </row>
    <row r="12" spans="1:14" s="15" customFormat="1" ht="20.25" customHeight="1" x14ac:dyDescent="0.15">
      <c r="A12" s="60" t="s">
        <v>1256</v>
      </c>
      <c r="B12" s="9" t="s">
        <v>138</v>
      </c>
      <c r="C12" s="58" t="s">
        <v>29</v>
      </c>
      <c r="D12" s="11" t="s">
        <v>403</v>
      </c>
      <c r="E12" s="10">
        <v>24</v>
      </c>
      <c r="F12" s="58"/>
      <c r="G12" s="12">
        <v>1662</v>
      </c>
      <c r="H12" s="12">
        <v>1890</v>
      </c>
      <c r="I12" s="17">
        <v>10</v>
      </c>
      <c r="J12" s="18">
        <v>10</v>
      </c>
      <c r="K12" s="19">
        <f t="shared" si="0"/>
        <v>341.94600000000003</v>
      </c>
      <c r="L12" s="14"/>
      <c r="M12" s="15">
        <v>31.4</v>
      </c>
      <c r="N12" s="15">
        <v>10.89</v>
      </c>
    </row>
    <row r="13" spans="1:14" s="15" customFormat="1" ht="20.25" customHeight="1" x14ac:dyDescent="0.15">
      <c r="A13" s="60" t="s">
        <v>1257</v>
      </c>
      <c r="B13" s="9" t="s">
        <v>138</v>
      </c>
      <c r="C13" s="58" t="s">
        <v>29</v>
      </c>
      <c r="D13" s="11" t="s">
        <v>403</v>
      </c>
      <c r="E13" s="10">
        <v>24</v>
      </c>
      <c r="F13" s="58"/>
      <c r="G13" s="12">
        <v>1662</v>
      </c>
      <c r="H13" s="12">
        <v>1890</v>
      </c>
      <c r="I13" s="17">
        <v>10</v>
      </c>
      <c r="J13" s="18">
        <v>10</v>
      </c>
      <c r="K13" s="19">
        <f t="shared" si="0"/>
        <v>341.94600000000003</v>
      </c>
      <c r="L13" s="14"/>
      <c r="M13" s="15">
        <v>31.4</v>
      </c>
      <c r="N13" s="15">
        <v>10.89</v>
      </c>
    </row>
    <row r="14" spans="1:14" s="15" customFormat="1" ht="20.25" customHeight="1" x14ac:dyDescent="0.15">
      <c r="A14" s="60" t="s">
        <v>1258</v>
      </c>
      <c r="B14" s="9" t="s">
        <v>1259</v>
      </c>
      <c r="C14" s="58" t="s">
        <v>29</v>
      </c>
      <c r="D14" s="11" t="s">
        <v>1260</v>
      </c>
      <c r="E14" s="10">
        <v>22</v>
      </c>
      <c r="F14" s="58"/>
      <c r="G14" s="12">
        <v>874</v>
      </c>
      <c r="H14" s="12">
        <v>1798</v>
      </c>
      <c r="I14" s="17" t="s">
        <v>1261</v>
      </c>
      <c r="J14" s="18">
        <v>10</v>
      </c>
      <c r="K14" s="19">
        <f t="shared" si="0"/>
        <v>164.43899999999999</v>
      </c>
      <c r="L14" s="20"/>
      <c r="M14" s="15">
        <v>15.1</v>
      </c>
      <c r="N14" s="15">
        <v>10.89</v>
      </c>
    </row>
    <row r="15" spans="1:14" s="15" customFormat="1" ht="20.25" customHeight="1" x14ac:dyDescent="0.15">
      <c r="A15" s="60"/>
      <c r="B15" s="9"/>
      <c r="C15" s="58"/>
      <c r="D15" s="11"/>
      <c r="E15" s="10"/>
      <c r="F15" s="58"/>
      <c r="G15" s="12"/>
      <c r="H15" s="12"/>
      <c r="I15" s="17"/>
      <c r="J15" s="18"/>
      <c r="K15" s="19">
        <f t="shared" si="0"/>
        <v>0</v>
      </c>
      <c r="L15" s="20"/>
      <c r="N15" s="15">
        <v>10.89</v>
      </c>
    </row>
    <row r="16" spans="1:14" s="15" customFormat="1" ht="20.25" customHeight="1" x14ac:dyDescent="0.15">
      <c r="A16" s="60"/>
      <c r="B16" s="9"/>
      <c r="C16" s="58"/>
      <c r="D16" s="11"/>
      <c r="E16" s="10"/>
      <c r="F16" s="58"/>
      <c r="G16" s="12"/>
      <c r="H16" s="12"/>
      <c r="I16" s="17"/>
      <c r="J16" s="18"/>
      <c r="K16" s="19">
        <f t="shared" si="0"/>
        <v>0</v>
      </c>
      <c r="L16" s="20"/>
      <c r="N16" s="15">
        <v>10.89</v>
      </c>
    </row>
    <row r="17" spans="1:14" s="15" customFormat="1" ht="20.25" customHeight="1" x14ac:dyDescent="0.15">
      <c r="A17" s="60"/>
      <c r="B17" s="9"/>
      <c r="C17" s="58"/>
      <c r="D17" s="11"/>
      <c r="E17" s="10"/>
      <c r="F17" s="58"/>
      <c r="G17" s="12"/>
      <c r="H17" s="12"/>
      <c r="I17" s="17"/>
      <c r="J17" s="18"/>
      <c r="K17" s="19">
        <f t="shared" si="0"/>
        <v>0</v>
      </c>
      <c r="L17" s="20"/>
      <c r="N17" s="15">
        <v>10.89</v>
      </c>
    </row>
    <row r="18" spans="1:14" s="15" customFormat="1" ht="20.25" customHeight="1" x14ac:dyDescent="0.15">
      <c r="A18" s="60"/>
      <c r="B18" s="9"/>
      <c r="C18" s="58"/>
      <c r="D18" s="11"/>
      <c r="E18" s="10"/>
      <c r="F18" s="58"/>
      <c r="G18" s="12"/>
      <c r="H18" s="12"/>
      <c r="I18" s="17"/>
      <c r="J18" s="18"/>
      <c r="K18" s="19">
        <f t="shared" si="0"/>
        <v>0</v>
      </c>
      <c r="L18" s="20"/>
      <c r="N18" s="15">
        <v>10.89</v>
      </c>
    </row>
    <row r="19" spans="1:14" s="15" customFormat="1" ht="20.25" customHeight="1" x14ac:dyDescent="0.15">
      <c r="A19" s="60"/>
      <c r="B19" s="9"/>
      <c r="C19" s="58"/>
      <c r="D19" s="11"/>
      <c r="E19" s="10"/>
      <c r="F19" s="58"/>
      <c r="G19" s="12"/>
      <c r="H19" s="12"/>
      <c r="I19" s="17"/>
      <c r="J19" s="18"/>
      <c r="K19" s="19">
        <f t="shared" si="0"/>
        <v>0</v>
      </c>
      <c r="L19" s="20"/>
      <c r="N19" s="15">
        <v>10.89</v>
      </c>
    </row>
    <row r="20" spans="1:14" s="15" customFormat="1" ht="20.25" customHeight="1" x14ac:dyDescent="0.15">
      <c r="A20" s="60"/>
      <c r="B20" s="9"/>
      <c r="C20" s="58"/>
      <c r="D20" s="11"/>
      <c r="E20" s="10"/>
      <c r="F20" s="58"/>
      <c r="G20" s="12"/>
      <c r="H20" s="12"/>
      <c r="I20" s="17"/>
      <c r="J20" s="18"/>
      <c r="K20" s="19">
        <f t="shared" si="0"/>
        <v>0</v>
      </c>
      <c r="L20" s="20"/>
      <c r="N20" s="15">
        <v>10.89</v>
      </c>
    </row>
    <row r="21" spans="1:14" s="15" customFormat="1" ht="20.25" customHeight="1" x14ac:dyDescent="0.15">
      <c r="A21" s="60"/>
      <c r="B21" s="9"/>
      <c r="C21" s="58"/>
      <c r="D21" s="11"/>
      <c r="E21" s="10"/>
      <c r="F21" s="58"/>
      <c r="G21" s="50"/>
      <c r="H21" s="50"/>
      <c r="I21" s="17"/>
      <c r="J21" s="18"/>
      <c r="K21" s="19">
        <f t="shared" si="0"/>
        <v>0</v>
      </c>
      <c r="L21" s="20"/>
      <c r="N21" s="15">
        <v>10.89</v>
      </c>
    </row>
    <row r="22" spans="1:14" s="15" customFormat="1" ht="20.25" customHeight="1" x14ac:dyDescent="0.15">
      <c r="A22" s="60"/>
      <c r="B22" s="9"/>
      <c r="C22" s="58"/>
      <c r="D22" s="11"/>
      <c r="E22" s="10"/>
      <c r="F22" s="58"/>
      <c r="G22" s="50"/>
      <c r="H22" s="50"/>
      <c r="I22" s="17"/>
      <c r="J22" s="18"/>
      <c r="K22" s="19">
        <f t="shared" si="0"/>
        <v>0</v>
      </c>
      <c r="L22" s="20"/>
      <c r="N22" s="15">
        <v>10.89</v>
      </c>
    </row>
    <row r="23" spans="1:14" ht="20.25" customHeight="1" x14ac:dyDescent="0.15">
      <c r="A23" s="60"/>
      <c r="B23" s="9"/>
      <c r="C23" s="58"/>
      <c r="D23" s="11"/>
      <c r="E23" s="10"/>
      <c r="F23" s="58"/>
      <c r="G23" s="16"/>
      <c r="H23" s="16"/>
      <c r="I23" s="17"/>
      <c r="J23" s="18"/>
      <c r="K23" s="19">
        <f t="shared" si="0"/>
        <v>0</v>
      </c>
      <c r="L23" s="20"/>
      <c r="N23" s="15">
        <v>10.89</v>
      </c>
    </row>
    <row r="24" spans="1:14" ht="20.25" customHeight="1" thickBot="1" x14ac:dyDescent="0.2">
      <c r="A24" s="56"/>
      <c r="B24" s="21"/>
      <c r="C24" s="59"/>
      <c r="D24" s="22"/>
      <c r="E24" s="23"/>
      <c r="F24" s="23"/>
      <c r="G24" s="24"/>
      <c r="H24" s="24"/>
      <c r="I24" s="25"/>
      <c r="J24" s="46">
        <f>SUM(J8:J23)</f>
        <v>397</v>
      </c>
      <c r="K24" s="47">
        <f>SUM(K8:K23)</f>
        <v>4268.0088000000005</v>
      </c>
      <c r="L24" s="26"/>
    </row>
    <row r="25" spans="1:14" ht="20.25" customHeight="1" thickTop="1" x14ac:dyDescent="0.15">
      <c r="A25" s="60" t="s">
        <v>1262</v>
      </c>
      <c r="B25" s="9" t="s">
        <v>173</v>
      </c>
      <c r="C25" s="58" t="s">
        <v>29</v>
      </c>
      <c r="D25" s="11" t="s">
        <v>279</v>
      </c>
      <c r="E25" s="10">
        <v>25.76</v>
      </c>
      <c r="F25" s="10"/>
      <c r="G25" s="12">
        <v>1445</v>
      </c>
      <c r="H25" s="12">
        <v>690</v>
      </c>
      <c r="I25" s="17" t="s">
        <v>1263</v>
      </c>
      <c r="J25" s="18">
        <v>54</v>
      </c>
      <c r="K25" s="19">
        <f t="shared" ref="K25:K40" si="1">+M25*N25</f>
        <v>341.07480000000004</v>
      </c>
      <c r="L25" s="54"/>
      <c r="M25" s="3">
        <v>31.32</v>
      </c>
      <c r="N25" s="15">
        <v>10.89</v>
      </c>
    </row>
    <row r="26" spans="1:14" ht="20.25" customHeight="1" x14ac:dyDescent="0.15">
      <c r="A26" s="60"/>
      <c r="B26" s="9"/>
      <c r="C26" s="58" t="s">
        <v>29</v>
      </c>
      <c r="D26" s="11" t="s">
        <v>280</v>
      </c>
      <c r="E26" s="10">
        <v>46.76</v>
      </c>
      <c r="F26" s="10" t="s">
        <v>11</v>
      </c>
      <c r="G26" s="12">
        <v>886</v>
      </c>
      <c r="H26" s="12">
        <v>508</v>
      </c>
      <c r="I26" s="17">
        <v>6</v>
      </c>
      <c r="J26" s="18">
        <v>6</v>
      </c>
      <c r="K26" s="19">
        <f t="shared" si="1"/>
        <v>29.403000000000002</v>
      </c>
      <c r="L26" s="54"/>
      <c r="M26" s="3">
        <v>2.7</v>
      </c>
      <c r="N26" s="15">
        <v>10.89</v>
      </c>
    </row>
    <row r="27" spans="1:14" ht="20.25" customHeight="1" x14ac:dyDescent="0.15">
      <c r="A27" s="61" t="s">
        <v>1264</v>
      </c>
      <c r="B27" s="9" t="s">
        <v>173</v>
      </c>
      <c r="C27" s="58" t="s">
        <v>29</v>
      </c>
      <c r="D27" s="11" t="s">
        <v>279</v>
      </c>
      <c r="E27" s="10">
        <v>25.76</v>
      </c>
      <c r="F27" s="10"/>
      <c r="G27" s="12">
        <v>952</v>
      </c>
      <c r="H27" s="12">
        <v>690</v>
      </c>
      <c r="I27" s="17" t="s">
        <v>1265</v>
      </c>
      <c r="J27" s="18">
        <v>54</v>
      </c>
      <c r="K27" s="19">
        <f t="shared" si="1"/>
        <v>301.87080000000003</v>
      </c>
      <c r="L27" s="54"/>
      <c r="M27" s="3">
        <v>27.72</v>
      </c>
      <c r="N27" s="15">
        <v>10.89</v>
      </c>
    </row>
    <row r="28" spans="1:14" ht="20.25" customHeight="1" x14ac:dyDescent="0.15">
      <c r="A28" s="61"/>
      <c r="B28" s="9"/>
      <c r="C28" s="58" t="s">
        <v>29</v>
      </c>
      <c r="D28" s="11" t="s">
        <v>280</v>
      </c>
      <c r="E28" s="10">
        <v>46.76</v>
      </c>
      <c r="F28" s="10" t="s">
        <v>11</v>
      </c>
      <c r="G28" s="12">
        <v>786</v>
      </c>
      <c r="H28" s="12">
        <v>508</v>
      </c>
      <c r="I28" s="17">
        <v>6</v>
      </c>
      <c r="J28" s="18">
        <v>6</v>
      </c>
      <c r="K28" s="19">
        <f t="shared" si="1"/>
        <v>26.135999999999999</v>
      </c>
      <c r="L28" s="54"/>
      <c r="M28" s="3">
        <v>2.4</v>
      </c>
      <c r="N28" s="15">
        <v>10.89</v>
      </c>
    </row>
    <row r="29" spans="1:14" ht="20.25" customHeight="1" x14ac:dyDescent="0.15">
      <c r="A29" s="61" t="s">
        <v>1266</v>
      </c>
      <c r="B29" s="9" t="s">
        <v>173</v>
      </c>
      <c r="C29" s="58" t="s">
        <v>29</v>
      </c>
      <c r="D29" s="11" t="s">
        <v>279</v>
      </c>
      <c r="E29" s="10">
        <v>25.76</v>
      </c>
      <c r="F29" s="10"/>
      <c r="G29" s="12">
        <v>800</v>
      </c>
      <c r="H29" s="12">
        <v>690</v>
      </c>
      <c r="I29" s="17" t="s">
        <v>1267</v>
      </c>
      <c r="J29" s="18">
        <v>42</v>
      </c>
      <c r="K29" s="19">
        <f t="shared" si="1"/>
        <v>218.23560000000001</v>
      </c>
      <c r="L29" s="54"/>
      <c r="M29" s="3">
        <v>20.04</v>
      </c>
      <c r="N29" s="15">
        <v>10.89</v>
      </c>
    </row>
    <row r="30" spans="1:14" ht="20.25" customHeight="1" x14ac:dyDescent="0.15">
      <c r="A30" s="61"/>
      <c r="B30" s="9"/>
      <c r="C30" s="58" t="s">
        <v>29</v>
      </c>
      <c r="D30" s="11" t="s">
        <v>280</v>
      </c>
      <c r="E30" s="10">
        <v>46.76</v>
      </c>
      <c r="F30" s="10" t="s">
        <v>11</v>
      </c>
      <c r="G30" s="12">
        <v>786</v>
      </c>
      <c r="H30" s="12">
        <v>508</v>
      </c>
      <c r="I30" s="51">
        <v>6</v>
      </c>
      <c r="J30" s="52">
        <v>6</v>
      </c>
      <c r="K30" s="53">
        <f t="shared" si="1"/>
        <v>26.135999999999999</v>
      </c>
      <c r="L30" s="54"/>
      <c r="M30" s="3">
        <v>2.4</v>
      </c>
      <c r="N30" s="15">
        <v>10.89</v>
      </c>
    </row>
    <row r="31" spans="1:14" ht="20.25" customHeight="1" x14ac:dyDescent="0.15">
      <c r="A31" s="61" t="s">
        <v>1268</v>
      </c>
      <c r="B31" s="9" t="s">
        <v>173</v>
      </c>
      <c r="C31" s="58" t="s">
        <v>29</v>
      </c>
      <c r="D31" s="11" t="s">
        <v>279</v>
      </c>
      <c r="E31" s="10">
        <v>25.76</v>
      </c>
      <c r="F31" s="10"/>
      <c r="G31" s="12">
        <v>1445</v>
      </c>
      <c r="H31" s="12">
        <v>690</v>
      </c>
      <c r="I31" s="51" t="s">
        <v>1269</v>
      </c>
      <c r="J31" s="52">
        <f>12+72</f>
        <v>84</v>
      </c>
      <c r="K31" s="53">
        <f t="shared" si="1"/>
        <v>543.62880000000007</v>
      </c>
      <c r="L31" s="54"/>
      <c r="M31" s="3">
        <v>49.92</v>
      </c>
      <c r="N31" s="15">
        <v>10.89</v>
      </c>
    </row>
    <row r="32" spans="1:14" ht="20.25" customHeight="1" x14ac:dyDescent="0.15">
      <c r="A32" s="60"/>
      <c r="B32" s="9"/>
      <c r="C32" s="58" t="s">
        <v>29</v>
      </c>
      <c r="D32" s="11" t="s">
        <v>280</v>
      </c>
      <c r="E32" s="10">
        <v>46.76</v>
      </c>
      <c r="F32" s="10" t="s">
        <v>11</v>
      </c>
      <c r="G32" s="12">
        <v>886</v>
      </c>
      <c r="H32" s="12">
        <v>508</v>
      </c>
      <c r="I32" s="17">
        <v>11</v>
      </c>
      <c r="J32" s="18">
        <v>11</v>
      </c>
      <c r="K32" s="19">
        <f t="shared" si="1"/>
        <v>53.905500000000004</v>
      </c>
      <c r="L32" s="27"/>
      <c r="M32" s="3">
        <v>4.95</v>
      </c>
      <c r="N32" s="15">
        <v>10.89</v>
      </c>
    </row>
    <row r="33" spans="1:14" ht="20.25" customHeight="1" x14ac:dyDescent="0.15">
      <c r="A33" s="60" t="s">
        <v>1270</v>
      </c>
      <c r="B33" s="9" t="s">
        <v>173</v>
      </c>
      <c r="C33" s="58" t="s">
        <v>29</v>
      </c>
      <c r="D33" s="11" t="s">
        <v>279</v>
      </c>
      <c r="E33" s="10">
        <v>25.76</v>
      </c>
      <c r="F33" s="10"/>
      <c r="G33" s="12">
        <v>800</v>
      </c>
      <c r="H33" s="12">
        <v>690</v>
      </c>
      <c r="I33" s="17" t="s">
        <v>1271</v>
      </c>
      <c r="J33" s="18">
        <v>108</v>
      </c>
      <c r="K33" s="19">
        <f t="shared" si="1"/>
        <v>574.99199999999996</v>
      </c>
      <c r="L33" s="27"/>
      <c r="M33" s="3">
        <v>52.8</v>
      </c>
      <c r="N33" s="15">
        <v>10.89</v>
      </c>
    </row>
    <row r="34" spans="1:14" ht="20.25" customHeight="1" x14ac:dyDescent="0.15">
      <c r="A34" s="60" t="s">
        <v>1272</v>
      </c>
      <c r="B34" s="9" t="s">
        <v>131</v>
      </c>
      <c r="C34" s="58" t="s">
        <v>29</v>
      </c>
      <c r="D34" s="11" t="s">
        <v>156</v>
      </c>
      <c r="E34" s="10">
        <v>22</v>
      </c>
      <c r="F34" s="10" t="s">
        <v>11</v>
      </c>
      <c r="G34" s="12">
        <v>776</v>
      </c>
      <c r="H34" s="12">
        <v>1763</v>
      </c>
      <c r="I34" s="17" t="s">
        <v>1273</v>
      </c>
      <c r="J34" s="18">
        <v>120</v>
      </c>
      <c r="K34" s="19">
        <f t="shared" si="1"/>
        <v>691.51499999999999</v>
      </c>
      <c r="L34" s="27"/>
      <c r="M34" s="3">
        <v>63.5</v>
      </c>
      <c r="N34" s="15">
        <v>10.89</v>
      </c>
    </row>
    <row r="35" spans="1:14" ht="20.25" customHeight="1" x14ac:dyDescent="0.15">
      <c r="A35" s="60" t="s">
        <v>1274</v>
      </c>
      <c r="B35" s="9" t="s">
        <v>178</v>
      </c>
      <c r="C35" s="58" t="s">
        <v>29</v>
      </c>
      <c r="D35" s="11" t="s">
        <v>1275</v>
      </c>
      <c r="E35" s="10">
        <v>24</v>
      </c>
      <c r="F35" s="10" t="s">
        <v>11</v>
      </c>
      <c r="G35" s="12">
        <v>343</v>
      </c>
      <c r="H35" s="12">
        <v>2110</v>
      </c>
      <c r="I35" s="17" t="s">
        <v>1261</v>
      </c>
      <c r="J35" s="18">
        <v>10</v>
      </c>
      <c r="K35" s="19">
        <f t="shared" si="1"/>
        <v>80.586000000000013</v>
      </c>
      <c r="L35" s="27"/>
      <c r="M35" s="3">
        <v>7.4</v>
      </c>
      <c r="N35" s="15">
        <v>10.89</v>
      </c>
    </row>
    <row r="36" spans="1:14" ht="20.25" customHeight="1" x14ac:dyDescent="0.15">
      <c r="A36" s="60" t="s">
        <v>1276</v>
      </c>
      <c r="B36" s="9" t="s">
        <v>1277</v>
      </c>
      <c r="C36" s="58" t="s">
        <v>29</v>
      </c>
      <c r="D36" s="11" t="s">
        <v>1278</v>
      </c>
      <c r="E36" s="10">
        <v>24</v>
      </c>
      <c r="F36" s="10" t="s">
        <v>11</v>
      </c>
      <c r="G36" s="12">
        <v>300</v>
      </c>
      <c r="H36" s="12">
        <v>300</v>
      </c>
      <c r="I36" s="17">
        <v>1</v>
      </c>
      <c r="J36" s="18">
        <v>1</v>
      </c>
      <c r="K36" s="19">
        <f t="shared" si="1"/>
        <v>3.0492000000000004</v>
      </c>
      <c r="L36" s="27"/>
      <c r="M36" s="3">
        <v>0.28000000000000003</v>
      </c>
      <c r="N36" s="15">
        <v>10.89</v>
      </c>
    </row>
    <row r="37" spans="1:14" ht="20.25" customHeight="1" x14ac:dyDescent="0.15">
      <c r="A37" s="60"/>
      <c r="B37" s="9"/>
      <c r="C37" s="58" t="s">
        <v>29</v>
      </c>
      <c r="D37" s="11" t="s">
        <v>1279</v>
      </c>
      <c r="E37" s="10">
        <v>24</v>
      </c>
      <c r="F37" s="10" t="s">
        <v>11</v>
      </c>
      <c r="G37" s="12">
        <v>300</v>
      </c>
      <c r="H37" s="12">
        <v>300</v>
      </c>
      <c r="I37" s="17">
        <v>1</v>
      </c>
      <c r="J37" s="18">
        <v>1</v>
      </c>
      <c r="K37" s="19">
        <f t="shared" si="1"/>
        <v>3.0492000000000004</v>
      </c>
      <c r="L37" s="27"/>
      <c r="M37" s="3">
        <v>0.28000000000000003</v>
      </c>
      <c r="N37" s="15">
        <v>10.89</v>
      </c>
    </row>
    <row r="38" spans="1:14" ht="20.25" customHeight="1" x14ac:dyDescent="0.15">
      <c r="A38" s="60" t="s">
        <v>1280</v>
      </c>
      <c r="B38" s="9" t="s">
        <v>53</v>
      </c>
      <c r="C38" s="58" t="s">
        <v>29</v>
      </c>
      <c r="D38" s="11" t="s">
        <v>1281</v>
      </c>
      <c r="E38" s="10">
        <v>22</v>
      </c>
      <c r="F38" s="10" t="s">
        <v>11</v>
      </c>
      <c r="G38" s="12">
        <v>730</v>
      </c>
      <c r="H38" s="12">
        <v>980</v>
      </c>
      <c r="I38" s="17">
        <v>1</v>
      </c>
      <c r="J38" s="18">
        <v>1</v>
      </c>
      <c r="K38" s="19">
        <f t="shared" si="1"/>
        <v>7.8407999999999998</v>
      </c>
      <c r="L38" s="27"/>
      <c r="M38" s="3">
        <v>0.72</v>
      </c>
      <c r="N38" s="15">
        <v>10.89</v>
      </c>
    </row>
    <row r="39" spans="1:14" ht="20.25" customHeight="1" x14ac:dyDescent="0.15">
      <c r="A39" s="60"/>
      <c r="B39" s="9"/>
      <c r="C39" s="58"/>
      <c r="D39" s="11"/>
      <c r="E39" s="10"/>
      <c r="F39" s="10"/>
      <c r="G39" s="12"/>
      <c r="H39" s="12"/>
      <c r="I39" s="17"/>
      <c r="J39" s="18"/>
      <c r="K39" s="19">
        <f t="shared" si="1"/>
        <v>0</v>
      </c>
      <c r="L39" s="27"/>
      <c r="N39" s="15">
        <v>10.89</v>
      </c>
    </row>
    <row r="40" spans="1:14" ht="20.25" customHeight="1" x14ac:dyDescent="0.15">
      <c r="A40" s="60"/>
      <c r="B40" s="9"/>
      <c r="C40" s="58"/>
      <c r="D40" s="11"/>
      <c r="E40" s="10"/>
      <c r="F40" s="10"/>
      <c r="G40" s="12"/>
      <c r="H40" s="12"/>
      <c r="I40" s="17"/>
      <c r="J40" s="18"/>
      <c r="K40" s="19">
        <f t="shared" si="1"/>
        <v>0</v>
      </c>
      <c r="L40" s="27"/>
      <c r="N40" s="15">
        <v>10.89</v>
      </c>
    </row>
    <row r="41" spans="1:14" ht="20.25" customHeight="1" x14ac:dyDescent="0.15">
      <c r="A41" s="57"/>
      <c r="B41" s="28"/>
      <c r="C41" s="10"/>
      <c r="D41" s="29"/>
      <c r="E41" s="30"/>
      <c r="F41" s="30"/>
      <c r="G41" s="30"/>
      <c r="H41" s="30"/>
      <c r="I41" s="13"/>
      <c r="J41" s="48">
        <f>SUM(J25:J40)</f>
        <v>504</v>
      </c>
      <c r="K41" s="49">
        <f>SUM(K25:K40)</f>
        <v>2901.4227000000001</v>
      </c>
      <c r="L41" s="31"/>
      <c r="N41" s="32"/>
    </row>
    <row r="42" spans="1:14" ht="20.25" customHeight="1" thickBot="1" x14ac:dyDescent="0.2">
      <c r="A42" s="55"/>
      <c r="B42" s="33"/>
      <c r="C42" s="33"/>
      <c r="D42" s="33"/>
      <c r="E42" s="33"/>
      <c r="F42" s="33"/>
      <c r="G42" s="33"/>
      <c r="H42" s="33"/>
      <c r="I42" s="33"/>
      <c r="J42" s="34"/>
      <c r="K42" s="35"/>
      <c r="L42" s="36"/>
    </row>
    <row r="43" spans="1:14" ht="20.25" customHeight="1" thickBot="1" x14ac:dyDescent="0.2">
      <c r="A43" s="37" t="s">
        <v>19</v>
      </c>
      <c r="B43" s="38" t="s">
        <v>20</v>
      </c>
      <c r="C43" s="77" t="s">
        <v>21</v>
      </c>
      <c r="D43" s="79"/>
      <c r="E43" s="77" t="s">
        <v>22</v>
      </c>
      <c r="F43" s="78"/>
      <c r="G43" s="79"/>
      <c r="H43" s="85" t="s">
        <v>23</v>
      </c>
      <c r="I43" s="86"/>
      <c r="J43" s="77" t="s">
        <v>24</v>
      </c>
      <c r="K43" s="79"/>
      <c r="L43" s="39" t="s">
        <v>13</v>
      </c>
    </row>
    <row r="44" spans="1:14" ht="20.25" customHeight="1" thickBot="1" x14ac:dyDescent="0.2">
      <c r="A44" s="40">
        <f>SUMIF($C$8:$C$42,"U1",$J$8:$J$42)</f>
        <v>0</v>
      </c>
      <c r="B44" s="41">
        <f>SUMIF($C$8:$C$42,"U2",$J$8:$J$42)</f>
        <v>0</v>
      </c>
      <c r="C44" s="77">
        <f>SUMIF($C$8:$C$42,"U3-1",$J$8:$J$42)</f>
        <v>0</v>
      </c>
      <c r="D44" s="79"/>
      <c r="E44" s="77">
        <f>SUMIF($C$8:$C$42,"U3",$J$8:$J$42)</f>
        <v>901</v>
      </c>
      <c r="F44" s="78"/>
      <c r="G44" s="79"/>
      <c r="H44" s="77">
        <f>SUMIF($C$8:$C$42,"E5",$J$8:$J$42)</f>
        <v>0</v>
      </c>
      <c r="I44" s="79"/>
      <c r="J44" s="77">
        <f>SUM(A44:I44)</f>
        <v>901</v>
      </c>
      <c r="K44" s="79"/>
      <c r="L44" s="42"/>
    </row>
    <row r="45" spans="1:14" ht="20.25" customHeight="1" thickBot="1" x14ac:dyDescent="0.2">
      <c r="A45" s="43" t="s">
        <v>25</v>
      </c>
      <c r="B45" s="44" t="s">
        <v>26</v>
      </c>
      <c r="C45" s="75">
        <v>13876</v>
      </c>
      <c r="D45" s="76"/>
      <c r="E45" s="77" t="s">
        <v>27</v>
      </c>
      <c r="F45" s="78"/>
      <c r="G45" s="78"/>
      <c r="H45" s="78"/>
      <c r="I45" s="79"/>
      <c r="J45" s="80">
        <v>146744.37</v>
      </c>
      <c r="K45" s="81"/>
      <c r="L45" s="82"/>
    </row>
    <row r="47" spans="1:14" x14ac:dyDescent="0.15">
      <c r="D47" s="45"/>
    </row>
  </sheetData>
  <mergeCells count="26">
    <mergeCell ref="C45:D45"/>
    <mergeCell ref="E45:I45"/>
    <mergeCell ref="J45:L45"/>
    <mergeCell ref="L6:L7"/>
    <mergeCell ref="C43:D43"/>
    <mergeCell ref="E43:G43"/>
    <mergeCell ref="H43:I43"/>
    <mergeCell ref="J43:K43"/>
    <mergeCell ref="C44:D44"/>
    <mergeCell ref="E44:G44"/>
    <mergeCell ref="H44:I44"/>
    <mergeCell ref="J44:K44"/>
    <mergeCell ref="B5:G5"/>
    <mergeCell ref="A6:A7"/>
    <mergeCell ref="B6:B7"/>
    <mergeCell ref="C6:C7"/>
    <mergeCell ref="D6:D7"/>
    <mergeCell ref="E6:E7"/>
    <mergeCell ref="F6:F7"/>
    <mergeCell ref="G6:K6"/>
    <mergeCell ref="L2:L4"/>
    <mergeCell ref="A1:G3"/>
    <mergeCell ref="H1:H4"/>
    <mergeCell ref="I2:I4"/>
    <mergeCell ref="J2:J4"/>
    <mergeCell ref="K2:K4"/>
  </mergeCells>
  <phoneticPr fontId="2" type="noConversion"/>
  <printOptions horizontalCentered="1"/>
  <pageMargins left="0.39370078740157483" right="0.39370078740157483" top="0.74803149606299213" bottom="0.19685039370078741" header="0.31496062992125984" footer="0.15748031496062992"/>
  <pageSetup paperSize="9" scale="84" orientation="portrait" r:id="rId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dimension ref="A1:N47"/>
  <sheetViews>
    <sheetView view="pageBreakPreview" zoomScaleSheetLayoutView="100" workbookViewId="0">
      <selection sqref="A1:G3"/>
    </sheetView>
  </sheetViews>
  <sheetFormatPr defaultColWidth="8.88671875" defaultRowHeight="13.5" x14ac:dyDescent="0.15"/>
  <cols>
    <col min="1" max="1" width="8.44140625" style="3" customWidth="1"/>
    <col min="2" max="2" width="14.77734375" style="3" customWidth="1"/>
    <col min="3" max="3" width="4.109375" style="3" customWidth="1"/>
    <col min="4" max="4" width="15.21875" style="3" customWidth="1"/>
    <col min="5" max="5" width="4.44140625" style="3" customWidth="1"/>
    <col min="6" max="6" width="4" style="3" customWidth="1"/>
    <col min="7" max="7" width="5.5546875" style="3" customWidth="1"/>
    <col min="8" max="8" width="5.44140625" style="3" customWidth="1"/>
    <col min="9" max="9" width="7.88671875" style="3" customWidth="1"/>
    <col min="10" max="10" width="7.109375" style="3" customWidth="1"/>
    <col min="11" max="11" width="7.21875" style="3" customWidth="1"/>
    <col min="12" max="12" width="6.77734375" style="3" customWidth="1"/>
    <col min="13" max="16384" width="8.88671875" style="3"/>
  </cols>
  <sheetData>
    <row r="1" spans="1:14" ht="18.75" customHeight="1" x14ac:dyDescent="0.15">
      <c r="A1" s="101" t="s">
        <v>0</v>
      </c>
      <c r="B1" s="102"/>
      <c r="C1" s="102"/>
      <c r="D1" s="102"/>
      <c r="E1" s="102"/>
      <c r="F1" s="102"/>
      <c r="G1" s="103"/>
      <c r="H1" s="107" t="s">
        <v>1</v>
      </c>
      <c r="I1" s="1" t="s">
        <v>2</v>
      </c>
      <c r="J1" s="1" t="s">
        <v>2</v>
      </c>
      <c r="K1" s="1" t="s">
        <v>3</v>
      </c>
      <c r="L1" s="2" t="s">
        <v>4</v>
      </c>
    </row>
    <row r="2" spans="1:14" ht="13.5" customHeight="1" x14ac:dyDescent="0.15">
      <c r="A2" s="104"/>
      <c r="B2" s="105"/>
      <c r="C2" s="105"/>
      <c r="D2" s="105"/>
      <c r="E2" s="105"/>
      <c r="F2" s="105"/>
      <c r="G2" s="106"/>
      <c r="H2" s="108"/>
      <c r="I2" s="110"/>
      <c r="J2" s="110"/>
      <c r="K2" s="110"/>
      <c r="L2" s="98"/>
    </row>
    <row r="3" spans="1:14" ht="13.5" customHeight="1" x14ac:dyDescent="0.15">
      <c r="A3" s="104"/>
      <c r="B3" s="105"/>
      <c r="C3" s="105"/>
      <c r="D3" s="105"/>
      <c r="E3" s="105"/>
      <c r="F3" s="105"/>
      <c r="G3" s="106"/>
      <c r="H3" s="108"/>
      <c r="I3" s="108"/>
      <c r="J3" s="108"/>
      <c r="K3" s="108"/>
      <c r="L3" s="99"/>
    </row>
    <row r="4" spans="1:14" ht="33" customHeight="1" x14ac:dyDescent="0.15">
      <c r="A4" s="4"/>
      <c r="B4" s="5"/>
      <c r="C4" s="5"/>
      <c r="D4" s="5"/>
      <c r="E4" s="5"/>
      <c r="F4" s="5"/>
      <c r="G4" s="5"/>
      <c r="H4" s="109"/>
      <c r="I4" s="109"/>
      <c r="J4" s="109"/>
      <c r="K4" s="109"/>
      <c r="L4" s="100"/>
    </row>
    <row r="5" spans="1:14" ht="17.25" customHeight="1" x14ac:dyDescent="0.15">
      <c r="A5" s="6" t="s">
        <v>5</v>
      </c>
      <c r="B5" s="87">
        <v>46086</v>
      </c>
      <c r="C5" s="88"/>
      <c r="D5" s="88"/>
      <c r="E5" s="88"/>
      <c r="F5" s="88"/>
      <c r="G5" s="88"/>
      <c r="H5" s="5"/>
      <c r="I5" s="5"/>
      <c r="J5" s="5"/>
      <c r="K5" s="5"/>
      <c r="L5" s="7"/>
    </row>
    <row r="6" spans="1:14" ht="13.5" customHeight="1" x14ac:dyDescent="0.15">
      <c r="A6" s="89" t="s">
        <v>6</v>
      </c>
      <c r="B6" s="91" t="s">
        <v>7</v>
      </c>
      <c r="C6" s="91" t="s">
        <v>8</v>
      </c>
      <c r="D6" s="91" t="s">
        <v>9</v>
      </c>
      <c r="E6" s="93" t="s">
        <v>10</v>
      </c>
      <c r="F6" s="93" t="s">
        <v>11</v>
      </c>
      <c r="G6" s="95" t="s">
        <v>12</v>
      </c>
      <c r="H6" s="96"/>
      <c r="I6" s="96"/>
      <c r="J6" s="96"/>
      <c r="K6" s="97"/>
      <c r="L6" s="83" t="s">
        <v>13</v>
      </c>
    </row>
    <row r="7" spans="1:14" x14ac:dyDescent="0.15">
      <c r="A7" s="90"/>
      <c r="B7" s="92"/>
      <c r="C7" s="92"/>
      <c r="D7" s="92"/>
      <c r="E7" s="94"/>
      <c r="F7" s="94"/>
      <c r="G7" s="8" t="s">
        <v>14</v>
      </c>
      <c r="H7" s="8" t="s">
        <v>15</v>
      </c>
      <c r="I7" s="8" t="s">
        <v>16</v>
      </c>
      <c r="J7" s="8" t="s">
        <v>17</v>
      </c>
      <c r="K7" s="8" t="s">
        <v>18</v>
      </c>
      <c r="L7" s="84"/>
    </row>
    <row r="8" spans="1:14" s="15" customFormat="1" ht="20.25" customHeight="1" x14ac:dyDescent="0.15">
      <c r="A8" s="60" t="s">
        <v>1254</v>
      </c>
      <c r="B8" s="9" t="s">
        <v>131</v>
      </c>
      <c r="C8" s="58" t="s">
        <v>29</v>
      </c>
      <c r="D8" s="11" t="s">
        <v>155</v>
      </c>
      <c r="E8" s="10">
        <v>22</v>
      </c>
      <c r="F8" s="58" t="s">
        <v>11</v>
      </c>
      <c r="G8" s="12">
        <v>764</v>
      </c>
      <c r="H8" s="12">
        <v>933</v>
      </c>
      <c r="I8" s="17" t="s">
        <v>1282</v>
      </c>
      <c r="J8" s="18">
        <v>64</v>
      </c>
      <c r="K8" s="19">
        <f>+M8*N8</f>
        <v>226.94760000000002</v>
      </c>
      <c r="L8" s="14"/>
      <c r="M8" s="15">
        <v>20.84</v>
      </c>
      <c r="N8" s="15">
        <v>10.89</v>
      </c>
    </row>
    <row r="9" spans="1:14" s="15" customFormat="1" ht="20.25" customHeight="1" x14ac:dyDescent="0.15">
      <c r="A9" s="60"/>
      <c r="B9" s="9"/>
      <c r="C9" s="58" t="s">
        <v>29</v>
      </c>
      <c r="D9" s="11" t="s">
        <v>156</v>
      </c>
      <c r="E9" s="10">
        <v>22</v>
      </c>
      <c r="F9" s="58" t="s">
        <v>11</v>
      </c>
      <c r="G9" s="12">
        <v>1421</v>
      </c>
      <c r="H9" s="12">
        <v>1763</v>
      </c>
      <c r="I9" s="17" t="s">
        <v>1283</v>
      </c>
      <c r="J9" s="18">
        <v>140</v>
      </c>
      <c r="K9" s="19">
        <f t="shared" ref="K9:K23" si="0">+M9*N9</f>
        <v>1252.3500000000001</v>
      </c>
      <c r="L9" s="14"/>
      <c r="M9" s="15">
        <v>115</v>
      </c>
      <c r="N9" s="15">
        <v>10.89</v>
      </c>
    </row>
    <row r="10" spans="1:14" s="15" customFormat="1" ht="20.25" customHeight="1" x14ac:dyDescent="0.15">
      <c r="A10" s="60" t="s">
        <v>1284</v>
      </c>
      <c r="B10" s="9" t="s">
        <v>131</v>
      </c>
      <c r="C10" s="58" t="s">
        <v>29</v>
      </c>
      <c r="D10" s="11" t="s">
        <v>155</v>
      </c>
      <c r="E10" s="10">
        <v>22</v>
      </c>
      <c r="F10" s="58" t="s">
        <v>11</v>
      </c>
      <c r="G10" s="12">
        <v>1421</v>
      </c>
      <c r="H10" s="12">
        <v>1763</v>
      </c>
      <c r="I10" s="17" t="s">
        <v>1285</v>
      </c>
      <c r="J10" s="18">
        <v>160</v>
      </c>
      <c r="K10" s="19">
        <f t="shared" si="0"/>
        <v>1326.402</v>
      </c>
      <c r="L10" s="14"/>
      <c r="M10" s="15">
        <v>121.8</v>
      </c>
      <c r="N10" s="15">
        <v>10.89</v>
      </c>
    </row>
    <row r="11" spans="1:14" s="15" customFormat="1" ht="20.25" customHeight="1" x14ac:dyDescent="0.15">
      <c r="A11" s="60"/>
      <c r="B11" s="9"/>
      <c r="C11" s="58" t="s">
        <v>29</v>
      </c>
      <c r="D11" s="11" t="s">
        <v>156</v>
      </c>
      <c r="E11" s="10">
        <v>22</v>
      </c>
      <c r="F11" s="58" t="s">
        <v>11</v>
      </c>
      <c r="G11" s="12">
        <v>1421</v>
      </c>
      <c r="H11" s="12">
        <v>1763</v>
      </c>
      <c r="I11" s="17" t="s">
        <v>1285</v>
      </c>
      <c r="J11" s="18">
        <v>160</v>
      </c>
      <c r="K11" s="19">
        <f t="shared" si="0"/>
        <v>1326.402</v>
      </c>
      <c r="L11" s="14"/>
      <c r="M11" s="15">
        <v>121.8</v>
      </c>
      <c r="N11" s="15">
        <v>10.89</v>
      </c>
    </row>
    <row r="12" spans="1:14" s="15" customFormat="1" ht="20.25" customHeight="1" x14ac:dyDescent="0.15">
      <c r="A12" s="60" t="s">
        <v>1286</v>
      </c>
      <c r="B12" s="9" t="s">
        <v>131</v>
      </c>
      <c r="C12" s="58" t="s">
        <v>29</v>
      </c>
      <c r="D12" s="11" t="s">
        <v>155</v>
      </c>
      <c r="E12" s="10">
        <v>22</v>
      </c>
      <c r="F12" s="58" t="s">
        <v>11</v>
      </c>
      <c r="G12" s="12">
        <v>1421</v>
      </c>
      <c r="H12" s="12">
        <v>1763</v>
      </c>
      <c r="I12" s="17" t="s">
        <v>1287</v>
      </c>
      <c r="J12" s="18">
        <v>16</v>
      </c>
      <c r="K12" s="19">
        <f t="shared" si="0"/>
        <v>358.93440000000004</v>
      </c>
      <c r="L12" s="14"/>
      <c r="M12" s="15">
        <v>32.96</v>
      </c>
      <c r="N12" s="15">
        <v>10.89</v>
      </c>
    </row>
    <row r="13" spans="1:14" s="15" customFormat="1" ht="20.25" customHeight="1" x14ac:dyDescent="0.15">
      <c r="A13" s="60"/>
      <c r="B13" s="9"/>
      <c r="C13" s="58"/>
      <c r="D13" s="11"/>
      <c r="E13" s="10"/>
      <c r="F13" s="58"/>
      <c r="G13" s="12"/>
      <c r="H13" s="12"/>
      <c r="I13" s="17"/>
      <c r="J13" s="18"/>
      <c r="K13" s="19">
        <f t="shared" si="0"/>
        <v>0</v>
      </c>
      <c r="L13" s="14"/>
      <c r="N13" s="15">
        <v>10.89</v>
      </c>
    </row>
    <row r="14" spans="1:14" s="15" customFormat="1" ht="20.25" customHeight="1" x14ac:dyDescent="0.15">
      <c r="A14" s="60"/>
      <c r="B14" s="9"/>
      <c r="C14" s="58"/>
      <c r="D14" s="11"/>
      <c r="E14" s="10"/>
      <c r="F14" s="58"/>
      <c r="G14" s="12"/>
      <c r="H14" s="12"/>
      <c r="I14" s="17"/>
      <c r="J14" s="18"/>
      <c r="K14" s="19">
        <f t="shared" si="0"/>
        <v>0</v>
      </c>
      <c r="L14" s="20"/>
      <c r="N14" s="15">
        <v>10.89</v>
      </c>
    </row>
    <row r="15" spans="1:14" s="15" customFormat="1" ht="20.25" customHeight="1" x14ac:dyDescent="0.15">
      <c r="A15" s="60"/>
      <c r="B15" s="9"/>
      <c r="C15" s="58"/>
      <c r="D15" s="11"/>
      <c r="E15" s="10"/>
      <c r="F15" s="58"/>
      <c r="G15" s="12"/>
      <c r="H15" s="12"/>
      <c r="I15" s="17"/>
      <c r="J15" s="18"/>
      <c r="K15" s="19">
        <f t="shared" si="0"/>
        <v>0</v>
      </c>
      <c r="L15" s="20"/>
      <c r="N15" s="15">
        <v>10.89</v>
      </c>
    </row>
    <row r="16" spans="1:14" s="15" customFormat="1" ht="20.25" customHeight="1" x14ac:dyDescent="0.15">
      <c r="A16" s="60"/>
      <c r="B16" s="9"/>
      <c r="C16" s="58"/>
      <c r="D16" s="11"/>
      <c r="E16" s="10"/>
      <c r="F16" s="58"/>
      <c r="G16" s="12"/>
      <c r="H16" s="12"/>
      <c r="I16" s="17"/>
      <c r="J16" s="18"/>
      <c r="K16" s="19">
        <f t="shared" si="0"/>
        <v>0</v>
      </c>
      <c r="L16" s="20"/>
      <c r="N16" s="15">
        <v>10.89</v>
      </c>
    </row>
    <row r="17" spans="1:14" s="15" customFormat="1" ht="20.25" customHeight="1" x14ac:dyDescent="0.15">
      <c r="A17" s="60"/>
      <c r="B17" s="9"/>
      <c r="C17" s="58"/>
      <c r="D17" s="11"/>
      <c r="E17" s="10"/>
      <c r="F17" s="58"/>
      <c r="G17" s="12"/>
      <c r="H17" s="12"/>
      <c r="I17" s="17"/>
      <c r="J17" s="18"/>
      <c r="K17" s="19">
        <f t="shared" si="0"/>
        <v>0</v>
      </c>
      <c r="L17" s="20"/>
      <c r="N17" s="15">
        <v>10.89</v>
      </c>
    </row>
    <row r="18" spans="1:14" s="15" customFormat="1" ht="20.25" customHeight="1" x14ac:dyDescent="0.15">
      <c r="A18" s="60"/>
      <c r="B18" s="9"/>
      <c r="C18" s="58"/>
      <c r="D18" s="11"/>
      <c r="E18" s="10"/>
      <c r="F18" s="58"/>
      <c r="G18" s="12"/>
      <c r="H18" s="12"/>
      <c r="I18" s="17"/>
      <c r="J18" s="18"/>
      <c r="K18" s="19">
        <f t="shared" si="0"/>
        <v>0</v>
      </c>
      <c r="L18" s="20"/>
      <c r="N18" s="15">
        <v>10.89</v>
      </c>
    </row>
    <row r="19" spans="1:14" s="15" customFormat="1" ht="20.25" customHeight="1" x14ac:dyDescent="0.15">
      <c r="A19" s="60"/>
      <c r="B19" s="9"/>
      <c r="C19" s="58"/>
      <c r="D19" s="11"/>
      <c r="E19" s="10"/>
      <c r="F19" s="58"/>
      <c r="G19" s="12"/>
      <c r="H19" s="12"/>
      <c r="I19" s="17"/>
      <c r="J19" s="18"/>
      <c r="K19" s="19">
        <f t="shared" si="0"/>
        <v>0</v>
      </c>
      <c r="L19" s="20"/>
      <c r="N19" s="15">
        <v>10.89</v>
      </c>
    </row>
    <row r="20" spans="1:14" s="15" customFormat="1" ht="20.25" customHeight="1" x14ac:dyDescent="0.15">
      <c r="A20" s="60"/>
      <c r="B20" s="9"/>
      <c r="C20" s="58"/>
      <c r="D20" s="11"/>
      <c r="E20" s="10"/>
      <c r="F20" s="58"/>
      <c r="G20" s="12"/>
      <c r="H20" s="12"/>
      <c r="I20" s="17"/>
      <c r="J20" s="18"/>
      <c r="K20" s="19">
        <f t="shared" si="0"/>
        <v>0</v>
      </c>
      <c r="L20" s="20"/>
      <c r="N20" s="15">
        <v>10.89</v>
      </c>
    </row>
    <row r="21" spans="1:14" s="15" customFormat="1" ht="20.25" customHeight="1" x14ac:dyDescent="0.15">
      <c r="A21" s="60"/>
      <c r="B21" s="9"/>
      <c r="C21" s="58"/>
      <c r="D21" s="11"/>
      <c r="E21" s="10"/>
      <c r="F21" s="58"/>
      <c r="G21" s="50"/>
      <c r="H21" s="50"/>
      <c r="I21" s="17"/>
      <c r="J21" s="18"/>
      <c r="K21" s="19">
        <f t="shared" si="0"/>
        <v>0</v>
      </c>
      <c r="L21" s="20"/>
      <c r="N21" s="15">
        <v>10.89</v>
      </c>
    </row>
    <row r="22" spans="1:14" s="15" customFormat="1" ht="20.25" customHeight="1" x14ac:dyDescent="0.15">
      <c r="A22" s="60"/>
      <c r="B22" s="9"/>
      <c r="C22" s="58"/>
      <c r="D22" s="11"/>
      <c r="E22" s="10"/>
      <c r="F22" s="58"/>
      <c r="G22" s="50"/>
      <c r="H22" s="50"/>
      <c r="I22" s="17"/>
      <c r="J22" s="18"/>
      <c r="K22" s="19">
        <f t="shared" si="0"/>
        <v>0</v>
      </c>
      <c r="L22" s="20"/>
      <c r="N22" s="15">
        <v>10.89</v>
      </c>
    </row>
    <row r="23" spans="1:14" ht="20.25" customHeight="1" x14ac:dyDescent="0.15">
      <c r="A23" s="60"/>
      <c r="B23" s="9"/>
      <c r="C23" s="58"/>
      <c r="D23" s="11"/>
      <c r="E23" s="10"/>
      <c r="F23" s="58"/>
      <c r="G23" s="16"/>
      <c r="H23" s="16"/>
      <c r="I23" s="17"/>
      <c r="J23" s="18"/>
      <c r="K23" s="19">
        <f t="shared" si="0"/>
        <v>0</v>
      </c>
      <c r="L23" s="20"/>
      <c r="N23" s="15">
        <v>10.89</v>
      </c>
    </row>
    <row r="24" spans="1:14" ht="20.25" customHeight="1" thickBot="1" x14ac:dyDescent="0.2">
      <c r="A24" s="56"/>
      <c r="B24" s="21"/>
      <c r="C24" s="59"/>
      <c r="D24" s="22"/>
      <c r="E24" s="23"/>
      <c r="F24" s="23"/>
      <c r="G24" s="24"/>
      <c r="H24" s="24"/>
      <c r="I24" s="25"/>
      <c r="J24" s="46">
        <f>SUM(J8:J23)</f>
        <v>540</v>
      </c>
      <c r="K24" s="47">
        <f>SUM(K8:K23)</f>
        <v>4491.0360000000001</v>
      </c>
      <c r="L24" s="26"/>
    </row>
    <row r="25" spans="1:14" ht="20.25" customHeight="1" thickTop="1" x14ac:dyDescent="0.15">
      <c r="A25" s="60" t="s">
        <v>1288</v>
      </c>
      <c r="B25" s="9" t="s">
        <v>173</v>
      </c>
      <c r="C25" s="58" t="s">
        <v>29</v>
      </c>
      <c r="D25" s="11" t="s">
        <v>279</v>
      </c>
      <c r="E25" s="10">
        <v>25.76</v>
      </c>
      <c r="F25" s="10"/>
      <c r="G25" s="12">
        <v>1445</v>
      </c>
      <c r="H25" s="12">
        <v>690</v>
      </c>
      <c r="I25" s="17" t="s">
        <v>1263</v>
      </c>
      <c r="J25" s="18">
        <v>54</v>
      </c>
      <c r="K25" s="19">
        <f t="shared" ref="K25:K40" si="1">+M25*N25</f>
        <v>341.07480000000004</v>
      </c>
      <c r="L25" s="54"/>
      <c r="M25" s="3">
        <v>31.32</v>
      </c>
      <c r="N25" s="15">
        <v>10.89</v>
      </c>
    </row>
    <row r="26" spans="1:14" ht="20.25" customHeight="1" x14ac:dyDescent="0.15">
      <c r="A26" s="60" t="s">
        <v>1289</v>
      </c>
      <c r="B26" s="9" t="s">
        <v>173</v>
      </c>
      <c r="C26" s="58" t="s">
        <v>29</v>
      </c>
      <c r="D26" s="11" t="s">
        <v>279</v>
      </c>
      <c r="E26" s="10">
        <v>25.76</v>
      </c>
      <c r="F26" s="10"/>
      <c r="G26" s="12">
        <v>1445</v>
      </c>
      <c r="H26" s="12">
        <v>690</v>
      </c>
      <c r="I26" s="17" t="s">
        <v>1290</v>
      </c>
      <c r="J26" s="18">
        <v>72</v>
      </c>
      <c r="K26" s="19">
        <f t="shared" si="1"/>
        <v>474.36840000000007</v>
      </c>
      <c r="L26" s="54"/>
      <c r="M26" s="3">
        <v>43.56</v>
      </c>
      <c r="N26" s="15">
        <v>10.89</v>
      </c>
    </row>
    <row r="27" spans="1:14" ht="20.25" customHeight="1" x14ac:dyDescent="0.15">
      <c r="A27" s="61" t="s">
        <v>1291</v>
      </c>
      <c r="B27" s="9" t="s">
        <v>131</v>
      </c>
      <c r="C27" s="58" t="s">
        <v>29</v>
      </c>
      <c r="D27" s="11" t="s">
        <v>155</v>
      </c>
      <c r="E27" s="10">
        <v>22</v>
      </c>
      <c r="F27" s="58" t="s">
        <v>11</v>
      </c>
      <c r="G27" s="12">
        <v>1421</v>
      </c>
      <c r="H27" s="12">
        <v>1763</v>
      </c>
      <c r="I27" s="17" t="s">
        <v>1285</v>
      </c>
      <c r="J27" s="18">
        <v>160</v>
      </c>
      <c r="K27" s="19">
        <f t="shared" si="1"/>
        <v>1326.402</v>
      </c>
      <c r="L27" s="54"/>
      <c r="M27" s="3">
        <v>121.8</v>
      </c>
      <c r="N27" s="15">
        <v>10.89</v>
      </c>
    </row>
    <row r="28" spans="1:14" ht="20.25" customHeight="1" x14ac:dyDescent="0.15">
      <c r="A28" s="61"/>
      <c r="B28" s="9"/>
      <c r="C28" s="58" t="s">
        <v>29</v>
      </c>
      <c r="D28" s="11" t="s">
        <v>156</v>
      </c>
      <c r="E28" s="10">
        <v>22</v>
      </c>
      <c r="F28" s="58" t="s">
        <v>11</v>
      </c>
      <c r="G28" s="12">
        <v>1421</v>
      </c>
      <c r="H28" s="12">
        <v>1763</v>
      </c>
      <c r="I28" s="17" t="s">
        <v>1292</v>
      </c>
      <c r="J28" s="18">
        <v>65</v>
      </c>
      <c r="K28" s="19">
        <f t="shared" si="1"/>
        <v>940.35149999999999</v>
      </c>
      <c r="L28" s="54"/>
      <c r="M28" s="3">
        <v>86.35</v>
      </c>
      <c r="N28" s="15">
        <v>10.89</v>
      </c>
    </row>
    <row r="29" spans="1:14" ht="20.25" customHeight="1" x14ac:dyDescent="0.15">
      <c r="A29" s="61" t="s">
        <v>1293</v>
      </c>
      <c r="B29" s="9" t="s">
        <v>178</v>
      </c>
      <c r="C29" s="58" t="s">
        <v>29</v>
      </c>
      <c r="D29" s="11" t="s">
        <v>247</v>
      </c>
      <c r="E29" s="10">
        <v>24</v>
      </c>
      <c r="F29" s="10" t="s">
        <v>11</v>
      </c>
      <c r="G29" s="12">
        <v>910</v>
      </c>
      <c r="H29" s="12">
        <v>1585</v>
      </c>
      <c r="I29" s="17" t="s">
        <v>1294</v>
      </c>
      <c r="J29" s="18">
        <v>63</v>
      </c>
      <c r="K29" s="19">
        <f t="shared" si="1"/>
        <v>664.94340000000011</v>
      </c>
      <c r="L29" s="54"/>
      <c r="M29" s="3">
        <v>61.06</v>
      </c>
      <c r="N29" s="15">
        <v>10.89</v>
      </c>
    </row>
    <row r="30" spans="1:14" ht="20.25" customHeight="1" x14ac:dyDescent="0.15">
      <c r="A30" s="61" t="s">
        <v>1295</v>
      </c>
      <c r="B30" s="9" t="s">
        <v>178</v>
      </c>
      <c r="C30" s="58" t="s">
        <v>29</v>
      </c>
      <c r="D30" s="11" t="s">
        <v>247</v>
      </c>
      <c r="E30" s="10">
        <v>24</v>
      </c>
      <c r="F30" s="10" t="s">
        <v>11</v>
      </c>
      <c r="G30" s="12">
        <v>845</v>
      </c>
      <c r="H30" s="12">
        <v>895</v>
      </c>
      <c r="I30" s="51" t="s">
        <v>1296</v>
      </c>
      <c r="J30" s="52">
        <v>62</v>
      </c>
      <c r="K30" s="53">
        <f t="shared" si="1"/>
        <v>443.76750000000004</v>
      </c>
      <c r="L30" s="54"/>
      <c r="M30" s="3">
        <v>40.75</v>
      </c>
      <c r="N30" s="15">
        <v>10.89</v>
      </c>
    </row>
    <row r="31" spans="1:14" ht="20.25" customHeight="1" x14ac:dyDescent="0.15">
      <c r="A31" s="61" t="s">
        <v>1297</v>
      </c>
      <c r="B31" s="9" t="s">
        <v>178</v>
      </c>
      <c r="C31" s="58" t="s">
        <v>29</v>
      </c>
      <c r="D31" s="11" t="s">
        <v>247</v>
      </c>
      <c r="E31" s="10">
        <v>24</v>
      </c>
      <c r="F31" s="10" t="s">
        <v>11</v>
      </c>
      <c r="G31" s="12">
        <v>1335</v>
      </c>
      <c r="H31" s="12">
        <v>893</v>
      </c>
      <c r="I31" s="51" t="s">
        <v>1298</v>
      </c>
      <c r="J31" s="52">
        <v>61</v>
      </c>
      <c r="K31" s="53">
        <f t="shared" si="1"/>
        <v>436.68900000000002</v>
      </c>
      <c r="L31" s="54"/>
      <c r="M31" s="3">
        <v>40.1</v>
      </c>
      <c r="N31" s="15">
        <v>10.89</v>
      </c>
    </row>
    <row r="32" spans="1:14" ht="20.25" customHeight="1" x14ac:dyDescent="0.15">
      <c r="A32" s="60" t="s">
        <v>1299</v>
      </c>
      <c r="B32" s="9" t="s">
        <v>58</v>
      </c>
      <c r="C32" s="58" t="s">
        <v>29</v>
      </c>
      <c r="D32" s="11" t="s">
        <v>1300</v>
      </c>
      <c r="E32" s="10">
        <v>24</v>
      </c>
      <c r="F32" s="10" t="s">
        <v>11</v>
      </c>
      <c r="G32" s="12">
        <v>1005</v>
      </c>
      <c r="H32" s="12">
        <v>795</v>
      </c>
      <c r="I32" s="17">
        <v>2</v>
      </c>
      <c r="J32" s="18">
        <v>2</v>
      </c>
      <c r="K32" s="19">
        <f t="shared" si="1"/>
        <v>17.424000000000003</v>
      </c>
      <c r="L32" s="27"/>
      <c r="M32" s="3">
        <v>1.6</v>
      </c>
      <c r="N32" s="15">
        <v>10.89</v>
      </c>
    </row>
    <row r="33" spans="1:14" ht="20.25" customHeight="1" x14ac:dyDescent="0.15">
      <c r="A33" s="60"/>
      <c r="B33" s="9"/>
      <c r="C33" s="58" t="s">
        <v>29</v>
      </c>
      <c r="D33" s="11" t="s">
        <v>1301</v>
      </c>
      <c r="E33" s="10">
        <v>22</v>
      </c>
      <c r="F33" s="10"/>
      <c r="G33" s="12">
        <v>458</v>
      </c>
      <c r="H33" s="12">
        <v>970</v>
      </c>
      <c r="I33" s="17">
        <v>1</v>
      </c>
      <c r="J33" s="18">
        <v>1</v>
      </c>
      <c r="K33" s="19">
        <f t="shared" si="1"/>
        <v>4.7915999999999999</v>
      </c>
      <c r="L33" s="27"/>
      <c r="M33" s="3">
        <v>0.44</v>
      </c>
      <c r="N33" s="15">
        <v>10.89</v>
      </c>
    </row>
    <row r="34" spans="1:14" ht="20.25" customHeight="1" x14ac:dyDescent="0.15">
      <c r="A34" s="60" t="s">
        <v>1302</v>
      </c>
      <c r="B34" s="9" t="s">
        <v>176</v>
      </c>
      <c r="C34" s="58" t="s">
        <v>29</v>
      </c>
      <c r="D34" s="11" t="s">
        <v>226</v>
      </c>
      <c r="E34" s="10">
        <v>24</v>
      </c>
      <c r="F34" s="10" t="s">
        <v>11</v>
      </c>
      <c r="G34" s="12">
        <v>790</v>
      </c>
      <c r="H34" s="12">
        <v>480</v>
      </c>
      <c r="I34" s="17">
        <v>1</v>
      </c>
      <c r="J34" s="18">
        <v>1</v>
      </c>
      <c r="K34" s="19">
        <f t="shared" si="1"/>
        <v>4.1382000000000003</v>
      </c>
      <c r="L34" s="27"/>
      <c r="M34" s="3">
        <v>0.38</v>
      </c>
      <c r="N34" s="15">
        <v>10.89</v>
      </c>
    </row>
    <row r="35" spans="1:14" ht="20.25" customHeight="1" x14ac:dyDescent="0.15">
      <c r="A35" s="60"/>
      <c r="B35" s="9"/>
      <c r="C35" s="58"/>
      <c r="D35" s="11"/>
      <c r="E35" s="10"/>
      <c r="F35" s="10"/>
      <c r="G35" s="12"/>
      <c r="H35" s="12"/>
      <c r="I35" s="17"/>
      <c r="J35" s="18"/>
      <c r="K35" s="19">
        <f t="shared" si="1"/>
        <v>0</v>
      </c>
      <c r="L35" s="27"/>
      <c r="N35" s="15">
        <v>10.89</v>
      </c>
    </row>
    <row r="36" spans="1:14" ht="20.25" customHeight="1" x14ac:dyDescent="0.15">
      <c r="A36" s="60"/>
      <c r="B36" s="9"/>
      <c r="C36" s="58"/>
      <c r="D36" s="11"/>
      <c r="E36" s="10"/>
      <c r="F36" s="10"/>
      <c r="G36" s="12"/>
      <c r="H36" s="12"/>
      <c r="I36" s="17"/>
      <c r="J36" s="18"/>
      <c r="K36" s="19">
        <f t="shared" si="1"/>
        <v>0</v>
      </c>
      <c r="L36" s="27"/>
      <c r="N36" s="15">
        <v>10.89</v>
      </c>
    </row>
    <row r="37" spans="1:14" ht="20.25" customHeight="1" x14ac:dyDescent="0.15">
      <c r="A37" s="60"/>
      <c r="B37" s="9"/>
      <c r="C37" s="58"/>
      <c r="D37" s="11"/>
      <c r="E37" s="10"/>
      <c r="F37" s="10"/>
      <c r="G37" s="12"/>
      <c r="H37" s="12"/>
      <c r="I37" s="17"/>
      <c r="J37" s="18"/>
      <c r="K37" s="19">
        <f t="shared" si="1"/>
        <v>0</v>
      </c>
      <c r="L37" s="27"/>
      <c r="N37" s="15">
        <v>10.89</v>
      </c>
    </row>
    <row r="38" spans="1:14" ht="20.25" customHeight="1" x14ac:dyDescent="0.15">
      <c r="A38" s="60"/>
      <c r="B38" s="9"/>
      <c r="C38" s="58"/>
      <c r="D38" s="11"/>
      <c r="E38" s="10"/>
      <c r="F38" s="10"/>
      <c r="G38" s="12"/>
      <c r="H38" s="12"/>
      <c r="I38" s="17"/>
      <c r="J38" s="18"/>
      <c r="K38" s="19">
        <f t="shared" si="1"/>
        <v>0</v>
      </c>
      <c r="L38" s="27"/>
      <c r="N38" s="15">
        <v>10.89</v>
      </c>
    </row>
    <row r="39" spans="1:14" ht="20.25" customHeight="1" x14ac:dyDescent="0.15">
      <c r="A39" s="60"/>
      <c r="B39" s="9"/>
      <c r="C39" s="58"/>
      <c r="D39" s="11"/>
      <c r="E39" s="10"/>
      <c r="F39" s="10"/>
      <c r="G39" s="12"/>
      <c r="H39" s="12"/>
      <c r="I39" s="17"/>
      <c r="J39" s="18"/>
      <c r="K39" s="19">
        <f t="shared" si="1"/>
        <v>0</v>
      </c>
      <c r="L39" s="27"/>
      <c r="N39" s="15">
        <v>10.89</v>
      </c>
    </row>
    <row r="40" spans="1:14" ht="20.25" customHeight="1" x14ac:dyDescent="0.15">
      <c r="A40" s="60"/>
      <c r="B40" s="9"/>
      <c r="C40" s="58"/>
      <c r="D40" s="11"/>
      <c r="E40" s="10"/>
      <c r="F40" s="10"/>
      <c r="G40" s="12"/>
      <c r="H40" s="12"/>
      <c r="I40" s="17"/>
      <c r="J40" s="18"/>
      <c r="K40" s="19">
        <f t="shared" si="1"/>
        <v>0</v>
      </c>
      <c r="L40" s="27"/>
      <c r="N40" s="15">
        <v>10.89</v>
      </c>
    </row>
    <row r="41" spans="1:14" ht="20.25" customHeight="1" x14ac:dyDescent="0.15">
      <c r="A41" s="57"/>
      <c r="B41" s="28"/>
      <c r="C41" s="10"/>
      <c r="D41" s="29"/>
      <c r="E41" s="30"/>
      <c r="F41" s="30"/>
      <c r="G41" s="30"/>
      <c r="H41" s="30"/>
      <c r="I41" s="13"/>
      <c r="J41" s="48">
        <f>SUM(J25:J40)</f>
        <v>541</v>
      </c>
      <c r="K41" s="49">
        <f>SUM(K25:K40)</f>
        <v>4653.9504000000006</v>
      </c>
      <c r="L41" s="31"/>
      <c r="N41" s="32"/>
    </row>
    <row r="42" spans="1:14" ht="20.25" customHeight="1" thickBot="1" x14ac:dyDescent="0.2">
      <c r="A42" s="55"/>
      <c r="B42" s="33"/>
      <c r="C42" s="33"/>
      <c r="D42" s="33"/>
      <c r="E42" s="33"/>
      <c r="F42" s="33"/>
      <c r="G42" s="33"/>
      <c r="H42" s="33"/>
      <c r="I42" s="33"/>
      <c r="J42" s="34"/>
      <c r="K42" s="35"/>
      <c r="L42" s="36"/>
    </row>
    <row r="43" spans="1:14" ht="20.25" customHeight="1" thickBot="1" x14ac:dyDescent="0.2">
      <c r="A43" s="37" t="s">
        <v>19</v>
      </c>
      <c r="B43" s="38" t="s">
        <v>20</v>
      </c>
      <c r="C43" s="77" t="s">
        <v>21</v>
      </c>
      <c r="D43" s="79"/>
      <c r="E43" s="77" t="s">
        <v>22</v>
      </c>
      <c r="F43" s="78"/>
      <c r="G43" s="79"/>
      <c r="H43" s="85" t="s">
        <v>23</v>
      </c>
      <c r="I43" s="86"/>
      <c r="J43" s="77" t="s">
        <v>24</v>
      </c>
      <c r="K43" s="79"/>
      <c r="L43" s="39" t="s">
        <v>13</v>
      </c>
    </row>
    <row r="44" spans="1:14" ht="20.25" customHeight="1" thickBot="1" x14ac:dyDescent="0.2">
      <c r="A44" s="40">
        <f>SUMIF($C$8:$C$42,"U1",$J$8:$J$42)</f>
        <v>0</v>
      </c>
      <c r="B44" s="41">
        <f>SUMIF($C$8:$C$42,"U2",$J$8:$J$42)</f>
        <v>0</v>
      </c>
      <c r="C44" s="77">
        <f>SUMIF($C$8:$C$42,"U3-1",$J$8:$J$42)</f>
        <v>0</v>
      </c>
      <c r="D44" s="79"/>
      <c r="E44" s="77">
        <f>SUMIF($C$8:$C$42,"U3",$J$8:$J$42)</f>
        <v>1081</v>
      </c>
      <c r="F44" s="78"/>
      <c r="G44" s="79"/>
      <c r="H44" s="77">
        <f>SUMIF($C$8:$C$42,"E5",$J$8:$J$42)</f>
        <v>0</v>
      </c>
      <c r="I44" s="79"/>
      <c r="J44" s="77">
        <f>SUM(A44:I44)</f>
        <v>1081</v>
      </c>
      <c r="K44" s="79"/>
      <c r="L44" s="42"/>
    </row>
    <row r="45" spans="1:14" ht="20.25" customHeight="1" thickBot="1" x14ac:dyDescent="0.2">
      <c r="A45" s="43" t="s">
        <v>25</v>
      </c>
      <c r="B45" s="44" t="s">
        <v>26</v>
      </c>
      <c r="C45" s="75">
        <v>13876</v>
      </c>
      <c r="D45" s="76"/>
      <c r="E45" s="77" t="s">
        <v>27</v>
      </c>
      <c r="F45" s="78"/>
      <c r="G45" s="78"/>
      <c r="H45" s="78"/>
      <c r="I45" s="79"/>
      <c r="J45" s="80">
        <v>146744.37</v>
      </c>
      <c r="K45" s="81"/>
      <c r="L45" s="82"/>
    </row>
    <row r="47" spans="1:14" x14ac:dyDescent="0.15">
      <c r="D47" s="45"/>
    </row>
  </sheetData>
  <mergeCells count="26">
    <mergeCell ref="L2:L4"/>
    <mergeCell ref="A1:G3"/>
    <mergeCell ref="H1:H4"/>
    <mergeCell ref="I2:I4"/>
    <mergeCell ref="J2:J4"/>
    <mergeCell ref="K2:K4"/>
    <mergeCell ref="B5:G5"/>
    <mergeCell ref="A6:A7"/>
    <mergeCell ref="B6:B7"/>
    <mergeCell ref="C6:C7"/>
    <mergeCell ref="D6:D7"/>
    <mergeCell ref="E6:E7"/>
    <mergeCell ref="F6:F7"/>
    <mergeCell ref="G6:K6"/>
    <mergeCell ref="C45:D45"/>
    <mergeCell ref="E45:I45"/>
    <mergeCell ref="J45:L45"/>
    <mergeCell ref="L6:L7"/>
    <mergeCell ref="C43:D43"/>
    <mergeCell ref="E43:G43"/>
    <mergeCell ref="H43:I43"/>
    <mergeCell ref="J43:K43"/>
    <mergeCell ref="C44:D44"/>
    <mergeCell ref="E44:G44"/>
    <mergeCell ref="H44:I44"/>
    <mergeCell ref="J44:K44"/>
  </mergeCells>
  <phoneticPr fontId="2" type="noConversion"/>
  <printOptions horizontalCentered="1"/>
  <pageMargins left="0.39370078740157483" right="0.39370078740157483" top="0.74803149606299213" bottom="0.19685039370078741" header="0.31496062992125984" footer="0.15748031496062992"/>
  <pageSetup paperSize="9" scale="84" orientation="portrait" r:id="rId1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dimension ref="A1:N47"/>
  <sheetViews>
    <sheetView view="pageBreakPreview" zoomScaleSheetLayoutView="100" workbookViewId="0">
      <selection sqref="A1:G3"/>
    </sheetView>
  </sheetViews>
  <sheetFormatPr defaultColWidth="8.88671875" defaultRowHeight="13.5" x14ac:dyDescent="0.15"/>
  <cols>
    <col min="1" max="1" width="8.44140625" style="3" customWidth="1"/>
    <col min="2" max="2" width="14.77734375" style="3" customWidth="1"/>
    <col min="3" max="3" width="4.109375" style="3" customWidth="1"/>
    <col min="4" max="4" width="15.21875" style="3" customWidth="1"/>
    <col min="5" max="5" width="4.44140625" style="3" customWidth="1"/>
    <col min="6" max="6" width="4" style="3" customWidth="1"/>
    <col min="7" max="7" width="5.5546875" style="3" customWidth="1"/>
    <col min="8" max="8" width="5.44140625" style="3" customWidth="1"/>
    <col min="9" max="9" width="7.88671875" style="3" customWidth="1"/>
    <col min="10" max="10" width="7.109375" style="3" customWidth="1"/>
    <col min="11" max="11" width="7.21875" style="3" customWidth="1"/>
    <col min="12" max="12" width="6.77734375" style="3" customWidth="1"/>
    <col min="13" max="16384" width="8.88671875" style="3"/>
  </cols>
  <sheetData>
    <row r="1" spans="1:14" ht="18.75" customHeight="1" x14ac:dyDescent="0.15">
      <c r="A1" s="101" t="s">
        <v>0</v>
      </c>
      <c r="B1" s="102"/>
      <c r="C1" s="102"/>
      <c r="D1" s="102"/>
      <c r="E1" s="102"/>
      <c r="F1" s="102"/>
      <c r="G1" s="103"/>
      <c r="H1" s="107" t="s">
        <v>1</v>
      </c>
      <c r="I1" s="1" t="s">
        <v>2</v>
      </c>
      <c r="J1" s="1" t="s">
        <v>2</v>
      </c>
      <c r="K1" s="1" t="s">
        <v>3</v>
      </c>
      <c r="L1" s="2" t="s">
        <v>4</v>
      </c>
    </row>
    <row r="2" spans="1:14" ht="13.5" customHeight="1" x14ac:dyDescent="0.15">
      <c r="A2" s="104"/>
      <c r="B2" s="105"/>
      <c r="C2" s="105"/>
      <c r="D2" s="105"/>
      <c r="E2" s="105"/>
      <c r="F2" s="105"/>
      <c r="G2" s="106"/>
      <c r="H2" s="108"/>
      <c r="I2" s="110"/>
      <c r="J2" s="110"/>
      <c r="K2" s="110"/>
      <c r="L2" s="98"/>
    </row>
    <row r="3" spans="1:14" ht="13.5" customHeight="1" x14ac:dyDescent="0.15">
      <c r="A3" s="104"/>
      <c r="B3" s="105"/>
      <c r="C3" s="105"/>
      <c r="D3" s="105"/>
      <c r="E3" s="105"/>
      <c r="F3" s="105"/>
      <c r="G3" s="106"/>
      <c r="H3" s="108"/>
      <c r="I3" s="108"/>
      <c r="J3" s="108"/>
      <c r="K3" s="108"/>
      <c r="L3" s="99"/>
    </row>
    <row r="4" spans="1:14" ht="33" customHeight="1" x14ac:dyDescent="0.15">
      <c r="A4" s="4"/>
      <c r="B4" s="5"/>
      <c r="C4" s="5"/>
      <c r="D4" s="5"/>
      <c r="E4" s="5"/>
      <c r="F4" s="5"/>
      <c r="G4" s="5"/>
      <c r="H4" s="109"/>
      <c r="I4" s="109"/>
      <c r="J4" s="109"/>
      <c r="K4" s="109"/>
      <c r="L4" s="100"/>
    </row>
    <row r="5" spans="1:14" ht="17.25" customHeight="1" x14ac:dyDescent="0.15">
      <c r="A5" s="6" t="s">
        <v>5</v>
      </c>
      <c r="B5" s="87">
        <v>46084</v>
      </c>
      <c r="C5" s="88"/>
      <c r="D5" s="88"/>
      <c r="E5" s="88"/>
      <c r="F5" s="88"/>
      <c r="G5" s="88"/>
      <c r="H5" s="5"/>
      <c r="I5" s="5"/>
      <c r="J5" s="5"/>
      <c r="K5" s="5"/>
      <c r="L5" s="7"/>
    </row>
    <row r="6" spans="1:14" ht="13.5" customHeight="1" x14ac:dyDescent="0.15">
      <c r="A6" s="89" t="s">
        <v>6</v>
      </c>
      <c r="B6" s="91" t="s">
        <v>7</v>
      </c>
      <c r="C6" s="91" t="s">
        <v>8</v>
      </c>
      <c r="D6" s="91" t="s">
        <v>9</v>
      </c>
      <c r="E6" s="93" t="s">
        <v>10</v>
      </c>
      <c r="F6" s="93" t="s">
        <v>11</v>
      </c>
      <c r="G6" s="95" t="s">
        <v>12</v>
      </c>
      <c r="H6" s="96"/>
      <c r="I6" s="96"/>
      <c r="J6" s="96"/>
      <c r="K6" s="97"/>
      <c r="L6" s="83" t="s">
        <v>13</v>
      </c>
    </row>
    <row r="7" spans="1:14" x14ac:dyDescent="0.15">
      <c r="A7" s="90"/>
      <c r="B7" s="92"/>
      <c r="C7" s="92"/>
      <c r="D7" s="92"/>
      <c r="E7" s="94"/>
      <c r="F7" s="94"/>
      <c r="G7" s="8" t="s">
        <v>14</v>
      </c>
      <c r="H7" s="8" t="s">
        <v>15</v>
      </c>
      <c r="I7" s="8" t="s">
        <v>16</v>
      </c>
      <c r="J7" s="8" t="s">
        <v>17</v>
      </c>
      <c r="K7" s="8" t="s">
        <v>18</v>
      </c>
      <c r="L7" s="84"/>
    </row>
    <row r="8" spans="1:14" s="15" customFormat="1" ht="20.25" customHeight="1" x14ac:dyDescent="0.15">
      <c r="A8" s="60" t="s">
        <v>1303</v>
      </c>
      <c r="B8" s="9" t="s">
        <v>1304</v>
      </c>
      <c r="C8" s="58" t="s">
        <v>29</v>
      </c>
      <c r="D8" s="11" t="s">
        <v>1305</v>
      </c>
      <c r="E8" s="10">
        <v>28</v>
      </c>
      <c r="F8" s="58"/>
      <c r="G8" s="12">
        <v>1800</v>
      </c>
      <c r="H8" s="12">
        <v>765</v>
      </c>
      <c r="I8" s="17" t="s">
        <v>252</v>
      </c>
      <c r="J8" s="18">
        <v>8</v>
      </c>
      <c r="K8" s="19">
        <f>+M8*N8</f>
        <v>116.3052</v>
      </c>
      <c r="L8" s="14"/>
      <c r="M8" s="15">
        <v>10.68</v>
      </c>
      <c r="N8" s="15">
        <v>10.89</v>
      </c>
    </row>
    <row r="9" spans="1:14" s="15" customFormat="1" ht="20.25" customHeight="1" x14ac:dyDescent="0.15">
      <c r="A9" s="60"/>
      <c r="B9" s="9"/>
      <c r="C9" s="58" t="s">
        <v>29</v>
      </c>
      <c r="D9" s="11" t="s">
        <v>1306</v>
      </c>
      <c r="E9" s="10">
        <v>28</v>
      </c>
      <c r="F9" s="58" t="s">
        <v>11</v>
      </c>
      <c r="G9" s="12">
        <v>1800</v>
      </c>
      <c r="H9" s="12">
        <v>1635</v>
      </c>
      <c r="I9" s="17" t="s">
        <v>887</v>
      </c>
      <c r="J9" s="18">
        <v>8</v>
      </c>
      <c r="K9" s="19">
        <f t="shared" ref="K9:K18" si="0">+M9*N9</f>
        <v>125.67059999999999</v>
      </c>
      <c r="L9" s="14"/>
      <c r="M9" s="15">
        <v>11.54</v>
      </c>
      <c r="N9" s="15">
        <v>10.89</v>
      </c>
    </row>
    <row r="10" spans="1:14" s="15" customFormat="1" ht="20.25" customHeight="1" x14ac:dyDescent="0.15">
      <c r="A10" s="60" t="s">
        <v>1236</v>
      </c>
      <c r="B10" s="9" t="s">
        <v>1144</v>
      </c>
      <c r="C10" s="58" t="s">
        <v>29</v>
      </c>
      <c r="D10" s="11" t="s">
        <v>1145</v>
      </c>
      <c r="E10" s="10">
        <v>26</v>
      </c>
      <c r="F10" s="58" t="s">
        <v>11</v>
      </c>
      <c r="G10" s="12">
        <v>632</v>
      </c>
      <c r="H10" s="12">
        <v>540</v>
      </c>
      <c r="I10" s="17" t="s">
        <v>1108</v>
      </c>
      <c r="J10" s="18">
        <v>10</v>
      </c>
      <c r="K10" s="19">
        <f t="shared" si="0"/>
        <v>71.111700000000013</v>
      </c>
      <c r="L10" s="14"/>
      <c r="M10" s="15">
        <v>6.53</v>
      </c>
      <c r="N10" s="15">
        <v>10.89</v>
      </c>
    </row>
    <row r="11" spans="1:14" s="15" customFormat="1" ht="20.25" customHeight="1" x14ac:dyDescent="0.15">
      <c r="A11" s="60" t="s">
        <v>1307</v>
      </c>
      <c r="B11" s="9" t="s">
        <v>1144</v>
      </c>
      <c r="C11" s="58" t="s">
        <v>29</v>
      </c>
      <c r="D11" s="11" t="s">
        <v>1145</v>
      </c>
      <c r="E11" s="10">
        <v>26</v>
      </c>
      <c r="F11" s="58" t="s">
        <v>11</v>
      </c>
      <c r="G11" s="12">
        <v>690</v>
      </c>
      <c r="H11" s="12">
        <v>1055</v>
      </c>
      <c r="I11" s="17">
        <v>1</v>
      </c>
      <c r="J11" s="18">
        <v>1</v>
      </c>
      <c r="K11" s="19">
        <f t="shared" si="0"/>
        <v>7.9497</v>
      </c>
      <c r="L11" s="14"/>
      <c r="M11" s="15">
        <v>0.73</v>
      </c>
      <c r="N11" s="15">
        <v>10.89</v>
      </c>
    </row>
    <row r="12" spans="1:14" s="15" customFormat="1" ht="20.25" customHeight="1" x14ac:dyDescent="0.15">
      <c r="A12" s="60" t="s">
        <v>1308</v>
      </c>
      <c r="B12" s="9" t="s">
        <v>131</v>
      </c>
      <c r="C12" s="58" t="s">
        <v>29</v>
      </c>
      <c r="D12" s="11" t="s">
        <v>155</v>
      </c>
      <c r="E12" s="10">
        <v>22</v>
      </c>
      <c r="F12" s="58" t="s">
        <v>11</v>
      </c>
      <c r="G12" s="12">
        <v>776</v>
      </c>
      <c r="H12" s="12">
        <v>1763</v>
      </c>
      <c r="I12" s="17" t="s">
        <v>1309</v>
      </c>
      <c r="J12" s="18">
        <v>96</v>
      </c>
      <c r="K12" s="19">
        <f t="shared" si="0"/>
        <v>653.40000000000009</v>
      </c>
      <c r="L12" s="14"/>
      <c r="M12" s="15">
        <v>60</v>
      </c>
      <c r="N12" s="15">
        <v>10.89</v>
      </c>
    </row>
    <row r="13" spans="1:14" s="15" customFormat="1" ht="20.25" customHeight="1" x14ac:dyDescent="0.15">
      <c r="A13" s="60"/>
      <c r="B13" s="9"/>
      <c r="C13" s="58" t="s">
        <v>29</v>
      </c>
      <c r="D13" s="11" t="s">
        <v>156</v>
      </c>
      <c r="E13" s="10">
        <v>22</v>
      </c>
      <c r="F13" s="58" t="s">
        <v>11</v>
      </c>
      <c r="G13" s="12">
        <v>1421</v>
      </c>
      <c r="H13" s="12">
        <v>1763</v>
      </c>
      <c r="I13" s="17" t="s">
        <v>854</v>
      </c>
      <c r="J13" s="18">
        <v>112</v>
      </c>
      <c r="K13" s="19">
        <f t="shared" si="0"/>
        <v>1012.3344</v>
      </c>
      <c r="L13" s="14"/>
      <c r="M13" s="15">
        <v>92.96</v>
      </c>
      <c r="N13" s="15">
        <v>10.89</v>
      </c>
    </row>
    <row r="14" spans="1:14" s="15" customFormat="1" ht="20.25" customHeight="1" x14ac:dyDescent="0.15">
      <c r="A14" s="60" t="s">
        <v>1310</v>
      </c>
      <c r="B14" s="9" t="s">
        <v>131</v>
      </c>
      <c r="C14" s="58" t="s">
        <v>29</v>
      </c>
      <c r="D14" s="11" t="s">
        <v>155</v>
      </c>
      <c r="E14" s="10">
        <v>22</v>
      </c>
      <c r="F14" s="58" t="s">
        <v>11</v>
      </c>
      <c r="G14" s="12">
        <v>1421</v>
      </c>
      <c r="H14" s="12">
        <v>1763</v>
      </c>
      <c r="I14" s="17" t="s">
        <v>1311</v>
      </c>
      <c r="J14" s="18">
        <v>88</v>
      </c>
      <c r="K14" s="19">
        <f t="shared" si="0"/>
        <v>933.92640000000006</v>
      </c>
      <c r="L14" s="20"/>
      <c r="M14" s="15">
        <v>85.76</v>
      </c>
      <c r="N14" s="15">
        <v>10.89</v>
      </c>
    </row>
    <row r="15" spans="1:14" s="15" customFormat="1" ht="20.25" customHeight="1" x14ac:dyDescent="0.15">
      <c r="A15" s="60" t="s">
        <v>1312</v>
      </c>
      <c r="B15" s="9" t="s">
        <v>31</v>
      </c>
      <c r="C15" s="58" t="s">
        <v>29</v>
      </c>
      <c r="D15" s="11" t="s">
        <v>247</v>
      </c>
      <c r="E15" s="10">
        <v>24</v>
      </c>
      <c r="F15" s="58" t="s">
        <v>11</v>
      </c>
      <c r="G15" s="12">
        <v>1704</v>
      </c>
      <c r="H15" s="12">
        <v>1054</v>
      </c>
      <c r="I15" s="17" t="s">
        <v>1313</v>
      </c>
      <c r="J15" s="18">
        <v>70</v>
      </c>
      <c r="K15" s="19">
        <f t="shared" si="0"/>
        <v>566.82449999999994</v>
      </c>
      <c r="L15" s="20"/>
      <c r="M15" s="15">
        <v>52.05</v>
      </c>
      <c r="N15" s="15">
        <v>10.89</v>
      </c>
    </row>
    <row r="16" spans="1:14" s="15" customFormat="1" ht="20.25" customHeight="1" x14ac:dyDescent="0.15">
      <c r="A16" s="60" t="s">
        <v>1314</v>
      </c>
      <c r="B16" s="9" t="s">
        <v>31</v>
      </c>
      <c r="C16" s="58" t="s">
        <v>29</v>
      </c>
      <c r="D16" s="11" t="s">
        <v>247</v>
      </c>
      <c r="E16" s="10">
        <v>24</v>
      </c>
      <c r="F16" s="58" t="s">
        <v>11</v>
      </c>
      <c r="G16" s="12">
        <v>1465</v>
      </c>
      <c r="H16" s="12">
        <v>1425</v>
      </c>
      <c r="I16" s="17" t="s">
        <v>587</v>
      </c>
      <c r="J16" s="18">
        <v>15</v>
      </c>
      <c r="K16" s="19">
        <f t="shared" si="0"/>
        <v>166.1814</v>
      </c>
      <c r="L16" s="20"/>
      <c r="M16" s="15">
        <v>15.26</v>
      </c>
      <c r="N16" s="15">
        <v>10.89</v>
      </c>
    </row>
    <row r="17" spans="1:14" s="15" customFormat="1" ht="20.25" customHeight="1" x14ac:dyDescent="0.15">
      <c r="A17" s="60" t="s">
        <v>1315</v>
      </c>
      <c r="B17" s="9" t="s">
        <v>1304</v>
      </c>
      <c r="C17" s="58" t="s">
        <v>29</v>
      </c>
      <c r="D17" s="11" t="s">
        <v>1316</v>
      </c>
      <c r="E17" s="10">
        <v>28</v>
      </c>
      <c r="F17" s="58" t="s">
        <v>11</v>
      </c>
      <c r="G17" s="12">
        <v>1800</v>
      </c>
      <c r="H17" s="12">
        <v>1635</v>
      </c>
      <c r="I17" s="17" t="s">
        <v>170</v>
      </c>
      <c r="J17" s="18">
        <v>4</v>
      </c>
      <c r="K17" s="19">
        <f t="shared" si="0"/>
        <v>110.42460000000001</v>
      </c>
      <c r="L17" s="20"/>
      <c r="M17" s="15">
        <v>10.14</v>
      </c>
      <c r="N17" s="15">
        <v>10.89</v>
      </c>
    </row>
    <row r="18" spans="1:14" ht="20.25" customHeight="1" x14ac:dyDescent="0.15">
      <c r="A18" s="60"/>
      <c r="B18" s="9"/>
      <c r="C18" s="58"/>
      <c r="D18" s="11"/>
      <c r="E18" s="10"/>
      <c r="F18" s="58"/>
      <c r="G18" s="16"/>
      <c r="H18" s="16"/>
      <c r="I18" s="17"/>
      <c r="J18" s="18"/>
      <c r="K18" s="19">
        <f t="shared" si="0"/>
        <v>0</v>
      </c>
      <c r="L18" s="20"/>
      <c r="N18" s="15">
        <v>10.89</v>
      </c>
    </row>
    <row r="19" spans="1:14" ht="20.25" customHeight="1" thickBot="1" x14ac:dyDescent="0.2">
      <c r="A19" s="56"/>
      <c r="B19" s="21"/>
      <c r="C19" s="59"/>
      <c r="D19" s="22"/>
      <c r="E19" s="23"/>
      <c r="F19" s="23"/>
      <c r="G19" s="24"/>
      <c r="H19" s="24"/>
      <c r="I19" s="25"/>
      <c r="J19" s="46">
        <f>SUM(J8:J18)</f>
        <v>412</v>
      </c>
      <c r="K19" s="47">
        <f>SUM(K8:K18)</f>
        <v>3764.1284999999998</v>
      </c>
      <c r="L19" s="26"/>
    </row>
    <row r="20" spans="1:14" ht="20.25" customHeight="1" thickTop="1" x14ac:dyDescent="0.15">
      <c r="A20" s="60" t="s">
        <v>1219</v>
      </c>
      <c r="B20" s="9" t="s">
        <v>173</v>
      </c>
      <c r="C20" s="58" t="s">
        <v>29</v>
      </c>
      <c r="D20" s="11" t="s">
        <v>188</v>
      </c>
      <c r="E20" s="10">
        <v>22</v>
      </c>
      <c r="F20" s="10"/>
      <c r="G20" s="12">
        <v>1440</v>
      </c>
      <c r="H20" s="12">
        <v>1238</v>
      </c>
      <c r="I20" s="17">
        <v>1</v>
      </c>
      <c r="J20" s="18">
        <v>1</v>
      </c>
      <c r="K20" s="19">
        <f t="shared" ref="K20:K40" si="1">+M20*N20</f>
        <v>19.3842</v>
      </c>
      <c r="L20" s="54"/>
      <c r="M20" s="3">
        <v>1.78</v>
      </c>
      <c r="N20" s="15">
        <v>10.89</v>
      </c>
    </row>
    <row r="21" spans="1:14" ht="20.25" customHeight="1" x14ac:dyDescent="0.15">
      <c r="A21" s="60"/>
      <c r="B21" s="9"/>
      <c r="C21" s="58" t="s">
        <v>29</v>
      </c>
      <c r="D21" s="11" t="s">
        <v>280</v>
      </c>
      <c r="E21" s="10">
        <v>46.76</v>
      </c>
      <c r="F21" s="10" t="s">
        <v>11</v>
      </c>
      <c r="G21" s="12">
        <v>886</v>
      </c>
      <c r="H21" s="12">
        <v>508</v>
      </c>
      <c r="I21" s="17">
        <v>1</v>
      </c>
      <c r="J21" s="18">
        <v>1</v>
      </c>
      <c r="K21" s="19">
        <f t="shared" si="1"/>
        <v>4.9005000000000001</v>
      </c>
      <c r="L21" s="54"/>
      <c r="M21" s="3">
        <v>0.45</v>
      </c>
      <c r="N21" s="15">
        <v>10.89</v>
      </c>
    </row>
    <row r="22" spans="1:14" ht="20.25" customHeight="1" x14ac:dyDescent="0.15">
      <c r="A22" s="61" t="s">
        <v>1222</v>
      </c>
      <c r="B22" s="9" t="s">
        <v>173</v>
      </c>
      <c r="C22" s="58" t="s">
        <v>29</v>
      </c>
      <c r="D22" s="11" t="s">
        <v>188</v>
      </c>
      <c r="E22" s="10">
        <v>22</v>
      </c>
      <c r="F22" s="10"/>
      <c r="G22" s="12">
        <v>1440</v>
      </c>
      <c r="H22" s="12">
        <v>1238</v>
      </c>
      <c r="I22" s="17" t="s">
        <v>857</v>
      </c>
      <c r="J22" s="18">
        <v>18</v>
      </c>
      <c r="K22" s="19">
        <f t="shared" si="1"/>
        <v>215.62200000000001</v>
      </c>
      <c r="L22" s="54"/>
      <c r="M22" s="3">
        <v>19.8</v>
      </c>
      <c r="N22" s="15">
        <v>10.89</v>
      </c>
    </row>
    <row r="23" spans="1:14" ht="20.25" customHeight="1" x14ac:dyDescent="0.15">
      <c r="A23" s="61"/>
      <c r="B23" s="9"/>
      <c r="C23" s="58" t="s">
        <v>29</v>
      </c>
      <c r="D23" s="11" t="s">
        <v>280</v>
      </c>
      <c r="E23" s="10">
        <v>46.76</v>
      </c>
      <c r="F23" s="10" t="s">
        <v>11</v>
      </c>
      <c r="G23" s="12">
        <v>886</v>
      </c>
      <c r="H23" s="12">
        <v>508</v>
      </c>
      <c r="I23" s="17">
        <v>6</v>
      </c>
      <c r="J23" s="18">
        <v>6</v>
      </c>
      <c r="K23" s="19">
        <f t="shared" si="1"/>
        <v>29.403000000000002</v>
      </c>
      <c r="L23" s="54"/>
      <c r="M23" s="3">
        <v>2.7</v>
      </c>
      <c r="N23" s="15">
        <v>10.89</v>
      </c>
    </row>
    <row r="24" spans="1:14" ht="20.25" customHeight="1" x14ac:dyDescent="0.15">
      <c r="A24" s="61" t="s">
        <v>1242</v>
      </c>
      <c r="B24" s="9" t="s">
        <v>173</v>
      </c>
      <c r="C24" s="58" t="s">
        <v>29</v>
      </c>
      <c r="D24" s="11" t="s">
        <v>188</v>
      </c>
      <c r="E24" s="10">
        <v>22</v>
      </c>
      <c r="F24" s="10" t="s">
        <v>11</v>
      </c>
      <c r="G24" s="12">
        <v>1665</v>
      </c>
      <c r="H24" s="12">
        <v>1238</v>
      </c>
      <c r="I24" s="17" t="s">
        <v>1317</v>
      </c>
      <c r="J24" s="18">
        <v>24</v>
      </c>
      <c r="K24" s="19">
        <f t="shared" si="1"/>
        <v>368.51760000000007</v>
      </c>
      <c r="L24" s="54"/>
      <c r="M24" s="3">
        <v>33.840000000000003</v>
      </c>
      <c r="N24" s="15">
        <v>10.89</v>
      </c>
    </row>
    <row r="25" spans="1:14" ht="20.25" customHeight="1" x14ac:dyDescent="0.15">
      <c r="A25" s="61"/>
      <c r="B25" s="9"/>
      <c r="C25" s="58" t="s">
        <v>29</v>
      </c>
      <c r="D25" s="11" t="s">
        <v>280</v>
      </c>
      <c r="E25" s="10">
        <v>46.76</v>
      </c>
      <c r="F25" s="10" t="s">
        <v>11</v>
      </c>
      <c r="G25" s="12">
        <v>786</v>
      </c>
      <c r="H25" s="12">
        <v>508</v>
      </c>
      <c r="I25" s="51">
        <v>12</v>
      </c>
      <c r="J25" s="52">
        <v>12</v>
      </c>
      <c r="K25" s="53">
        <f t="shared" si="1"/>
        <v>52.271999999999998</v>
      </c>
      <c r="L25" s="54"/>
      <c r="M25" s="3">
        <v>4.8</v>
      </c>
      <c r="N25" s="15">
        <v>10.89</v>
      </c>
    </row>
    <row r="26" spans="1:14" ht="20.25" customHeight="1" x14ac:dyDescent="0.15">
      <c r="A26" s="61" t="s">
        <v>1318</v>
      </c>
      <c r="B26" s="9" t="s">
        <v>173</v>
      </c>
      <c r="C26" s="58" t="s">
        <v>29</v>
      </c>
      <c r="D26" s="11" t="s">
        <v>188</v>
      </c>
      <c r="E26" s="10">
        <v>22</v>
      </c>
      <c r="F26" s="10" t="s">
        <v>11</v>
      </c>
      <c r="G26" s="12">
        <v>1440</v>
      </c>
      <c r="H26" s="12">
        <v>1238</v>
      </c>
      <c r="I26" s="51" t="s">
        <v>1319</v>
      </c>
      <c r="J26" s="52">
        <v>36</v>
      </c>
      <c r="K26" s="53">
        <f t="shared" si="1"/>
        <v>431.24400000000003</v>
      </c>
      <c r="L26" s="54"/>
      <c r="M26" s="3">
        <v>39.6</v>
      </c>
      <c r="N26" s="15">
        <v>10.89</v>
      </c>
    </row>
    <row r="27" spans="1:14" ht="20.25" customHeight="1" x14ac:dyDescent="0.15">
      <c r="A27" s="60"/>
      <c r="B27" s="9"/>
      <c r="C27" s="58" t="s">
        <v>29</v>
      </c>
      <c r="D27" s="11" t="s">
        <v>280</v>
      </c>
      <c r="E27" s="10">
        <v>46.76</v>
      </c>
      <c r="F27" s="10" t="s">
        <v>11</v>
      </c>
      <c r="G27" s="12">
        <v>886</v>
      </c>
      <c r="H27" s="12">
        <v>508</v>
      </c>
      <c r="I27" s="17">
        <v>12</v>
      </c>
      <c r="J27" s="18">
        <v>12</v>
      </c>
      <c r="K27" s="19">
        <f t="shared" si="1"/>
        <v>58.806000000000004</v>
      </c>
      <c r="L27" s="27"/>
      <c r="M27" s="3">
        <v>5.4</v>
      </c>
      <c r="N27" s="15">
        <v>10.89</v>
      </c>
    </row>
    <row r="28" spans="1:14" ht="20.25" customHeight="1" x14ac:dyDescent="0.15">
      <c r="A28" s="60" t="s">
        <v>1174</v>
      </c>
      <c r="B28" s="9" t="s">
        <v>1175</v>
      </c>
      <c r="C28" s="58" t="s">
        <v>29</v>
      </c>
      <c r="D28" s="11" t="s">
        <v>1176</v>
      </c>
      <c r="E28" s="10">
        <v>39</v>
      </c>
      <c r="F28" s="10" t="s">
        <v>11</v>
      </c>
      <c r="G28" s="12">
        <v>931</v>
      </c>
      <c r="H28" s="12">
        <v>1553</v>
      </c>
      <c r="I28" s="17" t="s">
        <v>1320</v>
      </c>
      <c r="J28" s="18">
        <v>2</v>
      </c>
      <c r="K28" s="19">
        <f t="shared" si="1"/>
        <v>19.493100000000002</v>
      </c>
      <c r="L28" s="27"/>
      <c r="M28" s="3">
        <v>1.79</v>
      </c>
      <c r="N28" s="15">
        <v>10.89</v>
      </c>
    </row>
    <row r="29" spans="1:14" ht="20.25" customHeight="1" x14ac:dyDescent="0.15">
      <c r="A29" s="60" t="s">
        <v>1321</v>
      </c>
      <c r="B29" s="9" t="s">
        <v>131</v>
      </c>
      <c r="C29" s="58" t="s">
        <v>29</v>
      </c>
      <c r="D29" s="11" t="s">
        <v>156</v>
      </c>
      <c r="E29" s="10">
        <v>22</v>
      </c>
      <c r="F29" s="10" t="s">
        <v>11</v>
      </c>
      <c r="G29" s="12">
        <v>764</v>
      </c>
      <c r="H29" s="12">
        <v>933</v>
      </c>
      <c r="I29" s="17" t="s">
        <v>1322</v>
      </c>
      <c r="J29" s="18">
        <v>95</v>
      </c>
      <c r="K29" s="19">
        <f t="shared" si="1"/>
        <v>386.05050000000006</v>
      </c>
      <c r="L29" s="27"/>
      <c r="M29" s="3">
        <v>35.450000000000003</v>
      </c>
      <c r="N29" s="15">
        <v>10.89</v>
      </c>
    </row>
    <row r="30" spans="1:14" ht="20.25" customHeight="1" x14ac:dyDescent="0.15">
      <c r="A30" s="60" t="s">
        <v>1323</v>
      </c>
      <c r="B30" s="9" t="s">
        <v>131</v>
      </c>
      <c r="C30" s="58" t="s">
        <v>29</v>
      </c>
      <c r="D30" s="11" t="s">
        <v>155</v>
      </c>
      <c r="E30" s="10">
        <v>22</v>
      </c>
      <c r="F30" s="10" t="s">
        <v>11</v>
      </c>
      <c r="G30" s="12">
        <v>1421</v>
      </c>
      <c r="H30" s="12">
        <v>1763</v>
      </c>
      <c r="I30" s="17" t="s">
        <v>1324</v>
      </c>
      <c r="J30" s="18">
        <v>140</v>
      </c>
      <c r="K30" s="19">
        <f t="shared" si="1"/>
        <v>1265.4180000000001</v>
      </c>
      <c r="L30" s="27"/>
      <c r="M30" s="3">
        <v>116.2</v>
      </c>
      <c r="N30" s="15">
        <v>10.89</v>
      </c>
    </row>
    <row r="31" spans="1:14" ht="20.25" customHeight="1" x14ac:dyDescent="0.15">
      <c r="A31" s="60" t="s">
        <v>1325</v>
      </c>
      <c r="B31" s="9" t="s">
        <v>182</v>
      </c>
      <c r="C31" s="58" t="s">
        <v>29</v>
      </c>
      <c r="D31" s="11" t="s">
        <v>677</v>
      </c>
      <c r="E31" s="10">
        <v>26</v>
      </c>
      <c r="F31" s="10" t="s">
        <v>11</v>
      </c>
      <c r="G31" s="12">
        <v>1128</v>
      </c>
      <c r="H31" s="12">
        <v>2092</v>
      </c>
      <c r="I31" s="17" t="s">
        <v>1326</v>
      </c>
      <c r="J31" s="18">
        <v>18</v>
      </c>
      <c r="K31" s="19">
        <f t="shared" si="1"/>
        <v>180.44730000000001</v>
      </c>
      <c r="L31" s="27"/>
      <c r="M31" s="3">
        <v>16.57</v>
      </c>
      <c r="N31" s="15">
        <v>10.89</v>
      </c>
    </row>
    <row r="32" spans="1:14" ht="20.25" customHeight="1" x14ac:dyDescent="0.15">
      <c r="A32" s="60"/>
      <c r="B32" s="9"/>
      <c r="C32" s="58" t="s">
        <v>29</v>
      </c>
      <c r="D32" s="11" t="s">
        <v>678</v>
      </c>
      <c r="E32" s="10">
        <v>24</v>
      </c>
      <c r="F32" s="10" t="s">
        <v>11</v>
      </c>
      <c r="G32" s="12">
        <v>885</v>
      </c>
      <c r="H32" s="12">
        <v>2715</v>
      </c>
      <c r="I32" s="17">
        <v>1</v>
      </c>
      <c r="J32" s="18">
        <v>1</v>
      </c>
      <c r="K32" s="19">
        <f t="shared" si="1"/>
        <v>26.135999999999999</v>
      </c>
      <c r="L32" s="27"/>
      <c r="M32" s="3">
        <v>2.4</v>
      </c>
      <c r="N32" s="15">
        <v>10.89</v>
      </c>
    </row>
    <row r="33" spans="1:14" s="15" customFormat="1" ht="20.25" customHeight="1" x14ac:dyDescent="0.15">
      <c r="A33" s="60" t="s">
        <v>1327</v>
      </c>
      <c r="B33" s="9" t="s">
        <v>178</v>
      </c>
      <c r="C33" s="58" t="s">
        <v>29</v>
      </c>
      <c r="D33" s="11" t="s">
        <v>247</v>
      </c>
      <c r="E33" s="10">
        <v>24</v>
      </c>
      <c r="F33" s="58" t="s">
        <v>11</v>
      </c>
      <c r="G33" s="12">
        <v>910</v>
      </c>
      <c r="H33" s="12">
        <v>1585</v>
      </c>
      <c r="I33" s="17">
        <v>2</v>
      </c>
      <c r="J33" s="18">
        <v>2</v>
      </c>
      <c r="K33" s="19">
        <f>+M33*N33</f>
        <v>19.166399999999999</v>
      </c>
      <c r="L33" s="20"/>
      <c r="M33" s="15">
        <v>1.76</v>
      </c>
      <c r="N33" s="15">
        <v>10.89</v>
      </c>
    </row>
    <row r="34" spans="1:14" s="15" customFormat="1" ht="20.25" customHeight="1" x14ac:dyDescent="0.15">
      <c r="A34" s="60" t="s">
        <v>1328</v>
      </c>
      <c r="B34" s="9" t="s">
        <v>178</v>
      </c>
      <c r="C34" s="58" t="s">
        <v>29</v>
      </c>
      <c r="D34" s="11" t="s">
        <v>247</v>
      </c>
      <c r="E34" s="10">
        <v>24</v>
      </c>
      <c r="F34" s="58" t="s">
        <v>11</v>
      </c>
      <c r="G34" s="12">
        <v>755</v>
      </c>
      <c r="H34" s="12">
        <v>893</v>
      </c>
      <c r="I34" s="17">
        <v>1</v>
      </c>
      <c r="J34" s="18">
        <v>1</v>
      </c>
      <c r="K34" s="19">
        <f>+M34*N34</f>
        <v>7.2963000000000005</v>
      </c>
      <c r="L34" s="20"/>
      <c r="M34" s="15">
        <v>0.67</v>
      </c>
      <c r="N34" s="15">
        <v>10.89</v>
      </c>
    </row>
    <row r="35" spans="1:14" s="15" customFormat="1" ht="20.25" customHeight="1" x14ac:dyDescent="0.15">
      <c r="A35" s="60" t="s">
        <v>1329</v>
      </c>
      <c r="B35" s="9" t="s">
        <v>127</v>
      </c>
      <c r="C35" s="58" t="s">
        <v>29</v>
      </c>
      <c r="D35" s="11" t="s">
        <v>554</v>
      </c>
      <c r="E35" s="10">
        <v>28</v>
      </c>
      <c r="F35" s="58" t="s">
        <v>11</v>
      </c>
      <c r="G35" s="12">
        <v>965</v>
      </c>
      <c r="H35" s="12">
        <v>3905</v>
      </c>
      <c r="I35" s="17" t="s">
        <v>1320</v>
      </c>
      <c r="J35" s="18">
        <v>2</v>
      </c>
      <c r="K35" s="19">
        <f>+M35*N35</f>
        <v>51.836399999999998</v>
      </c>
      <c r="L35" s="20"/>
      <c r="M35" s="15">
        <v>4.76</v>
      </c>
      <c r="N35" s="15">
        <v>10.89</v>
      </c>
    </row>
    <row r="36" spans="1:14" s="15" customFormat="1" ht="20.25" customHeight="1" x14ac:dyDescent="0.15">
      <c r="A36" s="60"/>
      <c r="B36" s="9"/>
      <c r="C36" s="58" t="s">
        <v>29</v>
      </c>
      <c r="D36" s="11" t="s">
        <v>378</v>
      </c>
      <c r="E36" s="10">
        <v>28</v>
      </c>
      <c r="F36" s="58" t="s">
        <v>11</v>
      </c>
      <c r="G36" s="50">
        <v>959</v>
      </c>
      <c r="H36" s="50">
        <v>891</v>
      </c>
      <c r="I36" s="17">
        <v>1</v>
      </c>
      <c r="J36" s="18">
        <v>1</v>
      </c>
      <c r="K36" s="19">
        <f>+M36*N36</f>
        <v>9.2565000000000008</v>
      </c>
      <c r="L36" s="20"/>
      <c r="M36" s="15">
        <v>0.85</v>
      </c>
      <c r="N36" s="15">
        <v>10.89</v>
      </c>
    </row>
    <row r="37" spans="1:14" s="15" customFormat="1" ht="20.25" customHeight="1" x14ac:dyDescent="0.15">
      <c r="A37" s="60" t="s">
        <v>1330</v>
      </c>
      <c r="B37" s="9" t="s">
        <v>175</v>
      </c>
      <c r="C37" s="58" t="s">
        <v>29</v>
      </c>
      <c r="D37" s="11" t="s">
        <v>415</v>
      </c>
      <c r="E37" s="10">
        <v>28</v>
      </c>
      <c r="F37" s="58" t="s">
        <v>11</v>
      </c>
      <c r="G37" s="50">
        <v>900</v>
      </c>
      <c r="H37" s="50">
        <v>2205</v>
      </c>
      <c r="I37" s="17">
        <v>8</v>
      </c>
      <c r="J37" s="18">
        <v>8</v>
      </c>
      <c r="K37" s="19">
        <f>+M37*N37</f>
        <v>172.49760000000001</v>
      </c>
      <c r="L37" s="14"/>
      <c r="M37" s="15">
        <v>15.84</v>
      </c>
      <c r="N37" s="15">
        <v>10.89</v>
      </c>
    </row>
    <row r="38" spans="1:14" ht="20.25" customHeight="1" x14ac:dyDescent="0.15">
      <c r="A38" s="60" t="s">
        <v>1331</v>
      </c>
      <c r="B38" s="9" t="s">
        <v>178</v>
      </c>
      <c r="C38" s="58" t="s">
        <v>29</v>
      </c>
      <c r="D38" s="11" t="s">
        <v>247</v>
      </c>
      <c r="E38" s="10">
        <v>24</v>
      </c>
      <c r="F38" s="10" t="s">
        <v>11</v>
      </c>
      <c r="G38" s="12">
        <v>1285</v>
      </c>
      <c r="H38" s="12">
        <v>893</v>
      </c>
      <c r="I38" s="17" t="s">
        <v>1332</v>
      </c>
      <c r="J38" s="18">
        <v>71</v>
      </c>
      <c r="K38" s="19">
        <f t="shared" si="1"/>
        <v>507.5829</v>
      </c>
      <c r="L38" s="27"/>
      <c r="M38" s="3">
        <v>46.61</v>
      </c>
      <c r="N38" s="15">
        <v>10.89</v>
      </c>
    </row>
    <row r="39" spans="1:14" ht="20.25" customHeight="1" x14ac:dyDescent="0.15">
      <c r="A39" s="60" t="s">
        <v>1333</v>
      </c>
      <c r="B39" s="9" t="s">
        <v>178</v>
      </c>
      <c r="C39" s="58" t="s">
        <v>29</v>
      </c>
      <c r="D39" s="11" t="s">
        <v>247</v>
      </c>
      <c r="E39" s="10">
        <v>24</v>
      </c>
      <c r="F39" s="10" t="s">
        <v>11</v>
      </c>
      <c r="G39" s="12">
        <v>1305</v>
      </c>
      <c r="H39" s="12">
        <v>893</v>
      </c>
      <c r="I39" s="17" t="s">
        <v>1334</v>
      </c>
      <c r="J39" s="18">
        <v>77</v>
      </c>
      <c r="K39" s="19">
        <f t="shared" si="1"/>
        <v>522.82889999999998</v>
      </c>
      <c r="L39" s="27"/>
      <c r="M39" s="3">
        <v>48.01</v>
      </c>
      <c r="N39" s="15">
        <v>10.89</v>
      </c>
    </row>
    <row r="40" spans="1:14" ht="20.25" customHeight="1" x14ac:dyDescent="0.15">
      <c r="A40" s="60"/>
      <c r="B40" s="9"/>
      <c r="C40" s="58"/>
      <c r="D40" s="11"/>
      <c r="E40" s="10"/>
      <c r="F40" s="10"/>
      <c r="G40" s="12"/>
      <c r="H40" s="12"/>
      <c r="I40" s="17"/>
      <c r="J40" s="18"/>
      <c r="K40" s="19">
        <f t="shared" si="1"/>
        <v>0</v>
      </c>
      <c r="L40" s="27"/>
      <c r="N40" s="15">
        <v>10.89</v>
      </c>
    </row>
    <row r="41" spans="1:14" ht="20.25" customHeight="1" x14ac:dyDescent="0.15">
      <c r="A41" s="57"/>
      <c r="B41" s="28"/>
      <c r="C41" s="10"/>
      <c r="D41" s="29"/>
      <c r="E41" s="30"/>
      <c r="F41" s="30"/>
      <c r="G41" s="30"/>
      <c r="H41" s="30"/>
      <c r="I41" s="13"/>
      <c r="J41" s="48">
        <f>SUM(J20:J40)</f>
        <v>528</v>
      </c>
      <c r="K41" s="49">
        <f>SUM(K20:K40)</f>
        <v>4348.1592000000001</v>
      </c>
      <c r="L41" s="31"/>
      <c r="N41" s="32"/>
    </row>
    <row r="42" spans="1:14" ht="20.25" customHeight="1" thickBot="1" x14ac:dyDescent="0.2">
      <c r="A42" s="55"/>
      <c r="B42" s="33"/>
      <c r="C42" s="33"/>
      <c r="D42" s="33"/>
      <c r="E42" s="33"/>
      <c r="F42" s="33"/>
      <c r="G42" s="33"/>
      <c r="H42" s="33"/>
      <c r="I42" s="33"/>
      <c r="J42" s="34"/>
      <c r="K42" s="35"/>
      <c r="L42" s="36"/>
    </row>
    <row r="43" spans="1:14" ht="20.25" customHeight="1" thickBot="1" x14ac:dyDescent="0.2">
      <c r="A43" s="37" t="s">
        <v>19</v>
      </c>
      <c r="B43" s="38" t="s">
        <v>20</v>
      </c>
      <c r="C43" s="77" t="s">
        <v>21</v>
      </c>
      <c r="D43" s="79"/>
      <c r="E43" s="77" t="s">
        <v>22</v>
      </c>
      <c r="F43" s="78"/>
      <c r="G43" s="79"/>
      <c r="H43" s="85" t="s">
        <v>23</v>
      </c>
      <c r="I43" s="86"/>
      <c r="J43" s="77" t="s">
        <v>24</v>
      </c>
      <c r="K43" s="79"/>
      <c r="L43" s="39" t="s">
        <v>13</v>
      </c>
    </row>
    <row r="44" spans="1:14" ht="20.25" customHeight="1" thickBot="1" x14ac:dyDescent="0.2">
      <c r="A44" s="40">
        <f>SUMIF($C$8:$C$42,"U1",$J$8:$J$42)</f>
        <v>0</v>
      </c>
      <c r="B44" s="41">
        <f>SUMIF($C$8:$C$42,"U2",$J$8:$J$42)</f>
        <v>0</v>
      </c>
      <c r="C44" s="77">
        <f>SUMIF($C$8:$C$42,"U3-1",$J$8:$J$42)</f>
        <v>0</v>
      </c>
      <c r="D44" s="79"/>
      <c r="E44" s="77">
        <f>SUMIF($C$8:$C$42,"U3",$J$8:$J$42)</f>
        <v>940</v>
      </c>
      <c r="F44" s="78"/>
      <c r="G44" s="79"/>
      <c r="H44" s="77">
        <f>SUMIF($C$8:$C$42,"E5",$J$8:$J$42)</f>
        <v>0</v>
      </c>
      <c r="I44" s="79"/>
      <c r="J44" s="77">
        <f>SUM(A44:I44)</f>
        <v>940</v>
      </c>
      <c r="K44" s="79"/>
      <c r="L44" s="42"/>
    </row>
    <row r="45" spans="1:14" ht="20.25" customHeight="1" thickBot="1" x14ac:dyDescent="0.2">
      <c r="A45" s="43" t="s">
        <v>25</v>
      </c>
      <c r="B45" s="44" t="s">
        <v>26</v>
      </c>
      <c r="C45" s="75">
        <v>13876</v>
      </c>
      <c r="D45" s="76"/>
      <c r="E45" s="77" t="s">
        <v>27</v>
      </c>
      <c r="F45" s="78"/>
      <c r="G45" s="78"/>
      <c r="H45" s="78"/>
      <c r="I45" s="79"/>
      <c r="J45" s="80">
        <v>146744.37</v>
      </c>
      <c r="K45" s="81"/>
      <c r="L45" s="82"/>
    </row>
    <row r="47" spans="1:14" x14ac:dyDescent="0.15">
      <c r="D47" s="45"/>
    </row>
  </sheetData>
  <mergeCells count="26">
    <mergeCell ref="C45:D45"/>
    <mergeCell ref="E45:I45"/>
    <mergeCell ref="J45:L45"/>
    <mergeCell ref="L6:L7"/>
    <mergeCell ref="C43:D43"/>
    <mergeCell ref="E43:G43"/>
    <mergeCell ref="H43:I43"/>
    <mergeCell ref="J43:K43"/>
    <mergeCell ref="C44:D44"/>
    <mergeCell ref="E44:G44"/>
    <mergeCell ref="H44:I44"/>
    <mergeCell ref="J44:K44"/>
    <mergeCell ref="B5:G5"/>
    <mergeCell ref="A6:A7"/>
    <mergeCell ref="B6:B7"/>
    <mergeCell ref="C6:C7"/>
    <mergeCell ref="D6:D7"/>
    <mergeCell ref="E6:E7"/>
    <mergeCell ref="F6:F7"/>
    <mergeCell ref="G6:K6"/>
    <mergeCell ref="L2:L4"/>
    <mergeCell ref="A1:G3"/>
    <mergeCell ref="H1:H4"/>
    <mergeCell ref="I2:I4"/>
    <mergeCell ref="J2:J4"/>
    <mergeCell ref="K2:K4"/>
  </mergeCells>
  <phoneticPr fontId="2" type="noConversion"/>
  <printOptions horizontalCentered="1"/>
  <pageMargins left="0.39370078740157483" right="0.39370078740157483" top="0.74803149606299213" bottom="0.19685039370078741" header="0.31496062992125984" footer="0.15748031496062992"/>
  <pageSetup paperSize="9" scale="84" orientation="portrait" r:id="rId1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dimension ref="A1:N47"/>
  <sheetViews>
    <sheetView view="pageBreakPreview" topLeftCell="A13" zoomScaleSheetLayoutView="100" workbookViewId="0">
      <selection activeCell="B27" sqref="B27:E28"/>
    </sheetView>
  </sheetViews>
  <sheetFormatPr defaultColWidth="8.88671875" defaultRowHeight="13.5" x14ac:dyDescent="0.15"/>
  <cols>
    <col min="1" max="1" width="8.44140625" style="3" customWidth="1"/>
    <col min="2" max="2" width="14.77734375" style="3" customWidth="1"/>
    <col min="3" max="3" width="4.109375" style="3" customWidth="1"/>
    <col min="4" max="4" width="15.21875" style="3" customWidth="1"/>
    <col min="5" max="5" width="4.44140625" style="3" customWidth="1"/>
    <col min="6" max="6" width="4" style="3" customWidth="1"/>
    <col min="7" max="7" width="5.5546875" style="3" customWidth="1"/>
    <col min="8" max="8" width="5.44140625" style="3" customWidth="1"/>
    <col min="9" max="9" width="7.88671875" style="3" customWidth="1"/>
    <col min="10" max="10" width="7.109375" style="3" customWidth="1"/>
    <col min="11" max="11" width="7.21875" style="3" customWidth="1"/>
    <col min="12" max="12" width="6.77734375" style="3" customWidth="1"/>
    <col min="13" max="16384" width="8.88671875" style="3"/>
  </cols>
  <sheetData>
    <row r="1" spans="1:14" ht="18.75" customHeight="1" x14ac:dyDescent="0.15">
      <c r="A1" s="101" t="s">
        <v>0</v>
      </c>
      <c r="B1" s="102"/>
      <c r="C1" s="102"/>
      <c r="D1" s="102"/>
      <c r="E1" s="102"/>
      <c r="F1" s="102"/>
      <c r="G1" s="103"/>
      <c r="H1" s="107" t="s">
        <v>1</v>
      </c>
      <c r="I1" s="1" t="s">
        <v>2</v>
      </c>
      <c r="J1" s="1" t="s">
        <v>2</v>
      </c>
      <c r="K1" s="1" t="s">
        <v>3</v>
      </c>
      <c r="L1" s="2" t="s">
        <v>4</v>
      </c>
    </row>
    <row r="2" spans="1:14" ht="13.5" customHeight="1" x14ac:dyDescent="0.15">
      <c r="A2" s="104"/>
      <c r="B2" s="105"/>
      <c r="C2" s="105"/>
      <c r="D2" s="105"/>
      <c r="E2" s="105"/>
      <c r="F2" s="105"/>
      <c r="G2" s="106"/>
      <c r="H2" s="108"/>
      <c r="I2" s="110"/>
      <c r="J2" s="110"/>
      <c r="K2" s="110"/>
      <c r="L2" s="98"/>
    </row>
    <row r="3" spans="1:14" ht="13.5" customHeight="1" x14ac:dyDescent="0.15">
      <c r="A3" s="104"/>
      <c r="B3" s="105"/>
      <c r="C3" s="105"/>
      <c r="D3" s="105"/>
      <c r="E3" s="105"/>
      <c r="F3" s="105"/>
      <c r="G3" s="106"/>
      <c r="H3" s="108"/>
      <c r="I3" s="108"/>
      <c r="J3" s="108"/>
      <c r="K3" s="108"/>
      <c r="L3" s="99"/>
    </row>
    <row r="4" spans="1:14" ht="33" customHeight="1" x14ac:dyDescent="0.15">
      <c r="A4" s="4"/>
      <c r="B4" s="5"/>
      <c r="C4" s="5"/>
      <c r="D4" s="5"/>
      <c r="E4" s="5"/>
      <c r="F4" s="5"/>
      <c r="G4" s="5"/>
      <c r="H4" s="109"/>
      <c r="I4" s="109"/>
      <c r="J4" s="109"/>
      <c r="K4" s="109"/>
      <c r="L4" s="100"/>
    </row>
    <row r="5" spans="1:14" ht="17.25" customHeight="1" x14ac:dyDescent="0.15">
      <c r="A5" s="6" t="s">
        <v>5</v>
      </c>
      <c r="B5" s="87">
        <v>46090</v>
      </c>
      <c r="C5" s="88"/>
      <c r="D5" s="88"/>
      <c r="E5" s="88"/>
      <c r="F5" s="88"/>
      <c r="G5" s="88"/>
      <c r="H5" s="5"/>
      <c r="I5" s="5"/>
      <c r="J5" s="5"/>
      <c r="K5" s="5"/>
      <c r="L5" s="7"/>
    </row>
    <row r="6" spans="1:14" ht="13.5" customHeight="1" x14ac:dyDescent="0.15">
      <c r="A6" s="89" t="s">
        <v>6</v>
      </c>
      <c r="B6" s="91" t="s">
        <v>7</v>
      </c>
      <c r="C6" s="91" t="s">
        <v>8</v>
      </c>
      <c r="D6" s="91" t="s">
        <v>9</v>
      </c>
      <c r="E6" s="93" t="s">
        <v>10</v>
      </c>
      <c r="F6" s="93" t="s">
        <v>11</v>
      </c>
      <c r="G6" s="95" t="s">
        <v>12</v>
      </c>
      <c r="H6" s="96"/>
      <c r="I6" s="96"/>
      <c r="J6" s="96"/>
      <c r="K6" s="97"/>
      <c r="L6" s="83" t="s">
        <v>13</v>
      </c>
    </row>
    <row r="7" spans="1:14" x14ac:dyDescent="0.15">
      <c r="A7" s="90"/>
      <c r="B7" s="92"/>
      <c r="C7" s="92"/>
      <c r="D7" s="92"/>
      <c r="E7" s="94"/>
      <c r="F7" s="94"/>
      <c r="G7" s="8" t="s">
        <v>14</v>
      </c>
      <c r="H7" s="8" t="s">
        <v>15</v>
      </c>
      <c r="I7" s="8" t="s">
        <v>16</v>
      </c>
      <c r="J7" s="8" t="s">
        <v>17</v>
      </c>
      <c r="K7" s="8" t="s">
        <v>18</v>
      </c>
      <c r="L7" s="84"/>
    </row>
    <row r="8" spans="1:14" s="15" customFormat="1" ht="20.25" customHeight="1" x14ac:dyDescent="0.15">
      <c r="A8" s="60" t="s">
        <v>1335</v>
      </c>
      <c r="B8" s="9" t="s">
        <v>131</v>
      </c>
      <c r="C8" s="58" t="s">
        <v>29</v>
      </c>
      <c r="D8" s="11" t="s">
        <v>155</v>
      </c>
      <c r="E8" s="10">
        <v>22</v>
      </c>
      <c r="F8" s="58" t="s">
        <v>11</v>
      </c>
      <c r="G8" s="12">
        <v>264</v>
      </c>
      <c r="H8" s="12">
        <v>683</v>
      </c>
      <c r="I8" s="17" t="s">
        <v>1336</v>
      </c>
      <c r="J8" s="18">
        <v>32</v>
      </c>
      <c r="K8" s="19">
        <f>+M8*N8</f>
        <v>97.574400000000011</v>
      </c>
      <c r="L8" s="14"/>
      <c r="M8" s="15">
        <v>8.9600000000000009</v>
      </c>
      <c r="N8" s="15">
        <v>10.89</v>
      </c>
    </row>
    <row r="9" spans="1:14" s="15" customFormat="1" ht="20.25" customHeight="1" x14ac:dyDescent="0.15">
      <c r="A9" s="60"/>
      <c r="B9" s="9"/>
      <c r="C9" s="58" t="s">
        <v>29</v>
      </c>
      <c r="D9" s="11" t="s">
        <v>156</v>
      </c>
      <c r="E9" s="10">
        <v>22</v>
      </c>
      <c r="F9" s="58" t="s">
        <v>11</v>
      </c>
      <c r="G9" s="12">
        <v>1421</v>
      </c>
      <c r="H9" s="12">
        <v>1763</v>
      </c>
      <c r="I9" s="17" t="s">
        <v>1337</v>
      </c>
      <c r="J9" s="18">
        <v>120</v>
      </c>
      <c r="K9" s="19">
        <f t="shared" ref="K9:K23" si="0">+M9*N9</f>
        <v>1031.5008</v>
      </c>
      <c r="L9" s="14"/>
      <c r="M9" s="15">
        <v>94.72</v>
      </c>
      <c r="N9" s="15">
        <v>10.89</v>
      </c>
    </row>
    <row r="10" spans="1:14" s="15" customFormat="1" ht="20.25" customHeight="1" x14ac:dyDescent="0.15">
      <c r="A10" s="60" t="s">
        <v>1338</v>
      </c>
      <c r="B10" s="9" t="s">
        <v>131</v>
      </c>
      <c r="C10" s="58" t="s">
        <v>29</v>
      </c>
      <c r="D10" s="11" t="s">
        <v>155</v>
      </c>
      <c r="E10" s="10">
        <v>22</v>
      </c>
      <c r="F10" s="58" t="s">
        <v>11</v>
      </c>
      <c r="G10" s="12">
        <v>1421</v>
      </c>
      <c r="H10" s="12">
        <v>1763</v>
      </c>
      <c r="I10" s="17" t="s">
        <v>1339</v>
      </c>
      <c r="J10" s="18">
        <v>112</v>
      </c>
      <c r="K10" s="19">
        <f t="shared" si="0"/>
        <v>1001.8800000000001</v>
      </c>
      <c r="L10" s="14"/>
      <c r="M10" s="15">
        <v>92</v>
      </c>
      <c r="N10" s="15">
        <v>10.89</v>
      </c>
    </row>
    <row r="11" spans="1:14" s="15" customFormat="1" ht="20.25" customHeight="1" x14ac:dyDescent="0.15">
      <c r="A11" s="60"/>
      <c r="B11" s="9"/>
      <c r="C11" s="58" t="s">
        <v>29</v>
      </c>
      <c r="D11" s="11" t="s">
        <v>156</v>
      </c>
      <c r="E11" s="10">
        <v>22</v>
      </c>
      <c r="F11" s="58" t="s">
        <v>11</v>
      </c>
      <c r="G11" s="12">
        <v>1421</v>
      </c>
      <c r="H11" s="12">
        <v>1763</v>
      </c>
      <c r="I11" s="17" t="s">
        <v>1339</v>
      </c>
      <c r="J11" s="18">
        <v>112</v>
      </c>
      <c r="K11" s="19">
        <f t="shared" si="0"/>
        <v>1001.8800000000001</v>
      </c>
      <c r="L11" s="14"/>
      <c r="M11" s="15">
        <v>92</v>
      </c>
      <c r="N11" s="15">
        <v>10.89</v>
      </c>
    </row>
    <row r="12" spans="1:14" s="15" customFormat="1" ht="20.25" customHeight="1" x14ac:dyDescent="0.15">
      <c r="A12" s="60" t="s">
        <v>1340</v>
      </c>
      <c r="B12" s="9" t="s">
        <v>131</v>
      </c>
      <c r="C12" s="58" t="s">
        <v>29</v>
      </c>
      <c r="D12" s="11" t="s">
        <v>155</v>
      </c>
      <c r="E12" s="10">
        <v>22</v>
      </c>
      <c r="F12" s="58" t="s">
        <v>11</v>
      </c>
      <c r="G12" s="12">
        <v>1421</v>
      </c>
      <c r="H12" s="12">
        <v>1763</v>
      </c>
      <c r="I12" s="17" t="s">
        <v>1341</v>
      </c>
      <c r="J12" s="18">
        <v>156</v>
      </c>
      <c r="K12" s="19">
        <f t="shared" si="0"/>
        <v>1518.9372000000001</v>
      </c>
      <c r="L12" s="14"/>
      <c r="M12" s="15">
        <v>139.47999999999999</v>
      </c>
      <c r="N12" s="15">
        <v>10.89</v>
      </c>
    </row>
    <row r="13" spans="1:14" s="15" customFormat="1" ht="20.25" customHeight="1" x14ac:dyDescent="0.15">
      <c r="A13" s="60"/>
      <c r="B13" s="9"/>
      <c r="C13" s="58"/>
      <c r="D13" s="11"/>
      <c r="E13" s="10"/>
      <c r="F13" s="58"/>
      <c r="G13" s="12"/>
      <c r="H13" s="12"/>
      <c r="I13" s="17"/>
      <c r="J13" s="18"/>
      <c r="K13" s="19">
        <f t="shared" si="0"/>
        <v>0</v>
      </c>
      <c r="L13" s="14"/>
      <c r="N13" s="15">
        <v>10.89</v>
      </c>
    </row>
    <row r="14" spans="1:14" s="15" customFormat="1" ht="20.25" customHeight="1" x14ac:dyDescent="0.15">
      <c r="A14" s="60"/>
      <c r="B14" s="9"/>
      <c r="C14" s="58"/>
      <c r="D14" s="11"/>
      <c r="E14" s="10"/>
      <c r="F14" s="58"/>
      <c r="G14" s="12"/>
      <c r="H14" s="12"/>
      <c r="I14" s="17"/>
      <c r="J14" s="18"/>
      <c r="K14" s="19">
        <f t="shared" si="0"/>
        <v>0</v>
      </c>
      <c r="L14" s="20"/>
      <c r="N14" s="15">
        <v>10.89</v>
      </c>
    </row>
    <row r="15" spans="1:14" s="15" customFormat="1" ht="20.25" customHeight="1" x14ac:dyDescent="0.15">
      <c r="A15" s="60"/>
      <c r="B15" s="9"/>
      <c r="C15" s="58"/>
      <c r="D15" s="11"/>
      <c r="E15" s="10"/>
      <c r="F15" s="58"/>
      <c r="G15" s="12"/>
      <c r="H15" s="12"/>
      <c r="I15" s="17"/>
      <c r="J15" s="18"/>
      <c r="K15" s="19">
        <f t="shared" si="0"/>
        <v>0</v>
      </c>
      <c r="L15" s="20"/>
      <c r="N15" s="15">
        <v>10.89</v>
      </c>
    </row>
    <row r="16" spans="1:14" s="15" customFormat="1" ht="20.25" customHeight="1" x14ac:dyDescent="0.15">
      <c r="A16" s="60"/>
      <c r="B16" s="9"/>
      <c r="C16" s="58"/>
      <c r="D16" s="11"/>
      <c r="E16" s="10"/>
      <c r="F16" s="58"/>
      <c r="G16" s="12"/>
      <c r="H16" s="12"/>
      <c r="I16" s="17"/>
      <c r="J16" s="18"/>
      <c r="K16" s="19">
        <f t="shared" si="0"/>
        <v>0</v>
      </c>
      <c r="L16" s="20"/>
      <c r="N16" s="15">
        <v>10.89</v>
      </c>
    </row>
    <row r="17" spans="1:14" s="15" customFormat="1" ht="20.25" customHeight="1" x14ac:dyDescent="0.15">
      <c r="A17" s="60"/>
      <c r="B17" s="9"/>
      <c r="C17" s="58"/>
      <c r="D17" s="11"/>
      <c r="E17" s="10"/>
      <c r="F17" s="58"/>
      <c r="G17" s="12"/>
      <c r="H17" s="12"/>
      <c r="I17" s="17"/>
      <c r="J17" s="18"/>
      <c r="K17" s="19">
        <f t="shared" si="0"/>
        <v>0</v>
      </c>
      <c r="L17" s="20"/>
      <c r="N17" s="15">
        <v>10.89</v>
      </c>
    </row>
    <row r="18" spans="1:14" s="15" customFormat="1" ht="20.25" customHeight="1" x14ac:dyDescent="0.15">
      <c r="A18" s="60"/>
      <c r="B18" s="9"/>
      <c r="C18" s="58"/>
      <c r="D18" s="11"/>
      <c r="E18" s="10"/>
      <c r="F18" s="58"/>
      <c r="G18" s="12"/>
      <c r="H18" s="12"/>
      <c r="I18" s="17"/>
      <c r="J18" s="18"/>
      <c r="K18" s="19">
        <f t="shared" si="0"/>
        <v>0</v>
      </c>
      <c r="L18" s="20"/>
      <c r="N18" s="15">
        <v>10.89</v>
      </c>
    </row>
    <row r="19" spans="1:14" s="15" customFormat="1" ht="20.25" customHeight="1" x14ac:dyDescent="0.15">
      <c r="A19" s="60"/>
      <c r="B19" s="9"/>
      <c r="C19" s="58"/>
      <c r="D19" s="11"/>
      <c r="E19" s="10"/>
      <c r="F19" s="58"/>
      <c r="G19" s="12"/>
      <c r="H19" s="12"/>
      <c r="I19" s="17"/>
      <c r="J19" s="18"/>
      <c r="K19" s="19">
        <f t="shared" si="0"/>
        <v>0</v>
      </c>
      <c r="L19" s="20"/>
      <c r="N19" s="15">
        <v>10.89</v>
      </c>
    </row>
    <row r="20" spans="1:14" s="15" customFormat="1" ht="20.25" customHeight="1" x14ac:dyDescent="0.15">
      <c r="A20" s="60"/>
      <c r="B20" s="9"/>
      <c r="C20" s="58"/>
      <c r="D20" s="11"/>
      <c r="E20" s="10"/>
      <c r="F20" s="58"/>
      <c r="G20" s="12"/>
      <c r="H20" s="12"/>
      <c r="I20" s="17"/>
      <c r="J20" s="18"/>
      <c r="K20" s="19">
        <f t="shared" si="0"/>
        <v>0</v>
      </c>
      <c r="L20" s="20"/>
      <c r="N20" s="15">
        <v>10.89</v>
      </c>
    </row>
    <row r="21" spans="1:14" s="15" customFormat="1" ht="20.25" customHeight="1" x14ac:dyDescent="0.15">
      <c r="A21" s="60"/>
      <c r="B21" s="9"/>
      <c r="C21" s="58"/>
      <c r="D21" s="11"/>
      <c r="E21" s="10"/>
      <c r="F21" s="58"/>
      <c r="G21" s="50"/>
      <c r="H21" s="50"/>
      <c r="I21" s="17"/>
      <c r="J21" s="18"/>
      <c r="K21" s="19">
        <f t="shared" si="0"/>
        <v>0</v>
      </c>
      <c r="L21" s="20"/>
      <c r="N21" s="15">
        <v>10.89</v>
      </c>
    </row>
    <row r="22" spans="1:14" s="15" customFormat="1" ht="20.25" customHeight="1" x14ac:dyDescent="0.15">
      <c r="A22" s="60"/>
      <c r="B22" s="9"/>
      <c r="C22" s="58"/>
      <c r="D22" s="11"/>
      <c r="E22" s="10"/>
      <c r="F22" s="58"/>
      <c r="G22" s="50"/>
      <c r="H22" s="50"/>
      <c r="I22" s="17"/>
      <c r="J22" s="18"/>
      <c r="K22" s="19">
        <f t="shared" si="0"/>
        <v>0</v>
      </c>
      <c r="L22" s="20"/>
      <c r="N22" s="15">
        <v>10.89</v>
      </c>
    </row>
    <row r="23" spans="1:14" ht="20.25" customHeight="1" x14ac:dyDescent="0.15">
      <c r="A23" s="60"/>
      <c r="B23" s="9"/>
      <c r="C23" s="58"/>
      <c r="D23" s="11"/>
      <c r="E23" s="10"/>
      <c r="F23" s="58"/>
      <c r="G23" s="16"/>
      <c r="H23" s="16"/>
      <c r="I23" s="17"/>
      <c r="J23" s="18"/>
      <c r="K23" s="19">
        <f t="shared" si="0"/>
        <v>0</v>
      </c>
      <c r="L23" s="20"/>
      <c r="N23" s="15">
        <v>10.89</v>
      </c>
    </row>
    <row r="24" spans="1:14" ht="20.25" customHeight="1" thickBot="1" x14ac:dyDescent="0.2">
      <c r="A24" s="56"/>
      <c r="B24" s="21"/>
      <c r="C24" s="59"/>
      <c r="D24" s="22"/>
      <c r="E24" s="23"/>
      <c r="F24" s="23"/>
      <c r="G24" s="24"/>
      <c r="H24" s="24"/>
      <c r="I24" s="25"/>
      <c r="J24" s="46">
        <f>SUM(J8:J23)</f>
        <v>532</v>
      </c>
      <c r="K24" s="47">
        <f>SUM(K8:K23)</f>
        <v>4651.7724000000007</v>
      </c>
      <c r="L24" s="26"/>
    </row>
    <row r="25" spans="1:14" ht="20.25" customHeight="1" thickTop="1" x14ac:dyDescent="0.15">
      <c r="A25" s="60" t="s">
        <v>1342</v>
      </c>
      <c r="B25" s="9" t="s">
        <v>131</v>
      </c>
      <c r="C25" s="58" t="s">
        <v>29</v>
      </c>
      <c r="D25" s="11" t="s">
        <v>155</v>
      </c>
      <c r="E25" s="10">
        <v>22</v>
      </c>
      <c r="F25" s="10" t="s">
        <v>11</v>
      </c>
      <c r="G25" s="12">
        <v>1421</v>
      </c>
      <c r="H25" s="12">
        <v>1763</v>
      </c>
      <c r="I25" s="17" t="s">
        <v>1339</v>
      </c>
      <c r="J25" s="18">
        <f>8+104</f>
        <v>112</v>
      </c>
      <c r="K25" s="19">
        <f t="shared" ref="K25:K40" si="1">+M25*N25</f>
        <v>1001.8800000000001</v>
      </c>
      <c r="L25" s="54"/>
      <c r="M25" s="3">
        <v>92</v>
      </c>
      <c r="N25" s="15">
        <v>10.89</v>
      </c>
    </row>
    <row r="26" spans="1:14" ht="20.25" customHeight="1" x14ac:dyDescent="0.15">
      <c r="A26" s="60"/>
      <c r="B26" s="9"/>
      <c r="C26" s="58" t="s">
        <v>29</v>
      </c>
      <c r="D26" s="11" t="s">
        <v>156</v>
      </c>
      <c r="E26" s="10">
        <v>22</v>
      </c>
      <c r="F26" s="10" t="s">
        <v>11</v>
      </c>
      <c r="G26" s="12">
        <v>1421</v>
      </c>
      <c r="H26" s="12">
        <v>1763</v>
      </c>
      <c r="I26" s="17" t="s">
        <v>1339</v>
      </c>
      <c r="J26" s="18">
        <f>8+104</f>
        <v>112</v>
      </c>
      <c r="K26" s="19">
        <f t="shared" si="1"/>
        <v>1001.8800000000001</v>
      </c>
      <c r="L26" s="54"/>
      <c r="M26" s="3">
        <v>92</v>
      </c>
      <c r="N26" s="15">
        <v>10.89</v>
      </c>
    </row>
    <row r="27" spans="1:14" ht="20.25" customHeight="1" x14ac:dyDescent="0.15">
      <c r="A27" s="61" t="s">
        <v>1343</v>
      </c>
      <c r="B27" s="9" t="s">
        <v>131</v>
      </c>
      <c r="C27" s="58" t="s">
        <v>29</v>
      </c>
      <c r="D27" s="11" t="s">
        <v>155</v>
      </c>
      <c r="E27" s="10">
        <v>22</v>
      </c>
      <c r="F27" s="10" t="s">
        <v>11</v>
      </c>
      <c r="G27" s="12">
        <v>1421</v>
      </c>
      <c r="H27" s="12">
        <v>1763</v>
      </c>
      <c r="I27" s="17" t="s">
        <v>1344</v>
      </c>
      <c r="J27" s="18">
        <f>12+152</f>
        <v>164</v>
      </c>
      <c r="K27" s="19">
        <f t="shared" si="1"/>
        <v>1543.3308000000002</v>
      </c>
      <c r="L27" s="54"/>
      <c r="M27" s="3">
        <v>141.72</v>
      </c>
      <c r="N27" s="15">
        <v>10.89</v>
      </c>
    </row>
    <row r="28" spans="1:14" ht="20.25" customHeight="1" x14ac:dyDescent="0.15">
      <c r="A28" s="61"/>
      <c r="B28" s="9"/>
      <c r="C28" s="58" t="s">
        <v>29</v>
      </c>
      <c r="D28" s="11" t="s">
        <v>156</v>
      </c>
      <c r="E28" s="10">
        <v>22</v>
      </c>
      <c r="F28" s="10" t="s">
        <v>11</v>
      </c>
      <c r="G28" s="12">
        <v>1421</v>
      </c>
      <c r="H28" s="12">
        <v>1763</v>
      </c>
      <c r="I28" s="17" t="s">
        <v>1345</v>
      </c>
      <c r="J28" s="18">
        <v>33</v>
      </c>
      <c r="K28" s="19">
        <f t="shared" si="1"/>
        <v>683.12969999999996</v>
      </c>
      <c r="L28" s="54"/>
      <c r="M28" s="3">
        <v>62.73</v>
      </c>
      <c r="N28" s="15">
        <v>10.89</v>
      </c>
    </row>
    <row r="29" spans="1:14" ht="20.25" customHeight="1" x14ac:dyDescent="0.15">
      <c r="A29" s="61" t="s">
        <v>1346</v>
      </c>
      <c r="B29" s="9" t="s">
        <v>131</v>
      </c>
      <c r="C29" s="58" t="s">
        <v>29</v>
      </c>
      <c r="D29" s="11" t="s">
        <v>155</v>
      </c>
      <c r="E29" s="10">
        <v>22</v>
      </c>
      <c r="F29" s="10" t="s">
        <v>11</v>
      </c>
      <c r="G29" s="12">
        <v>264</v>
      </c>
      <c r="H29" s="12">
        <v>683</v>
      </c>
      <c r="I29" s="17">
        <v>20</v>
      </c>
      <c r="J29" s="18">
        <v>20</v>
      </c>
      <c r="K29" s="19">
        <f t="shared" si="1"/>
        <v>60.984000000000002</v>
      </c>
      <c r="L29" s="54"/>
      <c r="M29" s="3">
        <v>5.6</v>
      </c>
      <c r="N29" s="15">
        <v>10.89</v>
      </c>
    </row>
    <row r="30" spans="1:14" ht="20.25" customHeight="1" x14ac:dyDescent="0.15">
      <c r="A30" s="61"/>
      <c r="B30" s="9"/>
      <c r="C30" s="58" t="s">
        <v>29</v>
      </c>
      <c r="D30" s="11" t="s">
        <v>156</v>
      </c>
      <c r="E30" s="10">
        <v>22</v>
      </c>
      <c r="F30" s="10" t="s">
        <v>11</v>
      </c>
      <c r="G30" s="12">
        <v>1421</v>
      </c>
      <c r="H30" s="12">
        <v>1763</v>
      </c>
      <c r="I30" s="51" t="s">
        <v>1347</v>
      </c>
      <c r="J30" s="52">
        <v>160</v>
      </c>
      <c r="K30" s="53">
        <f t="shared" si="1"/>
        <v>1326.402</v>
      </c>
      <c r="L30" s="54"/>
      <c r="M30" s="3">
        <v>121.8</v>
      </c>
      <c r="N30" s="15">
        <v>10.89</v>
      </c>
    </row>
    <row r="31" spans="1:14" ht="20.25" customHeight="1" x14ac:dyDescent="0.15">
      <c r="A31" s="61" t="s">
        <v>1348</v>
      </c>
      <c r="B31" s="9" t="s">
        <v>175</v>
      </c>
      <c r="C31" s="58" t="s">
        <v>29</v>
      </c>
      <c r="D31" s="11" t="s">
        <v>414</v>
      </c>
      <c r="E31" s="10">
        <v>24</v>
      </c>
      <c r="F31" s="10" t="s">
        <v>11</v>
      </c>
      <c r="G31" s="12">
        <v>905</v>
      </c>
      <c r="H31" s="12">
        <v>660</v>
      </c>
      <c r="I31" s="51">
        <v>1</v>
      </c>
      <c r="J31" s="52">
        <v>1</v>
      </c>
      <c r="K31" s="53">
        <f t="shared" si="1"/>
        <v>6.5339999999999998</v>
      </c>
      <c r="L31" s="54"/>
      <c r="M31" s="3">
        <v>0.6</v>
      </c>
      <c r="N31" s="15">
        <v>10.89</v>
      </c>
    </row>
    <row r="32" spans="1:14" ht="20.25" customHeight="1" x14ac:dyDescent="0.15">
      <c r="A32" s="60"/>
      <c r="B32" s="9"/>
      <c r="C32" s="58" t="s">
        <v>29</v>
      </c>
      <c r="D32" s="11" t="s">
        <v>415</v>
      </c>
      <c r="E32" s="10">
        <v>28</v>
      </c>
      <c r="F32" s="10" t="s">
        <v>11</v>
      </c>
      <c r="G32" s="12">
        <v>845</v>
      </c>
      <c r="H32" s="12">
        <v>645</v>
      </c>
      <c r="I32" s="17">
        <v>1</v>
      </c>
      <c r="J32" s="18">
        <v>1</v>
      </c>
      <c r="K32" s="19">
        <f t="shared" si="1"/>
        <v>5.8806000000000003</v>
      </c>
      <c r="L32" s="27"/>
      <c r="M32" s="3">
        <v>0.54</v>
      </c>
      <c r="N32" s="15">
        <v>10.89</v>
      </c>
    </row>
    <row r="33" spans="1:14" ht="20.25" customHeight="1" x14ac:dyDescent="0.15">
      <c r="A33" s="60"/>
      <c r="B33" s="9"/>
      <c r="C33" s="58"/>
      <c r="D33" s="11"/>
      <c r="E33" s="10"/>
      <c r="F33" s="10"/>
      <c r="G33" s="12"/>
      <c r="H33" s="12"/>
      <c r="I33" s="17"/>
      <c r="J33" s="18"/>
      <c r="K33" s="19">
        <f t="shared" si="1"/>
        <v>0</v>
      </c>
      <c r="L33" s="27"/>
      <c r="N33" s="15">
        <v>10.89</v>
      </c>
    </row>
    <row r="34" spans="1:14" ht="20.25" customHeight="1" x14ac:dyDescent="0.15">
      <c r="A34" s="60"/>
      <c r="B34" s="9"/>
      <c r="C34" s="58"/>
      <c r="D34" s="11"/>
      <c r="E34" s="10"/>
      <c r="F34" s="10"/>
      <c r="G34" s="12"/>
      <c r="H34" s="12"/>
      <c r="I34" s="17"/>
      <c r="J34" s="18"/>
      <c r="K34" s="19">
        <f t="shared" si="1"/>
        <v>0</v>
      </c>
      <c r="L34" s="27"/>
      <c r="N34" s="15">
        <v>10.89</v>
      </c>
    </row>
    <row r="35" spans="1:14" ht="20.25" customHeight="1" x14ac:dyDescent="0.15">
      <c r="A35" s="60"/>
      <c r="B35" s="9"/>
      <c r="C35" s="58"/>
      <c r="D35" s="11"/>
      <c r="E35" s="10"/>
      <c r="F35" s="10"/>
      <c r="G35" s="12"/>
      <c r="H35" s="12"/>
      <c r="I35" s="17"/>
      <c r="J35" s="18"/>
      <c r="K35" s="19">
        <f t="shared" si="1"/>
        <v>0</v>
      </c>
      <c r="L35" s="27"/>
      <c r="N35" s="15">
        <v>10.89</v>
      </c>
    </row>
    <row r="36" spans="1:14" ht="20.25" customHeight="1" x14ac:dyDescent="0.15">
      <c r="A36" s="60"/>
      <c r="B36" s="9"/>
      <c r="C36" s="58"/>
      <c r="D36" s="11"/>
      <c r="E36" s="10"/>
      <c r="F36" s="10"/>
      <c r="G36" s="12"/>
      <c r="H36" s="12"/>
      <c r="I36" s="17"/>
      <c r="J36" s="18"/>
      <c r="K36" s="19">
        <f t="shared" si="1"/>
        <v>0</v>
      </c>
      <c r="L36" s="27"/>
      <c r="N36" s="15">
        <v>10.89</v>
      </c>
    </row>
    <row r="37" spans="1:14" ht="20.25" customHeight="1" x14ac:dyDescent="0.15">
      <c r="A37" s="60"/>
      <c r="B37" s="9"/>
      <c r="C37" s="58"/>
      <c r="D37" s="11"/>
      <c r="E37" s="10"/>
      <c r="F37" s="10"/>
      <c r="G37" s="12"/>
      <c r="H37" s="12"/>
      <c r="I37" s="17"/>
      <c r="J37" s="18"/>
      <c r="K37" s="19">
        <f t="shared" si="1"/>
        <v>0</v>
      </c>
      <c r="L37" s="27"/>
      <c r="N37" s="15">
        <v>10.89</v>
      </c>
    </row>
    <row r="38" spans="1:14" ht="20.25" customHeight="1" x14ac:dyDescent="0.15">
      <c r="A38" s="60"/>
      <c r="B38" s="9"/>
      <c r="C38" s="58"/>
      <c r="D38" s="11"/>
      <c r="E38" s="10"/>
      <c r="F38" s="10"/>
      <c r="G38" s="12"/>
      <c r="H38" s="12"/>
      <c r="I38" s="17"/>
      <c r="J38" s="18"/>
      <c r="K38" s="19">
        <f t="shared" si="1"/>
        <v>0</v>
      </c>
      <c r="L38" s="27"/>
      <c r="N38" s="15">
        <v>10.89</v>
      </c>
    </row>
    <row r="39" spans="1:14" ht="20.25" customHeight="1" x14ac:dyDescent="0.15">
      <c r="A39" s="60"/>
      <c r="B39" s="9"/>
      <c r="C39" s="58"/>
      <c r="D39" s="11"/>
      <c r="E39" s="10"/>
      <c r="F39" s="10"/>
      <c r="G39" s="12"/>
      <c r="H39" s="12"/>
      <c r="I39" s="17"/>
      <c r="J39" s="18"/>
      <c r="K39" s="19">
        <f t="shared" si="1"/>
        <v>0</v>
      </c>
      <c r="L39" s="27"/>
      <c r="N39" s="15">
        <v>10.89</v>
      </c>
    </row>
    <row r="40" spans="1:14" ht="20.25" customHeight="1" x14ac:dyDescent="0.15">
      <c r="A40" s="60"/>
      <c r="B40" s="9"/>
      <c r="C40" s="58"/>
      <c r="D40" s="11"/>
      <c r="E40" s="10"/>
      <c r="F40" s="10"/>
      <c r="G40" s="12"/>
      <c r="H40" s="12"/>
      <c r="I40" s="17"/>
      <c r="J40" s="18"/>
      <c r="K40" s="19">
        <f t="shared" si="1"/>
        <v>0</v>
      </c>
      <c r="L40" s="27"/>
      <c r="N40" s="15">
        <v>10.89</v>
      </c>
    </row>
    <row r="41" spans="1:14" ht="20.25" customHeight="1" x14ac:dyDescent="0.15">
      <c r="A41" s="57"/>
      <c r="B41" s="28"/>
      <c r="C41" s="10"/>
      <c r="D41" s="29"/>
      <c r="E41" s="30"/>
      <c r="F41" s="30"/>
      <c r="G41" s="30"/>
      <c r="H41" s="30"/>
      <c r="I41" s="13"/>
      <c r="J41" s="48">
        <f>SUM(J25:J40)</f>
        <v>603</v>
      </c>
      <c r="K41" s="49">
        <f>SUM(K25:K40)</f>
        <v>5630.0211000000008</v>
      </c>
      <c r="L41" s="31"/>
      <c r="N41" s="32"/>
    </row>
    <row r="42" spans="1:14" ht="20.25" customHeight="1" thickBot="1" x14ac:dyDescent="0.2">
      <c r="A42" s="55"/>
      <c r="B42" s="33"/>
      <c r="C42" s="33"/>
      <c r="D42" s="33"/>
      <c r="E42" s="33"/>
      <c r="F42" s="33"/>
      <c r="G42" s="33"/>
      <c r="H42" s="33"/>
      <c r="I42" s="33"/>
      <c r="J42" s="34"/>
      <c r="K42" s="35"/>
      <c r="L42" s="36"/>
    </row>
    <row r="43" spans="1:14" ht="20.25" customHeight="1" thickBot="1" x14ac:dyDescent="0.2">
      <c r="A43" s="37" t="s">
        <v>19</v>
      </c>
      <c r="B43" s="38" t="s">
        <v>20</v>
      </c>
      <c r="C43" s="77" t="s">
        <v>21</v>
      </c>
      <c r="D43" s="79"/>
      <c r="E43" s="77" t="s">
        <v>22</v>
      </c>
      <c r="F43" s="78"/>
      <c r="G43" s="79"/>
      <c r="H43" s="85" t="s">
        <v>23</v>
      </c>
      <c r="I43" s="86"/>
      <c r="J43" s="77" t="s">
        <v>24</v>
      </c>
      <c r="K43" s="79"/>
      <c r="L43" s="39" t="s">
        <v>13</v>
      </c>
    </row>
    <row r="44" spans="1:14" ht="20.25" customHeight="1" thickBot="1" x14ac:dyDescent="0.2">
      <c r="A44" s="40">
        <f>SUMIF($C$8:$C$42,"U1",$J$8:$J$42)</f>
        <v>0</v>
      </c>
      <c r="B44" s="41">
        <f>SUMIF($C$8:$C$42,"U2",$J$8:$J$42)</f>
        <v>0</v>
      </c>
      <c r="C44" s="77">
        <f>SUMIF($C$8:$C$42,"U3-1",$J$8:$J$42)</f>
        <v>0</v>
      </c>
      <c r="D44" s="79"/>
      <c r="E44" s="77">
        <f>SUMIF($C$8:$C$42,"U3",$J$8:$J$42)</f>
        <v>1135</v>
      </c>
      <c r="F44" s="78"/>
      <c r="G44" s="79"/>
      <c r="H44" s="77">
        <f>SUMIF($C$8:$C$42,"E5",$J$8:$J$42)</f>
        <v>0</v>
      </c>
      <c r="I44" s="79"/>
      <c r="J44" s="77">
        <f>SUM(A44:I44)</f>
        <v>1135</v>
      </c>
      <c r="K44" s="79"/>
      <c r="L44" s="42"/>
    </row>
    <row r="45" spans="1:14" ht="20.25" customHeight="1" thickBot="1" x14ac:dyDescent="0.2">
      <c r="A45" s="43" t="s">
        <v>25</v>
      </c>
      <c r="B45" s="44" t="s">
        <v>26</v>
      </c>
      <c r="C45" s="75">
        <v>13876</v>
      </c>
      <c r="D45" s="76"/>
      <c r="E45" s="77" t="s">
        <v>27</v>
      </c>
      <c r="F45" s="78"/>
      <c r="G45" s="78"/>
      <c r="H45" s="78"/>
      <c r="I45" s="79"/>
      <c r="J45" s="80">
        <v>146744.37</v>
      </c>
      <c r="K45" s="81"/>
      <c r="L45" s="82"/>
    </row>
    <row r="47" spans="1:14" x14ac:dyDescent="0.15">
      <c r="D47" s="45"/>
    </row>
  </sheetData>
  <mergeCells count="26">
    <mergeCell ref="C45:D45"/>
    <mergeCell ref="E45:I45"/>
    <mergeCell ref="J45:L45"/>
    <mergeCell ref="L6:L7"/>
    <mergeCell ref="C43:D43"/>
    <mergeCell ref="E43:G43"/>
    <mergeCell ref="H43:I43"/>
    <mergeCell ref="J43:K43"/>
    <mergeCell ref="C44:D44"/>
    <mergeCell ref="E44:G44"/>
    <mergeCell ref="H44:I44"/>
    <mergeCell ref="J44:K44"/>
    <mergeCell ref="B5:G5"/>
    <mergeCell ref="A6:A7"/>
    <mergeCell ref="B6:B7"/>
    <mergeCell ref="C6:C7"/>
    <mergeCell ref="D6:D7"/>
    <mergeCell ref="E6:E7"/>
    <mergeCell ref="F6:F7"/>
    <mergeCell ref="G6:K6"/>
    <mergeCell ref="L2:L4"/>
    <mergeCell ref="A1:G3"/>
    <mergeCell ref="H1:H4"/>
    <mergeCell ref="I2:I4"/>
    <mergeCell ref="J2:J4"/>
    <mergeCell ref="K2:K4"/>
  </mergeCells>
  <phoneticPr fontId="2" type="noConversion"/>
  <printOptions horizontalCentered="1"/>
  <pageMargins left="0.39370078740157483" right="0.39370078740157483" top="0.74803149606299213" bottom="0.19685039370078741" header="0.31496062992125984" footer="0.15748031496062992"/>
  <pageSetup paperSize="9" scale="84" orientation="portrait" r:id="rId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dimension ref="A1:N47"/>
  <sheetViews>
    <sheetView view="pageBreakPreview" zoomScaleSheetLayoutView="100" workbookViewId="0">
      <selection sqref="A1:G3"/>
    </sheetView>
  </sheetViews>
  <sheetFormatPr defaultColWidth="8.88671875" defaultRowHeight="13.5" x14ac:dyDescent="0.15"/>
  <cols>
    <col min="1" max="1" width="8.44140625" style="3" customWidth="1"/>
    <col min="2" max="2" width="14.77734375" style="3" customWidth="1"/>
    <col min="3" max="3" width="4.109375" style="3" customWidth="1"/>
    <col min="4" max="4" width="15.21875" style="3" customWidth="1"/>
    <col min="5" max="5" width="4.44140625" style="3" customWidth="1"/>
    <col min="6" max="6" width="4" style="3" customWidth="1"/>
    <col min="7" max="7" width="5.5546875" style="3" customWidth="1"/>
    <col min="8" max="8" width="5.44140625" style="3" customWidth="1"/>
    <col min="9" max="9" width="7.88671875" style="3" customWidth="1"/>
    <col min="10" max="10" width="7.109375" style="3" customWidth="1"/>
    <col min="11" max="11" width="7.21875" style="3" customWidth="1"/>
    <col min="12" max="12" width="6.77734375" style="3" customWidth="1"/>
    <col min="13" max="16384" width="8.88671875" style="3"/>
  </cols>
  <sheetData>
    <row r="1" spans="1:14" ht="18.75" customHeight="1" x14ac:dyDescent="0.15">
      <c r="A1" s="101" t="s">
        <v>0</v>
      </c>
      <c r="B1" s="102"/>
      <c r="C1" s="102"/>
      <c r="D1" s="102"/>
      <c r="E1" s="102"/>
      <c r="F1" s="102"/>
      <c r="G1" s="103"/>
      <c r="H1" s="107" t="s">
        <v>1</v>
      </c>
      <c r="I1" s="1" t="s">
        <v>2</v>
      </c>
      <c r="J1" s="1" t="s">
        <v>2</v>
      </c>
      <c r="K1" s="1" t="s">
        <v>3</v>
      </c>
      <c r="L1" s="2" t="s">
        <v>4</v>
      </c>
    </row>
    <row r="2" spans="1:14" ht="13.5" customHeight="1" x14ac:dyDescent="0.15">
      <c r="A2" s="104"/>
      <c r="B2" s="105"/>
      <c r="C2" s="105"/>
      <c r="D2" s="105"/>
      <c r="E2" s="105"/>
      <c r="F2" s="105"/>
      <c r="G2" s="106"/>
      <c r="H2" s="108"/>
      <c r="I2" s="110"/>
      <c r="J2" s="110"/>
      <c r="K2" s="110"/>
      <c r="L2" s="98"/>
    </row>
    <row r="3" spans="1:14" ht="13.5" customHeight="1" x14ac:dyDescent="0.15">
      <c r="A3" s="104"/>
      <c r="B3" s="105"/>
      <c r="C3" s="105"/>
      <c r="D3" s="105"/>
      <c r="E3" s="105"/>
      <c r="F3" s="105"/>
      <c r="G3" s="106"/>
      <c r="H3" s="108"/>
      <c r="I3" s="108"/>
      <c r="J3" s="108"/>
      <c r="K3" s="108"/>
      <c r="L3" s="99"/>
    </row>
    <row r="4" spans="1:14" ht="33" customHeight="1" x14ac:dyDescent="0.15">
      <c r="A4" s="4"/>
      <c r="B4" s="5"/>
      <c r="C4" s="5"/>
      <c r="D4" s="5"/>
      <c r="E4" s="5"/>
      <c r="F4" s="5"/>
      <c r="G4" s="5"/>
      <c r="H4" s="109"/>
      <c r="I4" s="109"/>
      <c r="J4" s="109"/>
      <c r="K4" s="109"/>
      <c r="L4" s="100"/>
    </row>
    <row r="5" spans="1:14" ht="17.25" customHeight="1" x14ac:dyDescent="0.15">
      <c r="A5" s="6" t="s">
        <v>5</v>
      </c>
      <c r="B5" s="87">
        <v>46091</v>
      </c>
      <c r="C5" s="88"/>
      <c r="D5" s="88"/>
      <c r="E5" s="88"/>
      <c r="F5" s="88"/>
      <c r="G5" s="88"/>
      <c r="H5" s="5"/>
      <c r="I5" s="5"/>
      <c r="J5" s="5"/>
      <c r="K5" s="5"/>
      <c r="L5" s="7"/>
    </row>
    <row r="6" spans="1:14" ht="13.5" customHeight="1" x14ac:dyDescent="0.15">
      <c r="A6" s="89" t="s">
        <v>6</v>
      </c>
      <c r="B6" s="91" t="s">
        <v>7</v>
      </c>
      <c r="C6" s="91" t="s">
        <v>8</v>
      </c>
      <c r="D6" s="91" t="s">
        <v>9</v>
      </c>
      <c r="E6" s="93" t="s">
        <v>10</v>
      </c>
      <c r="F6" s="93" t="s">
        <v>11</v>
      </c>
      <c r="G6" s="95" t="s">
        <v>12</v>
      </c>
      <c r="H6" s="96"/>
      <c r="I6" s="96"/>
      <c r="J6" s="96"/>
      <c r="K6" s="97"/>
      <c r="L6" s="83" t="s">
        <v>13</v>
      </c>
    </row>
    <row r="7" spans="1:14" x14ac:dyDescent="0.15">
      <c r="A7" s="90"/>
      <c r="B7" s="92"/>
      <c r="C7" s="92"/>
      <c r="D7" s="92"/>
      <c r="E7" s="94"/>
      <c r="F7" s="94"/>
      <c r="G7" s="8" t="s">
        <v>14</v>
      </c>
      <c r="H7" s="8" t="s">
        <v>15</v>
      </c>
      <c r="I7" s="8" t="s">
        <v>16</v>
      </c>
      <c r="J7" s="8" t="s">
        <v>17</v>
      </c>
      <c r="K7" s="8" t="s">
        <v>18</v>
      </c>
      <c r="L7" s="84"/>
    </row>
    <row r="8" spans="1:14" s="15" customFormat="1" ht="20.25" customHeight="1" x14ac:dyDescent="0.15">
      <c r="A8" s="60" t="s">
        <v>1349</v>
      </c>
      <c r="B8" s="9" t="s">
        <v>138</v>
      </c>
      <c r="C8" s="58" t="s">
        <v>29</v>
      </c>
      <c r="D8" s="11" t="s">
        <v>372</v>
      </c>
      <c r="E8" s="10">
        <v>24</v>
      </c>
      <c r="F8" s="58"/>
      <c r="G8" s="12">
        <v>775</v>
      </c>
      <c r="H8" s="12">
        <v>1890</v>
      </c>
      <c r="I8" s="17" t="s">
        <v>1350</v>
      </c>
      <c r="J8" s="18">
        <f>15+90</f>
        <v>105</v>
      </c>
      <c r="K8" s="19">
        <f>+M8*N8</f>
        <v>1115.1360000000002</v>
      </c>
      <c r="L8" s="14"/>
      <c r="M8" s="15">
        <v>102.4</v>
      </c>
      <c r="N8" s="15">
        <v>10.89</v>
      </c>
    </row>
    <row r="9" spans="1:14" s="15" customFormat="1" ht="20.25" customHeight="1" x14ac:dyDescent="0.15">
      <c r="A9" s="60"/>
      <c r="B9" s="9"/>
      <c r="C9" s="58" t="s">
        <v>29</v>
      </c>
      <c r="D9" s="11" t="s">
        <v>224</v>
      </c>
      <c r="E9" s="10">
        <v>22</v>
      </c>
      <c r="F9" s="58" t="s">
        <v>11</v>
      </c>
      <c r="G9" s="12">
        <v>618</v>
      </c>
      <c r="H9" s="12">
        <v>1890</v>
      </c>
      <c r="I9" s="17">
        <v>20</v>
      </c>
      <c r="J9" s="18">
        <v>20</v>
      </c>
      <c r="K9" s="19">
        <f t="shared" ref="K9:K23" si="0">+M9*N9</f>
        <v>254.82599999999999</v>
      </c>
      <c r="L9" s="14"/>
      <c r="M9" s="15">
        <v>23.4</v>
      </c>
      <c r="N9" s="15">
        <v>10.89</v>
      </c>
    </row>
    <row r="10" spans="1:14" s="15" customFormat="1" ht="20.25" customHeight="1" x14ac:dyDescent="0.15">
      <c r="A10" s="60" t="s">
        <v>1351</v>
      </c>
      <c r="B10" s="9" t="s">
        <v>647</v>
      </c>
      <c r="C10" s="58" t="s">
        <v>29</v>
      </c>
      <c r="D10" s="11" t="s">
        <v>217</v>
      </c>
      <c r="E10" s="10">
        <v>22</v>
      </c>
      <c r="F10" s="58" t="s">
        <v>11</v>
      </c>
      <c r="G10" s="12">
        <v>2230</v>
      </c>
      <c r="H10" s="12">
        <v>1981</v>
      </c>
      <c r="I10" s="17" t="s">
        <v>1352</v>
      </c>
      <c r="J10" s="18">
        <v>150</v>
      </c>
      <c r="K10" s="19">
        <f t="shared" si="0"/>
        <v>1995.048</v>
      </c>
      <c r="L10" s="14"/>
      <c r="M10" s="15">
        <v>183.2</v>
      </c>
      <c r="N10" s="15">
        <v>10.89</v>
      </c>
    </row>
    <row r="11" spans="1:14" s="15" customFormat="1" ht="20.25" customHeight="1" x14ac:dyDescent="0.15">
      <c r="A11" s="60" t="s">
        <v>1340</v>
      </c>
      <c r="B11" s="9" t="s">
        <v>131</v>
      </c>
      <c r="C11" s="58" t="s">
        <v>29</v>
      </c>
      <c r="D11" s="11" t="s">
        <v>155</v>
      </c>
      <c r="E11" s="10">
        <v>22</v>
      </c>
      <c r="F11" s="58" t="s">
        <v>11</v>
      </c>
      <c r="G11" s="12">
        <v>614</v>
      </c>
      <c r="H11" s="12">
        <v>383</v>
      </c>
      <c r="I11" s="17">
        <v>8</v>
      </c>
      <c r="J11" s="18">
        <v>8</v>
      </c>
      <c r="K11" s="19">
        <f t="shared" si="0"/>
        <v>24.393600000000003</v>
      </c>
      <c r="L11" s="14"/>
      <c r="M11" s="15">
        <v>2.2400000000000002</v>
      </c>
      <c r="N11" s="15">
        <v>10.89</v>
      </c>
    </row>
    <row r="12" spans="1:14" s="15" customFormat="1" ht="20.25" customHeight="1" x14ac:dyDescent="0.15">
      <c r="A12" s="60"/>
      <c r="B12" s="9"/>
      <c r="C12" s="58" t="s">
        <v>29</v>
      </c>
      <c r="D12" s="11" t="s">
        <v>156</v>
      </c>
      <c r="E12" s="10">
        <v>22</v>
      </c>
      <c r="F12" s="58" t="s">
        <v>11</v>
      </c>
      <c r="G12" s="12">
        <v>1421</v>
      </c>
      <c r="H12" s="12">
        <v>1763</v>
      </c>
      <c r="I12" s="17" t="s">
        <v>1344</v>
      </c>
      <c r="J12" s="18">
        <v>164</v>
      </c>
      <c r="K12" s="19">
        <f t="shared" si="0"/>
        <v>1543.3308000000002</v>
      </c>
      <c r="L12" s="14"/>
      <c r="M12" s="15">
        <v>141.72</v>
      </c>
      <c r="N12" s="15">
        <v>10.89</v>
      </c>
    </row>
    <row r="13" spans="1:14" s="15" customFormat="1" ht="20.25" customHeight="1" x14ac:dyDescent="0.15">
      <c r="A13" s="60" t="s">
        <v>1353</v>
      </c>
      <c r="B13" s="9" t="s">
        <v>28</v>
      </c>
      <c r="C13" s="58" t="s">
        <v>29</v>
      </c>
      <c r="D13" s="11" t="s">
        <v>195</v>
      </c>
      <c r="E13" s="10">
        <v>22</v>
      </c>
      <c r="F13" s="58"/>
      <c r="G13" s="12">
        <v>746</v>
      </c>
      <c r="H13" s="12">
        <v>1855</v>
      </c>
      <c r="I13" s="17" t="s">
        <v>1355</v>
      </c>
      <c r="J13" s="18">
        <v>2</v>
      </c>
      <c r="K13" s="19">
        <f t="shared" si="0"/>
        <v>27.116100000000003</v>
      </c>
      <c r="L13" s="14"/>
      <c r="M13" s="15">
        <v>2.4900000000000002</v>
      </c>
      <c r="N13" s="15">
        <v>10.89</v>
      </c>
    </row>
    <row r="14" spans="1:14" s="15" customFormat="1" ht="20.25" customHeight="1" x14ac:dyDescent="0.15">
      <c r="A14" s="60"/>
      <c r="B14" s="9"/>
      <c r="C14" s="58" t="s">
        <v>29</v>
      </c>
      <c r="D14" s="11" t="s">
        <v>217</v>
      </c>
      <c r="E14" s="10">
        <v>22</v>
      </c>
      <c r="F14" s="58" t="s">
        <v>11</v>
      </c>
      <c r="G14" s="12">
        <v>1730</v>
      </c>
      <c r="H14" s="12">
        <v>1870</v>
      </c>
      <c r="I14" s="17" t="s">
        <v>1356</v>
      </c>
      <c r="J14" s="18">
        <v>10</v>
      </c>
      <c r="K14" s="19">
        <f t="shared" si="0"/>
        <v>178.16040000000001</v>
      </c>
      <c r="L14" s="20"/>
      <c r="M14" s="15">
        <v>16.36</v>
      </c>
      <c r="N14" s="15">
        <v>10.89</v>
      </c>
    </row>
    <row r="15" spans="1:14" s="15" customFormat="1" ht="20.25" customHeight="1" x14ac:dyDescent="0.15">
      <c r="A15" s="60"/>
      <c r="B15" s="9"/>
      <c r="C15" s="58" t="s">
        <v>231</v>
      </c>
      <c r="D15" s="11" t="s">
        <v>312</v>
      </c>
      <c r="E15" s="10">
        <v>22</v>
      </c>
      <c r="F15" s="58"/>
      <c r="G15" s="12">
        <v>622</v>
      </c>
      <c r="H15" s="12">
        <v>2134</v>
      </c>
      <c r="I15" s="17">
        <v>1</v>
      </c>
      <c r="J15" s="18">
        <v>1</v>
      </c>
      <c r="K15" s="19">
        <f t="shared" si="0"/>
        <v>14.157000000000002</v>
      </c>
      <c r="L15" s="20"/>
      <c r="M15" s="15">
        <v>1.3</v>
      </c>
      <c r="N15" s="15">
        <v>10.89</v>
      </c>
    </row>
    <row r="16" spans="1:14" s="15" customFormat="1" ht="20.25" customHeight="1" x14ac:dyDescent="0.15">
      <c r="A16" s="60"/>
      <c r="B16" s="9"/>
      <c r="C16" s="58" t="s">
        <v>273</v>
      </c>
      <c r="D16" s="11" t="s">
        <v>675</v>
      </c>
      <c r="E16" s="10">
        <v>16</v>
      </c>
      <c r="F16" s="58"/>
      <c r="G16" s="12">
        <v>622</v>
      </c>
      <c r="H16" s="12">
        <v>2134</v>
      </c>
      <c r="I16" s="17">
        <v>1</v>
      </c>
      <c r="J16" s="18">
        <v>1</v>
      </c>
      <c r="K16" s="19">
        <f t="shared" si="0"/>
        <v>14.157000000000002</v>
      </c>
      <c r="L16" s="20"/>
      <c r="M16" s="15">
        <v>1.3</v>
      </c>
      <c r="N16" s="15">
        <v>10.89</v>
      </c>
    </row>
    <row r="17" spans="1:14" s="15" customFormat="1" ht="20.25" customHeight="1" x14ac:dyDescent="0.15">
      <c r="A17" s="60"/>
      <c r="B17" s="9"/>
      <c r="C17" s="58" t="s">
        <v>29</v>
      </c>
      <c r="D17" s="11" t="s">
        <v>1354</v>
      </c>
      <c r="E17" s="10">
        <v>24</v>
      </c>
      <c r="F17" s="58" t="s">
        <v>11</v>
      </c>
      <c r="G17" s="12">
        <v>930</v>
      </c>
      <c r="H17" s="12">
        <v>475</v>
      </c>
      <c r="I17" s="17">
        <v>1</v>
      </c>
      <c r="J17" s="18">
        <v>1</v>
      </c>
      <c r="K17" s="19">
        <f t="shared" si="0"/>
        <v>4.7915999999999999</v>
      </c>
      <c r="L17" s="20"/>
      <c r="M17" s="15">
        <v>0.44</v>
      </c>
      <c r="N17" s="15">
        <v>10.89</v>
      </c>
    </row>
    <row r="18" spans="1:14" s="15" customFormat="1" ht="20.25" customHeight="1" x14ac:dyDescent="0.15">
      <c r="A18" s="60" t="s">
        <v>1357</v>
      </c>
      <c r="B18" s="9" t="s">
        <v>72</v>
      </c>
      <c r="C18" s="58" t="s">
        <v>231</v>
      </c>
      <c r="D18" s="11" t="s">
        <v>312</v>
      </c>
      <c r="E18" s="10">
        <v>22</v>
      </c>
      <c r="F18" s="58"/>
      <c r="G18" s="12">
        <v>1426</v>
      </c>
      <c r="H18" s="12">
        <v>1867</v>
      </c>
      <c r="I18" s="17" t="s">
        <v>1355</v>
      </c>
      <c r="J18" s="18">
        <v>2</v>
      </c>
      <c r="K18" s="19">
        <f t="shared" si="0"/>
        <v>44.431200000000004</v>
      </c>
      <c r="L18" s="20"/>
      <c r="M18" s="15">
        <v>4.08</v>
      </c>
      <c r="N18" s="15">
        <v>10.89</v>
      </c>
    </row>
    <row r="19" spans="1:14" s="15" customFormat="1" ht="20.25" customHeight="1" x14ac:dyDescent="0.15">
      <c r="A19" s="60"/>
      <c r="B19" s="9"/>
      <c r="C19" s="58" t="s">
        <v>29</v>
      </c>
      <c r="D19" s="11" t="s">
        <v>1358</v>
      </c>
      <c r="E19" s="10">
        <v>22</v>
      </c>
      <c r="F19" s="58"/>
      <c r="G19" s="12">
        <v>653</v>
      </c>
      <c r="H19" s="12">
        <v>1867</v>
      </c>
      <c r="I19" s="17">
        <v>1</v>
      </c>
      <c r="J19" s="18">
        <v>1</v>
      </c>
      <c r="K19" s="19">
        <f t="shared" si="0"/>
        <v>13.2858</v>
      </c>
      <c r="L19" s="20"/>
      <c r="M19" s="15">
        <v>1.22</v>
      </c>
      <c r="N19" s="15">
        <v>10.89</v>
      </c>
    </row>
    <row r="20" spans="1:14" s="15" customFormat="1" ht="20.25" customHeight="1" x14ac:dyDescent="0.15">
      <c r="A20" s="60" t="s">
        <v>1359</v>
      </c>
      <c r="B20" s="9" t="s">
        <v>37</v>
      </c>
      <c r="C20" s="58" t="s">
        <v>29</v>
      </c>
      <c r="D20" s="11" t="s">
        <v>684</v>
      </c>
      <c r="E20" s="10">
        <v>22</v>
      </c>
      <c r="F20" s="58"/>
      <c r="G20" s="12">
        <v>743</v>
      </c>
      <c r="H20" s="12">
        <v>1780</v>
      </c>
      <c r="I20" s="17" t="s">
        <v>1355</v>
      </c>
      <c r="J20" s="18">
        <v>2</v>
      </c>
      <c r="K20" s="19">
        <f t="shared" si="0"/>
        <v>24.175800000000002</v>
      </c>
      <c r="L20" s="20"/>
      <c r="M20" s="15">
        <v>2.2200000000000002</v>
      </c>
      <c r="N20" s="15">
        <v>10.89</v>
      </c>
    </row>
    <row r="21" spans="1:14" s="15" customFormat="1" ht="20.25" customHeight="1" x14ac:dyDescent="0.15">
      <c r="A21" s="60"/>
      <c r="B21" s="9"/>
      <c r="C21" s="58"/>
      <c r="D21" s="11"/>
      <c r="E21" s="10"/>
      <c r="F21" s="58"/>
      <c r="G21" s="50"/>
      <c r="H21" s="50"/>
      <c r="I21" s="17"/>
      <c r="J21" s="18"/>
      <c r="K21" s="19">
        <f t="shared" si="0"/>
        <v>0</v>
      </c>
      <c r="L21" s="20"/>
      <c r="N21" s="15">
        <v>10.89</v>
      </c>
    </row>
    <row r="22" spans="1:14" s="15" customFormat="1" ht="20.25" customHeight="1" x14ac:dyDescent="0.15">
      <c r="A22" s="60"/>
      <c r="B22" s="9"/>
      <c r="C22" s="58"/>
      <c r="D22" s="11"/>
      <c r="E22" s="10"/>
      <c r="F22" s="58"/>
      <c r="G22" s="50"/>
      <c r="H22" s="50"/>
      <c r="I22" s="17"/>
      <c r="J22" s="18"/>
      <c r="K22" s="19">
        <f t="shared" si="0"/>
        <v>0</v>
      </c>
      <c r="L22" s="20"/>
      <c r="N22" s="15">
        <v>10.89</v>
      </c>
    </row>
    <row r="23" spans="1:14" ht="20.25" customHeight="1" x14ac:dyDescent="0.15">
      <c r="A23" s="60"/>
      <c r="B23" s="9"/>
      <c r="C23" s="58"/>
      <c r="D23" s="11"/>
      <c r="E23" s="10"/>
      <c r="F23" s="58"/>
      <c r="G23" s="16"/>
      <c r="H23" s="16"/>
      <c r="I23" s="17"/>
      <c r="J23" s="18"/>
      <c r="K23" s="19">
        <f t="shared" si="0"/>
        <v>0</v>
      </c>
      <c r="L23" s="20"/>
      <c r="N23" s="15">
        <v>10.89</v>
      </c>
    </row>
    <row r="24" spans="1:14" ht="20.25" customHeight="1" thickBot="1" x14ac:dyDescent="0.2">
      <c r="A24" s="56"/>
      <c r="B24" s="21"/>
      <c r="C24" s="59"/>
      <c r="D24" s="22"/>
      <c r="E24" s="23"/>
      <c r="F24" s="23"/>
      <c r="G24" s="24"/>
      <c r="H24" s="24"/>
      <c r="I24" s="25"/>
      <c r="J24" s="46">
        <f>SUM(J8:J23)</f>
        <v>467</v>
      </c>
      <c r="K24" s="47">
        <f>SUM(K8:K23)</f>
        <v>5253.0092999999997</v>
      </c>
      <c r="L24" s="26"/>
    </row>
    <row r="25" spans="1:14" ht="20.25" customHeight="1" thickTop="1" x14ac:dyDescent="0.15">
      <c r="A25" s="60" t="s">
        <v>1360</v>
      </c>
      <c r="B25" s="9" t="s">
        <v>647</v>
      </c>
      <c r="C25" s="58" t="s">
        <v>29</v>
      </c>
      <c r="D25" s="11" t="s">
        <v>217</v>
      </c>
      <c r="E25" s="10">
        <v>22</v>
      </c>
      <c r="F25" s="10" t="s">
        <v>11</v>
      </c>
      <c r="G25" s="12">
        <v>1730</v>
      </c>
      <c r="H25" s="12">
        <v>1981</v>
      </c>
      <c r="I25" s="17" t="s">
        <v>1361</v>
      </c>
      <c r="J25" s="18">
        <v>86</v>
      </c>
      <c r="K25" s="19">
        <f t="shared" ref="K25:K40" si="1">+M25*N25</f>
        <v>2148.5970000000002</v>
      </c>
      <c r="L25" s="54"/>
      <c r="M25" s="3">
        <v>197.3</v>
      </c>
      <c r="N25" s="15">
        <v>10.89</v>
      </c>
    </row>
    <row r="26" spans="1:14" ht="20.25" customHeight="1" x14ac:dyDescent="0.15">
      <c r="A26" s="60" t="s">
        <v>1343</v>
      </c>
      <c r="B26" s="9" t="s">
        <v>131</v>
      </c>
      <c r="C26" s="58" t="s">
        <v>29</v>
      </c>
      <c r="D26" s="11" t="s">
        <v>156</v>
      </c>
      <c r="E26" s="10">
        <v>22</v>
      </c>
      <c r="F26" s="10" t="s">
        <v>11</v>
      </c>
      <c r="G26" s="12">
        <v>776</v>
      </c>
      <c r="H26" s="12">
        <v>1763</v>
      </c>
      <c r="I26" s="17" t="s">
        <v>1362</v>
      </c>
      <c r="J26" s="18">
        <v>131</v>
      </c>
      <c r="K26" s="19">
        <f t="shared" si="1"/>
        <v>860.2011</v>
      </c>
      <c r="L26" s="54"/>
      <c r="M26" s="3">
        <v>78.989999999999995</v>
      </c>
      <c r="N26" s="15">
        <v>10.89</v>
      </c>
    </row>
    <row r="27" spans="1:14" ht="20.25" customHeight="1" x14ac:dyDescent="0.15">
      <c r="A27" s="61" t="s">
        <v>1363</v>
      </c>
      <c r="B27" s="9" t="s">
        <v>131</v>
      </c>
      <c r="C27" s="58" t="s">
        <v>29</v>
      </c>
      <c r="D27" s="11" t="s">
        <v>155</v>
      </c>
      <c r="E27" s="10">
        <v>22</v>
      </c>
      <c r="F27" s="10" t="s">
        <v>11</v>
      </c>
      <c r="G27" s="12">
        <v>1421</v>
      </c>
      <c r="H27" s="12">
        <v>1763</v>
      </c>
      <c r="I27" s="17" t="s">
        <v>1352</v>
      </c>
      <c r="J27" s="18">
        <v>150</v>
      </c>
      <c r="K27" s="19">
        <f t="shared" si="1"/>
        <v>1289.3760000000002</v>
      </c>
      <c r="L27" s="54"/>
      <c r="M27" s="3">
        <v>118.4</v>
      </c>
      <c r="N27" s="15">
        <v>10.89</v>
      </c>
    </row>
    <row r="28" spans="1:14" ht="20.25" customHeight="1" x14ac:dyDescent="0.15">
      <c r="A28" s="61"/>
      <c r="B28" s="9"/>
      <c r="C28" s="58" t="s">
        <v>29</v>
      </c>
      <c r="D28" s="11" t="s">
        <v>156</v>
      </c>
      <c r="E28" s="10">
        <v>22</v>
      </c>
      <c r="F28" s="10" t="s">
        <v>11</v>
      </c>
      <c r="G28" s="12">
        <v>1421</v>
      </c>
      <c r="H28" s="12">
        <v>1763</v>
      </c>
      <c r="I28" s="17" t="s">
        <v>1352</v>
      </c>
      <c r="J28" s="18">
        <v>150</v>
      </c>
      <c r="K28" s="19">
        <f t="shared" si="1"/>
        <v>1289.3760000000002</v>
      </c>
      <c r="L28" s="54"/>
      <c r="M28" s="3">
        <v>118.4</v>
      </c>
      <c r="N28" s="15">
        <v>10.89</v>
      </c>
    </row>
    <row r="29" spans="1:14" ht="20.25" customHeight="1" x14ac:dyDescent="0.15">
      <c r="A29" s="61" t="s">
        <v>1364</v>
      </c>
      <c r="B29" s="9" t="s">
        <v>1365</v>
      </c>
      <c r="C29" s="58" t="s">
        <v>29</v>
      </c>
      <c r="D29" s="11" t="s">
        <v>1366</v>
      </c>
      <c r="E29" s="10">
        <v>51</v>
      </c>
      <c r="F29" s="10" t="s">
        <v>11</v>
      </c>
      <c r="G29" s="12">
        <v>2200</v>
      </c>
      <c r="H29" s="12">
        <v>1755</v>
      </c>
      <c r="I29" s="17">
        <v>1</v>
      </c>
      <c r="J29" s="18">
        <v>1</v>
      </c>
      <c r="K29" s="19">
        <f t="shared" si="1"/>
        <v>42.035400000000003</v>
      </c>
      <c r="L29" s="54"/>
      <c r="M29" s="3">
        <v>3.86</v>
      </c>
      <c r="N29" s="15">
        <v>10.89</v>
      </c>
    </row>
    <row r="30" spans="1:14" ht="20.25" customHeight="1" x14ac:dyDescent="0.15">
      <c r="A30" s="61" t="s">
        <v>1367</v>
      </c>
      <c r="B30" s="9" t="s">
        <v>104</v>
      </c>
      <c r="C30" s="58" t="s">
        <v>29</v>
      </c>
      <c r="D30" s="11" t="s">
        <v>224</v>
      </c>
      <c r="E30" s="10">
        <v>22</v>
      </c>
      <c r="F30" s="10" t="s">
        <v>11</v>
      </c>
      <c r="G30" s="12">
        <v>1532</v>
      </c>
      <c r="H30" s="12">
        <v>1770</v>
      </c>
      <c r="I30" s="51" t="s">
        <v>1368</v>
      </c>
      <c r="J30" s="52">
        <v>6</v>
      </c>
      <c r="K30" s="53">
        <f t="shared" si="1"/>
        <v>91.584900000000005</v>
      </c>
      <c r="L30" s="54"/>
      <c r="M30" s="3">
        <v>8.41</v>
      </c>
      <c r="N30" s="15">
        <v>10.89</v>
      </c>
    </row>
    <row r="31" spans="1:14" ht="20.25" customHeight="1" x14ac:dyDescent="0.15">
      <c r="A31" s="61"/>
      <c r="B31" s="9"/>
      <c r="C31" s="58" t="s">
        <v>29</v>
      </c>
      <c r="D31" s="11" t="s">
        <v>217</v>
      </c>
      <c r="E31" s="10">
        <v>22</v>
      </c>
      <c r="F31" s="10" t="s">
        <v>11</v>
      </c>
      <c r="G31" s="12">
        <v>1532</v>
      </c>
      <c r="H31" s="12">
        <v>1770</v>
      </c>
      <c r="I31" s="51" t="s">
        <v>1369</v>
      </c>
      <c r="J31" s="52">
        <v>7</v>
      </c>
      <c r="K31" s="53">
        <f t="shared" si="1"/>
        <v>78.843600000000009</v>
      </c>
      <c r="L31" s="54"/>
      <c r="M31" s="3">
        <v>7.24</v>
      </c>
      <c r="N31" s="15">
        <v>10.89</v>
      </c>
    </row>
    <row r="32" spans="1:14" ht="20.25" customHeight="1" x14ac:dyDescent="0.15">
      <c r="A32" s="60"/>
      <c r="B32" s="9"/>
      <c r="C32" s="58" t="s">
        <v>29</v>
      </c>
      <c r="D32" s="11" t="s">
        <v>195</v>
      </c>
      <c r="E32" s="10">
        <v>22</v>
      </c>
      <c r="F32" s="10"/>
      <c r="G32" s="12">
        <v>725</v>
      </c>
      <c r="H32" s="12">
        <v>2325</v>
      </c>
      <c r="I32" s="17">
        <v>1</v>
      </c>
      <c r="J32" s="18">
        <v>1</v>
      </c>
      <c r="K32" s="19">
        <f t="shared" si="1"/>
        <v>18.4041</v>
      </c>
      <c r="L32" s="27"/>
      <c r="M32" s="3">
        <v>1.69</v>
      </c>
      <c r="N32" s="15">
        <v>10.89</v>
      </c>
    </row>
    <row r="33" spans="1:14" ht="20.25" customHeight="1" x14ac:dyDescent="0.15">
      <c r="A33" s="60"/>
      <c r="B33" s="9"/>
      <c r="C33" s="58" t="s">
        <v>231</v>
      </c>
      <c r="D33" s="11" t="s">
        <v>881</v>
      </c>
      <c r="E33" s="10">
        <v>22</v>
      </c>
      <c r="F33" s="10" t="s">
        <v>11</v>
      </c>
      <c r="G33" s="12">
        <v>725</v>
      </c>
      <c r="H33" s="12">
        <v>2325</v>
      </c>
      <c r="I33" s="17" t="s">
        <v>1370</v>
      </c>
      <c r="J33" s="18">
        <v>3</v>
      </c>
      <c r="K33" s="19">
        <f t="shared" si="1"/>
        <v>55.212300000000006</v>
      </c>
      <c r="L33" s="27"/>
      <c r="M33" s="3">
        <v>5.07</v>
      </c>
      <c r="N33" s="15">
        <v>10.89</v>
      </c>
    </row>
    <row r="34" spans="1:14" ht="20.25" customHeight="1" x14ac:dyDescent="0.15">
      <c r="A34" s="60" t="s">
        <v>1371</v>
      </c>
      <c r="B34" s="9" t="s">
        <v>1372</v>
      </c>
      <c r="C34" s="58" t="s">
        <v>231</v>
      </c>
      <c r="D34" s="11" t="s">
        <v>1373</v>
      </c>
      <c r="E34" s="10">
        <v>24</v>
      </c>
      <c r="F34" s="10"/>
      <c r="G34" s="12">
        <v>603</v>
      </c>
      <c r="H34" s="12">
        <v>1269</v>
      </c>
      <c r="I34" s="17" t="s">
        <v>1375</v>
      </c>
      <c r="J34" s="18">
        <v>8</v>
      </c>
      <c r="K34" s="19">
        <f t="shared" si="1"/>
        <v>66.864599999999996</v>
      </c>
      <c r="L34" s="27"/>
      <c r="M34" s="3">
        <v>6.14</v>
      </c>
      <c r="N34" s="15">
        <v>10.89</v>
      </c>
    </row>
    <row r="35" spans="1:14" ht="20.25" customHeight="1" x14ac:dyDescent="0.15">
      <c r="A35" s="60"/>
      <c r="B35" s="9"/>
      <c r="C35" s="58" t="s">
        <v>29</v>
      </c>
      <c r="D35" s="11" t="s">
        <v>1374</v>
      </c>
      <c r="E35" s="10">
        <v>24</v>
      </c>
      <c r="F35" s="10" t="s">
        <v>11</v>
      </c>
      <c r="G35" s="12">
        <v>623</v>
      </c>
      <c r="H35" s="12">
        <v>1823</v>
      </c>
      <c r="I35" s="17">
        <v>1</v>
      </c>
      <c r="J35" s="18">
        <v>1</v>
      </c>
      <c r="K35" s="19">
        <f t="shared" si="1"/>
        <v>12.4146</v>
      </c>
      <c r="L35" s="27"/>
      <c r="M35" s="3">
        <v>1.1399999999999999</v>
      </c>
      <c r="N35" s="15">
        <v>10.89</v>
      </c>
    </row>
    <row r="36" spans="1:14" ht="20.25" customHeight="1" x14ac:dyDescent="0.15">
      <c r="A36" s="60" t="s">
        <v>1376</v>
      </c>
      <c r="B36" s="9" t="s">
        <v>1377</v>
      </c>
      <c r="C36" s="58" t="s">
        <v>29</v>
      </c>
      <c r="D36" s="11" t="s">
        <v>1378</v>
      </c>
      <c r="E36" s="10">
        <v>24</v>
      </c>
      <c r="F36" s="10"/>
      <c r="G36" s="12">
        <v>300</v>
      </c>
      <c r="H36" s="12">
        <v>300</v>
      </c>
      <c r="I36" s="17">
        <v>1</v>
      </c>
      <c r="J36" s="18">
        <v>1</v>
      </c>
      <c r="K36" s="19">
        <f t="shared" si="1"/>
        <v>3.0492000000000004</v>
      </c>
      <c r="L36" s="27"/>
      <c r="M36" s="3">
        <v>0.28000000000000003</v>
      </c>
      <c r="N36" s="15">
        <v>10.89</v>
      </c>
    </row>
    <row r="37" spans="1:14" ht="20.25" customHeight="1" x14ac:dyDescent="0.15">
      <c r="A37" s="60"/>
      <c r="B37" s="9"/>
      <c r="C37" s="58"/>
      <c r="D37" s="11"/>
      <c r="E37" s="10"/>
      <c r="F37" s="10"/>
      <c r="G37" s="12"/>
      <c r="H37" s="12"/>
      <c r="I37" s="17"/>
      <c r="J37" s="18"/>
      <c r="K37" s="19">
        <f t="shared" si="1"/>
        <v>0</v>
      </c>
      <c r="L37" s="27"/>
      <c r="N37" s="15">
        <v>10.89</v>
      </c>
    </row>
    <row r="38" spans="1:14" ht="20.25" customHeight="1" x14ac:dyDescent="0.15">
      <c r="A38" s="60"/>
      <c r="B38" s="9"/>
      <c r="C38" s="58"/>
      <c r="D38" s="11"/>
      <c r="E38" s="10"/>
      <c r="F38" s="10"/>
      <c r="G38" s="12"/>
      <c r="H38" s="12"/>
      <c r="I38" s="17"/>
      <c r="J38" s="18"/>
      <c r="K38" s="19">
        <f t="shared" si="1"/>
        <v>0</v>
      </c>
      <c r="L38" s="27"/>
      <c r="N38" s="15">
        <v>10.89</v>
      </c>
    </row>
    <row r="39" spans="1:14" ht="20.25" customHeight="1" x14ac:dyDescent="0.15">
      <c r="A39" s="60"/>
      <c r="B39" s="9"/>
      <c r="C39" s="58"/>
      <c r="D39" s="11"/>
      <c r="E39" s="10"/>
      <c r="F39" s="10"/>
      <c r="G39" s="12"/>
      <c r="H39" s="12"/>
      <c r="I39" s="17"/>
      <c r="J39" s="18"/>
      <c r="K39" s="19">
        <f t="shared" si="1"/>
        <v>0</v>
      </c>
      <c r="L39" s="27"/>
      <c r="N39" s="15">
        <v>10.89</v>
      </c>
    </row>
    <row r="40" spans="1:14" ht="20.25" customHeight="1" x14ac:dyDescent="0.15">
      <c r="A40" s="60"/>
      <c r="B40" s="9"/>
      <c r="C40" s="58"/>
      <c r="D40" s="11"/>
      <c r="E40" s="10"/>
      <c r="F40" s="10"/>
      <c r="G40" s="12"/>
      <c r="H40" s="12"/>
      <c r="I40" s="17"/>
      <c r="J40" s="18"/>
      <c r="K40" s="19">
        <f t="shared" si="1"/>
        <v>0</v>
      </c>
      <c r="L40" s="27"/>
      <c r="N40" s="15">
        <v>10.89</v>
      </c>
    </row>
    <row r="41" spans="1:14" ht="20.25" customHeight="1" x14ac:dyDescent="0.15">
      <c r="A41" s="57"/>
      <c r="B41" s="28"/>
      <c r="C41" s="10"/>
      <c r="D41" s="29"/>
      <c r="E41" s="30"/>
      <c r="F41" s="30"/>
      <c r="G41" s="30"/>
      <c r="H41" s="30"/>
      <c r="I41" s="13"/>
      <c r="J41" s="48">
        <f>SUM(J25:J40)</f>
        <v>545</v>
      </c>
      <c r="K41" s="49">
        <f>SUM(K25:K40)</f>
        <v>5955.9588000000003</v>
      </c>
      <c r="L41" s="31"/>
      <c r="N41" s="32"/>
    </row>
    <row r="42" spans="1:14" ht="20.25" customHeight="1" thickBot="1" x14ac:dyDescent="0.2">
      <c r="A42" s="55"/>
      <c r="B42" s="33"/>
      <c r="C42" s="33"/>
      <c r="D42" s="33"/>
      <c r="E42" s="33"/>
      <c r="F42" s="33"/>
      <c r="G42" s="33"/>
      <c r="H42" s="33"/>
      <c r="I42" s="33"/>
      <c r="J42" s="34"/>
      <c r="K42" s="35"/>
      <c r="L42" s="36"/>
    </row>
    <row r="43" spans="1:14" ht="20.25" customHeight="1" thickBot="1" x14ac:dyDescent="0.2">
      <c r="A43" s="37" t="s">
        <v>19</v>
      </c>
      <c r="B43" s="38" t="s">
        <v>20</v>
      </c>
      <c r="C43" s="77" t="s">
        <v>21</v>
      </c>
      <c r="D43" s="79"/>
      <c r="E43" s="77" t="s">
        <v>22</v>
      </c>
      <c r="F43" s="78"/>
      <c r="G43" s="79"/>
      <c r="H43" s="85" t="s">
        <v>23</v>
      </c>
      <c r="I43" s="86"/>
      <c r="J43" s="77" t="s">
        <v>24</v>
      </c>
      <c r="K43" s="79"/>
      <c r="L43" s="39" t="s">
        <v>13</v>
      </c>
    </row>
    <row r="44" spans="1:14" ht="20.25" customHeight="1" thickBot="1" x14ac:dyDescent="0.2">
      <c r="A44" s="40">
        <f>SUMIF($C$8:$C$42,"U1",$J$8:$J$42)</f>
        <v>1</v>
      </c>
      <c r="B44" s="41">
        <f>SUMIF($C$8:$C$42,"U2",$J$8:$J$42)</f>
        <v>14</v>
      </c>
      <c r="C44" s="77">
        <f>SUMIF($C$8:$C$42,"U3-1",$J$8:$J$42)</f>
        <v>0</v>
      </c>
      <c r="D44" s="79"/>
      <c r="E44" s="77">
        <f>SUMIF($C$8:$C$42,"U3",$J$8:$J$42)</f>
        <v>997</v>
      </c>
      <c r="F44" s="78"/>
      <c r="G44" s="79"/>
      <c r="H44" s="77">
        <f>SUMIF($C$8:$C$42,"E5",$J$8:$J$42)</f>
        <v>0</v>
      </c>
      <c r="I44" s="79"/>
      <c r="J44" s="77">
        <f>SUM(A44:I44)</f>
        <v>1012</v>
      </c>
      <c r="K44" s="79"/>
      <c r="L44" s="42"/>
    </row>
    <row r="45" spans="1:14" ht="20.25" customHeight="1" thickBot="1" x14ac:dyDescent="0.2">
      <c r="A45" s="43" t="s">
        <v>25</v>
      </c>
      <c r="B45" s="44" t="s">
        <v>26</v>
      </c>
      <c r="C45" s="75">
        <v>13876</v>
      </c>
      <c r="D45" s="76"/>
      <c r="E45" s="77" t="s">
        <v>27</v>
      </c>
      <c r="F45" s="78"/>
      <c r="G45" s="78"/>
      <c r="H45" s="78"/>
      <c r="I45" s="79"/>
      <c r="J45" s="80">
        <v>146744.37</v>
      </c>
      <c r="K45" s="81"/>
      <c r="L45" s="82"/>
    </row>
    <row r="47" spans="1:14" x14ac:dyDescent="0.15">
      <c r="D47" s="45"/>
    </row>
  </sheetData>
  <mergeCells count="26">
    <mergeCell ref="L2:L4"/>
    <mergeCell ref="A1:G3"/>
    <mergeCell ref="H1:H4"/>
    <mergeCell ref="I2:I4"/>
    <mergeCell ref="J2:J4"/>
    <mergeCell ref="K2:K4"/>
    <mergeCell ref="B5:G5"/>
    <mergeCell ref="A6:A7"/>
    <mergeCell ref="B6:B7"/>
    <mergeCell ref="C6:C7"/>
    <mergeCell ref="D6:D7"/>
    <mergeCell ref="E6:E7"/>
    <mergeCell ref="F6:F7"/>
    <mergeCell ref="G6:K6"/>
    <mergeCell ref="C45:D45"/>
    <mergeCell ref="E45:I45"/>
    <mergeCell ref="J45:L45"/>
    <mergeCell ref="L6:L7"/>
    <mergeCell ref="C43:D43"/>
    <mergeCell ref="E43:G43"/>
    <mergeCell ref="H43:I43"/>
    <mergeCell ref="J43:K43"/>
    <mergeCell ref="C44:D44"/>
    <mergeCell ref="E44:G44"/>
    <mergeCell ref="H44:I44"/>
    <mergeCell ref="J44:K44"/>
  </mergeCells>
  <phoneticPr fontId="2" type="noConversion"/>
  <printOptions horizontalCentered="1"/>
  <pageMargins left="0.39370078740157483" right="0.39370078740157483" top="0.74803149606299213" bottom="0.19685039370078741" header="0.31496062992125984" footer="0.15748031496062992"/>
  <pageSetup paperSize="9" scale="84" orientation="portrait" r:id="rId1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dimension ref="A1:N47"/>
  <sheetViews>
    <sheetView view="pageBreakPreview" topLeftCell="A16" zoomScaleSheetLayoutView="100" workbookViewId="0">
      <selection activeCell="A31" sqref="A31:E31"/>
    </sheetView>
  </sheetViews>
  <sheetFormatPr defaultColWidth="8.88671875" defaultRowHeight="13.5" x14ac:dyDescent="0.15"/>
  <cols>
    <col min="1" max="1" width="8.44140625" style="3" customWidth="1"/>
    <col min="2" max="2" width="14.77734375" style="3" customWidth="1"/>
    <col min="3" max="3" width="4.109375" style="3" customWidth="1"/>
    <col min="4" max="4" width="15.21875" style="3" customWidth="1"/>
    <col min="5" max="5" width="4.44140625" style="3" customWidth="1"/>
    <col min="6" max="6" width="4" style="3" customWidth="1"/>
    <col min="7" max="7" width="5.5546875" style="3" customWidth="1"/>
    <col min="8" max="8" width="5.44140625" style="3" customWidth="1"/>
    <col min="9" max="9" width="7.88671875" style="3" customWidth="1"/>
    <col min="10" max="10" width="7.109375" style="3" customWidth="1"/>
    <col min="11" max="11" width="7.21875" style="3" customWidth="1"/>
    <col min="12" max="12" width="6.77734375" style="3" customWidth="1"/>
    <col min="13" max="16384" width="8.88671875" style="3"/>
  </cols>
  <sheetData>
    <row r="1" spans="1:14" ht="18.75" customHeight="1" x14ac:dyDescent="0.15">
      <c r="A1" s="101" t="s">
        <v>0</v>
      </c>
      <c r="B1" s="102"/>
      <c r="C1" s="102"/>
      <c r="D1" s="102"/>
      <c r="E1" s="102"/>
      <c r="F1" s="102"/>
      <c r="G1" s="103"/>
      <c r="H1" s="107" t="s">
        <v>1</v>
      </c>
      <c r="I1" s="1" t="s">
        <v>2</v>
      </c>
      <c r="J1" s="1" t="s">
        <v>2</v>
      </c>
      <c r="K1" s="1" t="s">
        <v>3</v>
      </c>
      <c r="L1" s="2" t="s">
        <v>4</v>
      </c>
    </row>
    <row r="2" spans="1:14" ht="13.5" customHeight="1" x14ac:dyDescent="0.15">
      <c r="A2" s="104"/>
      <c r="B2" s="105"/>
      <c r="C2" s="105"/>
      <c r="D2" s="105"/>
      <c r="E2" s="105"/>
      <c r="F2" s="105"/>
      <c r="G2" s="106"/>
      <c r="H2" s="108"/>
      <c r="I2" s="110"/>
      <c r="J2" s="110"/>
      <c r="K2" s="110"/>
      <c r="L2" s="98"/>
    </row>
    <row r="3" spans="1:14" ht="13.5" customHeight="1" x14ac:dyDescent="0.15">
      <c r="A3" s="104"/>
      <c r="B3" s="105"/>
      <c r="C3" s="105"/>
      <c r="D3" s="105"/>
      <c r="E3" s="105"/>
      <c r="F3" s="105"/>
      <c r="G3" s="106"/>
      <c r="H3" s="108"/>
      <c r="I3" s="108"/>
      <c r="J3" s="108"/>
      <c r="K3" s="108"/>
      <c r="L3" s="99"/>
    </row>
    <row r="4" spans="1:14" ht="33" customHeight="1" x14ac:dyDescent="0.15">
      <c r="A4" s="4"/>
      <c r="B4" s="5"/>
      <c r="C4" s="5"/>
      <c r="D4" s="5"/>
      <c r="E4" s="5"/>
      <c r="F4" s="5"/>
      <c r="G4" s="5"/>
      <c r="H4" s="109"/>
      <c r="I4" s="109"/>
      <c r="J4" s="109"/>
      <c r="K4" s="109"/>
      <c r="L4" s="100"/>
    </row>
    <row r="5" spans="1:14" ht="17.25" customHeight="1" x14ac:dyDescent="0.15">
      <c r="A5" s="6" t="s">
        <v>5</v>
      </c>
      <c r="B5" s="87">
        <v>46092</v>
      </c>
      <c r="C5" s="88"/>
      <c r="D5" s="88"/>
      <c r="E5" s="88"/>
      <c r="F5" s="88"/>
      <c r="G5" s="88"/>
      <c r="H5" s="5"/>
      <c r="I5" s="5"/>
      <c r="J5" s="5"/>
      <c r="K5" s="5"/>
      <c r="L5" s="7"/>
    </row>
    <row r="6" spans="1:14" ht="13.5" customHeight="1" x14ac:dyDescent="0.15">
      <c r="A6" s="89" t="s">
        <v>6</v>
      </c>
      <c r="B6" s="91" t="s">
        <v>7</v>
      </c>
      <c r="C6" s="91" t="s">
        <v>8</v>
      </c>
      <c r="D6" s="91" t="s">
        <v>9</v>
      </c>
      <c r="E6" s="93" t="s">
        <v>10</v>
      </c>
      <c r="F6" s="93" t="s">
        <v>11</v>
      </c>
      <c r="G6" s="95" t="s">
        <v>12</v>
      </c>
      <c r="H6" s="96"/>
      <c r="I6" s="96"/>
      <c r="J6" s="96"/>
      <c r="K6" s="97"/>
      <c r="L6" s="83" t="s">
        <v>13</v>
      </c>
    </row>
    <row r="7" spans="1:14" x14ac:dyDescent="0.15">
      <c r="A7" s="90"/>
      <c r="B7" s="92"/>
      <c r="C7" s="92"/>
      <c r="D7" s="92"/>
      <c r="E7" s="94"/>
      <c r="F7" s="94"/>
      <c r="G7" s="8" t="s">
        <v>14</v>
      </c>
      <c r="H7" s="8" t="s">
        <v>15</v>
      </c>
      <c r="I7" s="8" t="s">
        <v>16</v>
      </c>
      <c r="J7" s="8" t="s">
        <v>17</v>
      </c>
      <c r="K7" s="8" t="s">
        <v>18</v>
      </c>
      <c r="L7" s="84"/>
    </row>
    <row r="8" spans="1:14" s="15" customFormat="1" ht="20.25" customHeight="1" x14ac:dyDescent="0.15">
      <c r="A8" s="60" t="s">
        <v>1379</v>
      </c>
      <c r="B8" s="9" t="s">
        <v>138</v>
      </c>
      <c r="C8" s="58" t="s">
        <v>29</v>
      </c>
      <c r="D8" s="11" t="s">
        <v>372</v>
      </c>
      <c r="E8" s="10">
        <v>24</v>
      </c>
      <c r="F8" s="58"/>
      <c r="G8" s="12">
        <v>775</v>
      </c>
      <c r="H8" s="12">
        <v>1890</v>
      </c>
      <c r="I8" s="17" t="s">
        <v>1380</v>
      </c>
      <c r="J8" s="18">
        <v>112</v>
      </c>
      <c r="K8" s="19">
        <f>+M8*N8</f>
        <v>1515.4524000000001</v>
      </c>
      <c r="L8" s="14"/>
      <c r="M8" s="15">
        <v>139.16</v>
      </c>
      <c r="N8" s="15">
        <v>10.89</v>
      </c>
    </row>
    <row r="9" spans="1:14" s="15" customFormat="1" ht="20.25" customHeight="1" x14ac:dyDescent="0.15">
      <c r="A9" s="60" t="s">
        <v>1381</v>
      </c>
      <c r="B9" s="9" t="s">
        <v>138</v>
      </c>
      <c r="C9" s="58" t="s">
        <v>29</v>
      </c>
      <c r="D9" s="11" t="s">
        <v>372</v>
      </c>
      <c r="E9" s="10">
        <v>24</v>
      </c>
      <c r="F9" s="58"/>
      <c r="G9" s="12">
        <v>468</v>
      </c>
      <c r="H9" s="12">
        <v>390</v>
      </c>
      <c r="I9" s="17">
        <v>20</v>
      </c>
      <c r="J9" s="18">
        <v>20</v>
      </c>
      <c r="K9" s="19">
        <f t="shared" ref="K9:K23" si="0">+M9*N9</f>
        <v>60.984000000000002</v>
      </c>
      <c r="L9" s="14"/>
      <c r="M9" s="15">
        <v>5.6</v>
      </c>
      <c r="N9" s="15">
        <v>10.89</v>
      </c>
    </row>
    <row r="10" spans="1:14" s="15" customFormat="1" ht="20.25" customHeight="1" x14ac:dyDescent="0.15">
      <c r="A10" s="60"/>
      <c r="B10" s="9"/>
      <c r="C10" s="58" t="s">
        <v>29</v>
      </c>
      <c r="D10" s="11" t="s">
        <v>336</v>
      </c>
      <c r="E10" s="10">
        <v>24</v>
      </c>
      <c r="F10" s="58"/>
      <c r="G10" s="12">
        <v>1662</v>
      </c>
      <c r="H10" s="12">
        <v>1890</v>
      </c>
      <c r="I10" s="17" t="s">
        <v>1382</v>
      </c>
      <c r="J10" s="18">
        <f>15+125</f>
        <v>140</v>
      </c>
      <c r="K10" s="19">
        <f t="shared" si="0"/>
        <v>1689.039</v>
      </c>
      <c r="L10" s="14"/>
      <c r="M10" s="15">
        <v>155.1</v>
      </c>
      <c r="N10" s="15">
        <v>10.89</v>
      </c>
    </row>
    <row r="11" spans="1:14" s="15" customFormat="1" ht="20.25" customHeight="1" x14ac:dyDescent="0.15">
      <c r="A11" s="60" t="s">
        <v>1383</v>
      </c>
      <c r="B11" s="9" t="s">
        <v>138</v>
      </c>
      <c r="C11" s="58" t="s">
        <v>29</v>
      </c>
      <c r="D11" s="11" t="s">
        <v>372</v>
      </c>
      <c r="E11" s="10">
        <v>24</v>
      </c>
      <c r="F11" s="58"/>
      <c r="G11" s="12">
        <v>775</v>
      </c>
      <c r="H11" s="12">
        <v>1890</v>
      </c>
      <c r="I11" s="17" t="s">
        <v>1384</v>
      </c>
      <c r="J11" s="18">
        <v>80</v>
      </c>
      <c r="K11" s="19">
        <f t="shared" si="0"/>
        <v>887.53500000000008</v>
      </c>
      <c r="L11" s="14"/>
      <c r="M11" s="15">
        <v>81.5</v>
      </c>
      <c r="N11" s="15">
        <v>10.89</v>
      </c>
    </row>
    <row r="12" spans="1:14" s="15" customFormat="1" ht="20.25" customHeight="1" x14ac:dyDescent="0.15">
      <c r="A12" s="60"/>
      <c r="B12" s="9"/>
      <c r="C12" s="58" t="s">
        <v>29</v>
      </c>
      <c r="D12" s="11" t="s">
        <v>336</v>
      </c>
      <c r="E12" s="10">
        <v>24</v>
      </c>
      <c r="F12" s="58"/>
      <c r="G12" s="12">
        <v>1762</v>
      </c>
      <c r="H12" s="12">
        <v>1890</v>
      </c>
      <c r="I12" s="17" t="s">
        <v>1385</v>
      </c>
      <c r="J12" s="18">
        <v>90</v>
      </c>
      <c r="K12" s="19">
        <f t="shared" si="0"/>
        <v>1250.172</v>
      </c>
      <c r="L12" s="14"/>
      <c r="M12" s="15">
        <v>114.8</v>
      </c>
      <c r="N12" s="15">
        <v>10.89</v>
      </c>
    </row>
    <row r="13" spans="1:14" s="15" customFormat="1" ht="20.25" customHeight="1" x14ac:dyDescent="0.15">
      <c r="A13" s="60"/>
      <c r="B13" s="9"/>
      <c r="C13" s="58" t="s">
        <v>29</v>
      </c>
      <c r="D13" s="11" t="s">
        <v>224</v>
      </c>
      <c r="E13" s="10">
        <v>22</v>
      </c>
      <c r="F13" s="58" t="s">
        <v>11</v>
      </c>
      <c r="G13" s="12">
        <v>618</v>
      </c>
      <c r="H13" s="12">
        <v>1890</v>
      </c>
      <c r="I13" s="17" t="s">
        <v>1386</v>
      </c>
      <c r="J13" s="18">
        <v>20</v>
      </c>
      <c r="K13" s="19">
        <f t="shared" si="0"/>
        <v>250.47000000000003</v>
      </c>
      <c r="L13" s="14"/>
      <c r="M13" s="15">
        <v>23</v>
      </c>
      <c r="N13" s="15">
        <v>10.89</v>
      </c>
    </row>
    <row r="14" spans="1:14" s="15" customFormat="1" ht="20.25" customHeight="1" x14ac:dyDescent="0.15">
      <c r="A14" s="60" t="s">
        <v>1387</v>
      </c>
      <c r="B14" s="9" t="s">
        <v>1388</v>
      </c>
      <c r="C14" s="58" t="s">
        <v>29</v>
      </c>
      <c r="D14" s="11" t="s">
        <v>195</v>
      </c>
      <c r="E14" s="10">
        <v>22</v>
      </c>
      <c r="F14" s="58"/>
      <c r="G14" s="12">
        <v>1190</v>
      </c>
      <c r="H14" s="12">
        <v>785</v>
      </c>
      <c r="I14" s="17">
        <v>2</v>
      </c>
      <c r="J14" s="18">
        <v>2</v>
      </c>
      <c r="K14" s="19">
        <f t="shared" si="0"/>
        <v>20.255400000000002</v>
      </c>
      <c r="L14" s="20"/>
      <c r="M14" s="15">
        <v>1.86</v>
      </c>
      <c r="N14" s="15">
        <v>10.89</v>
      </c>
    </row>
    <row r="15" spans="1:14" s="15" customFormat="1" ht="20.25" customHeight="1" x14ac:dyDescent="0.15">
      <c r="A15" s="60" t="s">
        <v>1389</v>
      </c>
      <c r="B15" s="9" t="s">
        <v>1390</v>
      </c>
      <c r="C15" s="58" t="s">
        <v>29</v>
      </c>
      <c r="D15" s="11" t="s">
        <v>1391</v>
      </c>
      <c r="E15" s="10">
        <v>24</v>
      </c>
      <c r="F15" s="58"/>
      <c r="G15" s="12">
        <v>510</v>
      </c>
      <c r="H15" s="12">
        <v>2525</v>
      </c>
      <c r="I15" s="17">
        <v>1</v>
      </c>
      <c r="J15" s="18">
        <v>1</v>
      </c>
      <c r="K15" s="19">
        <f t="shared" si="0"/>
        <v>14.048100000000002</v>
      </c>
      <c r="L15" s="20"/>
      <c r="M15" s="15">
        <v>1.29</v>
      </c>
      <c r="N15" s="15">
        <v>10.89</v>
      </c>
    </row>
    <row r="16" spans="1:14" s="15" customFormat="1" ht="20.25" customHeight="1" x14ac:dyDescent="0.15">
      <c r="A16" s="60"/>
      <c r="B16" s="9"/>
      <c r="C16" s="58"/>
      <c r="D16" s="11"/>
      <c r="E16" s="10"/>
      <c r="F16" s="58"/>
      <c r="G16" s="12"/>
      <c r="H16" s="12"/>
      <c r="I16" s="17"/>
      <c r="J16" s="18"/>
      <c r="K16" s="19">
        <f t="shared" si="0"/>
        <v>0</v>
      </c>
      <c r="L16" s="20"/>
      <c r="N16" s="15">
        <v>10.89</v>
      </c>
    </row>
    <row r="17" spans="1:14" s="15" customFormat="1" ht="20.25" customHeight="1" x14ac:dyDescent="0.15">
      <c r="A17" s="60"/>
      <c r="B17" s="9"/>
      <c r="C17" s="58"/>
      <c r="D17" s="11"/>
      <c r="E17" s="10"/>
      <c r="F17" s="58"/>
      <c r="G17" s="12"/>
      <c r="H17" s="12"/>
      <c r="I17" s="17"/>
      <c r="J17" s="18"/>
      <c r="K17" s="19">
        <f t="shared" si="0"/>
        <v>0</v>
      </c>
      <c r="L17" s="20"/>
      <c r="N17" s="15">
        <v>10.89</v>
      </c>
    </row>
    <row r="18" spans="1:14" s="15" customFormat="1" ht="20.25" customHeight="1" x14ac:dyDescent="0.15">
      <c r="A18" s="60"/>
      <c r="B18" s="9"/>
      <c r="C18" s="58"/>
      <c r="D18" s="11"/>
      <c r="E18" s="10"/>
      <c r="F18" s="58"/>
      <c r="G18" s="12"/>
      <c r="H18" s="12"/>
      <c r="I18" s="17"/>
      <c r="J18" s="18"/>
      <c r="K18" s="19">
        <f t="shared" si="0"/>
        <v>0</v>
      </c>
      <c r="L18" s="20"/>
      <c r="N18" s="15">
        <v>10.89</v>
      </c>
    </row>
    <row r="19" spans="1:14" s="15" customFormat="1" ht="20.25" customHeight="1" x14ac:dyDescent="0.15">
      <c r="A19" s="60"/>
      <c r="B19" s="9"/>
      <c r="C19" s="58"/>
      <c r="D19" s="11"/>
      <c r="E19" s="10"/>
      <c r="F19" s="58"/>
      <c r="G19" s="12"/>
      <c r="H19" s="12"/>
      <c r="I19" s="17"/>
      <c r="J19" s="18"/>
      <c r="K19" s="19">
        <f t="shared" si="0"/>
        <v>0</v>
      </c>
      <c r="L19" s="20"/>
      <c r="N19" s="15">
        <v>10.89</v>
      </c>
    </row>
    <row r="20" spans="1:14" s="15" customFormat="1" ht="20.25" customHeight="1" x14ac:dyDescent="0.15">
      <c r="A20" s="60"/>
      <c r="B20" s="9"/>
      <c r="C20" s="58"/>
      <c r="D20" s="11"/>
      <c r="E20" s="10"/>
      <c r="F20" s="58"/>
      <c r="G20" s="12"/>
      <c r="H20" s="12"/>
      <c r="I20" s="17"/>
      <c r="J20" s="18"/>
      <c r="K20" s="19">
        <f t="shared" si="0"/>
        <v>0</v>
      </c>
      <c r="L20" s="20"/>
      <c r="N20" s="15">
        <v>10.89</v>
      </c>
    </row>
    <row r="21" spans="1:14" s="15" customFormat="1" ht="20.25" customHeight="1" x14ac:dyDescent="0.15">
      <c r="A21" s="60"/>
      <c r="B21" s="9"/>
      <c r="C21" s="58"/>
      <c r="D21" s="11"/>
      <c r="E21" s="10"/>
      <c r="F21" s="58"/>
      <c r="G21" s="50"/>
      <c r="H21" s="50"/>
      <c r="I21" s="17"/>
      <c r="J21" s="18"/>
      <c r="K21" s="19">
        <f t="shared" si="0"/>
        <v>0</v>
      </c>
      <c r="L21" s="20"/>
      <c r="N21" s="15">
        <v>10.89</v>
      </c>
    </row>
    <row r="22" spans="1:14" s="15" customFormat="1" ht="20.25" customHeight="1" x14ac:dyDescent="0.15">
      <c r="A22" s="60"/>
      <c r="B22" s="9"/>
      <c r="C22" s="58"/>
      <c r="D22" s="11"/>
      <c r="E22" s="10"/>
      <c r="F22" s="58"/>
      <c r="G22" s="50"/>
      <c r="H22" s="50"/>
      <c r="I22" s="17"/>
      <c r="J22" s="18"/>
      <c r="K22" s="19">
        <f t="shared" si="0"/>
        <v>0</v>
      </c>
      <c r="L22" s="20"/>
      <c r="N22" s="15">
        <v>10.89</v>
      </c>
    </row>
    <row r="23" spans="1:14" ht="20.25" customHeight="1" x14ac:dyDescent="0.15">
      <c r="A23" s="60"/>
      <c r="B23" s="9"/>
      <c r="C23" s="58"/>
      <c r="D23" s="11"/>
      <c r="E23" s="10"/>
      <c r="F23" s="58"/>
      <c r="G23" s="16"/>
      <c r="H23" s="16"/>
      <c r="I23" s="17"/>
      <c r="J23" s="18"/>
      <c r="K23" s="19">
        <f t="shared" si="0"/>
        <v>0</v>
      </c>
      <c r="L23" s="20"/>
      <c r="N23" s="15">
        <v>10.89</v>
      </c>
    </row>
    <row r="24" spans="1:14" ht="20.25" customHeight="1" thickBot="1" x14ac:dyDescent="0.2">
      <c r="A24" s="56"/>
      <c r="B24" s="21"/>
      <c r="C24" s="59"/>
      <c r="D24" s="22"/>
      <c r="E24" s="23"/>
      <c r="F24" s="23"/>
      <c r="G24" s="24"/>
      <c r="H24" s="24"/>
      <c r="I24" s="25"/>
      <c r="J24" s="46">
        <f>SUM(J8:J23)</f>
        <v>465</v>
      </c>
      <c r="K24" s="47">
        <f>SUM(K8:K23)</f>
        <v>5687.9558999999999</v>
      </c>
      <c r="L24" s="26"/>
    </row>
    <row r="25" spans="1:14" ht="20.25" customHeight="1" thickTop="1" x14ac:dyDescent="0.15">
      <c r="A25" s="60" t="s">
        <v>1393</v>
      </c>
      <c r="B25" s="9" t="s">
        <v>647</v>
      </c>
      <c r="C25" s="58" t="s">
        <v>29</v>
      </c>
      <c r="D25" s="11" t="s">
        <v>217</v>
      </c>
      <c r="E25" s="10">
        <v>22</v>
      </c>
      <c r="F25" s="10" t="s">
        <v>11</v>
      </c>
      <c r="G25" s="12">
        <v>780</v>
      </c>
      <c r="H25" s="12">
        <v>1981</v>
      </c>
      <c r="I25" s="17" t="s">
        <v>1394</v>
      </c>
      <c r="J25" s="18">
        <v>134</v>
      </c>
      <c r="K25" s="19">
        <f t="shared" ref="K25:K40" si="1">+M25*N25</f>
        <v>1294.8210000000001</v>
      </c>
      <c r="L25" s="54"/>
      <c r="M25" s="3">
        <v>118.9</v>
      </c>
      <c r="N25" s="15">
        <v>10.89</v>
      </c>
    </row>
    <row r="26" spans="1:14" ht="20.25" customHeight="1" x14ac:dyDescent="0.15">
      <c r="A26" s="60" t="s">
        <v>1395</v>
      </c>
      <c r="B26" s="9" t="s">
        <v>131</v>
      </c>
      <c r="C26" s="58" t="s">
        <v>29</v>
      </c>
      <c r="D26" s="11" t="s">
        <v>155</v>
      </c>
      <c r="E26" s="10">
        <v>22</v>
      </c>
      <c r="F26" s="10" t="s">
        <v>11</v>
      </c>
      <c r="G26" s="12">
        <v>1723</v>
      </c>
      <c r="H26" s="12">
        <v>1763</v>
      </c>
      <c r="I26" s="17" t="s">
        <v>1396</v>
      </c>
      <c r="J26" s="18">
        <v>140</v>
      </c>
      <c r="K26" s="19">
        <f t="shared" si="1"/>
        <v>1411.3440000000001</v>
      </c>
      <c r="L26" s="54"/>
      <c r="M26" s="3">
        <v>129.6</v>
      </c>
      <c r="N26" s="15">
        <v>10.89</v>
      </c>
    </row>
    <row r="27" spans="1:14" ht="20.25" customHeight="1" x14ac:dyDescent="0.15">
      <c r="A27" s="61" t="s">
        <v>1397</v>
      </c>
      <c r="B27" s="9" t="s">
        <v>127</v>
      </c>
      <c r="C27" s="58" t="s">
        <v>29</v>
      </c>
      <c r="D27" s="11" t="s">
        <v>378</v>
      </c>
      <c r="E27" s="10">
        <v>28</v>
      </c>
      <c r="F27" s="10" t="s">
        <v>11</v>
      </c>
      <c r="G27" s="12">
        <v>985</v>
      </c>
      <c r="H27" s="12">
        <v>735</v>
      </c>
      <c r="I27" s="17">
        <v>1</v>
      </c>
      <c r="J27" s="18">
        <v>1</v>
      </c>
      <c r="K27" s="19">
        <f t="shared" si="1"/>
        <v>7.8407999999999998</v>
      </c>
      <c r="L27" s="54"/>
      <c r="M27" s="3">
        <v>0.72</v>
      </c>
      <c r="N27" s="15">
        <v>10.89</v>
      </c>
    </row>
    <row r="28" spans="1:14" ht="20.25" customHeight="1" x14ac:dyDescent="0.15">
      <c r="A28" s="61"/>
      <c r="B28" s="9"/>
      <c r="C28" s="58" t="s">
        <v>29</v>
      </c>
      <c r="D28" s="11" t="s">
        <v>460</v>
      </c>
      <c r="E28" s="10">
        <v>28</v>
      </c>
      <c r="F28" s="10" t="s">
        <v>11</v>
      </c>
      <c r="G28" s="12">
        <v>985</v>
      </c>
      <c r="H28" s="12">
        <v>2605</v>
      </c>
      <c r="I28" s="17" t="s">
        <v>1398</v>
      </c>
      <c r="J28" s="18">
        <v>2</v>
      </c>
      <c r="K28" s="19">
        <f t="shared" si="1"/>
        <v>58.370400000000004</v>
      </c>
      <c r="L28" s="54"/>
      <c r="M28" s="3">
        <v>5.36</v>
      </c>
      <c r="N28" s="15">
        <v>10.89</v>
      </c>
    </row>
    <row r="29" spans="1:14" ht="20.25" customHeight="1" x14ac:dyDescent="0.15">
      <c r="A29" s="61" t="s">
        <v>1399</v>
      </c>
      <c r="B29" s="9" t="s">
        <v>1400</v>
      </c>
      <c r="C29" s="58" t="s">
        <v>29</v>
      </c>
      <c r="D29" s="11" t="s">
        <v>1401</v>
      </c>
      <c r="E29" s="10">
        <v>24</v>
      </c>
      <c r="F29" s="10" t="s">
        <v>11</v>
      </c>
      <c r="G29" s="12">
        <v>985</v>
      </c>
      <c r="H29" s="12">
        <v>585</v>
      </c>
      <c r="I29" s="17">
        <v>1</v>
      </c>
      <c r="J29" s="18">
        <v>1</v>
      </c>
      <c r="K29" s="19">
        <f t="shared" si="1"/>
        <v>6.3162000000000003</v>
      </c>
      <c r="L29" s="54"/>
      <c r="M29" s="3">
        <v>0.57999999999999996</v>
      </c>
      <c r="N29" s="15">
        <v>10.89</v>
      </c>
    </row>
    <row r="30" spans="1:14" ht="20.25" customHeight="1" x14ac:dyDescent="0.15">
      <c r="A30" s="61" t="s">
        <v>1402</v>
      </c>
      <c r="B30" s="9" t="s">
        <v>186</v>
      </c>
      <c r="C30" s="58" t="s">
        <v>29</v>
      </c>
      <c r="D30" s="11" t="s">
        <v>310</v>
      </c>
      <c r="E30" s="10">
        <v>24</v>
      </c>
      <c r="F30" s="10" t="s">
        <v>11</v>
      </c>
      <c r="G30" s="12">
        <v>1015</v>
      </c>
      <c r="H30" s="12">
        <v>2925</v>
      </c>
      <c r="I30" s="51" t="s">
        <v>1403</v>
      </c>
      <c r="J30" s="52">
        <f>2+89</f>
        <v>91</v>
      </c>
      <c r="K30" s="53">
        <f t="shared" si="1"/>
        <v>1198.6623</v>
      </c>
      <c r="L30" s="54"/>
      <c r="M30" s="3">
        <v>110.07</v>
      </c>
      <c r="N30" s="15">
        <v>10.89</v>
      </c>
    </row>
    <row r="31" spans="1:14" ht="20.25" customHeight="1" x14ac:dyDescent="0.15">
      <c r="A31" s="61" t="s">
        <v>1404</v>
      </c>
      <c r="B31" s="9" t="s">
        <v>101</v>
      </c>
      <c r="C31" s="58" t="s">
        <v>29</v>
      </c>
      <c r="D31" s="11" t="s">
        <v>694</v>
      </c>
      <c r="E31" s="10">
        <v>24</v>
      </c>
      <c r="F31" s="10" t="s">
        <v>11</v>
      </c>
      <c r="G31" s="12">
        <v>915</v>
      </c>
      <c r="H31" s="12">
        <v>1075</v>
      </c>
      <c r="I31" s="51" t="s">
        <v>1405</v>
      </c>
      <c r="J31" s="52">
        <v>76</v>
      </c>
      <c r="K31" s="53">
        <f t="shared" si="1"/>
        <v>508.34520000000003</v>
      </c>
      <c r="L31" s="54"/>
      <c r="M31" s="3">
        <v>46.68</v>
      </c>
      <c r="N31" s="15">
        <v>10.89</v>
      </c>
    </row>
    <row r="32" spans="1:14" ht="20.25" customHeight="1" x14ac:dyDescent="0.15">
      <c r="A32" s="60"/>
      <c r="B32" s="9"/>
      <c r="C32" s="58"/>
      <c r="D32" s="11"/>
      <c r="E32" s="10"/>
      <c r="F32" s="10"/>
      <c r="G32" s="12"/>
      <c r="H32" s="12"/>
      <c r="I32" s="17"/>
      <c r="J32" s="18"/>
      <c r="K32" s="19">
        <f t="shared" si="1"/>
        <v>0</v>
      </c>
      <c r="L32" s="27"/>
      <c r="N32" s="15">
        <v>10.89</v>
      </c>
    </row>
    <row r="33" spans="1:14" ht="20.25" customHeight="1" x14ac:dyDescent="0.15">
      <c r="A33" s="60"/>
      <c r="B33" s="9"/>
      <c r="C33" s="58"/>
      <c r="D33" s="11"/>
      <c r="E33" s="10"/>
      <c r="F33" s="10"/>
      <c r="G33" s="12"/>
      <c r="H33" s="12"/>
      <c r="I33" s="17"/>
      <c r="J33" s="18"/>
      <c r="K33" s="19">
        <f t="shared" si="1"/>
        <v>0</v>
      </c>
      <c r="L33" s="27"/>
      <c r="N33" s="15">
        <v>10.89</v>
      </c>
    </row>
    <row r="34" spans="1:14" ht="20.25" customHeight="1" x14ac:dyDescent="0.15">
      <c r="A34" s="60"/>
      <c r="B34" s="9"/>
      <c r="C34" s="58"/>
      <c r="D34" s="11"/>
      <c r="E34" s="10"/>
      <c r="F34" s="10"/>
      <c r="G34" s="12"/>
      <c r="H34" s="12"/>
      <c r="I34" s="17"/>
      <c r="J34" s="18"/>
      <c r="K34" s="19">
        <f t="shared" si="1"/>
        <v>0</v>
      </c>
      <c r="L34" s="27"/>
      <c r="N34" s="15">
        <v>10.89</v>
      </c>
    </row>
    <row r="35" spans="1:14" ht="20.25" customHeight="1" x14ac:dyDescent="0.15">
      <c r="A35" s="60"/>
      <c r="B35" s="9"/>
      <c r="C35" s="58"/>
      <c r="D35" s="11"/>
      <c r="E35" s="10"/>
      <c r="F35" s="10"/>
      <c r="G35" s="12"/>
      <c r="H35" s="12"/>
      <c r="I35" s="17"/>
      <c r="J35" s="18"/>
      <c r="K35" s="19">
        <f t="shared" si="1"/>
        <v>0</v>
      </c>
      <c r="L35" s="27"/>
      <c r="N35" s="15">
        <v>10.89</v>
      </c>
    </row>
    <row r="36" spans="1:14" ht="20.25" customHeight="1" x14ac:dyDescent="0.15">
      <c r="A36" s="60"/>
      <c r="B36" s="9"/>
      <c r="C36" s="58"/>
      <c r="D36" s="11"/>
      <c r="E36" s="10"/>
      <c r="F36" s="10"/>
      <c r="G36" s="12"/>
      <c r="H36" s="12"/>
      <c r="I36" s="17"/>
      <c r="J36" s="18"/>
      <c r="K36" s="19">
        <f t="shared" si="1"/>
        <v>0</v>
      </c>
      <c r="L36" s="27"/>
      <c r="N36" s="15">
        <v>10.89</v>
      </c>
    </row>
    <row r="37" spans="1:14" ht="20.25" customHeight="1" x14ac:dyDescent="0.15">
      <c r="A37" s="60"/>
      <c r="B37" s="9"/>
      <c r="C37" s="58"/>
      <c r="D37" s="11"/>
      <c r="E37" s="10"/>
      <c r="F37" s="10"/>
      <c r="G37" s="12"/>
      <c r="H37" s="12"/>
      <c r="I37" s="17"/>
      <c r="J37" s="18"/>
      <c r="K37" s="19">
        <f t="shared" si="1"/>
        <v>0</v>
      </c>
      <c r="L37" s="27"/>
      <c r="N37" s="15">
        <v>10.89</v>
      </c>
    </row>
    <row r="38" spans="1:14" ht="20.25" customHeight="1" x14ac:dyDescent="0.15">
      <c r="A38" s="60"/>
      <c r="B38" s="9"/>
      <c r="C38" s="58"/>
      <c r="D38" s="11"/>
      <c r="E38" s="10"/>
      <c r="F38" s="10"/>
      <c r="G38" s="12"/>
      <c r="H38" s="12"/>
      <c r="I38" s="17"/>
      <c r="J38" s="18"/>
      <c r="K38" s="19">
        <f t="shared" si="1"/>
        <v>0</v>
      </c>
      <c r="L38" s="27"/>
      <c r="N38" s="15">
        <v>10.89</v>
      </c>
    </row>
    <row r="39" spans="1:14" ht="20.25" customHeight="1" x14ac:dyDescent="0.15">
      <c r="A39" s="60"/>
      <c r="B39" s="9"/>
      <c r="C39" s="58"/>
      <c r="D39" s="11"/>
      <c r="E39" s="10"/>
      <c r="F39" s="10"/>
      <c r="G39" s="12"/>
      <c r="H39" s="12"/>
      <c r="I39" s="17"/>
      <c r="J39" s="18"/>
      <c r="K39" s="19">
        <f t="shared" si="1"/>
        <v>0</v>
      </c>
      <c r="L39" s="27"/>
      <c r="N39" s="15">
        <v>10.89</v>
      </c>
    </row>
    <row r="40" spans="1:14" ht="20.25" customHeight="1" x14ac:dyDescent="0.15">
      <c r="A40" s="60"/>
      <c r="B40" s="9"/>
      <c r="C40" s="58"/>
      <c r="D40" s="11"/>
      <c r="E40" s="10"/>
      <c r="F40" s="10"/>
      <c r="G40" s="12"/>
      <c r="H40" s="12"/>
      <c r="I40" s="17"/>
      <c r="J40" s="18"/>
      <c r="K40" s="19">
        <f t="shared" si="1"/>
        <v>0</v>
      </c>
      <c r="L40" s="27"/>
      <c r="N40" s="15">
        <v>10.89</v>
      </c>
    </row>
    <row r="41" spans="1:14" ht="20.25" customHeight="1" x14ac:dyDescent="0.15">
      <c r="A41" s="57"/>
      <c r="B41" s="28"/>
      <c r="C41" s="10"/>
      <c r="D41" s="29"/>
      <c r="E41" s="30"/>
      <c r="F41" s="30"/>
      <c r="G41" s="30"/>
      <c r="H41" s="30"/>
      <c r="I41" s="13"/>
      <c r="J41" s="48">
        <f>SUM(J25:J40)</f>
        <v>445</v>
      </c>
      <c r="K41" s="49">
        <f>SUM(K25:K40)</f>
        <v>4485.6998999999996</v>
      </c>
      <c r="L41" s="31"/>
      <c r="N41" s="32"/>
    </row>
    <row r="42" spans="1:14" ht="20.25" customHeight="1" thickBot="1" x14ac:dyDescent="0.2">
      <c r="A42" s="55"/>
      <c r="B42" s="33"/>
      <c r="C42" s="33"/>
      <c r="D42" s="33"/>
      <c r="E42" s="33"/>
      <c r="F42" s="33"/>
      <c r="G42" s="33"/>
      <c r="H42" s="33"/>
      <c r="I42" s="33"/>
      <c r="J42" s="34"/>
      <c r="K42" s="35"/>
      <c r="L42" s="36"/>
    </row>
    <row r="43" spans="1:14" ht="20.25" customHeight="1" thickBot="1" x14ac:dyDescent="0.2">
      <c r="A43" s="37" t="s">
        <v>19</v>
      </c>
      <c r="B43" s="38" t="s">
        <v>20</v>
      </c>
      <c r="C43" s="77" t="s">
        <v>21</v>
      </c>
      <c r="D43" s="79"/>
      <c r="E43" s="77" t="s">
        <v>22</v>
      </c>
      <c r="F43" s="78"/>
      <c r="G43" s="79"/>
      <c r="H43" s="85" t="s">
        <v>23</v>
      </c>
      <c r="I43" s="86"/>
      <c r="J43" s="77" t="s">
        <v>24</v>
      </c>
      <c r="K43" s="79"/>
      <c r="L43" s="39" t="s">
        <v>13</v>
      </c>
    </row>
    <row r="44" spans="1:14" ht="20.25" customHeight="1" thickBot="1" x14ac:dyDescent="0.2">
      <c r="A44" s="40">
        <f>SUMIF($C$8:$C$42,"U1",$J$8:$J$42)</f>
        <v>0</v>
      </c>
      <c r="B44" s="41">
        <f>SUMIF($C$8:$C$42,"U2",$J$8:$J$42)</f>
        <v>0</v>
      </c>
      <c r="C44" s="77">
        <f>SUMIF($C$8:$C$42,"U3-1",$J$8:$J$42)</f>
        <v>0</v>
      </c>
      <c r="D44" s="79"/>
      <c r="E44" s="77">
        <f>SUMIF($C$8:$C$42,"U3",$J$8:$J$42)</f>
        <v>910</v>
      </c>
      <c r="F44" s="78"/>
      <c r="G44" s="79"/>
      <c r="H44" s="77">
        <f>SUMIF($C$8:$C$42,"E5",$J$8:$J$42)</f>
        <v>0</v>
      </c>
      <c r="I44" s="79"/>
      <c r="J44" s="77">
        <f>SUM(A44:I44)</f>
        <v>910</v>
      </c>
      <c r="K44" s="79"/>
      <c r="L44" s="42"/>
    </row>
    <row r="45" spans="1:14" ht="20.25" customHeight="1" thickBot="1" x14ac:dyDescent="0.2">
      <c r="A45" s="43" t="s">
        <v>25</v>
      </c>
      <c r="B45" s="44" t="s">
        <v>26</v>
      </c>
      <c r="C45" s="75">
        <v>13876</v>
      </c>
      <c r="D45" s="76"/>
      <c r="E45" s="77" t="s">
        <v>27</v>
      </c>
      <c r="F45" s="78"/>
      <c r="G45" s="78"/>
      <c r="H45" s="78"/>
      <c r="I45" s="79"/>
      <c r="J45" s="80">
        <v>146744.37</v>
      </c>
      <c r="K45" s="81"/>
      <c r="L45" s="82"/>
    </row>
    <row r="47" spans="1:14" x14ac:dyDescent="0.15">
      <c r="D47" s="45"/>
    </row>
  </sheetData>
  <mergeCells count="26">
    <mergeCell ref="L2:L4"/>
    <mergeCell ref="A1:G3"/>
    <mergeCell ref="H1:H4"/>
    <mergeCell ref="I2:I4"/>
    <mergeCell ref="J2:J4"/>
    <mergeCell ref="K2:K4"/>
    <mergeCell ref="B5:G5"/>
    <mergeCell ref="A6:A7"/>
    <mergeCell ref="B6:B7"/>
    <mergeCell ref="C6:C7"/>
    <mergeCell ref="D6:D7"/>
    <mergeCell ref="E6:E7"/>
    <mergeCell ref="F6:F7"/>
    <mergeCell ref="G6:K6"/>
    <mergeCell ref="C45:D45"/>
    <mergeCell ref="E45:I45"/>
    <mergeCell ref="J45:L45"/>
    <mergeCell ref="L6:L7"/>
    <mergeCell ref="C43:D43"/>
    <mergeCell ref="E43:G43"/>
    <mergeCell ref="H43:I43"/>
    <mergeCell ref="J43:K43"/>
    <mergeCell ref="C44:D44"/>
    <mergeCell ref="E44:G44"/>
    <mergeCell ref="H44:I44"/>
    <mergeCell ref="J44:K44"/>
  </mergeCells>
  <phoneticPr fontId="2" type="noConversion"/>
  <printOptions horizontalCentered="1"/>
  <pageMargins left="0.39370078740157483" right="0.39370078740157483" top="0.74803149606299213" bottom="0.19685039370078741" header="0.31496062992125984" footer="0.15748031496062992"/>
  <pageSetup paperSize="9" scale="84" orientation="portrait" r:id="rId1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dimension ref="A1:N47"/>
  <sheetViews>
    <sheetView view="pageBreakPreview" topLeftCell="A22" zoomScaleSheetLayoutView="100" workbookViewId="0">
      <selection activeCell="C9" sqref="C9:F11"/>
    </sheetView>
  </sheetViews>
  <sheetFormatPr defaultColWidth="8.88671875" defaultRowHeight="13.5" x14ac:dyDescent="0.15"/>
  <cols>
    <col min="1" max="1" width="8.44140625" style="3" customWidth="1"/>
    <col min="2" max="2" width="14.77734375" style="3" customWidth="1"/>
    <col min="3" max="3" width="4.109375" style="3" customWidth="1"/>
    <col min="4" max="4" width="15.21875" style="3" customWidth="1"/>
    <col min="5" max="5" width="4.44140625" style="3" customWidth="1"/>
    <col min="6" max="6" width="4" style="3" customWidth="1"/>
    <col min="7" max="7" width="5.5546875" style="3" customWidth="1"/>
    <col min="8" max="8" width="5.44140625" style="3" customWidth="1"/>
    <col min="9" max="9" width="7.88671875" style="3" customWidth="1"/>
    <col min="10" max="10" width="7.109375" style="3" customWidth="1"/>
    <col min="11" max="11" width="7.21875" style="3" customWidth="1"/>
    <col min="12" max="12" width="6.77734375" style="3" customWidth="1"/>
    <col min="13" max="16384" width="8.88671875" style="3"/>
  </cols>
  <sheetData>
    <row r="1" spans="1:14" ht="18.75" customHeight="1" x14ac:dyDescent="0.15">
      <c r="A1" s="101" t="s">
        <v>0</v>
      </c>
      <c r="B1" s="102"/>
      <c r="C1" s="102"/>
      <c r="D1" s="102"/>
      <c r="E1" s="102"/>
      <c r="F1" s="102"/>
      <c r="G1" s="103"/>
      <c r="H1" s="107" t="s">
        <v>1</v>
      </c>
      <c r="I1" s="1" t="s">
        <v>2</v>
      </c>
      <c r="J1" s="1" t="s">
        <v>2</v>
      </c>
      <c r="K1" s="1" t="s">
        <v>3</v>
      </c>
      <c r="L1" s="2" t="s">
        <v>4</v>
      </c>
    </row>
    <row r="2" spans="1:14" ht="13.5" customHeight="1" x14ac:dyDescent="0.15">
      <c r="A2" s="104"/>
      <c r="B2" s="105"/>
      <c r="C2" s="105"/>
      <c r="D2" s="105"/>
      <c r="E2" s="105"/>
      <c r="F2" s="105"/>
      <c r="G2" s="106"/>
      <c r="H2" s="108"/>
      <c r="I2" s="110"/>
      <c r="J2" s="110"/>
      <c r="K2" s="110"/>
      <c r="L2" s="98"/>
    </row>
    <row r="3" spans="1:14" ht="13.5" customHeight="1" x14ac:dyDescent="0.15">
      <c r="A3" s="104"/>
      <c r="B3" s="105"/>
      <c r="C3" s="105"/>
      <c r="D3" s="105"/>
      <c r="E3" s="105"/>
      <c r="F3" s="105"/>
      <c r="G3" s="106"/>
      <c r="H3" s="108"/>
      <c r="I3" s="108"/>
      <c r="J3" s="108"/>
      <c r="K3" s="108"/>
      <c r="L3" s="99"/>
    </row>
    <row r="4" spans="1:14" ht="33" customHeight="1" x14ac:dyDescent="0.15">
      <c r="A4" s="4"/>
      <c r="B4" s="5"/>
      <c r="C4" s="5"/>
      <c r="D4" s="5"/>
      <c r="E4" s="5"/>
      <c r="F4" s="5"/>
      <c r="G4" s="5"/>
      <c r="H4" s="109"/>
      <c r="I4" s="109"/>
      <c r="J4" s="109"/>
      <c r="K4" s="109"/>
      <c r="L4" s="100"/>
    </row>
    <row r="5" spans="1:14" ht="17.25" customHeight="1" x14ac:dyDescent="0.15">
      <c r="A5" s="6" t="s">
        <v>5</v>
      </c>
      <c r="B5" s="87">
        <v>46093</v>
      </c>
      <c r="C5" s="88"/>
      <c r="D5" s="88"/>
      <c r="E5" s="88"/>
      <c r="F5" s="88"/>
      <c r="G5" s="88"/>
      <c r="H5" s="5"/>
      <c r="I5" s="5"/>
      <c r="J5" s="5"/>
      <c r="K5" s="5"/>
      <c r="L5" s="7"/>
    </row>
    <row r="6" spans="1:14" ht="13.5" customHeight="1" x14ac:dyDescent="0.15">
      <c r="A6" s="89" t="s">
        <v>6</v>
      </c>
      <c r="B6" s="91" t="s">
        <v>7</v>
      </c>
      <c r="C6" s="91" t="s">
        <v>8</v>
      </c>
      <c r="D6" s="91" t="s">
        <v>9</v>
      </c>
      <c r="E6" s="93" t="s">
        <v>10</v>
      </c>
      <c r="F6" s="93" t="s">
        <v>11</v>
      </c>
      <c r="G6" s="95" t="s">
        <v>12</v>
      </c>
      <c r="H6" s="96"/>
      <c r="I6" s="96"/>
      <c r="J6" s="96"/>
      <c r="K6" s="97"/>
      <c r="L6" s="83" t="s">
        <v>13</v>
      </c>
    </row>
    <row r="7" spans="1:14" x14ac:dyDescent="0.15">
      <c r="A7" s="90"/>
      <c r="B7" s="92"/>
      <c r="C7" s="92"/>
      <c r="D7" s="92"/>
      <c r="E7" s="94"/>
      <c r="F7" s="94"/>
      <c r="G7" s="8" t="s">
        <v>14</v>
      </c>
      <c r="H7" s="8" t="s">
        <v>15</v>
      </c>
      <c r="I7" s="8" t="s">
        <v>16</v>
      </c>
      <c r="J7" s="8" t="s">
        <v>17</v>
      </c>
      <c r="K7" s="8" t="s">
        <v>18</v>
      </c>
      <c r="L7" s="84"/>
    </row>
    <row r="8" spans="1:14" s="15" customFormat="1" ht="20.25" customHeight="1" x14ac:dyDescent="0.15">
      <c r="A8" s="60" t="s">
        <v>1379</v>
      </c>
      <c r="B8" s="9" t="s">
        <v>138</v>
      </c>
      <c r="C8" s="58" t="s">
        <v>29</v>
      </c>
      <c r="D8" s="11" t="s">
        <v>403</v>
      </c>
      <c r="E8" s="10">
        <v>24</v>
      </c>
      <c r="F8" s="58"/>
      <c r="G8" s="12">
        <v>1662</v>
      </c>
      <c r="H8" s="12">
        <v>1890</v>
      </c>
      <c r="I8" s="17">
        <v>25</v>
      </c>
      <c r="J8" s="18">
        <v>25</v>
      </c>
      <c r="K8" s="19">
        <f>+M8*N8</f>
        <v>854.86500000000001</v>
      </c>
      <c r="L8" s="14"/>
      <c r="M8" s="15">
        <v>78.5</v>
      </c>
      <c r="N8" s="15">
        <v>10.89</v>
      </c>
    </row>
    <row r="9" spans="1:14" s="15" customFormat="1" ht="20.25" customHeight="1" x14ac:dyDescent="0.15">
      <c r="A9" s="60"/>
      <c r="B9" s="9"/>
      <c r="C9" s="58" t="s">
        <v>29</v>
      </c>
      <c r="D9" s="11" t="s">
        <v>372</v>
      </c>
      <c r="E9" s="10">
        <v>24</v>
      </c>
      <c r="F9" s="58"/>
      <c r="G9" s="12">
        <v>618</v>
      </c>
      <c r="H9" s="12">
        <v>1890</v>
      </c>
      <c r="I9" s="17" t="s">
        <v>1406</v>
      </c>
      <c r="J9" s="18">
        <f>32+78</f>
        <v>110</v>
      </c>
      <c r="K9" s="19">
        <f t="shared" ref="K9:K23" si="0">+M9*N9</f>
        <v>678.22919999999999</v>
      </c>
      <c r="L9" s="14"/>
      <c r="M9" s="15">
        <v>62.28</v>
      </c>
      <c r="N9" s="15">
        <v>10.89</v>
      </c>
    </row>
    <row r="10" spans="1:14" s="15" customFormat="1" ht="20.25" customHeight="1" x14ac:dyDescent="0.15">
      <c r="A10" s="60"/>
      <c r="B10" s="9"/>
      <c r="C10" s="58" t="s">
        <v>29</v>
      </c>
      <c r="D10" s="11" t="s">
        <v>336</v>
      </c>
      <c r="E10" s="10">
        <v>24</v>
      </c>
      <c r="F10" s="58"/>
      <c r="G10" s="12">
        <v>1662</v>
      </c>
      <c r="H10" s="12">
        <v>1890</v>
      </c>
      <c r="I10" s="17" t="s">
        <v>1407</v>
      </c>
      <c r="J10" s="18">
        <v>252</v>
      </c>
      <c r="K10" s="19">
        <f t="shared" si="0"/>
        <v>3201.2244000000001</v>
      </c>
      <c r="L10" s="14"/>
      <c r="M10" s="15">
        <v>293.95999999999998</v>
      </c>
      <c r="N10" s="15">
        <v>10.89</v>
      </c>
    </row>
    <row r="11" spans="1:14" s="15" customFormat="1" ht="20.25" customHeight="1" x14ac:dyDescent="0.15">
      <c r="A11" s="60"/>
      <c r="B11" s="9"/>
      <c r="C11" s="58" t="s">
        <v>29</v>
      </c>
      <c r="D11" s="11" t="s">
        <v>224</v>
      </c>
      <c r="E11" s="10">
        <v>22</v>
      </c>
      <c r="F11" s="58" t="s">
        <v>11</v>
      </c>
      <c r="G11" s="12">
        <v>618</v>
      </c>
      <c r="H11" s="12">
        <v>1890</v>
      </c>
      <c r="I11" s="17">
        <v>38</v>
      </c>
      <c r="J11" s="18">
        <v>38</v>
      </c>
      <c r="K11" s="19">
        <f t="shared" si="0"/>
        <v>484.16940000000005</v>
      </c>
      <c r="L11" s="14"/>
      <c r="M11" s="15">
        <v>44.46</v>
      </c>
      <c r="N11" s="15">
        <v>10.89</v>
      </c>
    </row>
    <row r="12" spans="1:14" s="15" customFormat="1" ht="20.25" customHeight="1" x14ac:dyDescent="0.15">
      <c r="A12" s="60" t="s">
        <v>1408</v>
      </c>
      <c r="B12" s="9" t="s">
        <v>138</v>
      </c>
      <c r="C12" s="58" t="s">
        <v>29</v>
      </c>
      <c r="D12" s="11" t="s">
        <v>403</v>
      </c>
      <c r="E12" s="10">
        <v>24</v>
      </c>
      <c r="F12" s="58"/>
      <c r="G12" s="12">
        <v>1762</v>
      </c>
      <c r="H12" s="12">
        <v>1890</v>
      </c>
      <c r="I12" s="17">
        <v>10</v>
      </c>
      <c r="J12" s="18">
        <v>10</v>
      </c>
      <c r="K12" s="19">
        <f t="shared" si="0"/>
        <v>362.637</v>
      </c>
      <c r="L12" s="14"/>
      <c r="M12" s="15">
        <v>33.299999999999997</v>
      </c>
      <c r="N12" s="15">
        <v>10.89</v>
      </c>
    </row>
    <row r="13" spans="1:14" s="15" customFormat="1" ht="20.25" customHeight="1" x14ac:dyDescent="0.15">
      <c r="A13" s="60" t="s">
        <v>1409</v>
      </c>
      <c r="B13" s="9" t="s">
        <v>138</v>
      </c>
      <c r="C13" s="58" t="s">
        <v>29</v>
      </c>
      <c r="D13" s="11" t="s">
        <v>372</v>
      </c>
      <c r="E13" s="10">
        <v>24</v>
      </c>
      <c r="F13" s="58"/>
      <c r="G13" s="12">
        <v>775</v>
      </c>
      <c r="H13" s="12">
        <v>1890</v>
      </c>
      <c r="I13" s="17" t="s">
        <v>1410</v>
      </c>
      <c r="J13" s="18">
        <v>18</v>
      </c>
      <c r="K13" s="19">
        <f t="shared" si="0"/>
        <v>260.92440000000005</v>
      </c>
      <c r="L13" s="14"/>
      <c r="M13" s="15">
        <v>23.96</v>
      </c>
      <c r="N13" s="15">
        <v>10.89</v>
      </c>
    </row>
    <row r="14" spans="1:14" s="15" customFormat="1" ht="20.25" customHeight="1" x14ac:dyDescent="0.15">
      <c r="A14" s="60" t="s">
        <v>1411</v>
      </c>
      <c r="B14" s="9" t="s">
        <v>58</v>
      </c>
      <c r="C14" s="58" t="s">
        <v>29</v>
      </c>
      <c r="D14" s="11" t="s">
        <v>1301</v>
      </c>
      <c r="E14" s="10">
        <v>22</v>
      </c>
      <c r="F14" s="58"/>
      <c r="G14" s="12">
        <v>1580</v>
      </c>
      <c r="H14" s="12">
        <v>1870</v>
      </c>
      <c r="I14" s="17" t="s">
        <v>300</v>
      </c>
      <c r="J14" s="18">
        <v>7</v>
      </c>
      <c r="K14" s="19">
        <f t="shared" si="0"/>
        <v>115.65179999999999</v>
      </c>
      <c r="L14" s="20"/>
      <c r="M14" s="15">
        <v>10.62</v>
      </c>
      <c r="N14" s="15">
        <v>10.89</v>
      </c>
    </row>
    <row r="15" spans="1:14" s="15" customFormat="1" ht="20.25" customHeight="1" x14ac:dyDescent="0.15">
      <c r="A15" s="60"/>
      <c r="B15" s="9"/>
      <c r="C15" s="58" t="s">
        <v>29</v>
      </c>
      <c r="D15" s="11" t="s">
        <v>1412</v>
      </c>
      <c r="E15" s="10">
        <v>22</v>
      </c>
      <c r="F15" s="58"/>
      <c r="G15" s="12">
        <v>458</v>
      </c>
      <c r="H15" s="12">
        <v>370</v>
      </c>
      <c r="I15" s="17">
        <v>1</v>
      </c>
      <c r="J15" s="18">
        <v>1</v>
      </c>
      <c r="K15" s="19">
        <f t="shared" si="0"/>
        <v>3.0492000000000004</v>
      </c>
      <c r="L15" s="20"/>
      <c r="M15" s="15">
        <v>0.28000000000000003</v>
      </c>
      <c r="N15" s="15">
        <v>10.89</v>
      </c>
    </row>
    <row r="16" spans="1:14" s="15" customFormat="1" ht="20.25" customHeight="1" x14ac:dyDescent="0.15">
      <c r="A16" s="60" t="s">
        <v>1413</v>
      </c>
      <c r="B16" s="9" t="s">
        <v>1414</v>
      </c>
      <c r="C16" s="58" t="s">
        <v>231</v>
      </c>
      <c r="D16" s="11" t="s">
        <v>312</v>
      </c>
      <c r="E16" s="10">
        <v>22</v>
      </c>
      <c r="F16" s="58"/>
      <c r="G16" s="12">
        <v>520</v>
      </c>
      <c r="H16" s="12">
        <v>409</v>
      </c>
      <c r="I16" s="17">
        <v>4</v>
      </c>
      <c r="J16" s="18">
        <v>4</v>
      </c>
      <c r="K16" s="19">
        <f t="shared" si="0"/>
        <v>12.196800000000001</v>
      </c>
      <c r="L16" s="20"/>
      <c r="M16" s="15">
        <v>1.1200000000000001</v>
      </c>
      <c r="N16" s="15">
        <v>10.89</v>
      </c>
    </row>
    <row r="17" spans="1:14" s="15" customFormat="1" ht="20.25" customHeight="1" x14ac:dyDescent="0.15">
      <c r="A17" s="60"/>
      <c r="B17" s="9"/>
      <c r="C17" s="58"/>
      <c r="D17" s="11"/>
      <c r="E17" s="10"/>
      <c r="F17" s="58"/>
      <c r="G17" s="12"/>
      <c r="H17" s="12"/>
      <c r="I17" s="17"/>
      <c r="J17" s="18"/>
      <c r="K17" s="19">
        <f t="shared" si="0"/>
        <v>0</v>
      </c>
      <c r="L17" s="20"/>
      <c r="N17" s="15">
        <v>10.89</v>
      </c>
    </row>
    <row r="18" spans="1:14" s="15" customFormat="1" ht="20.25" customHeight="1" x14ac:dyDescent="0.15">
      <c r="A18" s="60"/>
      <c r="B18" s="9"/>
      <c r="C18" s="58"/>
      <c r="D18" s="11"/>
      <c r="E18" s="10"/>
      <c r="F18" s="58"/>
      <c r="G18" s="12"/>
      <c r="H18" s="12"/>
      <c r="I18" s="17"/>
      <c r="J18" s="18"/>
      <c r="K18" s="19">
        <f t="shared" si="0"/>
        <v>0</v>
      </c>
      <c r="L18" s="20"/>
      <c r="N18" s="15">
        <v>10.89</v>
      </c>
    </row>
    <row r="19" spans="1:14" s="15" customFormat="1" ht="20.25" customHeight="1" x14ac:dyDescent="0.15">
      <c r="A19" s="60"/>
      <c r="B19" s="9"/>
      <c r="C19" s="58"/>
      <c r="D19" s="11"/>
      <c r="E19" s="10"/>
      <c r="F19" s="58"/>
      <c r="G19" s="12"/>
      <c r="H19" s="12"/>
      <c r="I19" s="17"/>
      <c r="J19" s="18"/>
      <c r="K19" s="19">
        <f t="shared" si="0"/>
        <v>0</v>
      </c>
      <c r="L19" s="20"/>
      <c r="N19" s="15">
        <v>10.89</v>
      </c>
    </row>
    <row r="20" spans="1:14" s="15" customFormat="1" ht="20.25" customHeight="1" x14ac:dyDescent="0.15">
      <c r="A20" s="60"/>
      <c r="B20" s="9"/>
      <c r="C20" s="58"/>
      <c r="D20" s="11"/>
      <c r="E20" s="10"/>
      <c r="F20" s="58"/>
      <c r="G20" s="12"/>
      <c r="H20" s="12"/>
      <c r="I20" s="17"/>
      <c r="J20" s="18"/>
      <c r="K20" s="19">
        <f t="shared" si="0"/>
        <v>0</v>
      </c>
      <c r="L20" s="20"/>
      <c r="N20" s="15">
        <v>10.89</v>
      </c>
    </row>
    <row r="21" spans="1:14" s="15" customFormat="1" ht="20.25" customHeight="1" x14ac:dyDescent="0.15">
      <c r="A21" s="60"/>
      <c r="B21" s="9"/>
      <c r="C21" s="58"/>
      <c r="D21" s="11"/>
      <c r="E21" s="10"/>
      <c r="F21" s="58"/>
      <c r="G21" s="50"/>
      <c r="H21" s="50"/>
      <c r="I21" s="17"/>
      <c r="J21" s="18"/>
      <c r="K21" s="19">
        <f t="shared" si="0"/>
        <v>0</v>
      </c>
      <c r="L21" s="20"/>
      <c r="N21" s="15">
        <v>10.89</v>
      </c>
    </row>
    <row r="22" spans="1:14" s="15" customFormat="1" ht="20.25" customHeight="1" x14ac:dyDescent="0.15">
      <c r="A22" s="60"/>
      <c r="B22" s="9"/>
      <c r="C22" s="58"/>
      <c r="D22" s="11"/>
      <c r="E22" s="10"/>
      <c r="F22" s="58"/>
      <c r="G22" s="50"/>
      <c r="H22" s="50"/>
      <c r="I22" s="17"/>
      <c r="J22" s="18"/>
      <c r="K22" s="19">
        <f t="shared" si="0"/>
        <v>0</v>
      </c>
      <c r="L22" s="20"/>
      <c r="N22" s="15">
        <v>10.89</v>
      </c>
    </row>
    <row r="23" spans="1:14" ht="20.25" customHeight="1" x14ac:dyDescent="0.15">
      <c r="A23" s="60"/>
      <c r="B23" s="9"/>
      <c r="C23" s="58"/>
      <c r="D23" s="11"/>
      <c r="E23" s="10"/>
      <c r="F23" s="58"/>
      <c r="G23" s="16"/>
      <c r="H23" s="16"/>
      <c r="I23" s="17"/>
      <c r="J23" s="18"/>
      <c r="K23" s="19">
        <f t="shared" si="0"/>
        <v>0</v>
      </c>
      <c r="L23" s="20"/>
      <c r="N23" s="15">
        <v>10.89</v>
      </c>
    </row>
    <row r="24" spans="1:14" ht="20.25" customHeight="1" thickBot="1" x14ac:dyDescent="0.2">
      <c r="A24" s="56"/>
      <c r="B24" s="21"/>
      <c r="C24" s="59"/>
      <c r="D24" s="22"/>
      <c r="E24" s="23"/>
      <c r="F24" s="23"/>
      <c r="G24" s="24"/>
      <c r="H24" s="24"/>
      <c r="I24" s="25"/>
      <c r="J24" s="46">
        <f>SUM(J8:J23)</f>
        <v>465</v>
      </c>
      <c r="K24" s="47">
        <f>SUM(K8:K23)</f>
        <v>5972.9471999999996</v>
      </c>
      <c r="L24" s="26"/>
    </row>
    <row r="25" spans="1:14" ht="20.25" customHeight="1" thickTop="1" x14ac:dyDescent="0.15">
      <c r="A25" s="60" t="s">
        <v>1415</v>
      </c>
      <c r="B25" s="9" t="s">
        <v>110</v>
      </c>
      <c r="C25" s="58" t="s">
        <v>29</v>
      </c>
      <c r="D25" s="11" t="s">
        <v>1416</v>
      </c>
      <c r="E25" s="10">
        <v>28</v>
      </c>
      <c r="F25" s="10" t="s">
        <v>11</v>
      </c>
      <c r="G25" s="12">
        <v>950</v>
      </c>
      <c r="H25" s="12">
        <v>1885</v>
      </c>
      <c r="I25" s="17" t="s">
        <v>1417</v>
      </c>
      <c r="J25" s="18">
        <v>190</v>
      </c>
      <c r="K25" s="19">
        <f t="shared" ref="K25:K40" si="1">+M25*N25</f>
        <v>2533.7763</v>
      </c>
      <c r="L25" s="54"/>
      <c r="M25" s="3">
        <v>232.67</v>
      </c>
      <c r="N25" s="15">
        <v>10.89</v>
      </c>
    </row>
    <row r="26" spans="1:14" ht="20.25" customHeight="1" x14ac:dyDescent="0.15">
      <c r="A26" s="60" t="s">
        <v>1418</v>
      </c>
      <c r="B26" s="9" t="s">
        <v>131</v>
      </c>
      <c r="C26" s="58" t="s">
        <v>29</v>
      </c>
      <c r="D26" s="11" t="s">
        <v>155</v>
      </c>
      <c r="E26" s="10">
        <v>22</v>
      </c>
      <c r="F26" s="10" t="s">
        <v>11</v>
      </c>
      <c r="G26" s="12">
        <v>264</v>
      </c>
      <c r="H26" s="12">
        <v>683</v>
      </c>
      <c r="I26" s="17" t="s">
        <v>1419</v>
      </c>
      <c r="J26" s="18">
        <v>40</v>
      </c>
      <c r="K26" s="19">
        <f t="shared" si="1"/>
        <v>121.968</v>
      </c>
      <c r="L26" s="54"/>
      <c r="M26" s="3">
        <v>11.2</v>
      </c>
      <c r="N26" s="15">
        <v>10.89</v>
      </c>
    </row>
    <row r="27" spans="1:14" ht="20.25" customHeight="1" x14ac:dyDescent="0.15">
      <c r="A27" s="61"/>
      <c r="B27" s="9"/>
      <c r="C27" s="58" t="s">
        <v>29</v>
      </c>
      <c r="D27" s="11" t="s">
        <v>156</v>
      </c>
      <c r="E27" s="10">
        <v>22</v>
      </c>
      <c r="F27" s="10" t="s">
        <v>11</v>
      </c>
      <c r="G27" s="12">
        <v>1723</v>
      </c>
      <c r="H27" s="12">
        <v>1763</v>
      </c>
      <c r="I27" s="17" t="s">
        <v>450</v>
      </c>
      <c r="J27" s="18">
        <v>180</v>
      </c>
      <c r="K27" s="19">
        <f t="shared" si="1"/>
        <v>1533.3120000000001</v>
      </c>
      <c r="L27" s="54"/>
      <c r="M27" s="3">
        <v>140.80000000000001</v>
      </c>
      <c r="N27" s="15">
        <v>10.89</v>
      </c>
    </row>
    <row r="28" spans="1:14" ht="20.25" customHeight="1" x14ac:dyDescent="0.15">
      <c r="A28" s="61" t="s">
        <v>1226</v>
      </c>
      <c r="B28" s="9" t="s">
        <v>138</v>
      </c>
      <c r="C28" s="58" t="s">
        <v>29</v>
      </c>
      <c r="D28" s="11" t="s">
        <v>403</v>
      </c>
      <c r="E28" s="10">
        <v>24</v>
      </c>
      <c r="F28" s="10"/>
      <c r="G28" s="12">
        <v>1762</v>
      </c>
      <c r="H28" s="12">
        <v>1890</v>
      </c>
      <c r="I28" s="17">
        <v>2</v>
      </c>
      <c r="J28" s="18">
        <v>2</v>
      </c>
      <c r="K28" s="19">
        <f t="shared" si="1"/>
        <v>72.5274</v>
      </c>
      <c r="L28" s="54"/>
      <c r="M28" s="3">
        <v>6.66</v>
      </c>
      <c r="N28" s="15">
        <v>10.89</v>
      </c>
    </row>
    <row r="29" spans="1:14" ht="20.25" customHeight="1" x14ac:dyDescent="0.15">
      <c r="A29" s="61" t="s">
        <v>1420</v>
      </c>
      <c r="B29" s="9" t="s">
        <v>183</v>
      </c>
      <c r="C29" s="58" t="s">
        <v>29</v>
      </c>
      <c r="D29" s="11" t="s">
        <v>304</v>
      </c>
      <c r="E29" s="10">
        <v>28</v>
      </c>
      <c r="F29" s="10" t="s">
        <v>11</v>
      </c>
      <c r="G29" s="12">
        <v>1165</v>
      </c>
      <c r="H29" s="12">
        <v>3285</v>
      </c>
      <c r="I29" s="17" t="s">
        <v>1421</v>
      </c>
      <c r="J29" s="18">
        <v>34</v>
      </c>
      <c r="K29" s="19">
        <f t="shared" si="1"/>
        <v>658.40940000000001</v>
      </c>
      <c r="L29" s="54"/>
      <c r="M29" s="3">
        <v>60.46</v>
      </c>
      <c r="N29" s="15">
        <v>10.89</v>
      </c>
    </row>
    <row r="30" spans="1:14" ht="20.25" customHeight="1" x14ac:dyDescent="0.15">
      <c r="A30" s="61" t="s">
        <v>1422</v>
      </c>
      <c r="B30" s="9" t="s">
        <v>186</v>
      </c>
      <c r="C30" s="58" t="s">
        <v>29</v>
      </c>
      <c r="D30" s="11" t="s">
        <v>310</v>
      </c>
      <c r="E30" s="10">
        <v>24</v>
      </c>
      <c r="F30" s="10" t="s">
        <v>11</v>
      </c>
      <c r="G30" s="12">
        <v>980</v>
      </c>
      <c r="H30" s="12">
        <v>2365</v>
      </c>
      <c r="I30" s="51" t="s">
        <v>218</v>
      </c>
      <c r="J30" s="52">
        <v>3</v>
      </c>
      <c r="K30" s="53">
        <f t="shared" si="1"/>
        <v>45.846900000000005</v>
      </c>
      <c r="L30" s="54"/>
      <c r="M30" s="3">
        <v>4.21</v>
      </c>
      <c r="N30" s="15">
        <v>10.89</v>
      </c>
    </row>
    <row r="31" spans="1:14" ht="20.25" customHeight="1" x14ac:dyDescent="0.15">
      <c r="A31" s="61" t="s">
        <v>1404</v>
      </c>
      <c r="B31" s="9" t="s">
        <v>101</v>
      </c>
      <c r="C31" s="58" t="s">
        <v>29</v>
      </c>
      <c r="D31" s="11" t="s">
        <v>694</v>
      </c>
      <c r="E31" s="10">
        <v>24</v>
      </c>
      <c r="F31" s="10" t="s">
        <v>11</v>
      </c>
      <c r="G31" s="12">
        <v>750</v>
      </c>
      <c r="H31" s="12">
        <v>1075</v>
      </c>
      <c r="I31" s="51">
        <v>1</v>
      </c>
      <c r="J31" s="52">
        <v>1</v>
      </c>
      <c r="K31" s="53">
        <f t="shared" si="1"/>
        <v>8.8209000000000017</v>
      </c>
      <c r="L31" s="54"/>
      <c r="M31" s="3">
        <v>0.81</v>
      </c>
      <c r="N31" s="15">
        <v>10.89</v>
      </c>
    </row>
    <row r="32" spans="1:14" ht="20.25" customHeight="1" x14ac:dyDescent="0.15">
      <c r="A32" s="60" t="s">
        <v>1423</v>
      </c>
      <c r="B32" s="9" t="s">
        <v>173</v>
      </c>
      <c r="C32" s="58" t="s">
        <v>29</v>
      </c>
      <c r="D32" s="11" t="s">
        <v>195</v>
      </c>
      <c r="E32" s="10">
        <v>22</v>
      </c>
      <c r="F32" s="10"/>
      <c r="G32" s="12">
        <v>710</v>
      </c>
      <c r="H32" s="12">
        <v>1885</v>
      </c>
      <c r="I32" s="17">
        <v>1</v>
      </c>
      <c r="J32" s="18">
        <v>1</v>
      </c>
      <c r="K32" s="19">
        <f t="shared" si="1"/>
        <v>14.592600000000001</v>
      </c>
      <c r="L32" s="27"/>
      <c r="M32" s="3">
        <v>1.34</v>
      </c>
      <c r="N32" s="15">
        <v>10.89</v>
      </c>
    </row>
    <row r="33" spans="1:14" ht="20.25" customHeight="1" x14ac:dyDescent="0.15">
      <c r="A33" s="60"/>
      <c r="B33" s="9"/>
      <c r="C33" s="58"/>
      <c r="D33" s="11"/>
      <c r="E33" s="10"/>
      <c r="F33" s="10"/>
      <c r="G33" s="12"/>
      <c r="H33" s="12"/>
      <c r="I33" s="17"/>
      <c r="J33" s="18"/>
      <c r="K33" s="19">
        <f t="shared" si="1"/>
        <v>0</v>
      </c>
      <c r="L33" s="27"/>
      <c r="N33" s="15">
        <v>10.89</v>
      </c>
    </row>
    <row r="34" spans="1:14" ht="20.25" customHeight="1" x14ac:dyDescent="0.15">
      <c r="A34" s="60"/>
      <c r="B34" s="9"/>
      <c r="C34" s="58"/>
      <c r="D34" s="11"/>
      <c r="E34" s="10"/>
      <c r="F34" s="10"/>
      <c r="G34" s="12"/>
      <c r="H34" s="12"/>
      <c r="I34" s="17"/>
      <c r="J34" s="18"/>
      <c r="K34" s="19">
        <f t="shared" si="1"/>
        <v>0</v>
      </c>
      <c r="L34" s="27"/>
      <c r="N34" s="15">
        <v>10.89</v>
      </c>
    </row>
    <row r="35" spans="1:14" ht="20.25" customHeight="1" x14ac:dyDescent="0.15">
      <c r="A35" s="60"/>
      <c r="B35" s="9"/>
      <c r="C35" s="58"/>
      <c r="D35" s="11"/>
      <c r="E35" s="10"/>
      <c r="F35" s="10"/>
      <c r="G35" s="12"/>
      <c r="H35" s="12"/>
      <c r="I35" s="17"/>
      <c r="J35" s="18"/>
      <c r="K35" s="19">
        <f t="shared" si="1"/>
        <v>0</v>
      </c>
      <c r="L35" s="27"/>
      <c r="N35" s="15">
        <v>10.89</v>
      </c>
    </row>
    <row r="36" spans="1:14" ht="20.25" customHeight="1" x14ac:dyDescent="0.15">
      <c r="A36" s="60"/>
      <c r="B36" s="9"/>
      <c r="C36" s="58"/>
      <c r="D36" s="11"/>
      <c r="E36" s="10"/>
      <c r="F36" s="10"/>
      <c r="G36" s="12"/>
      <c r="H36" s="12"/>
      <c r="I36" s="17"/>
      <c r="J36" s="18"/>
      <c r="K36" s="19">
        <f t="shared" si="1"/>
        <v>0</v>
      </c>
      <c r="L36" s="27"/>
      <c r="N36" s="15">
        <v>10.89</v>
      </c>
    </row>
    <row r="37" spans="1:14" ht="20.25" customHeight="1" x14ac:dyDescent="0.15">
      <c r="A37" s="60"/>
      <c r="B37" s="9"/>
      <c r="C37" s="58"/>
      <c r="D37" s="11"/>
      <c r="E37" s="10"/>
      <c r="F37" s="10"/>
      <c r="G37" s="12"/>
      <c r="H37" s="12"/>
      <c r="I37" s="17"/>
      <c r="J37" s="18"/>
      <c r="K37" s="19">
        <f t="shared" si="1"/>
        <v>0</v>
      </c>
      <c r="L37" s="27"/>
      <c r="N37" s="15">
        <v>10.89</v>
      </c>
    </row>
    <row r="38" spans="1:14" ht="20.25" customHeight="1" x14ac:dyDescent="0.15">
      <c r="A38" s="60"/>
      <c r="B38" s="9"/>
      <c r="C38" s="58"/>
      <c r="D38" s="11"/>
      <c r="E38" s="10"/>
      <c r="F38" s="10"/>
      <c r="G38" s="12"/>
      <c r="H38" s="12"/>
      <c r="I38" s="17"/>
      <c r="J38" s="18"/>
      <c r="K38" s="19">
        <f t="shared" si="1"/>
        <v>0</v>
      </c>
      <c r="L38" s="27"/>
      <c r="N38" s="15">
        <v>10.89</v>
      </c>
    </row>
    <row r="39" spans="1:14" ht="20.25" customHeight="1" x14ac:dyDescent="0.15">
      <c r="A39" s="60"/>
      <c r="B39" s="9"/>
      <c r="C39" s="58"/>
      <c r="D39" s="11"/>
      <c r="E39" s="10"/>
      <c r="F39" s="10"/>
      <c r="G39" s="12"/>
      <c r="H39" s="12"/>
      <c r="I39" s="17"/>
      <c r="J39" s="18"/>
      <c r="K39" s="19">
        <f t="shared" si="1"/>
        <v>0</v>
      </c>
      <c r="L39" s="27"/>
      <c r="N39" s="15">
        <v>10.89</v>
      </c>
    </row>
    <row r="40" spans="1:14" ht="20.25" customHeight="1" x14ac:dyDescent="0.15">
      <c r="A40" s="60"/>
      <c r="B40" s="9"/>
      <c r="C40" s="58"/>
      <c r="D40" s="11"/>
      <c r="E40" s="10"/>
      <c r="F40" s="10"/>
      <c r="G40" s="12"/>
      <c r="H40" s="12"/>
      <c r="I40" s="17"/>
      <c r="J40" s="18"/>
      <c r="K40" s="19">
        <f t="shared" si="1"/>
        <v>0</v>
      </c>
      <c r="L40" s="27"/>
      <c r="N40" s="15">
        <v>10.89</v>
      </c>
    </row>
    <row r="41" spans="1:14" ht="20.25" customHeight="1" x14ac:dyDescent="0.15">
      <c r="A41" s="57"/>
      <c r="B41" s="28"/>
      <c r="C41" s="10"/>
      <c r="D41" s="29"/>
      <c r="E41" s="30"/>
      <c r="F41" s="30"/>
      <c r="G41" s="30"/>
      <c r="H41" s="30"/>
      <c r="I41" s="13"/>
      <c r="J41" s="48">
        <f>SUM(J25:J40)</f>
        <v>451</v>
      </c>
      <c r="K41" s="49">
        <f>SUM(K25:K40)</f>
        <v>4989.2534999999998</v>
      </c>
      <c r="L41" s="31"/>
      <c r="N41" s="32"/>
    </row>
    <row r="42" spans="1:14" ht="20.25" customHeight="1" thickBot="1" x14ac:dyDescent="0.2">
      <c r="A42" s="55"/>
      <c r="B42" s="33"/>
      <c r="C42" s="33"/>
      <c r="D42" s="33"/>
      <c r="E42" s="33"/>
      <c r="F42" s="33"/>
      <c r="G42" s="33"/>
      <c r="H42" s="33"/>
      <c r="I42" s="33"/>
      <c r="J42" s="34"/>
      <c r="K42" s="35"/>
      <c r="L42" s="36"/>
    </row>
    <row r="43" spans="1:14" ht="20.25" customHeight="1" thickBot="1" x14ac:dyDescent="0.2">
      <c r="A43" s="37" t="s">
        <v>19</v>
      </c>
      <c r="B43" s="38" t="s">
        <v>20</v>
      </c>
      <c r="C43" s="77" t="s">
        <v>21</v>
      </c>
      <c r="D43" s="79"/>
      <c r="E43" s="77" t="s">
        <v>22</v>
      </c>
      <c r="F43" s="78"/>
      <c r="G43" s="79"/>
      <c r="H43" s="85" t="s">
        <v>23</v>
      </c>
      <c r="I43" s="86"/>
      <c r="J43" s="77" t="s">
        <v>24</v>
      </c>
      <c r="K43" s="79"/>
      <c r="L43" s="39" t="s">
        <v>13</v>
      </c>
    </row>
    <row r="44" spans="1:14" ht="20.25" customHeight="1" thickBot="1" x14ac:dyDescent="0.2">
      <c r="A44" s="40">
        <f>SUMIF($C$8:$C$42,"U1",$J$8:$J$42)</f>
        <v>0</v>
      </c>
      <c r="B44" s="41">
        <f>SUMIF($C$8:$C$42,"U2",$J$8:$J$42)</f>
        <v>4</v>
      </c>
      <c r="C44" s="77">
        <f>SUMIF($C$8:$C$42,"U3-1",$J$8:$J$42)</f>
        <v>0</v>
      </c>
      <c r="D44" s="79"/>
      <c r="E44" s="77">
        <f>SUMIF($C$8:$C$42,"U3",$J$8:$J$42)</f>
        <v>912</v>
      </c>
      <c r="F44" s="78"/>
      <c r="G44" s="79"/>
      <c r="H44" s="77">
        <f>SUMIF($C$8:$C$42,"E5",$J$8:$J$42)</f>
        <v>0</v>
      </c>
      <c r="I44" s="79"/>
      <c r="J44" s="77">
        <f>SUM(A44:I44)</f>
        <v>916</v>
      </c>
      <c r="K44" s="79"/>
      <c r="L44" s="42"/>
    </row>
    <row r="45" spans="1:14" ht="20.25" customHeight="1" thickBot="1" x14ac:dyDescent="0.2">
      <c r="A45" s="43" t="s">
        <v>25</v>
      </c>
      <c r="B45" s="44" t="s">
        <v>26</v>
      </c>
      <c r="C45" s="75">
        <v>13876</v>
      </c>
      <c r="D45" s="76"/>
      <c r="E45" s="77" t="s">
        <v>27</v>
      </c>
      <c r="F45" s="78"/>
      <c r="G45" s="78"/>
      <c r="H45" s="78"/>
      <c r="I45" s="79"/>
      <c r="J45" s="80">
        <v>146744.37</v>
      </c>
      <c r="K45" s="81"/>
      <c r="L45" s="82"/>
    </row>
    <row r="47" spans="1:14" x14ac:dyDescent="0.15">
      <c r="D47" s="45"/>
    </row>
  </sheetData>
  <mergeCells count="26">
    <mergeCell ref="C45:D45"/>
    <mergeCell ref="E45:I45"/>
    <mergeCell ref="J45:L45"/>
    <mergeCell ref="L6:L7"/>
    <mergeCell ref="C43:D43"/>
    <mergeCell ref="E43:G43"/>
    <mergeCell ref="H43:I43"/>
    <mergeCell ref="J43:K43"/>
    <mergeCell ref="C44:D44"/>
    <mergeCell ref="E44:G44"/>
    <mergeCell ref="H44:I44"/>
    <mergeCell ref="J44:K44"/>
    <mergeCell ref="B5:G5"/>
    <mergeCell ref="A6:A7"/>
    <mergeCell ref="B6:B7"/>
    <mergeCell ref="C6:C7"/>
    <mergeCell ref="D6:D7"/>
    <mergeCell ref="E6:E7"/>
    <mergeCell ref="F6:F7"/>
    <mergeCell ref="G6:K6"/>
    <mergeCell ref="L2:L4"/>
    <mergeCell ref="A1:G3"/>
    <mergeCell ref="H1:H4"/>
    <mergeCell ref="I2:I4"/>
    <mergeCell ref="J2:J4"/>
    <mergeCell ref="K2:K4"/>
  </mergeCells>
  <phoneticPr fontId="2" type="noConversion"/>
  <printOptions horizontalCentered="1"/>
  <pageMargins left="0.39370078740157483" right="0.39370078740157483" top="0.74803149606299213" bottom="0.19685039370078741" header="0.31496062992125984" footer="0.15748031496062992"/>
  <pageSetup paperSize="9" scale="84" orientation="portrait" r:id="rId1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dimension ref="A1:N47"/>
  <sheetViews>
    <sheetView view="pageBreakPreview" zoomScaleSheetLayoutView="100" workbookViewId="0">
      <selection activeCell="F15" sqref="F15"/>
    </sheetView>
  </sheetViews>
  <sheetFormatPr defaultColWidth="8.88671875" defaultRowHeight="13.5" x14ac:dyDescent="0.15"/>
  <cols>
    <col min="1" max="1" width="8.44140625" style="3" customWidth="1"/>
    <col min="2" max="2" width="14.77734375" style="3" customWidth="1"/>
    <col min="3" max="3" width="4.109375" style="3" customWidth="1"/>
    <col min="4" max="4" width="15.21875" style="3" customWidth="1"/>
    <col min="5" max="5" width="4.44140625" style="3" customWidth="1"/>
    <col min="6" max="6" width="4" style="3" customWidth="1"/>
    <col min="7" max="7" width="5.5546875" style="3" customWidth="1"/>
    <col min="8" max="8" width="5.44140625" style="3" customWidth="1"/>
    <col min="9" max="9" width="7.88671875" style="3" customWidth="1"/>
    <col min="10" max="10" width="7.109375" style="3" customWidth="1"/>
    <col min="11" max="11" width="7.21875" style="3" customWidth="1"/>
    <col min="12" max="12" width="6.77734375" style="3" customWidth="1"/>
    <col min="13" max="16384" width="8.88671875" style="3"/>
  </cols>
  <sheetData>
    <row r="1" spans="1:14" ht="18.75" customHeight="1" x14ac:dyDescent="0.15">
      <c r="A1" s="101" t="s">
        <v>0</v>
      </c>
      <c r="B1" s="102"/>
      <c r="C1" s="102"/>
      <c r="D1" s="102"/>
      <c r="E1" s="102"/>
      <c r="F1" s="102"/>
      <c r="G1" s="103"/>
      <c r="H1" s="107" t="s">
        <v>1</v>
      </c>
      <c r="I1" s="1" t="s">
        <v>2</v>
      </c>
      <c r="J1" s="1" t="s">
        <v>2</v>
      </c>
      <c r="K1" s="1" t="s">
        <v>3</v>
      </c>
      <c r="L1" s="2" t="s">
        <v>4</v>
      </c>
    </row>
    <row r="2" spans="1:14" ht="13.5" customHeight="1" x14ac:dyDescent="0.15">
      <c r="A2" s="104"/>
      <c r="B2" s="105"/>
      <c r="C2" s="105"/>
      <c r="D2" s="105"/>
      <c r="E2" s="105"/>
      <c r="F2" s="105"/>
      <c r="G2" s="106"/>
      <c r="H2" s="108"/>
      <c r="I2" s="110"/>
      <c r="J2" s="110"/>
      <c r="K2" s="110"/>
      <c r="L2" s="98"/>
    </row>
    <row r="3" spans="1:14" ht="13.5" customHeight="1" x14ac:dyDescent="0.15">
      <c r="A3" s="104"/>
      <c r="B3" s="105"/>
      <c r="C3" s="105"/>
      <c r="D3" s="105"/>
      <c r="E3" s="105"/>
      <c r="F3" s="105"/>
      <c r="G3" s="106"/>
      <c r="H3" s="108"/>
      <c r="I3" s="108"/>
      <c r="J3" s="108"/>
      <c r="K3" s="108"/>
      <c r="L3" s="99"/>
    </row>
    <row r="4" spans="1:14" ht="33" customHeight="1" x14ac:dyDescent="0.15">
      <c r="A4" s="4"/>
      <c r="B4" s="5"/>
      <c r="C4" s="5"/>
      <c r="D4" s="5"/>
      <c r="E4" s="5"/>
      <c r="F4" s="5"/>
      <c r="G4" s="5"/>
      <c r="H4" s="109"/>
      <c r="I4" s="109"/>
      <c r="J4" s="109"/>
      <c r="K4" s="109"/>
      <c r="L4" s="100"/>
    </row>
    <row r="5" spans="1:14" ht="17.25" customHeight="1" x14ac:dyDescent="0.15">
      <c r="A5" s="6" t="s">
        <v>5</v>
      </c>
      <c r="B5" s="87">
        <v>46094</v>
      </c>
      <c r="C5" s="88"/>
      <c r="D5" s="88"/>
      <c r="E5" s="88"/>
      <c r="F5" s="88"/>
      <c r="G5" s="88"/>
      <c r="H5" s="5"/>
      <c r="I5" s="5"/>
      <c r="J5" s="5"/>
      <c r="K5" s="5"/>
      <c r="L5" s="7"/>
    </row>
    <row r="6" spans="1:14" ht="13.5" customHeight="1" x14ac:dyDescent="0.15">
      <c r="A6" s="89" t="s">
        <v>6</v>
      </c>
      <c r="B6" s="91" t="s">
        <v>7</v>
      </c>
      <c r="C6" s="91" t="s">
        <v>8</v>
      </c>
      <c r="D6" s="91" t="s">
        <v>9</v>
      </c>
      <c r="E6" s="93" t="s">
        <v>10</v>
      </c>
      <c r="F6" s="93" t="s">
        <v>11</v>
      </c>
      <c r="G6" s="95" t="s">
        <v>12</v>
      </c>
      <c r="H6" s="96"/>
      <c r="I6" s="96"/>
      <c r="J6" s="96"/>
      <c r="K6" s="97"/>
      <c r="L6" s="83" t="s">
        <v>13</v>
      </c>
    </row>
    <row r="7" spans="1:14" x14ac:dyDescent="0.15">
      <c r="A7" s="90"/>
      <c r="B7" s="92"/>
      <c r="C7" s="92"/>
      <c r="D7" s="92"/>
      <c r="E7" s="94"/>
      <c r="F7" s="94"/>
      <c r="G7" s="8" t="s">
        <v>14</v>
      </c>
      <c r="H7" s="8" t="s">
        <v>15</v>
      </c>
      <c r="I7" s="8" t="s">
        <v>16</v>
      </c>
      <c r="J7" s="8" t="s">
        <v>17</v>
      </c>
      <c r="K7" s="8" t="s">
        <v>18</v>
      </c>
      <c r="L7" s="84"/>
    </row>
    <row r="8" spans="1:14" s="15" customFormat="1" ht="20.25" customHeight="1" x14ac:dyDescent="0.15">
      <c r="A8" s="60" t="s">
        <v>1351</v>
      </c>
      <c r="B8" s="9" t="s">
        <v>647</v>
      </c>
      <c r="C8" s="58" t="s">
        <v>29</v>
      </c>
      <c r="D8" s="11" t="s">
        <v>648</v>
      </c>
      <c r="E8" s="10">
        <v>24</v>
      </c>
      <c r="F8" s="58"/>
      <c r="G8" s="12">
        <v>770</v>
      </c>
      <c r="H8" s="12">
        <v>1981</v>
      </c>
      <c r="I8" s="17" t="s">
        <v>205</v>
      </c>
      <c r="J8" s="18">
        <v>20</v>
      </c>
      <c r="K8" s="19">
        <f>+M8*N8</f>
        <v>216.71099999999998</v>
      </c>
      <c r="L8" s="14"/>
      <c r="M8" s="15">
        <v>19.899999999999999</v>
      </c>
      <c r="N8" s="15">
        <v>10.89</v>
      </c>
    </row>
    <row r="9" spans="1:14" s="15" customFormat="1" ht="20.25" customHeight="1" x14ac:dyDescent="0.15">
      <c r="A9" s="60" t="s">
        <v>1392</v>
      </c>
      <c r="B9" s="9" t="s">
        <v>647</v>
      </c>
      <c r="C9" s="58" t="s">
        <v>29</v>
      </c>
      <c r="D9" s="11" t="s">
        <v>648</v>
      </c>
      <c r="E9" s="10">
        <v>24</v>
      </c>
      <c r="F9" s="58"/>
      <c r="G9" s="12">
        <v>720</v>
      </c>
      <c r="H9" s="12">
        <v>1980</v>
      </c>
      <c r="I9" s="17" t="s">
        <v>194</v>
      </c>
      <c r="J9" s="18">
        <v>30</v>
      </c>
      <c r="K9" s="19">
        <f t="shared" ref="K9:K23" si="0">+M9*N9</f>
        <v>255.91500000000002</v>
      </c>
      <c r="L9" s="14"/>
      <c r="M9" s="15">
        <v>23.5</v>
      </c>
      <c r="N9" s="15">
        <v>10.89</v>
      </c>
    </row>
    <row r="10" spans="1:14" s="15" customFormat="1" ht="20.25" customHeight="1" x14ac:dyDescent="0.15">
      <c r="A10" s="60" t="s">
        <v>1424</v>
      </c>
      <c r="B10" s="9" t="s">
        <v>647</v>
      </c>
      <c r="C10" s="58" t="s">
        <v>29</v>
      </c>
      <c r="D10" s="11" t="s">
        <v>217</v>
      </c>
      <c r="E10" s="10">
        <v>22</v>
      </c>
      <c r="F10" s="58" t="s">
        <v>11</v>
      </c>
      <c r="G10" s="12">
        <v>1725</v>
      </c>
      <c r="H10" s="12">
        <v>1981</v>
      </c>
      <c r="I10" s="17" t="s">
        <v>1425</v>
      </c>
      <c r="J10" s="18">
        <v>201</v>
      </c>
      <c r="K10" s="19">
        <f t="shared" si="0"/>
        <v>2334.9249</v>
      </c>
      <c r="L10" s="14"/>
      <c r="M10" s="15">
        <v>214.41</v>
      </c>
      <c r="N10" s="15">
        <v>10.89</v>
      </c>
    </row>
    <row r="11" spans="1:14" s="15" customFormat="1" ht="20.25" customHeight="1" x14ac:dyDescent="0.15">
      <c r="A11" s="60"/>
      <c r="B11" s="9"/>
      <c r="C11" s="58" t="s">
        <v>29</v>
      </c>
      <c r="D11" s="11" t="s">
        <v>648</v>
      </c>
      <c r="E11" s="10">
        <v>24</v>
      </c>
      <c r="F11" s="58"/>
      <c r="G11" s="12">
        <v>615</v>
      </c>
      <c r="H11" s="12">
        <v>1981</v>
      </c>
      <c r="I11" s="17" t="s">
        <v>1022</v>
      </c>
      <c r="J11" s="18">
        <v>28</v>
      </c>
      <c r="K11" s="19">
        <f t="shared" si="0"/>
        <v>223.02720000000002</v>
      </c>
      <c r="L11" s="14"/>
      <c r="M11" s="15">
        <v>20.48</v>
      </c>
      <c r="N11" s="15">
        <v>10.89</v>
      </c>
    </row>
    <row r="12" spans="1:14" s="15" customFormat="1" ht="20.25" customHeight="1" x14ac:dyDescent="0.15">
      <c r="A12" s="60" t="s">
        <v>1256</v>
      </c>
      <c r="B12" s="9" t="s">
        <v>138</v>
      </c>
      <c r="C12" s="58" t="s">
        <v>29</v>
      </c>
      <c r="D12" s="11" t="s">
        <v>372</v>
      </c>
      <c r="E12" s="10">
        <v>24</v>
      </c>
      <c r="F12" s="58"/>
      <c r="G12" s="12">
        <v>618</v>
      </c>
      <c r="H12" s="12">
        <v>1890</v>
      </c>
      <c r="I12" s="17" t="s">
        <v>1290</v>
      </c>
      <c r="J12" s="18">
        <v>72</v>
      </c>
      <c r="K12" s="19">
        <f t="shared" si="0"/>
        <v>437.12460000000004</v>
      </c>
      <c r="L12" s="14"/>
      <c r="M12" s="15">
        <v>40.14</v>
      </c>
      <c r="N12" s="15">
        <v>10.89</v>
      </c>
    </row>
    <row r="13" spans="1:14" s="15" customFormat="1" ht="20.25" customHeight="1" x14ac:dyDescent="0.15">
      <c r="A13" s="60"/>
      <c r="B13" s="9"/>
      <c r="C13" s="58" t="s">
        <v>29</v>
      </c>
      <c r="D13" s="11" t="s">
        <v>336</v>
      </c>
      <c r="E13" s="10">
        <v>24</v>
      </c>
      <c r="F13" s="58"/>
      <c r="G13" s="12">
        <v>1662</v>
      </c>
      <c r="H13" s="12">
        <v>1890</v>
      </c>
      <c r="I13" s="17" t="s">
        <v>443</v>
      </c>
      <c r="J13" s="18">
        <v>100</v>
      </c>
      <c r="K13" s="19">
        <f t="shared" si="0"/>
        <v>1039.9950000000001</v>
      </c>
      <c r="L13" s="14"/>
      <c r="M13" s="15">
        <v>95.5</v>
      </c>
      <c r="N13" s="15">
        <v>10.89</v>
      </c>
    </row>
    <row r="14" spans="1:14" s="15" customFormat="1" ht="20.25" customHeight="1" x14ac:dyDescent="0.15">
      <c r="A14" s="60"/>
      <c r="B14" s="9"/>
      <c r="C14" s="58" t="s">
        <v>29</v>
      </c>
      <c r="D14" s="11" t="s">
        <v>224</v>
      </c>
      <c r="E14" s="10">
        <v>22</v>
      </c>
      <c r="F14" s="58" t="s">
        <v>11</v>
      </c>
      <c r="G14" s="12">
        <v>618</v>
      </c>
      <c r="H14" s="12">
        <v>1890</v>
      </c>
      <c r="I14" s="17">
        <v>10</v>
      </c>
      <c r="J14" s="18">
        <v>10</v>
      </c>
      <c r="K14" s="19">
        <f t="shared" si="0"/>
        <v>127.413</v>
      </c>
      <c r="L14" s="20"/>
      <c r="M14" s="15">
        <v>11.7</v>
      </c>
      <c r="N14" s="15">
        <v>10.89</v>
      </c>
    </row>
    <row r="15" spans="1:14" s="15" customFormat="1" ht="20.25" customHeight="1" x14ac:dyDescent="0.15">
      <c r="A15" s="60"/>
      <c r="B15" s="9"/>
      <c r="C15" s="58"/>
      <c r="D15" s="11"/>
      <c r="E15" s="10"/>
      <c r="F15" s="58"/>
      <c r="G15" s="12"/>
      <c r="H15" s="12"/>
      <c r="I15" s="17"/>
      <c r="J15" s="18"/>
      <c r="K15" s="19">
        <f t="shared" si="0"/>
        <v>0</v>
      </c>
      <c r="L15" s="20"/>
      <c r="N15" s="15">
        <v>10.89</v>
      </c>
    </row>
    <row r="16" spans="1:14" s="15" customFormat="1" ht="20.25" customHeight="1" x14ac:dyDescent="0.15">
      <c r="A16" s="60"/>
      <c r="B16" s="9"/>
      <c r="C16" s="58"/>
      <c r="D16" s="11"/>
      <c r="E16" s="10"/>
      <c r="F16" s="58"/>
      <c r="G16" s="12"/>
      <c r="H16" s="12"/>
      <c r="I16" s="17"/>
      <c r="J16" s="18"/>
      <c r="K16" s="19">
        <f t="shared" si="0"/>
        <v>0</v>
      </c>
      <c r="L16" s="20"/>
      <c r="N16" s="15">
        <v>10.89</v>
      </c>
    </row>
    <row r="17" spans="1:14" s="15" customFormat="1" ht="20.25" customHeight="1" x14ac:dyDescent="0.15">
      <c r="A17" s="60"/>
      <c r="B17" s="9"/>
      <c r="C17" s="58"/>
      <c r="D17" s="11"/>
      <c r="E17" s="10"/>
      <c r="F17" s="58"/>
      <c r="G17" s="12"/>
      <c r="H17" s="12"/>
      <c r="I17" s="17"/>
      <c r="J17" s="18"/>
      <c r="K17" s="19">
        <f t="shared" si="0"/>
        <v>0</v>
      </c>
      <c r="L17" s="20"/>
      <c r="N17" s="15">
        <v>10.89</v>
      </c>
    </row>
    <row r="18" spans="1:14" s="15" customFormat="1" ht="20.25" customHeight="1" x14ac:dyDescent="0.15">
      <c r="A18" s="60"/>
      <c r="B18" s="9"/>
      <c r="C18" s="58"/>
      <c r="D18" s="11"/>
      <c r="E18" s="10"/>
      <c r="F18" s="58"/>
      <c r="G18" s="12"/>
      <c r="H18" s="12"/>
      <c r="I18" s="17"/>
      <c r="J18" s="18"/>
      <c r="K18" s="19">
        <f t="shared" si="0"/>
        <v>0</v>
      </c>
      <c r="L18" s="20"/>
      <c r="N18" s="15">
        <v>10.89</v>
      </c>
    </row>
    <row r="19" spans="1:14" s="15" customFormat="1" ht="20.25" customHeight="1" x14ac:dyDescent="0.15">
      <c r="A19" s="60"/>
      <c r="B19" s="9"/>
      <c r="C19" s="58"/>
      <c r="D19" s="11"/>
      <c r="E19" s="10"/>
      <c r="F19" s="58"/>
      <c r="G19" s="12"/>
      <c r="H19" s="12"/>
      <c r="I19" s="17"/>
      <c r="J19" s="18"/>
      <c r="K19" s="19">
        <f t="shared" si="0"/>
        <v>0</v>
      </c>
      <c r="L19" s="20"/>
      <c r="N19" s="15">
        <v>10.89</v>
      </c>
    </row>
    <row r="20" spans="1:14" s="15" customFormat="1" ht="20.25" customHeight="1" x14ac:dyDescent="0.15">
      <c r="A20" s="60"/>
      <c r="B20" s="9"/>
      <c r="C20" s="58"/>
      <c r="D20" s="11"/>
      <c r="E20" s="10"/>
      <c r="F20" s="58"/>
      <c r="G20" s="12"/>
      <c r="H20" s="12"/>
      <c r="I20" s="17"/>
      <c r="J20" s="18"/>
      <c r="K20" s="19">
        <f t="shared" si="0"/>
        <v>0</v>
      </c>
      <c r="L20" s="20"/>
      <c r="N20" s="15">
        <v>10.89</v>
      </c>
    </row>
    <row r="21" spans="1:14" s="15" customFormat="1" ht="20.25" customHeight="1" x14ac:dyDescent="0.15">
      <c r="A21" s="60"/>
      <c r="B21" s="9"/>
      <c r="C21" s="58"/>
      <c r="D21" s="11"/>
      <c r="E21" s="10"/>
      <c r="F21" s="58"/>
      <c r="G21" s="50"/>
      <c r="H21" s="50"/>
      <c r="I21" s="17"/>
      <c r="J21" s="18"/>
      <c r="K21" s="19">
        <f t="shared" si="0"/>
        <v>0</v>
      </c>
      <c r="L21" s="20"/>
      <c r="N21" s="15">
        <v>10.89</v>
      </c>
    </row>
    <row r="22" spans="1:14" s="15" customFormat="1" ht="20.25" customHeight="1" x14ac:dyDescent="0.15">
      <c r="A22" s="60"/>
      <c r="B22" s="9"/>
      <c r="C22" s="58"/>
      <c r="D22" s="11"/>
      <c r="E22" s="10"/>
      <c r="F22" s="58"/>
      <c r="G22" s="50"/>
      <c r="H22" s="50"/>
      <c r="I22" s="17"/>
      <c r="J22" s="18"/>
      <c r="K22" s="19">
        <f t="shared" si="0"/>
        <v>0</v>
      </c>
      <c r="L22" s="20"/>
      <c r="N22" s="15">
        <v>10.89</v>
      </c>
    </row>
    <row r="23" spans="1:14" ht="20.25" customHeight="1" x14ac:dyDescent="0.15">
      <c r="A23" s="60"/>
      <c r="B23" s="9"/>
      <c r="C23" s="58"/>
      <c r="D23" s="11"/>
      <c r="E23" s="10"/>
      <c r="F23" s="58"/>
      <c r="G23" s="16"/>
      <c r="H23" s="16"/>
      <c r="I23" s="17"/>
      <c r="J23" s="18"/>
      <c r="K23" s="19">
        <f t="shared" si="0"/>
        <v>0</v>
      </c>
      <c r="L23" s="20"/>
      <c r="N23" s="15">
        <v>10.89</v>
      </c>
    </row>
    <row r="24" spans="1:14" ht="20.25" customHeight="1" thickBot="1" x14ac:dyDescent="0.2">
      <c r="A24" s="56"/>
      <c r="B24" s="21"/>
      <c r="C24" s="59"/>
      <c r="D24" s="22"/>
      <c r="E24" s="23"/>
      <c r="F24" s="23"/>
      <c r="G24" s="24"/>
      <c r="H24" s="24"/>
      <c r="I24" s="25"/>
      <c r="J24" s="46">
        <f>SUM(J8:J23)</f>
        <v>461</v>
      </c>
      <c r="K24" s="47">
        <f>SUM(K8:K23)</f>
        <v>4635.1107000000002</v>
      </c>
      <c r="L24" s="26"/>
    </row>
    <row r="25" spans="1:14" ht="20.25" customHeight="1" thickTop="1" x14ac:dyDescent="0.15">
      <c r="A25" s="60" t="s">
        <v>1426</v>
      </c>
      <c r="B25" s="9" t="s">
        <v>110</v>
      </c>
      <c r="C25" s="58" t="s">
        <v>29</v>
      </c>
      <c r="D25" s="11" t="s">
        <v>1416</v>
      </c>
      <c r="E25" s="10">
        <v>28</v>
      </c>
      <c r="F25" s="10" t="s">
        <v>11</v>
      </c>
      <c r="G25" s="12">
        <v>950</v>
      </c>
      <c r="H25" s="12">
        <v>1885</v>
      </c>
      <c r="I25" s="17" t="s">
        <v>1428</v>
      </c>
      <c r="J25" s="18">
        <v>194</v>
      </c>
      <c r="K25" s="19">
        <f t="shared" ref="K25:K40" si="1">+M25*N25</f>
        <v>2612.8377</v>
      </c>
      <c r="L25" s="54"/>
      <c r="M25" s="3">
        <v>239.93</v>
      </c>
      <c r="N25" s="15">
        <v>10.89</v>
      </c>
    </row>
    <row r="26" spans="1:14" ht="20.25" customHeight="1" x14ac:dyDescent="0.15">
      <c r="A26" s="61"/>
      <c r="B26" s="9"/>
      <c r="C26" s="58" t="s">
        <v>29</v>
      </c>
      <c r="D26" s="11" t="s">
        <v>1427</v>
      </c>
      <c r="E26" s="10">
        <v>26</v>
      </c>
      <c r="F26" s="10" t="s">
        <v>11</v>
      </c>
      <c r="G26" s="12">
        <v>955</v>
      </c>
      <c r="H26" s="12">
        <v>1980</v>
      </c>
      <c r="I26" s="17">
        <v>1</v>
      </c>
      <c r="J26" s="18">
        <v>1</v>
      </c>
      <c r="K26" s="19">
        <f>+M26*N26</f>
        <v>20.582100000000001</v>
      </c>
      <c r="L26" s="54"/>
      <c r="M26" s="3">
        <v>1.89</v>
      </c>
      <c r="N26" s="15">
        <v>10.89</v>
      </c>
    </row>
    <row r="27" spans="1:14" ht="20.25" customHeight="1" x14ac:dyDescent="0.15">
      <c r="A27" s="60"/>
      <c r="B27" s="9"/>
      <c r="C27" s="58" t="s">
        <v>29</v>
      </c>
      <c r="D27" s="11" t="s">
        <v>1416</v>
      </c>
      <c r="E27" s="10">
        <v>28</v>
      </c>
      <c r="F27" s="10" t="s">
        <v>11</v>
      </c>
      <c r="G27" s="12">
        <v>922</v>
      </c>
      <c r="H27" s="12">
        <v>550</v>
      </c>
      <c r="I27" s="17">
        <v>47</v>
      </c>
      <c r="J27" s="18">
        <v>47</v>
      </c>
      <c r="K27" s="19">
        <f t="shared" si="1"/>
        <v>261.0333</v>
      </c>
      <c r="L27" s="54"/>
      <c r="M27" s="3">
        <v>23.97</v>
      </c>
      <c r="N27" s="15">
        <v>10.89</v>
      </c>
    </row>
    <row r="28" spans="1:14" ht="20.25" customHeight="1" x14ac:dyDescent="0.15">
      <c r="A28" s="61" t="s">
        <v>1429</v>
      </c>
      <c r="B28" s="9" t="s">
        <v>30</v>
      </c>
      <c r="C28" s="58" t="s">
        <v>29</v>
      </c>
      <c r="D28" s="11" t="s">
        <v>645</v>
      </c>
      <c r="E28" s="10">
        <v>27.76</v>
      </c>
      <c r="F28" s="10"/>
      <c r="G28" s="12">
        <v>649</v>
      </c>
      <c r="H28" s="12">
        <v>2207</v>
      </c>
      <c r="I28" s="17">
        <v>1</v>
      </c>
      <c r="J28" s="18">
        <v>1</v>
      </c>
      <c r="K28" s="19">
        <f t="shared" si="1"/>
        <v>15.572699999999999</v>
      </c>
      <c r="L28" s="54"/>
      <c r="M28" s="3">
        <v>1.43</v>
      </c>
      <c r="N28" s="15">
        <v>10.89</v>
      </c>
    </row>
    <row r="29" spans="1:14" ht="20.25" customHeight="1" x14ac:dyDescent="0.15">
      <c r="A29" s="61"/>
      <c r="B29" s="9"/>
      <c r="C29" s="58" t="s">
        <v>29</v>
      </c>
      <c r="D29" s="11" t="s">
        <v>329</v>
      </c>
      <c r="E29" s="10">
        <v>27.76</v>
      </c>
      <c r="F29" s="10"/>
      <c r="G29" s="12">
        <v>2031</v>
      </c>
      <c r="H29" s="12">
        <v>2202</v>
      </c>
      <c r="I29" s="17">
        <v>1</v>
      </c>
      <c r="J29" s="18">
        <v>1</v>
      </c>
      <c r="K29" s="19">
        <f t="shared" si="1"/>
        <v>48.6783</v>
      </c>
      <c r="L29" s="54"/>
      <c r="M29" s="3">
        <v>4.47</v>
      </c>
      <c r="N29" s="15">
        <v>10.89</v>
      </c>
    </row>
    <row r="30" spans="1:14" ht="20.25" customHeight="1" x14ac:dyDescent="0.15">
      <c r="A30" s="61"/>
      <c r="B30" s="9"/>
      <c r="C30" s="58" t="s">
        <v>29</v>
      </c>
      <c r="D30" s="11" t="s">
        <v>336</v>
      </c>
      <c r="E30" s="10">
        <v>24</v>
      </c>
      <c r="F30" s="10"/>
      <c r="G30" s="12">
        <v>595</v>
      </c>
      <c r="H30" s="12">
        <v>2053</v>
      </c>
      <c r="I30" s="51" t="s">
        <v>337</v>
      </c>
      <c r="J30" s="52">
        <v>2</v>
      </c>
      <c r="K30" s="53">
        <f t="shared" si="1"/>
        <v>58.806000000000004</v>
      </c>
      <c r="L30" s="54"/>
      <c r="M30" s="3">
        <v>5.4</v>
      </c>
      <c r="N30" s="15">
        <v>10.89</v>
      </c>
    </row>
    <row r="31" spans="1:14" ht="20.25" customHeight="1" x14ac:dyDescent="0.15">
      <c r="A31" s="61"/>
      <c r="B31" s="9"/>
      <c r="C31" s="58" t="s">
        <v>29</v>
      </c>
      <c r="D31" s="11" t="s">
        <v>1430</v>
      </c>
      <c r="E31" s="10">
        <v>43</v>
      </c>
      <c r="F31" s="10" t="s">
        <v>11</v>
      </c>
      <c r="G31" s="12">
        <v>495</v>
      </c>
      <c r="H31" s="12">
        <v>1040</v>
      </c>
      <c r="I31" s="51">
        <v>1</v>
      </c>
      <c r="J31" s="52">
        <v>1</v>
      </c>
      <c r="K31" s="53">
        <f t="shared" si="1"/>
        <v>5.5539000000000005</v>
      </c>
      <c r="L31" s="54"/>
      <c r="M31" s="3">
        <v>0.51</v>
      </c>
      <c r="N31" s="15">
        <v>10.89</v>
      </c>
    </row>
    <row r="32" spans="1:14" ht="20.25" customHeight="1" x14ac:dyDescent="0.15">
      <c r="A32" s="60" t="s">
        <v>1431</v>
      </c>
      <c r="B32" s="9" t="s">
        <v>1144</v>
      </c>
      <c r="C32" s="58" t="s">
        <v>29</v>
      </c>
      <c r="D32" s="11" t="s">
        <v>1145</v>
      </c>
      <c r="E32" s="10">
        <v>26</v>
      </c>
      <c r="F32" s="10" t="s">
        <v>11</v>
      </c>
      <c r="G32" s="12">
        <v>985</v>
      </c>
      <c r="H32" s="12">
        <v>540</v>
      </c>
      <c r="I32" s="17" t="s">
        <v>1432</v>
      </c>
      <c r="J32" s="18">
        <v>60</v>
      </c>
      <c r="K32" s="19">
        <f t="shared" si="1"/>
        <v>475.02179999999998</v>
      </c>
      <c r="L32" s="27"/>
      <c r="M32" s="3">
        <v>43.62</v>
      </c>
      <c r="N32" s="15">
        <v>10.89</v>
      </c>
    </row>
    <row r="33" spans="1:14" ht="20.25" customHeight="1" x14ac:dyDescent="0.15">
      <c r="A33" s="60" t="s">
        <v>1433</v>
      </c>
      <c r="B33" s="9" t="s">
        <v>1144</v>
      </c>
      <c r="C33" s="58" t="s">
        <v>29</v>
      </c>
      <c r="D33" s="11" t="s">
        <v>1145</v>
      </c>
      <c r="E33" s="10">
        <v>26</v>
      </c>
      <c r="F33" s="10" t="s">
        <v>11</v>
      </c>
      <c r="G33" s="12">
        <v>985</v>
      </c>
      <c r="H33" s="12">
        <v>540</v>
      </c>
      <c r="I33" s="17" t="s">
        <v>1003</v>
      </c>
      <c r="J33" s="18">
        <v>24</v>
      </c>
      <c r="K33" s="19">
        <f t="shared" si="1"/>
        <v>242.1936</v>
      </c>
      <c r="L33" s="27"/>
      <c r="M33" s="3">
        <v>22.24</v>
      </c>
      <c r="N33" s="15">
        <v>10.89</v>
      </c>
    </row>
    <row r="34" spans="1:14" ht="20.25" customHeight="1" x14ac:dyDescent="0.15">
      <c r="A34" s="60"/>
      <c r="B34" s="9"/>
      <c r="C34" s="58"/>
      <c r="D34" s="11"/>
      <c r="E34" s="10"/>
      <c r="F34" s="10"/>
      <c r="G34" s="12"/>
      <c r="H34" s="12"/>
      <c r="I34" s="17"/>
      <c r="J34" s="18"/>
      <c r="K34" s="19">
        <f t="shared" si="1"/>
        <v>0</v>
      </c>
      <c r="L34" s="27"/>
      <c r="N34" s="15">
        <v>10.89</v>
      </c>
    </row>
    <row r="35" spans="1:14" ht="20.25" customHeight="1" x14ac:dyDescent="0.15">
      <c r="A35" s="60"/>
      <c r="B35" s="9"/>
      <c r="C35" s="58"/>
      <c r="D35" s="11"/>
      <c r="E35" s="10"/>
      <c r="F35" s="10"/>
      <c r="G35" s="12"/>
      <c r="H35" s="12"/>
      <c r="I35" s="17"/>
      <c r="J35" s="18"/>
      <c r="K35" s="19">
        <f t="shared" si="1"/>
        <v>0</v>
      </c>
      <c r="L35" s="27"/>
      <c r="N35" s="15">
        <v>10.89</v>
      </c>
    </row>
    <row r="36" spans="1:14" ht="20.25" customHeight="1" x14ac:dyDescent="0.15">
      <c r="A36" s="60"/>
      <c r="B36" s="9"/>
      <c r="C36" s="58"/>
      <c r="D36" s="11"/>
      <c r="E36" s="10"/>
      <c r="F36" s="10"/>
      <c r="G36" s="12"/>
      <c r="H36" s="12"/>
      <c r="I36" s="17"/>
      <c r="J36" s="18"/>
      <c r="K36" s="19">
        <f t="shared" si="1"/>
        <v>0</v>
      </c>
      <c r="L36" s="27"/>
      <c r="N36" s="15">
        <v>10.89</v>
      </c>
    </row>
    <row r="37" spans="1:14" ht="20.25" customHeight="1" x14ac:dyDescent="0.15">
      <c r="A37" s="60"/>
      <c r="B37" s="9"/>
      <c r="C37" s="58"/>
      <c r="D37" s="11"/>
      <c r="E37" s="10"/>
      <c r="F37" s="10"/>
      <c r="G37" s="12"/>
      <c r="H37" s="12"/>
      <c r="I37" s="17"/>
      <c r="J37" s="18"/>
      <c r="K37" s="19">
        <f t="shared" si="1"/>
        <v>0</v>
      </c>
      <c r="L37" s="27"/>
      <c r="N37" s="15">
        <v>10.89</v>
      </c>
    </row>
    <row r="38" spans="1:14" ht="20.25" customHeight="1" x14ac:dyDescent="0.15">
      <c r="A38" s="60"/>
      <c r="B38" s="9"/>
      <c r="C38" s="58"/>
      <c r="D38" s="11"/>
      <c r="E38" s="10"/>
      <c r="F38" s="10"/>
      <c r="G38" s="12"/>
      <c r="H38" s="12"/>
      <c r="I38" s="17"/>
      <c r="J38" s="18"/>
      <c r="K38" s="19">
        <f t="shared" si="1"/>
        <v>0</v>
      </c>
      <c r="L38" s="27"/>
      <c r="N38" s="15">
        <v>10.89</v>
      </c>
    </row>
    <row r="39" spans="1:14" ht="20.25" customHeight="1" x14ac:dyDescent="0.15">
      <c r="A39" s="60"/>
      <c r="B39" s="9"/>
      <c r="C39" s="58"/>
      <c r="D39" s="11"/>
      <c r="E39" s="10"/>
      <c r="F39" s="10"/>
      <c r="G39" s="12"/>
      <c r="H39" s="12"/>
      <c r="I39" s="17"/>
      <c r="J39" s="18"/>
      <c r="K39" s="19">
        <f t="shared" si="1"/>
        <v>0</v>
      </c>
      <c r="L39" s="27"/>
      <c r="N39" s="15">
        <v>10.89</v>
      </c>
    </row>
    <row r="40" spans="1:14" ht="20.25" customHeight="1" x14ac:dyDescent="0.15">
      <c r="A40" s="60"/>
      <c r="B40" s="9"/>
      <c r="C40" s="58"/>
      <c r="D40" s="11"/>
      <c r="E40" s="10"/>
      <c r="F40" s="10"/>
      <c r="G40" s="12"/>
      <c r="H40" s="12"/>
      <c r="I40" s="17"/>
      <c r="J40" s="18"/>
      <c r="K40" s="19">
        <f t="shared" si="1"/>
        <v>0</v>
      </c>
      <c r="L40" s="27"/>
      <c r="N40" s="15">
        <v>10.89</v>
      </c>
    </row>
    <row r="41" spans="1:14" ht="20.25" customHeight="1" x14ac:dyDescent="0.15">
      <c r="A41" s="57"/>
      <c r="B41" s="28"/>
      <c r="C41" s="10"/>
      <c r="D41" s="29"/>
      <c r="E41" s="30"/>
      <c r="F41" s="30"/>
      <c r="G41" s="30"/>
      <c r="H41" s="30"/>
      <c r="I41" s="13"/>
      <c r="J41" s="48">
        <f>SUM(J25:J40)</f>
        <v>331</v>
      </c>
      <c r="K41" s="49">
        <f>SUM(K25:K40)</f>
        <v>3740.2794000000004</v>
      </c>
      <c r="L41" s="31"/>
      <c r="N41" s="32"/>
    </row>
    <row r="42" spans="1:14" ht="20.25" customHeight="1" thickBot="1" x14ac:dyDescent="0.2">
      <c r="A42" s="55"/>
      <c r="B42" s="33"/>
      <c r="C42" s="33"/>
      <c r="D42" s="33"/>
      <c r="E42" s="33"/>
      <c r="F42" s="33"/>
      <c r="G42" s="33"/>
      <c r="H42" s="33"/>
      <c r="I42" s="33"/>
      <c r="J42" s="34"/>
      <c r="K42" s="35"/>
      <c r="L42" s="36"/>
    </row>
    <row r="43" spans="1:14" ht="20.25" customHeight="1" thickBot="1" x14ac:dyDescent="0.2">
      <c r="A43" s="37" t="s">
        <v>19</v>
      </c>
      <c r="B43" s="38" t="s">
        <v>20</v>
      </c>
      <c r="C43" s="77" t="s">
        <v>21</v>
      </c>
      <c r="D43" s="79"/>
      <c r="E43" s="77" t="s">
        <v>22</v>
      </c>
      <c r="F43" s="78"/>
      <c r="G43" s="79"/>
      <c r="H43" s="85" t="s">
        <v>23</v>
      </c>
      <c r="I43" s="86"/>
      <c r="J43" s="77" t="s">
        <v>24</v>
      </c>
      <c r="K43" s="79"/>
      <c r="L43" s="39" t="s">
        <v>13</v>
      </c>
    </row>
    <row r="44" spans="1:14" ht="20.25" customHeight="1" thickBot="1" x14ac:dyDescent="0.2">
      <c r="A44" s="40">
        <f>SUMIF($C$8:$C$42,"U1",$J$8:$J$42)</f>
        <v>0</v>
      </c>
      <c r="B44" s="41">
        <f>SUMIF($C$8:$C$42,"U2",$J$8:$J$42)</f>
        <v>0</v>
      </c>
      <c r="C44" s="77">
        <f>SUMIF($C$8:$C$42,"U3-1",$J$8:$J$42)</f>
        <v>0</v>
      </c>
      <c r="D44" s="79"/>
      <c r="E44" s="77">
        <f>SUMIF($C$8:$C$42,"U3",$J$8:$J$42)</f>
        <v>792</v>
      </c>
      <c r="F44" s="78"/>
      <c r="G44" s="79"/>
      <c r="H44" s="77">
        <f>SUMIF($C$8:$C$42,"E5",$J$8:$J$42)</f>
        <v>0</v>
      </c>
      <c r="I44" s="79"/>
      <c r="J44" s="77">
        <f>SUM(A44:I44)</f>
        <v>792</v>
      </c>
      <c r="K44" s="79"/>
      <c r="L44" s="42"/>
    </row>
    <row r="45" spans="1:14" ht="20.25" customHeight="1" thickBot="1" x14ac:dyDescent="0.2">
      <c r="A45" s="43" t="s">
        <v>25</v>
      </c>
      <c r="B45" s="44" t="s">
        <v>26</v>
      </c>
      <c r="C45" s="75">
        <v>13876</v>
      </c>
      <c r="D45" s="76"/>
      <c r="E45" s="77" t="s">
        <v>27</v>
      </c>
      <c r="F45" s="78"/>
      <c r="G45" s="78"/>
      <c r="H45" s="78"/>
      <c r="I45" s="79"/>
      <c r="J45" s="80">
        <v>146744.37</v>
      </c>
      <c r="K45" s="81"/>
      <c r="L45" s="82"/>
    </row>
    <row r="47" spans="1:14" x14ac:dyDescent="0.15">
      <c r="D47" s="45"/>
    </row>
  </sheetData>
  <mergeCells count="26">
    <mergeCell ref="C45:D45"/>
    <mergeCell ref="E45:I45"/>
    <mergeCell ref="J45:L45"/>
    <mergeCell ref="L6:L7"/>
    <mergeCell ref="C43:D43"/>
    <mergeCell ref="E43:G43"/>
    <mergeCell ref="H43:I43"/>
    <mergeCell ref="J43:K43"/>
    <mergeCell ref="C44:D44"/>
    <mergeCell ref="E44:G44"/>
    <mergeCell ref="H44:I44"/>
    <mergeCell ref="J44:K44"/>
    <mergeCell ref="B5:G5"/>
    <mergeCell ref="A6:A7"/>
    <mergeCell ref="B6:B7"/>
    <mergeCell ref="C6:C7"/>
    <mergeCell ref="D6:D7"/>
    <mergeCell ref="E6:E7"/>
    <mergeCell ref="F6:F7"/>
    <mergeCell ref="G6:K6"/>
    <mergeCell ref="L2:L4"/>
    <mergeCell ref="A1:G3"/>
    <mergeCell ref="H1:H4"/>
    <mergeCell ref="I2:I4"/>
    <mergeCell ref="J2:J4"/>
    <mergeCell ref="K2:K4"/>
  </mergeCells>
  <phoneticPr fontId="2" type="noConversion"/>
  <printOptions horizontalCentered="1"/>
  <pageMargins left="0.39370078740157483" right="0.39370078740157483" top="0.74803149606299213" bottom="0.19685039370078741" header="0.31496062992125984" footer="0.15748031496062992"/>
  <pageSetup paperSize="9" scale="84" orientation="portrait" r:id="rId1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dimension ref="A1:N47"/>
  <sheetViews>
    <sheetView view="pageBreakPreview" topLeftCell="A25" zoomScaleSheetLayoutView="100" workbookViewId="0">
      <selection activeCell="C34" sqref="C34:F40"/>
    </sheetView>
  </sheetViews>
  <sheetFormatPr defaultColWidth="8.88671875" defaultRowHeight="13.5" x14ac:dyDescent="0.15"/>
  <cols>
    <col min="1" max="1" width="8.44140625" style="3" customWidth="1"/>
    <col min="2" max="2" width="14.77734375" style="3" customWidth="1"/>
    <col min="3" max="3" width="4.109375" style="3" customWidth="1"/>
    <col min="4" max="4" width="15.21875" style="3" customWidth="1"/>
    <col min="5" max="5" width="4.44140625" style="3" customWidth="1"/>
    <col min="6" max="6" width="4" style="3" customWidth="1"/>
    <col min="7" max="7" width="5.5546875" style="3" customWidth="1"/>
    <col min="8" max="8" width="5.44140625" style="3" customWidth="1"/>
    <col min="9" max="9" width="7.88671875" style="3" customWidth="1"/>
    <col min="10" max="10" width="7.109375" style="3" customWidth="1"/>
    <col min="11" max="11" width="7.21875" style="3" customWidth="1"/>
    <col min="12" max="12" width="6.77734375" style="3" customWidth="1"/>
    <col min="13" max="16384" width="8.88671875" style="3"/>
  </cols>
  <sheetData>
    <row r="1" spans="1:14" ht="18.75" customHeight="1" x14ac:dyDescent="0.15">
      <c r="A1" s="101" t="s">
        <v>0</v>
      </c>
      <c r="B1" s="102"/>
      <c r="C1" s="102"/>
      <c r="D1" s="102"/>
      <c r="E1" s="102"/>
      <c r="F1" s="102"/>
      <c r="G1" s="103"/>
      <c r="H1" s="107" t="s">
        <v>1</v>
      </c>
      <c r="I1" s="1" t="s">
        <v>2</v>
      </c>
      <c r="J1" s="1" t="s">
        <v>2</v>
      </c>
      <c r="K1" s="1" t="s">
        <v>3</v>
      </c>
      <c r="L1" s="2" t="s">
        <v>4</v>
      </c>
    </row>
    <row r="2" spans="1:14" ht="13.5" customHeight="1" x14ac:dyDescent="0.15">
      <c r="A2" s="104"/>
      <c r="B2" s="105"/>
      <c r="C2" s="105"/>
      <c r="D2" s="105"/>
      <c r="E2" s="105"/>
      <c r="F2" s="105"/>
      <c r="G2" s="106"/>
      <c r="H2" s="108"/>
      <c r="I2" s="110"/>
      <c r="J2" s="110"/>
      <c r="K2" s="110"/>
      <c r="L2" s="98"/>
    </row>
    <row r="3" spans="1:14" ht="13.5" customHeight="1" x14ac:dyDescent="0.15">
      <c r="A3" s="104"/>
      <c r="B3" s="105"/>
      <c r="C3" s="105"/>
      <c r="D3" s="105"/>
      <c r="E3" s="105"/>
      <c r="F3" s="105"/>
      <c r="G3" s="106"/>
      <c r="H3" s="108"/>
      <c r="I3" s="108"/>
      <c r="J3" s="108"/>
      <c r="K3" s="108"/>
      <c r="L3" s="99"/>
    </row>
    <row r="4" spans="1:14" ht="33" customHeight="1" x14ac:dyDescent="0.15">
      <c r="A4" s="4"/>
      <c r="B4" s="5"/>
      <c r="C4" s="5"/>
      <c r="D4" s="5"/>
      <c r="E4" s="5"/>
      <c r="F4" s="5"/>
      <c r="G4" s="5"/>
      <c r="H4" s="109"/>
      <c r="I4" s="109"/>
      <c r="J4" s="109"/>
      <c r="K4" s="109"/>
      <c r="L4" s="100"/>
    </row>
    <row r="5" spans="1:14" ht="17.25" customHeight="1" x14ac:dyDescent="0.15">
      <c r="A5" s="6" t="s">
        <v>5</v>
      </c>
      <c r="B5" s="87">
        <v>46097</v>
      </c>
      <c r="C5" s="88"/>
      <c r="D5" s="88"/>
      <c r="E5" s="88"/>
      <c r="F5" s="88"/>
      <c r="G5" s="88"/>
      <c r="H5" s="5"/>
      <c r="I5" s="5"/>
      <c r="J5" s="5"/>
      <c r="K5" s="5"/>
      <c r="L5" s="7"/>
    </row>
    <row r="6" spans="1:14" ht="13.5" customHeight="1" x14ac:dyDescent="0.15">
      <c r="A6" s="89" t="s">
        <v>6</v>
      </c>
      <c r="B6" s="91" t="s">
        <v>7</v>
      </c>
      <c r="C6" s="91" t="s">
        <v>8</v>
      </c>
      <c r="D6" s="91" t="s">
        <v>9</v>
      </c>
      <c r="E6" s="93" t="s">
        <v>10</v>
      </c>
      <c r="F6" s="93" t="s">
        <v>11</v>
      </c>
      <c r="G6" s="95" t="s">
        <v>12</v>
      </c>
      <c r="H6" s="96"/>
      <c r="I6" s="96"/>
      <c r="J6" s="96"/>
      <c r="K6" s="97"/>
      <c r="L6" s="83" t="s">
        <v>13</v>
      </c>
    </row>
    <row r="7" spans="1:14" x14ac:dyDescent="0.15">
      <c r="A7" s="90"/>
      <c r="B7" s="92"/>
      <c r="C7" s="92"/>
      <c r="D7" s="92"/>
      <c r="E7" s="94"/>
      <c r="F7" s="94"/>
      <c r="G7" s="8" t="s">
        <v>14</v>
      </c>
      <c r="H7" s="8" t="s">
        <v>15</v>
      </c>
      <c r="I7" s="8" t="s">
        <v>16</v>
      </c>
      <c r="J7" s="8" t="s">
        <v>17</v>
      </c>
      <c r="K7" s="8" t="s">
        <v>18</v>
      </c>
      <c r="L7" s="84"/>
    </row>
    <row r="8" spans="1:14" s="15" customFormat="1" ht="20.25" customHeight="1" x14ac:dyDescent="0.15">
      <c r="A8" s="60" t="s">
        <v>1461</v>
      </c>
      <c r="B8" s="9" t="s">
        <v>1464</v>
      </c>
      <c r="C8" s="58" t="s">
        <v>29</v>
      </c>
      <c r="D8" s="11" t="s">
        <v>1462</v>
      </c>
      <c r="E8" s="10">
        <v>22</v>
      </c>
      <c r="F8" s="58" t="s">
        <v>11</v>
      </c>
      <c r="G8" s="12">
        <v>315</v>
      </c>
      <c r="H8" s="12">
        <v>985</v>
      </c>
      <c r="I8" s="17">
        <v>33</v>
      </c>
      <c r="J8" s="18">
        <v>33</v>
      </c>
      <c r="K8" s="19">
        <f>+M8*N8</f>
        <v>111.40470000000001</v>
      </c>
      <c r="L8" s="14"/>
      <c r="M8" s="15">
        <v>10.23</v>
      </c>
      <c r="N8" s="15">
        <v>10.89</v>
      </c>
    </row>
    <row r="9" spans="1:14" s="15" customFormat="1" ht="20.25" customHeight="1" x14ac:dyDescent="0.15">
      <c r="A9" s="60" t="s">
        <v>1463</v>
      </c>
      <c r="B9" s="9" t="s">
        <v>1465</v>
      </c>
      <c r="C9" s="58" t="s">
        <v>29</v>
      </c>
      <c r="D9" s="11" t="s">
        <v>1466</v>
      </c>
      <c r="E9" s="10">
        <v>24</v>
      </c>
      <c r="F9" s="58"/>
      <c r="G9" s="12">
        <v>775</v>
      </c>
      <c r="H9" s="12">
        <v>1890</v>
      </c>
      <c r="I9" s="17" t="s">
        <v>1467</v>
      </c>
      <c r="J9" s="18">
        <v>80</v>
      </c>
      <c r="K9" s="19">
        <f t="shared" ref="K9:K23" si="0">+M9*N9</f>
        <v>776.45699999999999</v>
      </c>
      <c r="L9" s="14"/>
      <c r="M9" s="15">
        <v>71.3</v>
      </c>
      <c r="N9" s="15">
        <v>10.89</v>
      </c>
    </row>
    <row r="10" spans="1:14" s="15" customFormat="1" ht="20.25" customHeight="1" x14ac:dyDescent="0.15">
      <c r="A10" s="60"/>
      <c r="B10" s="9"/>
      <c r="C10" s="58" t="s">
        <v>29</v>
      </c>
      <c r="D10" s="11" t="s">
        <v>1468</v>
      </c>
      <c r="E10" s="10">
        <v>24</v>
      </c>
      <c r="F10" s="58"/>
      <c r="G10" s="12">
        <v>1662</v>
      </c>
      <c r="H10" s="12">
        <v>1890</v>
      </c>
      <c r="I10" s="17" t="s">
        <v>1469</v>
      </c>
      <c r="J10" s="18">
        <v>90</v>
      </c>
      <c r="K10" s="19">
        <f t="shared" si="0"/>
        <v>1118.403</v>
      </c>
      <c r="L10" s="14"/>
      <c r="M10" s="15">
        <v>102.7</v>
      </c>
      <c r="N10" s="15">
        <v>10.89</v>
      </c>
    </row>
    <row r="11" spans="1:14" s="15" customFormat="1" ht="20.25" customHeight="1" x14ac:dyDescent="0.15">
      <c r="A11" s="60"/>
      <c r="B11" s="9"/>
      <c r="C11" s="58" t="s">
        <v>29</v>
      </c>
      <c r="D11" s="11" t="s">
        <v>1470</v>
      </c>
      <c r="E11" s="10">
        <v>22</v>
      </c>
      <c r="F11" s="58" t="s">
        <v>11</v>
      </c>
      <c r="G11" s="12">
        <v>618</v>
      </c>
      <c r="H11" s="12">
        <v>1890</v>
      </c>
      <c r="I11" s="17">
        <v>10</v>
      </c>
      <c r="J11" s="18">
        <v>10</v>
      </c>
      <c r="K11" s="19">
        <f t="shared" si="0"/>
        <v>127.413</v>
      </c>
      <c r="L11" s="14"/>
      <c r="M11" s="15">
        <v>11.7</v>
      </c>
      <c r="N11" s="15">
        <v>10.89</v>
      </c>
    </row>
    <row r="12" spans="1:14" s="15" customFormat="1" ht="20.25" customHeight="1" x14ac:dyDescent="0.15">
      <c r="A12" s="60" t="s">
        <v>1471</v>
      </c>
      <c r="B12" s="9" t="s">
        <v>1465</v>
      </c>
      <c r="C12" s="58" t="s">
        <v>29</v>
      </c>
      <c r="D12" s="11" t="s">
        <v>1466</v>
      </c>
      <c r="E12" s="10">
        <v>24</v>
      </c>
      <c r="F12" s="58"/>
      <c r="G12" s="12">
        <v>775</v>
      </c>
      <c r="H12" s="12">
        <v>1890</v>
      </c>
      <c r="I12" s="17" t="s">
        <v>1472</v>
      </c>
      <c r="J12" s="18">
        <v>33</v>
      </c>
      <c r="K12" s="19">
        <f t="shared" si="0"/>
        <v>467.83440000000002</v>
      </c>
      <c r="L12" s="14"/>
      <c r="M12" s="15">
        <v>42.96</v>
      </c>
      <c r="N12" s="15">
        <v>10.89</v>
      </c>
    </row>
    <row r="13" spans="1:14" s="15" customFormat="1" ht="20.25" customHeight="1" x14ac:dyDescent="0.15">
      <c r="A13" s="60" t="s">
        <v>1473</v>
      </c>
      <c r="B13" s="9" t="s">
        <v>1447</v>
      </c>
      <c r="C13" s="58" t="s">
        <v>29</v>
      </c>
      <c r="D13" s="11" t="s">
        <v>1448</v>
      </c>
      <c r="E13" s="10">
        <v>26</v>
      </c>
      <c r="F13" s="58" t="s">
        <v>11</v>
      </c>
      <c r="G13" s="12">
        <v>875</v>
      </c>
      <c r="H13" s="12">
        <v>540</v>
      </c>
      <c r="I13" s="17" t="s">
        <v>1474</v>
      </c>
      <c r="J13" s="18">
        <v>85</v>
      </c>
      <c r="K13" s="19">
        <f t="shared" si="0"/>
        <v>861.61680000000013</v>
      </c>
      <c r="L13" s="14"/>
      <c r="M13" s="15">
        <v>79.12</v>
      </c>
      <c r="N13" s="15">
        <v>10.89</v>
      </c>
    </row>
    <row r="14" spans="1:14" s="15" customFormat="1" ht="20.25" customHeight="1" x14ac:dyDescent="0.15">
      <c r="A14" s="60"/>
      <c r="B14" s="9"/>
      <c r="C14" s="58"/>
      <c r="D14" s="11"/>
      <c r="E14" s="10"/>
      <c r="F14" s="58"/>
      <c r="G14" s="12"/>
      <c r="H14" s="12"/>
      <c r="I14" s="17"/>
      <c r="J14" s="18"/>
      <c r="K14" s="19">
        <f t="shared" si="0"/>
        <v>0</v>
      </c>
      <c r="L14" s="20"/>
      <c r="N14" s="15">
        <v>10.89</v>
      </c>
    </row>
    <row r="15" spans="1:14" s="15" customFormat="1" ht="20.25" customHeight="1" x14ac:dyDescent="0.15">
      <c r="A15" s="60"/>
      <c r="B15" s="9"/>
      <c r="C15" s="58"/>
      <c r="D15" s="11"/>
      <c r="E15" s="10"/>
      <c r="F15" s="58"/>
      <c r="G15" s="12"/>
      <c r="H15" s="12"/>
      <c r="I15" s="17"/>
      <c r="J15" s="18"/>
      <c r="K15" s="19">
        <f t="shared" si="0"/>
        <v>0</v>
      </c>
      <c r="L15" s="20"/>
      <c r="N15" s="15">
        <v>10.89</v>
      </c>
    </row>
    <row r="16" spans="1:14" s="15" customFormat="1" ht="20.25" customHeight="1" x14ac:dyDescent="0.15">
      <c r="A16" s="60"/>
      <c r="B16" s="9"/>
      <c r="C16" s="58"/>
      <c r="D16" s="11"/>
      <c r="E16" s="10"/>
      <c r="F16" s="58"/>
      <c r="G16" s="12"/>
      <c r="H16" s="12"/>
      <c r="I16" s="17"/>
      <c r="J16" s="18"/>
      <c r="K16" s="19">
        <f t="shared" si="0"/>
        <v>0</v>
      </c>
      <c r="L16" s="20"/>
      <c r="N16" s="15">
        <v>10.89</v>
      </c>
    </row>
    <row r="17" spans="1:14" s="15" customFormat="1" ht="20.25" customHeight="1" x14ac:dyDescent="0.15">
      <c r="A17" s="60"/>
      <c r="B17" s="9"/>
      <c r="C17" s="58"/>
      <c r="D17" s="11"/>
      <c r="E17" s="10"/>
      <c r="F17" s="58"/>
      <c r="G17" s="12"/>
      <c r="H17" s="12"/>
      <c r="I17" s="17"/>
      <c r="J17" s="18"/>
      <c r="K17" s="19">
        <f t="shared" si="0"/>
        <v>0</v>
      </c>
      <c r="L17" s="20"/>
      <c r="N17" s="15">
        <v>10.89</v>
      </c>
    </row>
    <row r="18" spans="1:14" s="15" customFormat="1" ht="20.25" customHeight="1" x14ac:dyDescent="0.15">
      <c r="A18" s="60"/>
      <c r="B18" s="9"/>
      <c r="C18" s="58"/>
      <c r="D18" s="11"/>
      <c r="E18" s="10"/>
      <c r="F18" s="58"/>
      <c r="G18" s="12"/>
      <c r="H18" s="12"/>
      <c r="I18" s="17"/>
      <c r="J18" s="18"/>
      <c r="K18" s="19">
        <f t="shared" si="0"/>
        <v>0</v>
      </c>
      <c r="L18" s="20"/>
      <c r="N18" s="15">
        <v>10.89</v>
      </c>
    </row>
    <row r="19" spans="1:14" s="15" customFormat="1" ht="20.25" customHeight="1" x14ac:dyDescent="0.15">
      <c r="A19" s="60"/>
      <c r="B19" s="9"/>
      <c r="C19" s="58"/>
      <c r="D19" s="11"/>
      <c r="E19" s="10"/>
      <c r="F19" s="58"/>
      <c r="G19" s="12"/>
      <c r="H19" s="12"/>
      <c r="I19" s="17"/>
      <c r="J19" s="18"/>
      <c r="K19" s="19">
        <f t="shared" si="0"/>
        <v>0</v>
      </c>
      <c r="L19" s="20"/>
      <c r="N19" s="15">
        <v>10.89</v>
      </c>
    </row>
    <row r="20" spans="1:14" s="15" customFormat="1" ht="20.25" customHeight="1" x14ac:dyDescent="0.15">
      <c r="A20" s="60"/>
      <c r="B20" s="9"/>
      <c r="C20" s="58"/>
      <c r="D20" s="11"/>
      <c r="E20" s="10"/>
      <c r="F20" s="58"/>
      <c r="G20" s="12"/>
      <c r="H20" s="12"/>
      <c r="I20" s="17"/>
      <c r="J20" s="18"/>
      <c r="K20" s="19">
        <f t="shared" si="0"/>
        <v>0</v>
      </c>
      <c r="L20" s="20"/>
      <c r="N20" s="15">
        <v>10.89</v>
      </c>
    </row>
    <row r="21" spans="1:14" s="15" customFormat="1" ht="20.25" customHeight="1" x14ac:dyDescent="0.15">
      <c r="A21" s="60"/>
      <c r="B21" s="9"/>
      <c r="C21" s="58"/>
      <c r="D21" s="11"/>
      <c r="E21" s="10"/>
      <c r="F21" s="58"/>
      <c r="G21" s="50"/>
      <c r="H21" s="50"/>
      <c r="I21" s="17"/>
      <c r="J21" s="18"/>
      <c r="K21" s="19">
        <f t="shared" si="0"/>
        <v>0</v>
      </c>
      <c r="L21" s="20"/>
      <c r="N21" s="15">
        <v>10.89</v>
      </c>
    </row>
    <row r="22" spans="1:14" s="15" customFormat="1" ht="20.25" customHeight="1" x14ac:dyDescent="0.15">
      <c r="A22" s="60"/>
      <c r="B22" s="9"/>
      <c r="C22" s="58"/>
      <c r="D22" s="11"/>
      <c r="E22" s="10"/>
      <c r="F22" s="58"/>
      <c r="G22" s="50"/>
      <c r="H22" s="50"/>
      <c r="I22" s="17"/>
      <c r="J22" s="18"/>
      <c r="K22" s="19">
        <f t="shared" si="0"/>
        <v>0</v>
      </c>
      <c r="L22" s="20"/>
      <c r="N22" s="15">
        <v>10.89</v>
      </c>
    </row>
    <row r="23" spans="1:14" ht="20.25" customHeight="1" x14ac:dyDescent="0.15">
      <c r="A23" s="60"/>
      <c r="B23" s="9"/>
      <c r="C23" s="58"/>
      <c r="D23" s="11"/>
      <c r="E23" s="10"/>
      <c r="F23" s="58"/>
      <c r="G23" s="16"/>
      <c r="H23" s="16"/>
      <c r="I23" s="17"/>
      <c r="J23" s="18"/>
      <c r="K23" s="19">
        <f t="shared" si="0"/>
        <v>0</v>
      </c>
      <c r="L23" s="20"/>
      <c r="N23" s="15">
        <v>10.89</v>
      </c>
    </row>
    <row r="24" spans="1:14" ht="20.25" customHeight="1" thickBot="1" x14ac:dyDescent="0.2">
      <c r="A24" s="56"/>
      <c r="B24" s="21"/>
      <c r="C24" s="59"/>
      <c r="D24" s="22"/>
      <c r="E24" s="23"/>
      <c r="F24" s="23"/>
      <c r="G24" s="24"/>
      <c r="H24" s="24"/>
      <c r="I24" s="25"/>
      <c r="J24" s="46">
        <f>SUM(J8:J23)</f>
        <v>331</v>
      </c>
      <c r="K24" s="47">
        <f>SUM(K8:K23)</f>
        <v>3463.1289000000006</v>
      </c>
      <c r="L24" s="26"/>
    </row>
    <row r="25" spans="1:14" ht="20.25" customHeight="1" thickTop="1" x14ac:dyDescent="0.15">
      <c r="A25" s="60" t="s">
        <v>1434</v>
      </c>
      <c r="B25" s="9" t="s">
        <v>1435</v>
      </c>
      <c r="C25" s="58" t="s">
        <v>29</v>
      </c>
      <c r="D25" s="11" t="s">
        <v>1436</v>
      </c>
      <c r="E25" s="10">
        <v>22</v>
      </c>
      <c r="F25" s="10"/>
      <c r="G25" s="12">
        <v>954</v>
      </c>
      <c r="H25" s="12">
        <v>1967</v>
      </c>
      <c r="I25" s="17" t="s">
        <v>1437</v>
      </c>
      <c r="J25" s="18">
        <v>126</v>
      </c>
      <c r="K25" s="19">
        <f t="shared" ref="K25:K40" si="1">+M25*N25</f>
        <v>1244.0735999999999</v>
      </c>
      <c r="L25" s="54"/>
      <c r="M25" s="3">
        <v>114.24</v>
      </c>
      <c r="N25" s="15">
        <v>10.89</v>
      </c>
    </row>
    <row r="26" spans="1:14" ht="20.25" customHeight="1" x14ac:dyDescent="0.15">
      <c r="A26" s="60" t="s">
        <v>1438</v>
      </c>
      <c r="B26" s="9" t="s">
        <v>1435</v>
      </c>
      <c r="C26" s="58" t="s">
        <v>29</v>
      </c>
      <c r="D26" s="11" t="s">
        <v>1436</v>
      </c>
      <c r="E26" s="10">
        <v>22</v>
      </c>
      <c r="F26" s="10"/>
      <c r="G26" s="12">
        <v>954</v>
      </c>
      <c r="H26" s="12">
        <v>1967</v>
      </c>
      <c r="I26" s="17" t="s">
        <v>1439</v>
      </c>
      <c r="J26" s="18">
        <v>53</v>
      </c>
      <c r="K26" s="19">
        <f t="shared" si="1"/>
        <v>1028.2338</v>
      </c>
      <c r="L26" s="54"/>
      <c r="M26" s="3">
        <v>94.42</v>
      </c>
      <c r="N26" s="15">
        <v>10.89</v>
      </c>
    </row>
    <row r="27" spans="1:14" ht="20.25" customHeight="1" x14ac:dyDescent="0.15">
      <c r="A27" s="61" t="s">
        <v>1440</v>
      </c>
      <c r="B27" s="9" t="s">
        <v>1441</v>
      </c>
      <c r="C27" s="58" t="s">
        <v>29</v>
      </c>
      <c r="D27" s="11" t="s">
        <v>1533</v>
      </c>
      <c r="E27" s="10">
        <v>31.52</v>
      </c>
      <c r="F27" s="10" t="s">
        <v>11</v>
      </c>
      <c r="G27" s="12">
        <v>2195</v>
      </c>
      <c r="H27" s="12">
        <v>2225</v>
      </c>
      <c r="I27" s="17" t="s">
        <v>1442</v>
      </c>
      <c r="J27" s="18">
        <v>40</v>
      </c>
      <c r="K27" s="19">
        <f t="shared" si="1"/>
        <v>2000.9286000000002</v>
      </c>
      <c r="L27" s="54"/>
      <c r="M27" s="3">
        <v>183.74</v>
      </c>
      <c r="N27" s="15">
        <v>10.89</v>
      </c>
    </row>
    <row r="28" spans="1:14" ht="20.25" customHeight="1" x14ac:dyDescent="0.15">
      <c r="A28" s="61" t="s">
        <v>1443</v>
      </c>
      <c r="B28" s="9" t="s">
        <v>1444</v>
      </c>
      <c r="C28" s="58" t="s">
        <v>29</v>
      </c>
      <c r="D28" s="11" t="s">
        <v>1445</v>
      </c>
      <c r="E28" s="10">
        <v>22</v>
      </c>
      <c r="F28" s="10" t="s">
        <v>11</v>
      </c>
      <c r="G28" s="12">
        <v>1421</v>
      </c>
      <c r="H28" s="12">
        <v>1763</v>
      </c>
      <c r="I28" s="17">
        <v>2</v>
      </c>
      <c r="J28" s="18">
        <v>2</v>
      </c>
      <c r="K28" s="19">
        <f t="shared" si="1"/>
        <v>54.6678</v>
      </c>
      <c r="L28" s="54"/>
      <c r="M28" s="3">
        <v>5.0199999999999996</v>
      </c>
      <c r="N28" s="15">
        <v>10.89</v>
      </c>
    </row>
    <row r="29" spans="1:14" ht="20.25" customHeight="1" x14ac:dyDescent="0.15">
      <c r="A29" s="61" t="s">
        <v>1446</v>
      </c>
      <c r="B29" s="9" t="s">
        <v>1447</v>
      </c>
      <c r="C29" s="58" t="s">
        <v>29</v>
      </c>
      <c r="D29" s="11" t="s">
        <v>1448</v>
      </c>
      <c r="E29" s="10">
        <v>26</v>
      </c>
      <c r="F29" s="10" t="s">
        <v>11</v>
      </c>
      <c r="G29" s="12">
        <v>985</v>
      </c>
      <c r="H29" s="12">
        <v>540</v>
      </c>
      <c r="I29" s="17" t="s">
        <v>1449</v>
      </c>
      <c r="J29" s="18">
        <v>83</v>
      </c>
      <c r="K29" s="19">
        <f t="shared" si="1"/>
        <v>810.86939999999993</v>
      </c>
      <c r="L29" s="54"/>
      <c r="M29" s="3">
        <v>74.459999999999994</v>
      </c>
      <c r="N29" s="15">
        <v>10.89</v>
      </c>
    </row>
    <row r="30" spans="1:14" ht="20.25" customHeight="1" x14ac:dyDescent="0.15">
      <c r="A30" s="61" t="s">
        <v>1450</v>
      </c>
      <c r="B30" s="9" t="s">
        <v>1447</v>
      </c>
      <c r="C30" s="58" t="s">
        <v>29</v>
      </c>
      <c r="D30" s="11" t="s">
        <v>1448</v>
      </c>
      <c r="E30" s="10">
        <v>26</v>
      </c>
      <c r="F30" s="10" t="s">
        <v>11</v>
      </c>
      <c r="G30" s="12">
        <v>1085</v>
      </c>
      <c r="H30" s="12">
        <v>460</v>
      </c>
      <c r="I30" s="51" t="s">
        <v>1451</v>
      </c>
      <c r="J30" s="52">
        <v>8</v>
      </c>
      <c r="K30" s="53">
        <f t="shared" si="1"/>
        <v>117.06750000000001</v>
      </c>
      <c r="L30" s="54"/>
      <c r="M30" s="3">
        <v>10.75</v>
      </c>
      <c r="N30" s="15">
        <v>10.89</v>
      </c>
    </row>
    <row r="31" spans="1:14" ht="20.25" customHeight="1" x14ac:dyDescent="0.15">
      <c r="A31" s="61" t="s">
        <v>1452</v>
      </c>
      <c r="B31" s="9" t="s">
        <v>1453</v>
      </c>
      <c r="C31" s="58" t="s">
        <v>29</v>
      </c>
      <c r="D31" s="11" t="s">
        <v>1454</v>
      </c>
      <c r="E31" s="10">
        <v>39</v>
      </c>
      <c r="F31" s="10" t="s">
        <v>11</v>
      </c>
      <c r="G31" s="12">
        <v>525</v>
      </c>
      <c r="H31" s="12">
        <v>890</v>
      </c>
      <c r="I31" s="51">
        <v>1</v>
      </c>
      <c r="J31" s="52">
        <v>1</v>
      </c>
      <c r="K31" s="53">
        <f t="shared" si="1"/>
        <v>5.1182999999999996</v>
      </c>
      <c r="L31" s="54"/>
      <c r="M31" s="3">
        <v>0.47</v>
      </c>
      <c r="N31" s="15">
        <v>10.89</v>
      </c>
    </row>
    <row r="32" spans="1:14" ht="20.25" customHeight="1" x14ac:dyDescent="0.15">
      <c r="A32" s="60" t="s">
        <v>1455</v>
      </c>
      <c r="B32" s="9" t="s">
        <v>1456</v>
      </c>
      <c r="C32" s="58" t="s">
        <v>29</v>
      </c>
      <c r="D32" s="11" t="s">
        <v>1457</v>
      </c>
      <c r="E32" s="10">
        <v>24</v>
      </c>
      <c r="F32" s="10" t="s">
        <v>11</v>
      </c>
      <c r="G32" s="12">
        <v>935</v>
      </c>
      <c r="H32" s="12">
        <v>1945</v>
      </c>
      <c r="I32" s="17">
        <v>1</v>
      </c>
      <c r="J32" s="18">
        <v>1</v>
      </c>
      <c r="K32" s="19">
        <f t="shared" si="1"/>
        <v>19.819800000000001</v>
      </c>
      <c r="L32" s="27"/>
      <c r="M32" s="3">
        <v>1.82</v>
      </c>
      <c r="N32" s="15">
        <v>10.89</v>
      </c>
    </row>
    <row r="33" spans="1:14" ht="20.25" customHeight="1" x14ac:dyDescent="0.15">
      <c r="A33" s="60" t="s">
        <v>1458</v>
      </c>
      <c r="B33" s="9" t="s">
        <v>1459</v>
      </c>
      <c r="C33" s="58" t="s">
        <v>29</v>
      </c>
      <c r="D33" s="11" t="s">
        <v>1460</v>
      </c>
      <c r="E33" s="10">
        <v>22</v>
      </c>
      <c r="F33" s="10" t="s">
        <v>11</v>
      </c>
      <c r="G33" s="12">
        <v>730</v>
      </c>
      <c r="H33" s="12">
        <v>980</v>
      </c>
      <c r="I33" s="17">
        <v>1</v>
      </c>
      <c r="J33" s="18">
        <v>1</v>
      </c>
      <c r="K33" s="19">
        <f t="shared" si="1"/>
        <v>7.8407999999999998</v>
      </c>
      <c r="L33" s="27"/>
      <c r="M33" s="3">
        <v>0.72</v>
      </c>
      <c r="N33" s="15">
        <v>10.89</v>
      </c>
    </row>
    <row r="34" spans="1:14" ht="20.25" customHeight="1" x14ac:dyDescent="0.15">
      <c r="A34" s="60"/>
      <c r="B34" s="9"/>
      <c r="C34" s="58"/>
      <c r="D34" s="11"/>
      <c r="E34" s="10"/>
      <c r="F34" s="10"/>
      <c r="G34" s="12"/>
      <c r="H34" s="12"/>
      <c r="I34" s="17"/>
      <c r="J34" s="18"/>
      <c r="K34" s="19">
        <f t="shared" si="1"/>
        <v>0</v>
      </c>
      <c r="L34" s="27"/>
      <c r="N34" s="15">
        <v>10.89</v>
      </c>
    </row>
    <row r="35" spans="1:14" ht="20.25" customHeight="1" x14ac:dyDescent="0.15">
      <c r="A35" s="60"/>
      <c r="B35" s="9"/>
      <c r="C35" s="58"/>
      <c r="D35" s="11"/>
      <c r="E35" s="10"/>
      <c r="F35" s="10"/>
      <c r="G35" s="12"/>
      <c r="H35" s="12"/>
      <c r="I35" s="17"/>
      <c r="J35" s="18"/>
      <c r="K35" s="19">
        <f t="shared" si="1"/>
        <v>0</v>
      </c>
      <c r="L35" s="27"/>
      <c r="N35" s="15">
        <v>10.89</v>
      </c>
    </row>
    <row r="36" spans="1:14" ht="20.25" customHeight="1" x14ac:dyDescent="0.15">
      <c r="A36" s="60"/>
      <c r="B36" s="9"/>
      <c r="C36" s="58"/>
      <c r="D36" s="11"/>
      <c r="E36" s="10"/>
      <c r="F36" s="10"/>
      <c r="G36" s="12"/>
      <c r="H36" s="12"/>
      <c r="I36" s="17"/>
      <c r="J36" s="18"/>
      <c r="K36" s="19">
        <f t="shared" si="1"/>
        <v>0</v>
      </c>
      <c r="L36" s="27"/>
      <c r="N36" s="15">
        <v>10.89</v>
      </c>
    </row>
    <row r="37" spans="1:14" ht="20.25" customHeight="1" x14ac:dyDescent="0.15">
      <c r="A37" s="60"/>
      <c r="B37" s="9"/>
      <c r="C37" s="58"/>
      <c r="D37" s="11"/>
      <c r="E37" s="10"/>
      <c r="F37" s="10"/>
      <c r="G37" s="12"/>
      <c r="H37" s="12"/>
      <c r="I37" s="17"/>
      <c r="J37" s="18"/>
      <c r="K37" s="19">
        <f t="shared" si="1"/>
        <v>0</v>
      </c>
      <c r="L37" s="27"/>
      <c r="N37" s="15">
        <v>10.89</v>
      </c>
    </row>
    <row r="38" spans="1:14" ht="20.25" customHeight="1" x14ac:dyDescent="0.15">
      <c r="A38" s="60"/>
      <c r="B38" s="9"/>
      <c r="C38" s="58"/>
      <c r="D38" s="11"/>
      <c r="E38" s="10"/>
      <c r="F38" s="10"/>
      <c r="G38" s="12"/>
      <c r="H38" s="12"/>
      <c r="I38" s="17"/>
      <c r="J38" s="18"/>
      <c r="K38" s="19">
        <f t="shared" si="1"/>
        <v>0</v>
      </c>
      <c r="L38" s="27"/>
      <c r="N38" s="15">
        <v>10.89</v>
      </c>
    </row>
    <row r="39" spans="1:14" ht="20.25" customHeight="1" x14ac:dyDescent="0.15">
      <c r="A39" s="60"/>
      <c r="B39" s="9"/>
      <c r="C39" s="58"/>
      <c r="D39" s="11"/>
      <c r="E39" s="10"/>
      <c r="F39" s="10"/>
      <c r="G39" s="12"/>
      <c r="H39" s="12"/>
      <c r="I39" s="17"/>
      <c r="J39" s="18"/>
      <c r="K39" s="19">
        <f t="shared" si="1"/>
        <v>0</v>
      </c>
      <c r="L39" s="27"/>
      <c r="N39" s="15">
        <v>10.89</v>
      </c>
    </row>
    <row r="40" spans="1:14" ht="20.25" customHeight="1" x14ac:dyDescent="0.15">
      <c r="A40" s="60"/>
      <c r="B40" s="9"/>
      <c r="C40" s="58"/>
      <c r="D40" s="11"/>
      <c r="E40" s="10"/>
      <c r="F40" s="10"/>
      <c r="G40" s="12"/>
      <c r="H40" s="12"/>
      <c r="I40" s="17"/>
      <c r="J40" s="18"/>
      <c r="K40" s="19">
        <f t="shared" si="1"/>
        <v>0</v>
      </c>
      <c r="L40" s="27"/>
      <c r="N40" s="15">
        <v>10.89</v>
      </c>
    </row>
    <row r="41" spans="1:14" ht="20.25" customHeight="1" x14ac:dyDescent="0.15">
      <c r="A41" s="57"/>
      <c r="B41" s="28"/>
      <c r="C41" s="10"/>
      <c r="D41" s="29"/>
      <c r="E41" s="30"/>
      <c r="F41" s="30"/>
      <c r="G41" s="30"/>
      <c r="H41" s="30"/>
      <c r="I41" s="13"/>
      <c r="J41" s="48">
        <f>SUM(J25:J40)</f>
        <v>315</v>
      </c>
      <c r="K41" s="49">
        <f>SUM(K25:K40)</f>
        <v>5288.6196</v>
      </c>
      <c r="L41" s="31"/>
      <c r="N41" s="32"/>
    </row>
    <row r="42" spans="1:14" ht="20.25" customHeight="1" thickBot="1" x14ac:dyDescent="0.2">
      <c r="A42" s="55"/>
      <c r="B42" s="33"/>
      <c r="C42" s="33"/>
      <c r="D42" s="33"/>
      <c r="E42" s="33"/>
      <c r="F42" s="33"/>
      <c r="G42" s="33"/>
      <c r="H42" s="33"/>
      <c r="I42" s="33"/>
      <c r="J42" s="34"/>
      <c r="K42" s="35"/>
      <c r="L42" s="36"/>
    </row>
    <row r="43" spans="1:14" ht="20.25" customHeight="1" thickBot="1" x14ac:dyDescent="0.2">
      <c r="A43" s="37" t="s">
        <v>19</v>
      </c>
      <c r="B43" s="38" t="s">
        <v>20</v>
      </c>
      <c r="C43" s="77" t="s">
        <v>21</v>
      </c>
      <c r="D43" s="79"/>
      <c r="E43" s="77" t="s">
        <v>22</v>
      </c>
      <c r="F43" s="78"/>
      <c r="G43" s="79"/>
      <c r="H43" s="85" t="s">
        <v>23</v>
      </c>
      <c r="I43" s="86"/>
      <c r="J43" s="77" t="s">
        <v>24</v>
      </c>
      <c r="K43" s="79"/>
      <c r="L43" s="39" t="s">
        <v>13</v>
      </c>
    </row>
    <row r="44" spans="1:14" ht="20.25" customHeight="1" thickBot="1" x14ac:dyDescent="0.2">
      <c r="A44" s="40">
        <f>SUMIF($C$8:$C$42,"U1",$J$8:$J$42)</f>
        <v>0</v>
      </c>
      <c r="B44" s="41">
        <f>SUMIF($C$8:$C$42,"U2",$J$8:$J$42)</f>
        <v>0</v>
      </c>
      <c r="C44" s="77">
        <f>SUMIF($C$8:$C$42,"U3-1",$J$8:$J$42)</f>
        <v>0</v>
      </c>
      <c r="D44" s="79"/>
      <c r="E44" s="77">
        <f>SUMIF($C$8:$C$42,"U3",$J$8:$J$42)</f>
        <v>646</v>
      </c>
      <c r="F44" s="78"/>
      <c r="G44" s="79"/>
      <c r="H44" s="77">
        <f>SUMIF($C$8:$C$42,"E5",$J$8:$J$42)</f>
        <v>0</v>
      </c>
      <c r="I44" s="79"/>
      <c r="J44" s="77">
        <f>SUM(A44:I44)</f>
        <v>646</v>
      </c>
      <c r="K44" s="79"/>
      <c r="L44" s="42"/>
    </row>
    <row r="45" spans="1:14" ht="20.25" customHeight="1" thickBot="1" x14ac:dyDescent="0.2">
      <c r="A45" s="43" t="s">
        <v>25</v>
      </c>
      <c r="B45" s="44" t="s">
        <v>26</v>
      </c>
      <c r="C45" s="75">
        <v>13876</v>
      </c>
      <c r="D45" s="76"/>
      <c r="E45" s="77" t="s">
        <v>27</v>
      </c>
      <c r="F45" s="78"/>
      <c r="G45" s="78"/>
      <c r="H45" s="78"/>
      <c r="I45" s="79"/>
      <c r="J45" s="80">
        <v>146744.37</v>
      </c>
      <c r="K45" s="81"/>
      <c r="L45" s="82"/>
    </row>
    <row r="47" spans="1:14" x14ac:dyDescent="0.15">
      <c r="D47" s="45"/>
    </row>
  </sheetData>
  <mergeCells count="26">
    <mergeCell ref="C45:D45"/>
    <mergeCell ref="E45:I45"/>
    <mergeCell ref="J45:L45"/>
    <mergeCell ref="L6:L7"/>
    <mergeCell ref="C43:D43"/>
    <mergeCell ref="E43:G43"/>
    <mergeCell ref="H43:I43"/>
    <mergeCell ref="J43:K43"/>
    <mergeCell ref="C44:D44"/>
    <mergeCell ref="E44:G44"/>
    <mergeCell ref="H44:I44"/>
    <mergeCell ref="J44:K44"/>
    <mergeCell ref="B5:G5"/>
    <mergeCell ref="A6:A7"/>
    <mergeCell ref="B6:B7"/>
    <mergeCell ref="C6:C7"/>
    <mergeCell ref="D6:D7"/>
    <mergeCell ref="E6:E7"/>
    <mergeCell ref="F6:F7"/>
    <mergeCell ref="G6:K6"/>
    <mergeCell ref="L2:L4"/>
    <mergeCell ref="A1:G3"/>
    <mergeCell ref="H1:H4"/>
    <mergeCell ref="I2:I4"/>
    <mergeCell ref="J2:J4"/>
    <mergeCell ref="K2:K4"/>
  </mergeCells>
  <phoneticPr fontId="2" type="noConversion"/>
  <printOptions horizontalCentered="1"/>
  <pageMargins left="0.39370078740157483" right="0.39370078740157483" top="0.74803149606299213" bottom="0.19685039370078741" header="0.31496062992125984" footer="0.15748031496062992"/>
  <pageSetup paperSize="9" scale="84" orientation="portrait" r:id="rId1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dimension ref="A1:Q47"/>
  <sheetViews>
    <sheetView view="pageBreakPreview" topLeftCell="A16" zoomScaleSheetLayoutView="100" workbookViewId="0">
      <selection activeCell="D29" sqref="D29"/>
    </sheetView>
  </sheetViews>
  <sheetFormatPr defaultColWidth="8.88671875" defaultRowHeight="13.5" x14ac:dyDescent="0.15"/>
  <cols>
    <col min="1" max="1" width="8.44140625" style="3" customWidth="1"/>
    <col min="2" max="2" width="14.77734375" style="3" customWidth="1"/>
    <col min="3" max="3" width="4.109375" style="3" customWidth="1"/>
    <col min="4" max="4" width="15.21875" style="3" customWidth="1"/>
    <col min="5" max="5" width="4.44140625" style="3" customWidth="1"/>
    <col min="6" max="6" width="4" style="3" customWidth="1"/>
    <col min="7" max="7" width="5.5546875" style="3" customWidth="1"/>
    <col min="8" max="8" width="5.44140625" style="3" customWidth="1"/>
    <col min="9" max="9" width="7.88671875" style="3" customWidth="1"/>
    <col min="10" max="10" width="7.109375" style="3" customWidth="1"/>
    <col min="11" max="11" width="7.21875" style="3" customWidth="1"/>
    <col min="12" max="12" width="6.77734375" style="3" customWidth="1"/>
    <col min="13" max="16384" width="8.88671875" style="3"/>
  </cols>
  <sheetData>
    <row r="1" spans="1:14" ht="18.75" customHeight="1" x14ac:dyDescent="0.15">
      <c r="A1" s="101" t="s">
        <v>0</v>
      </c>
      <c r="B1" s="102"/>
      <c r="C1" s="102"/>
      <c r="D1" s="102"/>
      <c r="E1" s="102"/>
      <c r="F1" s="102"/>
      <c r="G1" s="103"/>
      <c r="H1" s="107" t="s">
        <v>1</v>
      </c>
      <c r="I1" s="1" t="s">
        <v>2</v>
      </c>
      <c r="J1" s="1" t="s">
        <v>2</v>
      </c>
      <c r="K1" s="1" t="s">
        <v>3</v>
      </c>
      <c r="L1" s="2" t="s">
        <v>4</v>
      </c>
    </row>
    <row r="2" spans="1:14" ht="13.5" customHeight="1" x14ac:dyDescent="0.15">
      <c r="A2" s="104"/>
      <c r="B2" s="105"/>
      <c r="C2" s="105"/>
      <c r="D2" s="105"/>
      <c r="E2" s="105"/>
      <c r="F2" s="105"/>
      <c r="G2" s="106"/>
      <c r="H2" s="108"/>
      <c r="I2" s="110"/>
      <c r="J2" s="110"/>
      <c r="K2" s="110"/>
      <c r="L2" s="98"/>
    </row>
    <row r="3" spans="1:14" ht="13.5" customHeight="1" x14ac:dyDescent="0.15">
      <c r="A3" s="104"/>
      <c r="B3" s="105"/>
      <c r="C3" s="105"/>
      <c r="D3" s="105"/>
      <c r="E3" s="105"/>
      <c r="F3" s="105"/>
      <c r="G3" s="106"/>
      <c r="H3" s="108"/>
      <c r="I3" s="108"/>
      <c r="J3" s="108"/>
      <c r="K3" s="108"/>
      <c r="L3" s="99"/>
    </row>
    <row r="4" spans="1:14" ht="33" customHeight="1" x14ac:dyDescent="0.15">
      <c r="A4" s="4"/>
      <c r="B4" s="5"/>
      <c r="C4" s="5"/>
      <c r="D4" s="5"/>
      <c r="E4" s="5"/>
      <c r="F4" s="5"/>
      <c r="G4" s="5"/>
      <c r="H4" s="109"/>
      <c r="I4" s="109"/>
      <c r="J4" s="109"/>
      <c r="K4" s="109"/>
      <c r="L4" s="100"/>
    </row>
    <row r="5" spans="1:14" ht="17.25" customHeight="1" x14ac:dyDescent="0.15">
      <c r="A5" s="6" t="s">
        <v>5</v>
      </c>
      <c r="B5" s="87">
        <v>46098</v>
      </c>
      <c r="C5" s="88"/>
      <c r="D5" s="88"/>
      <c r="E5" s="88"/>
      <c r="F5" s="88"/>
      <c r="G5" s="88"/>
      <c r="H5" s="5"/>
      <c r="I5" s="5"/>
      <c r="J5" s="5"/>
      <c r="K5" s="5"/>
      <c r="L5" s="7"/>
    </row>
    <row r="6" spans="1:14" ht="13.5" customHeight="1" x14ac:dyDescent="0.15">
      <c r="A6" s="89" t="s">
        <v>6</v>
      </c>
      <c r="B6" s="91" t="s">
        <v>7</v>
      </c>
      <c r="C6" s="91" t="s">
        <v>8</v>
      </c>
      <c r="D6" s="91" t="s">
        <v>9</v>
      </c>
      <c r="E6" s="93" t="s">
        <v>10</v>
      </c>
      <c r="F6" s="93" t="s">
        <v>11</v>
      </c>
      <c r="G6" s="95" t="s">
        <v>12</v>
      </c>
      <c r="H6" s="96"/>
      <c r="I6" s="96"/>
      <c r="J6" s="96"/>
      <c r="K6" s="97"/>
      <c r="L6" s="83" t="s">
        <v>13</v>
      </c>
    </row>
    <row r="7" spans="1:14" x14ac:dyDescent="0.15">
      <c r="A7" s="90"/>
      <c r="B7" s="92"/>
      <c r="C7" s="92"/>
      <c r="D7" s="92"/>
      <c r="E7" s="94"/>
      <c r="F7" s="94"/>
      <c r="G7" s="8" t="s">
        <v>14</v>
      </c>
      <c r="H7" s="8" t="s">
        <v>15</v>
      </c>
      <c r="I7" s="8" t="s">
        <v>16</v>
      </c>
      <c r="J7" s="8" t="s">
        <v>17</v>
      </c>
      <c r="K7" s="8" t="s">
        <v>18</v>
      </c>
      <c r="L7" s="84"/>
    </row>
    <row r="8" spans="1:14" s="15" customFormat="1" ht="20.25" customHeight="1" x14ac:dyDescent="0.15">
      <c r="A8" s="60" t="s">
        <v>1475</v>
      </c>
      <c r="B8" s="9" t="s">
        <v>1477</v>
      </c>
      <c r="C8" s="58" t="s">
        <v>29</v>
      </c>
      <c r="D8" s="11" t="s">
        <v>1476</v>
      </c>
      <c r="E8" s="10">
        <v>22</v>
      </c>
      <c r="F8" s="58" t="s">
        <v>11</v>
      </c>
      <c r="G8" s="12">
        <v>762</v>
      </c>
      <c r="H8" s="12">
        <v>1870</v>
      </c>
      <c r="I8" s="17">
        <v>1</v>
      </c>
      <c r="J8" s="18">
        <v>1</v>
      </c>
      <c r="K8" s="19">
        <f>+M8*N8</f>
        <v>15.463800000000001</v>
      </c>
      <c r="L8" s="14"/>
      <c r="M8" s="15">
        <v>1.42</v>
      </c>
      <c r="N8" s="15">
        <v>10.89</v>
      </c>
    </row>
    <row r="9" spans="1:14" s="15" customFormat="1" ht="20.25" customHeight="1" x14ac:dyDescent="0.15">
      <c r="A9" s="60" t="s">
        <v>1478</v>
      </c>
      <c r="B9" s="9" t="s">
        <v>1479</v>
      </c>
      <c r="C9" s="58" t="s">
        <v>29</v>
      </c>
      <c r="D9" s="11" t="s">
        <v>1480</v>
      </c>
      <c r="E9" s="10">
        <v>24</v>
      </c>
      <c r="F9" s="58" t="s">
        <v>11</v>
      </c>
      <c r="G9" s="12">
        <v>1123</v>
      </c>
      <c r="H9" s="12">
        <v>1358</v>
      </c>
      <c r="I9" s="17" t="s">
        <v>1481</v>
      </c>
      <c r="J9" s="18">
        <v>34</v>
      </c>
      <c r="K9" s="19">
        <f t="shared" ref="K9:K23" si="0">+M9*N9</f>
        <v>349.46010000000007</v>
      </c>
      <c r="L9" s="14"/>
      <c r="M9" s="15">
        <v>32.090000000000003</v>
      </c>
      <c r="N9" s="15">
        <v>10.89</v>
      </c>
    </row>
    <row r="10" spans="1:14" s="15" customFormat="1" ht="20.25" customHeight="1" x14ac:dyDescent="0.15">
      <c r="A10" s="60" t="s">
        <v>1482</v>
      </c>
      <c r="B10" s="9" t="s">
        <v>1483</v>
      </c>
      <c r="C10" s="58" t="s">
        <v>29</v>
      </c>
      <c r="D10" s="11" t="s">
        <v>1484</v>
      </c>
      <c r="E10" s="10">
        <v>24</v>
      </c>
      <c r="F10" s="58"/>
      <c r="G10" s="12">
        <v>618</v>
      </c>
      <c r="H10" s="12">
        <v>1890</v>
      </c>
      <c r="I10" s="17" t="s">
        <v>1485</v>
      </c>
      <c r="J10" s="18">
        <v>82</v>
      </c>
      <c r="K10" s="19">
        <f t="shared" si="0"/>
        <v>673.43760000000009</v>
      </c>
      <c r="L10" s="14"/>
      <c r="M10" s="15">
        <v>61.84</v>
      </c>
      <c r="N10" s="15">
        <v>10.89</v>
      </c>
    </row>
    <row r="11" spans="1:14" s="15" customFormat="1" ht="20.25" customHeight="1" x14ac:dyDescent="0.15">
      <c r="A11" s="60"/>
      <c r="B11" s="9"/>
      <c r="C11" s="58" t="s">
        <v>29</v>
      </c>
      <c r="D11" s="11" t="s">
        <v>1486</v>
      </c>
      <c r="E11" s="10">
        <v>24</v>
      </c>
      <c r="F11" s="58"/>
      <c r="G11" s="12">
        <v>1662</v>
      </c>
      <c r="H11" s="12">
        <v>1890</v>
      </c>
      <c r="I11" s="17" t="s">
        <v>1487</v>
      </c>
      <c r="J11" s="18">
        <v>130</v>
      </c>
      <c r="K11" s="19">
        <f t="shared" si="0"/>
        <v>1654.1910000000003</v>
      </c>
      <c r="L11" s="14"/>
      <c r="M11" s="15">
        <v>151.9</v>
      </c>
      <c r="N11" s="15">
        <v>10.89</v>
      </c>
    </row>
    <row r="12" spans="1:14" s="15" customFormat="1" ht="20.25" customHeight="1" x14ac:dyDescent="0.15">
      <c r="A12" s="60"/>
      <c r="B12" s="9"/>
      <c r="C12" s="58" t="s">
        <v>29</v>
      </c>
      <c r="D12" s="11" t="s">
        <v>1488</v>
      </c>
      <c r="E12" s="10">
        <v>22</v>
      </c>
      <c r="F12" s="58" t="s">
        <v>11</v>
      </c>
      <c r="G12" s="12">
        <v>618</v>
      </c>
      <c r="H12" s="12">
        <v>1890</v>
      </c>
      <c r="I12" s="17">
        <v>20</v>
      </c>
      <c r="J12" s="18">
        <v>20</v>
      </c>
      <c r="K12" s="19">
        <f t="shared" si="0"/>
        <v>254.82599999999999</v>
      </c>
      <c r="L12" s="14"/>
      <c r="M12" s="15">
        <v>23.4</v>
      </c>
      <c r="N12" s="15">
        <v>10.89</v>
      </c>
    </row>
    <row r="13" spans="1:14" s="15" customFormat="1" ht="20.25" customHeight="1" x14ac:dyDescent="0.15">
      <c r="A13" s="60" t="s">
        <v>1489</v>
      </c>
      <c r="B13" s="9" t="s">
        <v>1479</v>
      </c>
      <c r="C13" s="58" t="s">
        <v>29</v>
      </c>
      <c r="D13" s="11" t="s">
        <v>1480</v>
      </c>
      <c r="E13" s="10">
        <v>24</v>
      </c>
      <c r="F13" s="58" t="s">
        <v>11</v>
      </c>
      <c r="G13" s="12">
        <v>1123</v>
      </c>
      <c r="H13" s="12">
        <v>1358</v>
      </c>
      <c r="I13" s="17" t="s">
        <v>988</v>
      </c>
      <c r="J13" s="18">
        <v>45</v>
      </c>
      <c r="K13" s="19">
        <f t="shared" si="0"/>
        <v>516.5127</v>
      </c>
      <c r="L13" s="14"/>
      <c r="M13" s="15">
        <v>47.43</v>
      </c>
      <c r="N13" s="15">
        <v>10.89</v>
      </c>
    </row>
    <row r="14" spans="1:14" s="15" customFormat="1" ht="20.25" customHeight="1" x14ac:dyDescent="0.15">
      <c r="A14" s="60" t="s">
        <v>1490</v>
      </c>
      <c r="B14" s="9" t="s">
        <v>1479</v>
      </c>
      <c r="C14" s="58" t="s">
        <v>29</v>
      </c>
      <c r="D14" s="11" t="s">
        <v>1480</v>
      </c>
      <c r="E14" s="10">
        <v>24</v>
      </c>
      <c r="F14" s="58" t="s">
        <v>11</v>
      </c>
      <c r="G14" s="12">
        <v>1050</v>
      </c>
      <c r="H14" s="12">
        <v>1983</v>
      </c>
      <c r="I14" s="17" t="s">
        <v>720</v>
      </c>
      <c r="J14" s="18">
        <v>79</v>
      </c>
      <c r="K14" s="19">
        <f t="shared" si="0"/>
        <v>669.73500000000001</v>
      </c>
      <c r="L14" s="20"/>
      <c r="M14" s="15">
        <v>61.5</v>
      </c>
      <c r="N14" s="15">
        <v>10.89</v>
      </c>
    </row>
    <row r="15" spans="1:14" s="15" customFormat="1" ht="20.25" customHeight="1" x14ac:dyDescent="0.15">
      <c r="A15" s="60"/>
      <c r="B15" s="9"/>
      <c r="C15" s="58"/>
      <c r="D15" s="11"/>
      <c r="E15" s="10"/>
      <c r="F15" s="58"/>
      <c r="G15" s="12"/>
      <c r="H15" s="12"/>
      <c r="I15" s="17"/>
      <c r="J15" s="18"/>
      <c r="K15" s="19">
        <f t="shared" si="0"/>
        <v>0</v>
      </c>
      <c r="L15" s="20"/>
      <c r="N15" s="15">
        <v>10.89</v>
      </c>
    </row>
    <row r="16" spans="1:14" s="15" customFormat="1" ht="20.25" customHeight="1" x14ac:dyDescent="0.15">
      <c r="A16" s="60"/>
      <c r="B16" s="9"/>
      <c r="C16" s="58"/>
      <c r="D16" s="11"/>
      <c r="E16" s="10"/>
      <c r="F16" s="58"/>
      <c r="G16" s="12"/>
      <c r="H16" s="12"/>
      <c r="I16" s="17"/>
      <c r="J16" s="18"/>
      <c r="K16" s="19">
        <f t="shared" si="0"/>
        <v>0</v>
      </c>
      <c r="L16" s="20"/>
      <c r="N16" s="15">
        <v>10.89</v>
      </c>
    </row>
    <row r="17" spans="1:14" s="15" customFormat="1" ht="20.25" customHeight="1" x14ac:dyDescent="0.15">
      <c r="A17" s="60"/>
      <c r="B17" s="9"/>
      <c r="C17" s="58"/>
      <c r="D17" s="11"/>
      <c r="E17" s="10"/>
      <c r="F17" s="58"/>
      <c r="G17" s="12"/>
      <c r="H17" s="12"/>
      <c r="I17" s="17"/>
      <c r="J17" s="18"/>
      <c r="K17" s="19">
        <f t="shared" si="0"/>
        <v>0</v>
      </c>
      <c r="L17" s="20"/>
      <c r="N17" s="15">
        <v>10.89</v>
      </c>
    </row>
    <row r="18" spans="1:14" s="15" customFormat="1" ht="20.25" customHeight="1" x14ac:dyDescent="0.15">
      <c r="A18" s="60"/>
      <c r="B18" s="9"/>
      <c r="C18" s="58"/>
      <c r="D18" s="11"/>
      <c r="E18" s="10"/>
      <c r="F18" s="58"/>
      <c r="G18" s="12"/>
      <c r="H18" s="12"/>
      <c r="I18" s="17"/>
      <c r="J18" s="18"/>
      <c r="K18" s="19">
        <f t="shared" si="0"/>
        <v>0</v>
      </c>
      <c r="L18" s="20"/>
      <c r="N18" s="15">
        <v>10.89</v>
      </c>
    </row>
    <row r="19" spans="1:14" s="15" customFormat="1" ht="20.25" customHeight="1" x14ac:dyDescent="0.15">
      <c r="A19" s="60"/>
      <c r="B19" s="9"/>
      <c r="C19" s="58"/>
      <c r="D19" s="11"/>
      <c r="E19" s="10"/>
      <c r="F19" s="58"/>
      <c r="G19" s="12"/>
      <c r="H19" s="12"/>
      <c r="I19" s="17"/>
      <c r="J19" s="18"/>
      <c r="K19" s="19">
        <f t="shared" si="0"/>
        <v>0</v>
      </c>
      <c r="L19" s="20"/>
      <c r="N19" s="15">
        <v>10.89</v>
      </c>
    </row>
    <row r="20" spans="1:14" s="15" customFormat="1" ht="20.25" customHeight="1" x14ac:dyDescent="0.15">
      <c r="A20" s="60"/>
      <c r="B20" s="9"/>
      <c r="C20" s="58"/>
      <c r="D20" s="11"/>
      <c r="E20" s="10"/>
      <c r="F20" s="58"/>
      <c r="G20" s="12"/>
      <c r="H20" s="12"/>
      <c r="I20" s="17"/>
      <c r="J20" s="18"/>
      <c r="K20" s="19">
        <f t="shared" si="0"/>
        <v>0</v>
      </c>
      <c r="L20" s="20"/>
      <c r="N20" s="15">
        <v>10.89</v>
      </c>
    </row>
    <row r="21" spans="1:14" s="15" customFormat="1" ht="20.25" customHeight="1" x14ac:dyDescent="0.15">
      <c r="A21" s="60"/>
      <c r="B21" s="9"/>
      <c r="C21" s="58"/>
      <c r="D21" s="11"/>
      <c r="E21" s="10"/>
      <c r="F21" s="58"/>
      <c r="G21" s="50"/>
      <c r="H21" s="50"/>
      <c r="I21" s="17"/>
      <c r="J21" s="18"/>
      <c r="K21" s="19">
        <f t="shared" si="0"/>
        <v>0</v>
      </c>
      <c r="L21" s="20"/>
      <c r="N21" s="15">
        <v>10.89</v>
      </c>
    </row>
    <row r="22" spans="1:14" s="15" customFormat="1" ht="20.25" customHeight="1" x14ac:dyDescent="0.15">
      <c r="A22" s="60"/>
      <c r="B22" s="9"/>
      <c r="C22" s="58"/>
      <c r="D22" s="11"/>
      <c r="E22" s="10"/>
      <c r="F22" s="58"/>
      <c r="G22" s="50"/>
      <c r="H22" s="50"/>
      <c r="I22" s="17"/>
      <c r="J22" s="18"/>
      <c r="K22" s="19">
        <f t="shared" si="0"/>
        <v>0</v>
      </c>
      <c r="L22" s="20"/>
      <c r="N22" s="15">
        <v>10.89</v>
      </c>
    </row>
    <row r="23" spans="1:14" ht="20.25" customHeight="1" x14ac:dyDescent="0.15">
      <c r="A23" s="60"/>
      <c r="B23" s="9"/>
      <c r="C23" s="58"/>
      <c r="D23" s="11"/>
      <c r="E23" s="10"/>
      <c r="F23" s="58"/>
      <c r="G23" s="16"/>
      <c r="H23" s="16"/>
      <c r="I23" s="17"/>
      <c r="J23" s="18"/>
      <c r="K23" s="19">
        <f t="shared" si="0"/>
        <v>0</v>
      </c>
      <c r="L23" s="20"/>
      <c r="N23" s="15">
        <v>10.89</v>
      </c>
    </row>
    <row r="24" spans="1:14" ht="20.25" customHeight="1" thickBot="1" x14ac:dyDescent="0.2">
      <c r="A24" s="56"/>
      <c r="B24" s="21"/>
      <c r="C24" s="59"/>
      <c r="D24" s="22"/>
      <c r="E24" s="23"/>
      <c r="F24" s="23"/>
      <c r="G24" s="24"/>
      <c r="H24" s="24"/>
      <c r="I24" s="25"/>
      <c r="J24" s="46">
        <f>SUM(J8:J23)</f>
        <v>391</v>
      </c>
      <c r="K24" s="47">
        <f>SUM(K8:K23)</f>
        <v>4133.6262000000006</v>
      </c>
      <c r="L24" s="26"/>
    </row>
    <row r="25" spans="1:14" ht="20.25" customHeight="1" thickTop="1" x14ac:dyDescent="0.15">
      <c r="A25" s="60" t="s">
        <v>1491</v>
      </c>
      <c r="B25" s="9" t="s">
        <v>1492</v>
      </c>
      <c r="C25" s="58" t="s">
        <v>29</v>
      </c>
      <c r="D25" s="11" t="s">
        <v>1493</v>
      </c>
      <c r="E25" s="10">
        <v>22</v>
      </c>
      <c r="F25" s="58"/>
      <c r="G25" s="12">
        <v>737</v>
      </c>
      <c r="H25" s="12">
        <v>1764</v>
      </c>
      <c r="I25" s="17" t="s">
        <v>1747</v>
      </c>
      <c r="J25" s="18">
        <v>146</v>
      </c>
      <c r="K25" s="19">
        <f t="shared" ref="K25:K40" si="1">+M25*N25</f>
        <v>2066.922</v>
      </c>
      <c r="L25" s="54"/>
      <c r="M25" s="3">
        <v>189.8</v>
      </c>
      <c r="N25" s="15">
        <v>10.89</v>
      </c>
    </row>
    <row r="26" spans="1:14" ht="20.25" customHeight="1" x14ac:dyDescent="0.15">
      <c r="A26" s="60" t="s">
        <v>1415</v>
      </c>
      <c r="B26" s="9" t="s">
        <v>1496</v>
      </c>
      <c r="C26" s="58" t="s">
        <v>29</v>
      </c>
      <c r="D26" s="11" t="s">
        <v>1494</v>
      </c>
      <c r="E26" s="10">
        <v>28</v>
      </c>
      <c r="F26" s="58" t="s">
        <v>11</v>
      </c>
      <c r="G26" s="12">
        <v>950</v>
      </c>
      <c r="H26" s="12">
        <v>1885</v>
      </c>
      <c r="I26" s="17" t="s">
        <v>1495</v>
      </c>
      <c r="J26" s="18">
        <v>9</v>
      </c>
      <c r="K26" s="19">
        <f t="shared" si="1"/>
        <v>149.73750000000001</v>
      </c>
      <c r="L26" s="54"/>
      <c r="M26" s="3">
        <v>13.75</v>
      </c>
      <c r="N26" s="15">
        <v>10.89</v>
      </c>
    </row>
    <row r="27" spans="1:14" ht="20.25" customHeight="1" x14ac:dyDescent="0.15">
      <c r="A27" s="61" t="s">
        <v>1420</v>
      </c>
      <c r="B27" s="9" t="s">
        <v>1497</v>
      </c>
      <c r="C27" s="58" t="s">
        <v>29</v>
      </c>
      <c r="D27" s="11" t="s">
        <v>1498</v>
      </c>
      <c r="E27" s="10">
        <v>31.52</v>
      </c>
      <c r="F27" s="10" t="s">
        <v>11</v>
      </c>
      <c r="G27" s="12">
        <v>2195</v>
      </c>
      <c r="H27" s="12">
        <v>2085</v>
      </c>
      <c r="I27" s="17">
        <v>2</v>
      </c>
      <c r="J27" s="18">
        <v>2</v>
      </c>
      <c r="K27" s="19">
        <f t="shared" si="1"/>
        <v>99.752400000000009</v>
      </c>
      <c r="L27" s="54"/>
      <c r="M27" s="3">
        <v>9.16</v>
      </c>
      <c r="N27" s="15">
        <v>10.89</v>
      </c>
    </row>
    <row r="28" spans="1:14" ht="20.25" customHeight="1" x14ac:dyDescent="0.15">
      <c r="A28" s="61" t="s">
        <v>1499</v>
      </c>
      <c r="B28" s="9" t="s">
        <v>1500</v>
      </c>
      <c r="C28" s="58" t="s">
        <v>29</v>
      </c>
      <c r="D28" s="11" t="s">
        <v>1501</v>
      </c>
      <c r="E28" s="10">
        <v>26</v>
      </c>
      <c r="F28" s="10" t="s">
        <v>11</v>
      </c>
      <c r="G28" s="12">
        <v>875</v>
      </c>
      <c r="H28" s="12">
        <v>540</v>
      </c>
      <c r="I28" s="17">
        <v>1</v>
      </c>
      <c r="J28" s="18">
        <v>1</v>
      </c>
      <c r="K28" s="19">
        <f t="shared" si="1"/>
        <v>5.1182999999999996</v>
      </c>
      <c r="L28" s="54"/>
      <c r="M28" s="3">
        <v>0.47</v>
      </c>
      <c r="N28" s="15">
        <v>10.89</v>
      </c>
    </row>
    <row r="29" spans="1:14" ht="20.25" customHeight="1" x14ac:dyDescent="0.15">
      <c r="A29" s="61" t="s">
        <v>1502</v>
      </c>
      <c r="B29" s="9" t="s">
        <v>1503</v>
      </c>
      <c r="C29" s="58" t="s">
        <v>29</v>
      </c>
      <c r="D29" s="11" t="s">
        <v>1504</v>
      </c>
      <c r="E29" s="10">
        <v>43</v>
      </c>
      <c r="F29" s="10" t="s">
        <v>11</v>
      </c>
      <c r="G29" s="12">
        <v>1530</v>
      </c>
      <c r="H29" s="12">
        <v>2045</v>
      </c>
      <c r="I29" s="17">
        <v>1</v>
      </c>
      <c r="J29" s="18">
        <v>1</v>
      </c>
      <c r="K29" s="19">
        <f t="shared" si="1"/>
        <v>34.085700000000003</v>
      </c>
      <c r="L29" s="54"/>
      <c r="M29" s="3">
        <v>3.13</v>
      </c>
      <c r="N29" s="15">
        <v>10.89</v>
      </c>
    </row>
    <row r="30" spans="1:14" ht="20.25" customHeight="1" x14ac:dyDescent="0.15">
      <c r="A30" s="61" t="s">
        <v>1505</v>
      </c>
      <c r="B30" s="9" t="s">
        <v>1506</v>
      </c>
      <c r="C30" s="58" t="s">
        <v>29</v>
      </c>
      <c r="D30" s="11" t="s">
        <v>1507</v>
      </c>
      <c r="E30" s="10">
        <v>43</v>
      </c>
      <c r="F30" s="10" t="s">
        <v>11</v>
      </c>
      <c r="G30" s="12">
        <v>1257</v>
      </c>
      <c r="H30" s="12">
        <v>1155</v>
      </c>
      <c r="I30" s="51">
        <v>1</v>
      </c>
      <c r="J30" s="52">
        <v>1</v>
      </c>
      <c r="K30" s="53">
        <f t="shared" si="1"/>
        <v>15.7905</v>
      </c>
      <c r="L30" s="54"/>
      <c r="M30" s="3">
        <v>1.45</v>
      </c>
      <c r="N30" s="15">
        <v>10.89</v>
      </c>
    </row>
    <row r="31" spans="1:14" ht="20.25" customHeight="1" x14ac:dyDescent="0.15">
      <c r="A31" s="61" t="s">
        <v>1426</v>
      </c>
      <c r="B31" s="9" t="s">
        <v>110</v>
      </c>
      <c r="C31" s="58" t="s">
        <v>29</v>
      </c>
      <c r="D31" s="11" t="s">
        <v>1416</v>
      </c>
      <c r="E31" s="10">
        <v>28</v>
      </c>
      <c r="F31" s="10" t="s">
        <v>11</v>
      </c>
      <c r="G31" s="12">
        <v>950</v>
      </c>
      <c r="H31" s="12">
        <v>1885</v>
      </c>
      <c r="I31" s="51" t="s">
        <v>659</v>
      </c>
      <c r="J31" s="52">
        <v>5</v>
      </c>
      <c r="K31" s="53">
        <f t="shared" si="1"/>
        <v>65.993399999999994</v>
      </c>
      <c r="L31" s="54"/>
      <c r="M31" s="3">
        <v>6.06</v>
      </c>
      <c r="N31" s="15">
        <v>10.89</v>
      </c>
    </row>
    <row r="32" spans="1:14" ht="20.25" customHeight="1" x14ac:dyDescent="0.15">
      <c r="A32" s="60" t="s">
        <v>1508</v>
      </c>
      <c r="B32" s="9" t="s">
        <v>1509</v>
      </c>
      <c r="C32" s="58" t="s">
        <v>29</v>
      </c>
      <c r="D32" s="11" t="s">
        <v>1510</v>
      </c>
      <c r="E32" s="10">
        <v>22</v>
      </c>
      <c r="F32" s="10"/>
      <c r="G32" s="12">
        <v>604</v>
      </c>
      <c r="H32" s="12">
        <v>1967</v>
      </c>
      <c r="I32" s="17" t="s">
        <v>1511</v>
      </c>
      <c r="J32" s="18">
        <v>144</v>
      </c>
      <c r="K32" s="19">
        <f t="shared" si="1"/>
        <v>1264.329</v>
      </c>
      <c r="L32" s="27"/>
      <c r="M32" s="3">
        <v>116.1</v>
      </c>
      <c r="N32" s="15">
        <v>10.89</v>
      </c>
    </row>
    <row r="33" spans="1:17" ht="20.25" customHeight="1" x14ac:dyDescent="0.15">
      <c r="A33" s="60" t="s">
        <v>1512</v>
      </c>
      <c r="B33" s="9" t="s">
        <v>1509</v>
      </c>
      <c r="C33" s="58" t="s">
        <v>29</v>
      </c>
      <c r="D33" s="11" t="s">
        <v>1510</v>
      </c>
      <c r="E33" s="10">
        <v>22</v>
      </c>
      <c r="F33" s="10"/>
      <c r="G33" s="12">
        <v>554</v>
      </c>
      <c r="H33" s="12">
        <v>1967</v>
      </c>
      <c r="I33" s="17" t="s">
        <v>1513</v>
      </c>
      <c r="J33" s="18">
        <v>175</v>
      </c>
      <c r="K33" s="19">
        <f t="shared" si="1"/>
        <v>1070.4870000000001</v>
      </c>
      <c r="L33" s="27"/>
      <c r="M33" s="3">
        <v>98.3</v>
      </c>
      <c r="N33" s="15">
        <v>10.89</v>
      </c>
    </row>
    <row r="34" spans="1:17" ht="20.25" customHeight="1" x14ac:dyDescent="0.15">
      <c r="A34" s="60"/>
      <c r="B34" s="9"/>
      <c r="C34" s="58"/>
      <c r="D34" s="11"/>
      <c r="E34" s="10"/>
      <c r="F34" s="10"/>
      <c r="G34" s="12"/>
      <c r="H34" s="12"/>
      <c r="I34" s="17"/>
      <c r="J34" s="18"/>
      <c r="K34" s="19">
        <f t="shared" si="1"/>
        <v>0</v>
      </c>
      <c r="L34" s="27"/>
      <c r="N34" s="15">
        <v>10.89</v>
      </c>
    </row>
    <row r="35" spans="1:17" ht="20.25" customHeight="1" x14ac:dyDescent="0.15">
      <c r="A35" s="60"/>
      <c r="B35" s="9"/>
      <c r="C35" s="58"/>
      <c r="D35" s="11"/>
      <c r="E35" s="10"/>
      <c r="F35" s="10"/>
      <c r="G35" s="12"/>
      <c r="H35" s="12"/>
      <c r="I35" s="17"/>
      <c r="J35" s="18"/>
      <c r="K35" s="19">
        <f t="shared" si="1"/>
        <v>0</v>
      </c>
      <c r="L35" s="27"/>
      <c r="N35" s="15">
        <v>10.89</v>
      </c>
    </row>
    <row r="36" spans="1:17" ht="20.25" customHeight="1" x14ac:dyDescent="0.15">
      <c r="A36" s="60"/>
      <c r="B36" s="9"/>
      <c r="C36" s="58"/>
      <c r="D36" s="11"/>
      <c r="E36" s="10"/>
      <c r="F36" s="10"/>
      <c r="G36" s="12"/>
      <c r="H36" s="12"/>
      <c r="I36" s="17"/>
      <c r="J36" s="18"/>
      <c r="K36" s="19">
        <f t="shared" si="1"/>
        <v>0</v>
      </c>
      <c r="L36" s="27"/>
      <c r="N36" s="15">
        <v>10.89</v>
      </c>
    </row>
    <row r="37" spans="1:17" ht="20.25" customHeight="1" x14ac:dyDescent="0.15">
      <c r="A37" s="60"/>
      <c r="B37" s="9"/>
      <c r="C37" s="58"/>
      <c r="D37" s="11"/>
      <c r="E37" s="10"/>
      <c r="F37" s="10"/>
      <c r="G37" s="12"/>
      <c r="H37" s="12"/>
      <c r="I37" s="17"/>
      <c r="J37" s="18"/>
      <c r="K37" s="19">
        <f t="shared" si="1"/>
        <v>0</v>
      </c>
      <c r="L37" s="27"/>
      <c r="N37" s="15">
        <v>10.89</v>
      </c>
    </row>
    <row r="38" spans="1:17" ht="20.25" customHeight="1" x14ac:dyDescent="0.15">
      <c r="A38" s="60"/>
      <c r="B38" s="9"/>
      <c r="C38" s="58"/>
      <c r="D38" s="11"/>
      <c r="E38" s="10"/>
      <c r="F38" s="10"/>
      <c r="G38" s="12"/>
      <c r="H38" s="12"/>
      <c r="I38" s="17"/>
      <c r="J38" s="18"/>
      <c r="K38" s="19">
        <f t="shared" si="1"/>
        <v>0</v>
      </c>
      <c r="L38" s="27"/>
      <c r="N38" s="15">
        <v>10.89</v>
      </c>
    </row>
    <row r="39" spans="1:17" ht="20.25" customHeight="1" x14ac:dyDescent="0.15">
      <c r="A39" s="60"/>
      <c r="B39" s="9"/>
      <c r="C39" s="58"/>
      <c r="D39" s="11"/>
      <c r="E39" s="10"/>
      <c r="F39" s="10"/>
      <c r="G39" s="12"/>
      <c r="H39" s="12"/>
      <c r="I39" s="17"/>
      <c r="J39" s="18"/>
      <c r="K39" s="19">
        <f t="shared" si="1"/>
        <v>0</v>
      </c>
      <c r="L39" s="27"/>
      <c r="N39" s="15">
        <v>10.89</v>
      </c>
      <c r="Q39" s="65"/>
    </row>
    <row r="40" spans="1:17" ht="20.25" customHeight="1" x14ac:dyDescent="0.15">
      <c r="A40" s="60"/>
      <c r="B40" s="9"/>
      <c r="C40" s="58"/>
      <c r="D40" s="11"/>
      <c r="E40" s="10"/>
      <c r="F40" s="10"/>
      <c r="G40" s="12"/>
      <c r="H40" s="12"/>
      <c r="I40" s="17"/>
      <c r="J40" s="18"/>
      <c r="K40" s="19">
        <f t="shared" si="1"/>
        <v>0</v>
      </c>
      <c r="L40" s="27"/>
      <c r="N40" s="15">
        <v>10.89</v>
      </c>
    </row>
    <row r="41" spans="1:17" ht="20.25" customHeight="1" x14ac:dyDescent="0.15">
      <c r="A41" s="57"/>
      <c r="B41" s="28"/>
      <c r="C41" s="10"/>
      <c r="D41" s="29"/>
      <c r="E41" s="30"/>
      <c r="F41" s="30"/>
      <c r="G41" s="30"/>
      <c r="H41" s="30"/>
      <c r="I41" s="13"/>
      <c r="J41" s="48">
        <f>SUM(J25:J40)</f>
        <v>484</v>
      </c>
      <c r="K41" s="49">
        <f>SUM(K25:K40)</f>
        <v>4772.2157999999999</v>
      </c>
      <c r="L41" s="31"/>
      <c r="N41" s="32"/>
    </row>
    <row r="42" spans="1:17" ht="20.25" customHeight="1" thickBot="1" x14ac:dyDescent="0.2">
      <c r="A42" s="55"/>
      <c r="B42" s="33"/>
      <c r="C42" s="33"/>
      <c r="D42" s="33"/>
      <c r="E42" s="33"/>
      <c r="F42" s="33"/>
      <c r="G42" s="33"/>
      <c r="H42" s="33"/>
      <c r="I42" s="33"/>
      <c r="J42" s="34"/>
      <c r="K42" s="35"/>
      <c r="L42" s="36"/>
    </row>
    <row r="43" spans="1:17" ht="20.25" customHeight="1" thickBot="1" x14ac:dyDescent="0.2">
      <c r="A43" s="37" t="s">
        <v>19</v>
      </c>
      <c r="B43" s="38" t="s">
        <v>20</v>
      </c>
      <c r="C43" s="77" t="s">
        <v>21</v>
      </c>
      <c r="D43" s="79"/>
      <c r="E43" s="77" t="s">
        <v>22</v>
      </c>
      <c r="F43" s="78"/>
      <c r="G43" s="79"/>
      <c r="H43" s="85" t="s">
        <v>23</v>
      </c>
      <c r="I43" s="86"/>
      <c r="J43" s="77" t="s">
        <v>24</v>
      </c>
      <c r="K43" s="79"/>
      <c r="L43" s="39" t="s">
        <v>13</v>
      </c>
    </row>
    <row r="44" spans="1:17" ht="20.25" customHeight="1" thickBot="1" x14ac:dyDescent="0.2">
      <c r="A44" s="40">
        <f>SUMIF($C$8:$C$42,"U1",$J$8:$J$42)</f>
        <v>0</v>
      </c>
      <c r="B44" s="41">
        <f>SUMIF($C$8:$C$42,"U2",$J$8:$J$42)</f>
        <v>0</v>
      </c>
      <c r="C44" s="77">
        <f>SUMIF($C$8:$C$42,"U3-1",$J$8:$J$42)</f>
        <v>0</v>
      </c>
      <c r="D44" s="79"/>
      <c r="E44" s="77">
        <f>SUMIF($C$8:$C$42,"U3",$J$8:$J$42)</f>
        <v>875</v>
      </c>
      <c r="F44" s="78"/>
      <c r="G44" s="79"/>
      <c r="H44" s="77">
        <f>SUMIF($C$8:$C$42,"E5",$J$8:$J$42)</f>
        <v>0</v>
      </c>
      <c r="I44" s="79"/>
      <c r="J44" s="77">
        <f>SUM(A44:I44)</f>
        <v>875</v>
      </c>
      <c r="K44" s="79"/>
      <c r="L44" s="42"/>
    </row>
    <row r="45" spans="1:17" ht="20.25" customHeight="1" thickBot="1" x14ac:dyDescent="0.2">
      <c r="A45" s="43" t="s">
        <v>25</v>
      </c>
      <c r="B45" s="44" t="s">
        <v>26</v>
      </c>
      <c r="C45" s="75">
        <v>13876</v>
      </c>
      <c r="D45" s="76"/>
      <c r="E45" s="77" t="s">
        <v>27</v>
      </c>
      <c r="F45" s="78"/>
      <c r="G45" s="78"/>
      <c r="H45" s="78"/>
      <c r="I45" s="79"/>
      <c r="J45" s="80">
        <v>146744.37</v>
      </c>
      <c r="K45" s="81"/>
      <c r="L45" s="82"/>
    </row>
    <row r="47" spans="1:17" x14ac:dyDescent="0.15">
      <c r="D47" s="45"/>
    </row>
  </sheetData>
  <mergeCells count="26">
    <mergeCell ref="L2:L4"/>
    <mergeCell ref="A1:G3"/>
    <mergeCell ref="H1:H4"/>
    <mergeCell ref="I2:I4"/>
    <mergeCell ref="J2:J4"/>
    <mergeCell ref="K2:K4"/>
    <mergeCell ref="B5:G5"/>
    <mergeCell ref="A6:A7"/>
    <mergeCell ref="B6:B7"/>
    <mergeCell ref="C6:C7"/>
    <mergeCell ref="D6:D7"/>
    <mergeCell ref="E6:E7"/>
    <mergeCell ref="F6:F7"/>
    <mergeCell ref="G6:K6"/>
    <mergeCell ref="C45:D45"/>
    <mergeCell ref="E45:I45"/>
    <mergeCell ref="J45:L45"/>
    <mergeCell ref="L6:L7"/>
    <mergeCell ref="C43:D43"/>
    <mergeCell ref="E43:G43"/>
    <mergeCell ref="H43:I43"/>
    <mergeCell ref="J43:K43"/>
    <mergeCell ref="C44:D44"/>
    <mergeCell ref="E44:G44"/>
    <mergeCell ref="H44:I44"/>
    <mergeCell ref="J44:K44"/>
  </mergeCells>
  <phoneticPr fontId="2" type="noConversion"/>
  <printOptions horizontalCentered="1"/>
  <pageMargins left="0.39370078740157483" right="0.39370078740157483" top="0.74803149606299213" bottom="0.19685039370078741" header="0.31496062992125984" footer="0.15748031496062992"/>
  <pageSetup paperSize="9" scale="84" orientation="portrait" r:id="rId1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dimension ref="A1:Q47"/>
  <sheetViews>
    <sheetView view="pageBreakPreview" topLeftCell="A19" zoomScaleSheetLayoutView="100" workbookViewId="0">
      <selection activeCell="D8" sqref="D8"/>
    </sheetView>
  </sheetViews>
  <sheetFormatPr defaultColWidth="8.88671875" defaultRowHeight="13.5" x14ac:dyDescent="0.15"/>
  <cols>
    <col min="1" max="1" width="8.44140625" style="3" customWidth="1"/>
    <col min="2" max="2" width="14.77734375" style="3" customWidth="1"/>
    <col min="3" max="3" width="4.109375" style="3" customWidth="1"/>
    <col min="4" max="4" width="15.21875" style="3" customWidth="1"/>
    <col min="5" max="5" width="4.44140625" style="3" customWidth="1"/>
    <col min="6" max="6" width="4" style="3" customWidth="1"/>
    <col min="7" max="7" width="5.5546875" style="3" customWidth="1"/>
    <col min="8" max="8" width="5.44140625" style="3" customWidth="1"/>
    <col min="9" max="9" width="7.88671875" style="3" customWidth="1"/>
    <col min="10" max="10" width="7.109375" style="3" customWidth="1"/>
    <col min="11" max="11" width="7.21875" style="3" customWidth="1"/>
    <col min="12" max="12" width="6.77734375" style="3" customWidth="1"/>
    <col min="13" max="16384" width="8.88671875" style="3"/>
  </cols>
  <sheetData>
    <row r="1" spans="1:14" ht="18.75" customHeight="1" x14ac:dyDescent="0.15">
      <c r="A1" s="101" t="s">
        <v>0</v>
      </c>
      <c r="B1" s="102"/>
      <c r="C1" s="102"/>
      <c r="D1" s="102"/>
      <c r="E1" s="102"/>
      <c r="F1" s="102"/>
      <c r="G1" s="103"/>
      <c r="H1" s="107" t="s">
        <v>1</v>
      </c>
      <c r="I1" s="1" t="s">
        <v>2</v>
      </c>
      <c r="J1" s="1" t="s">
        <v>2</v>
      </c>
      <c r="K1" s="1" t="s">
        <v>3</v>
      </c>
      <c r="L1" s="2" t="s">
        <v>4</v>
      </c>
    </row>
    <row r="2" spans="1:14" ht="13.5" customHeight="1" x14ac:dyDescent="0.15">
      <c r="A2" s="104"/>
      <c r="B2" s="105"/>
      <c r="C2" s="105"/>
      <c r="D2" s="105"/>
      <c r="E2" s="105"/>
      <c r="F2" s="105"/>
      <c r="G2" s="106"/>
      <c r="H2" s="108"/>
      <c r="I2" s="110"/>
      <c r="J2" s="110"/>
      <c r="K2" s="110"/>
      <c r="L2" s="98"/>
    </row>
    <row r="3" spans="1:14" ht="13.5" customHeight="1" x14ac:dyDescent="0.15">
      <c r="A3" s="104"/>
      <c r="B3" s="105"/>
      <c r="C3" s="105"/>
      <c r="D3" s="105"/>
      <c r="E3" s="105"/>
      <c r="F3" s="105"/>
      <c r="G3" s="106"/>
      <c r="H3" s="108"/>
      <c r="I3" s="108"/>
      <c r="J3" s="108"/>
      <c r="K3" s="108"/>
      <c r="L3" s="99"/>
    </row>
    <row r="4" spans="1:14" ht="33" customHeight="1" x14ac:dyDescent="0.15">
      <c r="A4" s="4"/>
      <c r="B4" s="5"/>
      <c r="C4" s="5"/>
      <c r="D4" s="5"/>
      <c r="E4" s="5"/>
      <c r="F4" s="5"/>
      <c r="G4" s="5"/>
      <c r="H4" s="109"/>
      <c r="I4" s="109"/>
      <c r="J4" s="109"/>
      <c r="K4" s="109"/>
      <c r="L4" s="100"/>
    </row>
    <row r="5" spans="1:14" ht="17.25" customHeight="1" x14ac:dyDescent="0.15">
      <c r="A5" s="6" t="s">
        <v>5</v>
      </c>
      <c r="B5" s="87">
        <v>46099</v>
      </c>
      <c r="C5" s="88"/>
      <c r="D5" s="88"/>
      <c r="E5" s="88"/>
      <c r="F5" s="88"/>
      <c r="G5" s="88"/>
      <c r="H5" s="5"/>
      <c r="I5" s="5"/>
      <c r="J5" s="5"/>
      <c r="K5" s="5"/>
      <c r="L5" s="7"/>
    </row>
    <row r="6" spans="1:14" ht="13.5" customHeight="1" x14ac:dyDescent="0.15">
      <c r="A6" s="89" t="s">
        <v>6</v>
      </c>
      <c r="B6" s="91" t="s">
        <v>7</v>
      </c>
      <c r="C6" s="91" t="s">
        <v>8</v>
      </c>
      <c r="D6" s="91" t="s">
        <v>9</v>
      </c>
      <c r="E6" s="93" t="s">
        <v>10</v>
      </c>
      <c r="F6" s="93" t="s">
        <v>11</v>
      </c>
      <c r="G6" s="95" t="s">
        <v>12</v>
      </c>
      <c r="H6" s="96"/>
      <c r="I6" s="96"/>
      <c r="J6" s="96"/>
      <c r="K6" s="97"/>
      <c r="L6" s="83" t="s">
        <v>13</v>
      </c>
    </row>
    <row r="7" spans="1:14" x14ac:dyDescent="0.15">
      <c r="A7" s="90"/>
      <c r="B7" s="92"/>
      <c r="C7" s="92"/>
      <c r="D7" s="92"/>
      <c r="E7" s="94"/>
      <c r="F7" s="94"/>
      <c r="G7" s="8" t="s">
        <v>14</v>
      </c>
      <c r="H7" s="8" t="s">
        <v>15</v>
      </c>
      <c r="I7" s="8" t="s">
        <v>16</v>
      </c>
      <c r="J7" s="8" t="s">
        <v>17</v>
      </c>
      <c r="K7" s="8" t="s">
        <v>18</v>
      </c>
      <c r="L7" s="84"/>
    </row>
    <row r="8" spans="1:14" s="15" customFormat="1" ht="20.25" customHeight="1" x14ac:dyDescent="0.15">
      <c r="A8" s="60" t="s">
        <v>1514</v>
      </c>
      <c r="B8" s="9" t="s">
        <v>1515</v>
      </c>
      <c r="C8" s="58" t="s">
        <v>231</v>
      </c>
      <c r="D8" s="11" t="s">
        <v>1516</v>
      </c>
      <c r="E8" s="10">
        <v>23</v>
      </c>
      <c r="F8" s="58"/>
      <c r="G8" s="12">
        <v>1110</v>
      </c>
      <c r="H8" s="12">
        <v>560</v>
      </c>
      <c r="I8" s="17" t="s">
        <v>430</v>
      </c>
      <c r="J8" s="18">
        <v>19</v>
      </c>
      <c r="K8" s="19">
        <f>+M8*N8</f>
        <v>93.000599999999991</v>
      </c>
      <c r="L8" s="14"/>
      <c r="M8" s="15">
        <v>8.5399999999999991</v>
      </c>
      <c r="N8" s="15">
        <v>10.89</v>
      </c>
    </row>
    <row r="9" spans="1:14" s="15" customFormat="1" ht="20.25" customHeight="1" x14ac:dyDescent="0.15">
      <c r="A9" s="60" t="s">
        <v>1517</v>
      </c>
      <c r="B9" s="9" t="s">
        <v>1483</v>
      </c>
      <c r="C9" s="58" t="s">
        <v>29</v>
      </c>
      <c r="D9" s="11" t="s">
        <v>1518</v>
      </c>
      <c r="E9" s="10">
        <v>24</v>
      </c>
      <c r="F9" s="58"/>
      <c r="G9" s="12">
        <v>1762</v>
      </c>
      <c r="H9" s="12">
        <v>1890</v>
      </c>
      <c r="I9" s="17">
        <v>3</v>
      </c>
      <c r="J9" s="18">
        <v>3</v>
      </c>
      <c r="K9" s="19">
        <f t="shared" ref="K9:K23" si="0">+M9*N9</f>
        <v>108.79110000000001</v>
      </c>
      <c r="L9" s="14"/>
      <c r="M9" s="15">
        <v>9.99</v>
      </c>
      <c r="N9" s="15">
        <v>10.89</v>
      </c>
    </row>
    <row r="10" spans="1:14" s="15" customFormat="1" ht="20.25" customHeight="1" x14ac:dyDescent="0.15">
      <c r="A10" s="60"/>
      <c r="B10" s="9"/>
      <c r="C10" s="58" t="s">
        <v>29</v>
      </c>
      <c r="D10" s="11" t="s">
        <v>1519</v>
      </c>
      <c r="E10" s="10">
        <v>24</v>
      </c>
      <c r="F10" s="58"/>
      <c r="G10" s="12">
        <v>775</v>
      </c>
      <c r="H10" s="12">
        <v>1890</v>
      </c>
      <c r="I10" s="17" t="s">
        <v>1520</v>
      </c>
      <c r="J10" s="18">
        <v>45</v>
      </c>
      <c r="K10" s="19">
        <f t="shared" si="0"/>
        <v>484.82280000000009</v>
      </c>
      <c r="L10" s="14"/>
      <c r="M10" s="15">
        <v>44.52</v>
      </c>
      <c r="N10" s="15">
        <v>10.89</v>
      </c>
    </row>
    <row r="11" spans="1:14" s="15" customFormat="1" ht="20.25" customHeight="1" x14ac:dyDescent="0.15">
      <c r="A11" s="60"/>
      <c r="B11" s="9"/>
      <c r="C11" s="58" t="s">
        <v>29</v>
      </c>
      <c r="D11" s="11" t="s">
        <v>1486</v>
      </c>
      <c r="E11" s="10">
        <v>24</v>
      </c>
      <c r="F11" s="58"/>
      <c r="G11" s="12">
        <v>1762</v>
      </c>
      <c r="H11" s="12">
        <v>1890</v>
      </c>
      <c r="I11" s="17" t="s">
        <v>1521</v>
      </c>
      <c r="J11" s="18">
        <v>48</v>
      </c>
      <c r="K11" s="19">
        <f t="shared" si="0"/>
        <v>593.61390000000006</v>
      </c>
      <c r="L11" s="14"/>
      <c r="M11" s="15">
        <v>54.51</v>
      </c>
      <c r="N11" s="15">
        <v>10.89</v>
      </c>
    </row>
    <row r="12" spans="1:14" s="15" customFormat="1" ht="20.25" customHeight="1" x14ac:dyDescent="0.15">
      <c r="A12" s="60"/>
      <c r="B12" s="9"/>
      <c r="C12" s="58" t="s">
        <v>29</v>
      </c>
      <c r="D12" s="11" t="s">
        <v>1488</v>
      </c>
      <c r="E12" s="10">
        <v>22</v>
      </c>
      <c r="F12" s="58" t="s">
        <v>11</v>
      </c>
      <c r="G12" s="12">
        <v>618</v>
      </c>
      <c r="H12" s="12">
        <v>1890</v>
      </c>
      <c r="I12" s="17" t="s">
        <v>1188</v>
      </c>
      <c r="J12" s="18">
        <v>12</v>
      </c>
      <c r="K12" s="19">
        <f t="shared" si="0"/>
        <v>150.28200000000001</v>
      </c>
      <c r="L12" s="14"/>
      <c r="M12" s="15">
        <v>13.8</v>
      </c>
      <c r="N12" s="15">
        <v>10.89</v>
      </c>
    </row>
    <row r="13" spans="1:14" s="15" customFormat="1" ht="20.25" customHeight="1" x14ac:dyDescent="0.15">
      <c r="A13" s="60" t="s">
        <v>1522</v>
      </c>
      <c r="B13" s="9" t="s">
        <v>1483</v>
      </c>
      <c r="C13" s="58" t="s">
        <v>29</v>
      </c>
      <c r="D13" s="11" t="s">
        <v>1519</v>
      </c>
      <c r="E13" s="10">
        <v>24</v>
      </c>
      <c r="F13" s="58"/>
      <c r="G13" s="12">
        <v>1331</v>
      </c>
      <c r="H13" s="12">
        <v>1890</v>
      </c>
      <c r="I13" s="17" t="s">
        <v>161</v>
      </c>
      <c r="J13" s="18">
        <v>57</v>
      </c>
      <c r="K13" s="19">
        <f t="shared" si="0"/>
        <v>612.88920000000007</v>
      </c>
      <c r="L13" s="14"/>
      <c r="M13" s="15">
        <v>56.28</v>
      </c>
      <c r="N13" s="15">
        <v>10.89</v>
      </c>
    </row>
    <row r="14" spans="1:14" s="15" customFormat="1" ht="20.25" customHeight="1" x14ac:dyDescent="0.15">
      <c r="A14" s="60"/>
      <c r="B14" s="9"/>
      <c r="C14" s="58" t="s">
        <v>29</v>
      </c>
      <c r="D14" s="11" t="s">
        <v>1486</v>
      </c>
      <c r="E14" s="10">
        <v>24</v>
      </c>
      <c r="F14" s="58"/>
      <c r="G14" s="12">
        <v>1331</v>
      </c>
      <c r="H14" s="12">
        <v>1890</v>
      </c>
      <c r="I14" s="17" t="s">
        <v>161</v>
      </c>
      <c r="J14" s="18">
        <v>57</v>
      </c>
      <c r="K14" s="19">
        <f t="shared" si="0"/>
        <v>612.88920000000007</v>
      </c>
      <c r="L14" s="20"/>
      <c r="M14" s="15">
        <v>56.28</v>
      </c>
      <c r="N14" s="15">
        <v>10.89</v>
      </c>
    </row>
    <row r="15" spans="1:14" s="15" customFormat="1" ht="20.25" customHeight="1" x14ac:dyDescent="0.15">
      <c r="A15" s="60"/>
      <c r="B15" s="9"/>
      <c r="C15" s="58" t="s">
        <v>29</v>
      </c>
      <c r="D15" s="11" t="s">
        <v>1488</v>
      </c>
      <c r="E15" s="10">
        <v>22</v>
      </c>
      <c r="F15" s="58" t="s">
        <v>11</v>
      </c>
      <c r="G15" s="12">
        <v>668</v>
      </c>
      <c r="H15" s="12">
        <v>1890</v>
      </c>
      <c r="I15" s="17" t="s">
        <v>1188</v>
      </c>
      <c r="J15" s="18">
        <v>12</v>
      </c>
      <c r="K15" s="19">
        <f t="shared" si="0"/>
        <v>156.1626</v>
      </c>
      <c r="L15" s="20"/>
      <c r="M15" s="15">
        <v>14.34</v>
      </c>
      <c r="N15" s="15">
        <v>10.89</v>
      </c>
    </row>
    <row r="16" spans="1:14" s="15" customFormat="1" ht="20.25" customHeight="1" x14ac:dyDescent="0.15">
      <c r="A16" s="60" t="s">
        <v>1379</v>
      </c>
      <c r="B16" s="9" t="s">
        <v>1483</v>
      </c>
      <c r="C16" s="58" t="s">
        <v>29</v>
      </c>
      <c r="D16" s="11" t="s">
        <v>1518</v>
      </c>
      <c r="E16" s="10">
        <v>24</v>
      </c>
      <c r="F16" s="58" t="s">
        <v>11</v>
      </c>
      <c r="G16" s="12">
        <v>1662</v>
      </c>
      <c r="H16" s="12">
        <v>1890</v>
      </c>
      <c r="I16" s="17">
        <v>4</v>
      </c>
      <c r="J16" s="18">
        <v>4</v>
      </c>
      <c r="K16" s="19">
        <f t="shared" si="0"/>
        <v>136.7784</v>
      </c>
      <c r="L16" s="20"/>
      <c r="M16" s="15">
        <v>12.56</v>
      </c>
      <c r="N16" s="15">
        <v>10.89</v>
      </c>
    </row>
    <row r="17" spans="1:14" s="15" customFormat="1" ht="20.25" customHeight="1" x14ac:dyDescent="0.15">
      <c r="A17" s="60" t="s">
        <v>1523</v>
      </c>
      <c r="B17" s="9" t="s">
        <v>1509</v>
      </c>
      <c r="C17" s="58" t="s">
        <v>29</v>
      </c>
      <c r="D17" s="11" t="s">
        <v>1510</v>
      </c>
      <c r="E17" s="10">
        <v>22</v>
      </c>
      <c r="F17" s="58"/>
      <c r="G17" s="12">
        <v>754</v>
      </c>
      <c r="H17" s="12">
        <v>1967</v>
      </c>
      <c r="I17" s="17" t="s">
        <v>1524</v>
      </c>
      <c r="J17" s="18">
        <v>122</v>
      </c>
      <c r="K17" s="19">
        <f t="shared" si="0"/>
        <v>1322.2638000000002</v>
      </c>
      <c r="L17" s="20"/>
      <c r="M17" s="15">
        <v>121.42</v>
      </c>
      <c r="N17" s="15">
        <v>10.89</v>
      </c>
    </row>
    <row r="18" spans="1:14" s="15" customFormat="1" ht="20.25" customHeight="1" x14ac:dyDescent="0.15">
      <c r="A18" s="60" t="s">
        <v>1482</v>
      </c>
      <c r="B18" s="9" t="s">
        <v>138</v>
      </c>
      <c r="C18" s="58" t="s">
        <v>29</v>
      </c>
      <c r="D18" s="11" t="s">
        <v>1518</v>
      </c>
      <c r="E18" s="10">
        <v>24</v>
      </c>
      <c r="F18" s="58"/>
      <c r="G18" s="12">
        <v>1662</v>
      </c>
      <c r="H18" s="12">
        <v>1890</v>
      </c>
      <c r="I18" s="17">
        <v>15</v>
      </c>
      <c r="J18" s="18">
        <v>15</v>
      </c>
      <c r="K18" s="19">
        <f t="shared" si="0"/>
        <v>512.9190000000001</v>
      </c>
      <c r="L18" s="20"/>
      <c r="M18" s="15">
        <v>47.1</v>
      </c>
      <c r="N18" s="15">
        <v>10.89</v>
      </c>
    </row>
    <row r="19" spans="1:14" s="15" customFormat="1" ht="20.25" customHeight="1" x14ac:dyDescent="0.15">
      <c r="A19" s="60"/>
      <c r="B19" s="9"/>
      <c r="C19" s="58"/>
      <c r="D19" s="11"/>
      <c r="E19" s="10"/>
      <c r="F19" s="58"/>
      <c r="G19" s="12"/>
      <c r="H19" s="12"/>
      <c r="I19" s="17"/>
      <c r="J19" s="18"/>
      <c r="K19" s="19">
        <f t="shared" si="0"/>
        <v>0</v>
      </c>
      <c r="L19" s="20"/>
      <c r="N19" s="15">
        <v>10.89</v>
      </c>
    </row>
    <row r="20" spans="1:14" s="15" customFormat="1" ht="20.25" customHeight="1" x14ac:dyDescent="0.15">
      <c r="A20" s="60"/>
      <c r="B20" s="9"/>
      <c r="C20" s="58"/>
      <c r="D20" s="11"/>
      <c r="E20" s="10"/>
      <c r="F20" s="58"/>
      <c r="G20" s="12"/>
      <c r="H20" s="12"/>
      <c r="I20" s="17"/>
      <c r="J20" s="18"/>
      <c r="K20" s="19">
        <f t="shared" si="0"/>
        <v>0</v>
      </c>
      <c r="L20" s="20"/>
      <c r="N20" s="15">
        <v>10.89</v>
      </c>
    </row>
    <row r="21" spans="1:14" s="15" customFormat="1" ht="20.25" customHeight="1" x14ac:dyDescent="0.15">
      <c r="A21" s="60"/>
      <c r="B21" s="9"/>
      <c r="C21" s="58"/>
      <c r="D21" s="11"/>
      <c r="E21" s="10"/>
      <c r="F21" s="58"/>
      <c r="G21" s="50"/>
      <c r="H21" s="50"/>
      <c r="I21" s="17"/>
      <c r="J21" s="18"/>
      <c r="K21" s="19">
        <f t="shared" si="0"/>
        <v>0</v>
      </c>
      <c r="L21" s="20"/>
      <c r="N21" s="15">
        <v>10.89</v>
      </c>
    </row>
    <row r="22" spans="1:14" s="15" customFormat="1" ht="20.25" customHeight="1" x14ac:dyDescent="0.15">
      <c r="A22" s="60"/>
      <c r="B22" s="9"/>
      <c r="C22" s="58"/>
      <c r="D22" s="11"/>
      <c r="E22" s="10"/>
      <c r="F22" s="58"/>
      <c r="G22" s="50"/>
      <c r="H22" s="50"/>
      <c r="I22" s="17"/>
      <c r="J22" s="18"/>
      <c r="K22" s="19">
        <f t="shared" si="0"/>
        <v>0</v>
      </c>
      <c r="L22" s="20"/>
      <c r="N22" s="15">
        <v>10.89</v>
      </c>
    </row>
    <row r="23" spans="1:14" ht="20.25" customHeight="1" x14ac:dyDescent="0.15">
      <c r="A23" s="60"/>
      <c r="B23" s="9"/>
      <c r="C23" s="58"/>
      <c r="D23" s="11"/>
      <c r="E23" s="10"/>
      <c r="F23" s="58"/>
      <c r="G23" s="16"/>
      <c r="H23" s="16"/>
      <c r="I23" s="17"/>
      <c r="J23" s="18"/>
      <c r="K23" s="19">
        <f t="shared" si="0"/>
        <v>0</v>
      </c>
      <c r="L23" s="20"/>
      <c r="N23" s="15">
        <v>10.89</v>
      </c>
    </row>
    <row r="24" spans="1:14" ht="20.25" customHeight="1" thickBot="1" x14ac:dyDescent="0.2">
      <c r="A24" s="56"/>
      <c r="B24" s="21"/>
      <c r="C24" s="59"/>
      <c r="D24" s="22"/>
      <c r="E24" s="23"/>
      <c r="F24" s="23"/>
      <c r="G24" s="24"/>
      <c r="H24" s="24"/>
      <c r="I24" s="25"/>
      <c r="J24" s="46">
        <f>SUM(J8:J23)</f>
        <v>394</v>
      </c>
      <c r="K24" s="47">
        <f>SUM(K8:K23)</f>
        <v>4784.4126000000006</v>
      </c>
      <c r="L24" s="26"/>
    </row>
    <row r="25" spans="1:14" ht="20.25" customHeight="1" thickTop="1" x14ac:dyDescent="0.15">
      <c r="A25" s="60" t="s">
        <v>1525</v>
      </c>
      <c r="B25" s="9" t="s">
        <v>1526</v>
      </c>
      <c r="C25" s="58" t="s">
        <v>29</v>
      </c>
      <c r="D25" s="11" t="s">
        <v>1527</v>
      </c>
      <c r="E25" s="10">
        <v>24</v>
      </c>
      <c r="F25" s="58" t="s">
        <v>11</v>
      </c>
      <c r="G25" s="12">
        <v>1140</v>
      </c>
      <c r="H25" s="12">
        <v>1445</v>
      </c>
      <c r="I25" s="17">
        <v>1</v>
      </c>
      <c r="J25" s="18">
        <v>1</v>
      </c>
      <c r="K25" s="19">
        <f t="shared" ref="K25:K40" si="1">+M25*N25</f>
        <v>17.968499999999999</v>
      </c>
      <c r="L25" s="54"/>
      <c r="M25" s="3">
        <v>1.65</v>
      </c>
      <c r="N25" s="15">
        <v>10.89</v>
      </c>
    </row>
    <row r="26" spans="1:14" ht="20.25" customHeight="1" x14ac:dyDescent="0.15">
      <c r="A26" s="60" t="s">
        <v>1512</v>
      </c>
      <c r="B26" s="9" t="s">
        <v>1509</v>
      </c>
      <c r="C26" s="58" t="s">
        <v>29</v>
      </c>
      <c r="D26" s="11" t="s">
        <v>1528</v>
      </c>
      <c r="E26" s="10">
        <v>25.76</v>
      </c>
      <c r="F26" s="58"/>
      <c r="G26" s="12">
        <v>800</v>
      </c>
      <c r="H26" s="12">
        <v>690</v>
      </c>
      <c r="I26" s="17" t="s">
        <v>1529</v>
      </c>
      <c r="J26" s="18">
        <v>96</v>
      </c>
      <c r="K26" s="19">
        <f t="shared" si="1"/>
        <v>518.79960000000005</v>
      </c>
      <c r="L26" s="54"/>
      <c r="M26" s="3">
        <v>47.64</v>
      </c>
      <c r="N26" s="15">
        <v>10.89</v>
      </c>
    </row>
    <row r="27" spans="1:14" ht="20.25" customHeight="1" x14ac:dyDescent="0.15">
      <c r="A27" s="61" t="s">
        <v>1491</v>
      </c>
      <c r="B27" s="9" t="s">
        <v>1492</v>
      </c>
      <c r="C27" s="58" t="s">
        <v>29</v>
      </c>
      <c r="D27" s="11" t="s">
        <v>1530</v>
      </c>
      <c r="E27" s="10">
        <v>22</v>
      </c>
      <c r="F27" s="10"/>
      <c r="G27" s="12">
        <v>740</v>
      </c>
      <c r="H27" s="12">
        <v>805</v>
      </c>
      <c r="I27" s="17" t="s">
        <v>1531</v>
      </c>
      <c r="J27" s="18">
        <v>295</v>
      </c>
      <c r="K27" s="19">
        <f t="shared" si="1"/>
        <v>1927.5300000000002</v>
      </c>
      <c r="L27" s="54"/>
      <c r="M27" s="3">
        <v>177</v>
      </c>
      <c r="N27" s="15">
        <v>10.89</v>
      </c>
    </row>
    <row r="28" spans="1:14" ht="20.25" customHeight="1" x14ac:dyDescent="0.15">
      <c r="A28" s="61"/>
      <c r="B28" s="9"/>
      <c r="C28" s="58" t="s">
        <v>29</v>
      </c>
      <c r="D28" s="11" t="s">
        <v>1493</v>
      </c>
      <c r="E28" s="10">
        <v>22</v>
      </c>
      <c r="F28" s="10"/>
      <c r="G28" s="12">
        <v>737</v>
      </c>
      <c r="H28" s="12">
        <v>1764</v>
      </c>
      <c r="I28" s="17" t="s">
        <v>1532</v>
      </c>
      <c r="J28" s="18">
        <v>150</v>
      </c>
      <c r="K28" s="19">
        <f t="shared" si="1"/>
        <v>2123.5500000000002</v>
      </c>
      <c r="L28" s="54"/>
      <c r="M28" s="3">
        <v>195</v>
      </c>
      <c r="N28" s="15">
        <v>10.89</v>
      </c>
    </row>
    <row r="29" spans="1:14" ht="20.25" customHeight="1" x14ac:dyDescent="0.15">
      <c r="A29" s="61"/>
      <c r="B29" s="9"/>
      <c r="C29" s="58"/>
      <c r="D29" s="11"/>
      <c r="E29" s="10"/>
      <c r="F29" s="10"/>
      <c r="G29" s="12"/>
      <c r="H29" s="12"/>
      <c r="I29" s="17"/>
      <c r="J29" s="18"/>
      <c r="K29" s="19">
        <f t="shared" si="1"/>
        <v>0</v>
      </c>
      <c r="L29" s="54"/>
      <c r="N29" s="15">
        <v>10.89</v>
      </c>
    </row>
    <row r="30" spans="1:14" ht="20.25" customHeight="1" x14ac:dyDescent="0.15">
      <c r="A30" s="61"/>
      <c r="B30" s="9"/>
      <c r="C30" s="58"/>
      <c r="D30" s="11"/>
      <c r="E30" s="10"/>
      <c r="F30" s="10"/>
      <c r="G30" s="12"/>
      <c r="H30" s="12"/>
      <c r="I30" s="51"/>
      <c r="J30" s="52"/>
      <c r="K30" s="53">
        <f t="shared" si="1"/>
        <v>0</v>
      </c>
      <c r="L30" s="54"/>
      <c r="N30" s="15">
        <v>10.89</v>
      </c>
    </row>
    <row r="31" spans="1:14" ht="20.25" customHeight="1" x14ac:dyDescent="0.15">
      <c r="A31" s="61"/>
      <c r="B31" s="9"/>
      <c r="C31" s="58"/>
      <c r="D31" s="11"/>
      <c r="E31" s="10"/>
      <c r="F31" s="10"/>
      <c r="G31" s="12"/>
      <c r="H31" s="12"/>
      <c r="I31" s="51"/>
      <c r="J31" s="52"/>
      <c r="K31" s="53">
        <f t="shared" si="1"/>
        <v>0</v>
      </c>
      <c r="L31" s="54"/>
      <c r="N31" s="15">
        <v>10.89</v>
      </c>
    </row>
    <row r="32" spans="1:14" ht="20.25" customHeight="1" x14ac:dyDescent="0.15">
      <c r="A32" s="60"/>
      <c r="B32" s="9"/>
      <c r="C32" s="58"/>
      <c r="D32" s="11"/>
      <c r="E32" s="10"/>
      <c r="F32" s="58"/>
      <c r="G32" s="12"/>
      <c r="H32" s="12"/>
      <c r="I32" s="17"/>
      <c r="J32" s="18"/>
      <c r="K32" s="19">
        <f t="shared" si="1"/>
        <v>0</v>
      </c>
      <c r="L32" s="27"/>
      <c r="N32" s="15">
        <v>10.89</v>
      </c>
    </row>
    <row r="33" spans="1:17" ht="20.25" customHeight="1" x14ac:dyDescent="0.15">
      <c r="A33" s="60"/>
      <c r="B33" s="9"/>
      <c r="C33" s="58"/>
      <c r="D33" s="11"/>
      <c r="E33" s="10"/>
      <c r="F33" s="58"/>
      <c r="G33" s="12"/>
      <c r="H33" s="12"/>
      <c r="I33" s="17"/>
      <c r="J33" s="18"/>
      <c r="K33" s="19">
        <f t="shared" si="1"/>
        <v>0</v>
      </c>
      <c r="L33" s="27"/>
      <c r="N33" s="15">
        <v>10.89</v>
      </c>
    </row>
    <row r="34" spans="1:17" ht="20.25" customHeight="1" x14ac:dyDescent="0.15">
      <c r="A34" s="60"/>
      <c r="B34" s="9"/>
      <c r="C34" s="58"/>
      <c r="D34" s="11"/>
      <c r="E34" s="10"/>
      <c r="F34" s="10"/>
      <c r="G34" s="12"/>
      <c r="H34" s="12"/>
      <c r="I34" s="17"/>
      <c r="J34" s="18"/>
      <c r="K34" s="19">
        <f t="shared" si="1"/>
        <v>0</v>
      </c>
      <c r="L34" s="27"/>
      <c r="N34" s="15">
        <v>10.89</v>
      </c>
    </row>
    <row r="35" spans="1:17" ht="20.25" customHeight="1" x14ac:dyDescent="0.15">
      <c r="A35" s="60"/>
      <c r="B35" s="9"/>
      <c r="C35" s="58"/>
      <c r="D35" s="11"/>
      <c r="E35" s="10"/>
      <c r="F35" s="10"/>
      <c r="G35" s="12"/>
      <c r="H35" s="12"/>
      <c r="I35" s="17"/>
      <c r="J35" s="18"/>
      <c r="K35" s="19">
        <f t="shared" si="1"/>
        <v>0</v>
      </c>
      <c r="L35" s="27"/>
      <c r="N35" s="15">
        <v>10.89</v>
      </c>
    </row>
    <row r="36" spans="1:17" ht="20.25" customHeight="1" x14ac:dyDescent="0.15">
      <c r="A36" s="60"/>
      <c r="B36" s="9"/>
      <c r="C36" s="58"/>
      <c r="D36" s="11"/>
      <c r="E36" s="10"/>
      <c r="F36" s="10"/>
      <c r="G36" s="12"/>
      <c r="H36" s="12"/>
      <c r="I36" s="17"/>
      <c r="J36" s="18"/>
      <c r="K36" s="19">
        <f t="shared" si="1"/>
        <v>0</v>
      </c>
      <c r="L36" s="27"/>
      <c r="N36" s="15">
        <v>10.89</v>
      </c>
    </row>
    <row r="37" spans="1:17" ht="20.25" customHeight="1" x14ac:dyDescent="0.15">
      <c r="A37" s="60"/>
      <c r="B37" s="9"/>
      <c r="C37" s="58"/>
      <c r="D37" s="11"/>
      <c r="E37" s="10"/>
      <c r="F37" s="10"/>
      <c r="G37" s="12"/>
      <c r="H37" s="12"/>
      <c r="I37" s="17"/>
      <c r="J37" s="18"/>
      <c r="K37" s="19">
        <f t="shared" si="1"/>
        <v>0</v>
      </c>
      <c r="L37" s="27"/>
      <c r="N37" s="15">
        <v>10.89</v>
      </c>
    </row>
    <row r="38" spans="1:17" ht="20.25" customHeight="1" x14ac:dyDescent="0.15">
      <c r="A38" s="60"/>
      <c r="B38" s="9"/>
      <c r="C38" s="58"/>
      <c r="D38" s="11"/>
      <c r="E38" s="10"/>
      <c r="F38" s="10"/>
      <c r="G38" s="12"/>
      <c r="H38" s="12"/>
      <c r="I38" s="17"/>
      <c r="J38" s="18"/>
      <c r="K38" s="19">
        <f t="shared" si="1"/>
        <v>0</v>
      </c>
      <c r="L38" s="27"/>
      <c r="N38" s="15">
        <v>10.89</v>
      </c>
    </row>
    <row r="39" spans="1:17" ht="20.25" customHeight="1" x14ac:dyDescent="0.15">
      <c r="A39" s="60"/>
      <c r="B39" s="9"/>
      <c r="C39" s="58"/>
      <c r="D39" s="11"/>
      <c r="E39" s="10"/>
      <c r="F39" s="10"/>
      <c r="G39" s="12"/>
      <c r="H39" s="12"/>
      <c r="I39" s="17"/>
      <c r="J39" s="18"/>
      <c r="K39" s="19">
        <f t="shared" si="1"/>
        <v>0</v>
      </c>
      <c r="L39" s="27"/>
      <c r="N39" s="15">
        <v>10.89</v>
      </c>
      <c r="Q39" s="65"/>
    </row>
    <row r="40" spans="1:17" ht="20.25" customHeight="1" x14ac:dyDescent="0.15">
      <c r="A40" s="60"/>
      <c r="B40" s="9"/>
      <c r="C40" s="58"/>
      <c r="D40" s="11"/>
      <c r="E40" s="10"/>
      <c r="F40" s="10"/>
      <c r="G40" s="12"/>
      <c r="H40" s="12"/>
      <c r="I40" s="17"/>
      <c r="J40" s="18"/>
      <c r="K40" s="19">
        <f t="shared" si="1"/>
        <v>0</v>
      </c>
      <c r="L40" s="27"/>
      <c r="N40" s="15">
        <v>10.89</v>
      </c>
    </row>
    <row r="41" spans="1:17" ht="20.25" customHeight="1" x14ac:dyDescent="0.15">
      <c r="A41" s="57"/>
      <c r="B41" s="28"/>
      <c r="C41" s="10"/>
      <c r="D41" s="29"/>
      <c r="E41" s="30"/>
      <c r="F41" s="30"/>
      <c r="G41" s="30"/>
      <c r="H41" s="30"/>
      <c r="I41" s="13"/>
      <c r="J41" s="48">
        <f>SUM(J25:J40)</f>
        <v>542</v>
      </c>
      <c r="K41" s="49">
        <f>SUM(K25:K40)</f>
        <v>4587.8481000000002</v>
      </c>
      <c r="L41" s="31"/>
      <c r="N41" s="32"/>
    </row>
    <row r="42" spans="1:17" ht="20.25" customHeight="1" thickBot="1" x14ac:dyDescent="0.2">
      <c r="A42" s="55"/>
      <c r="B42" s="33"/>
      <c r="C42" s="33"/>
      <c r="D42" s="33"/>
      <c r="E42" s="33"/>
      <c r="F42" s="33"/>
      <c r="G42" s="33"/>
      <c r="H42" s="33"/>
      <c r="I42" s="33"/>
      <c r="J42" s="34"/>
      <c r="K42" s="35"/>
      <c r="L42" s="36"/>
    </row>
    <row r="43" spans="1:17" ht="20.25" customHeight="1" thickBot="1" x14ac:dyDescent="0.2">
      <c r="A43" s="37" t="s">
        <v>19</v>
      </c>
      <c r="B43" s="38" t="s">
        <v>20</v>
      </c>
      <c r="C43" s="77" t="s">
        <v>21</v>
      </c>
      <c r="D43" s="79"/>
      <c r="E43" s="77" t="s">
        <v>22</v>
      </c>
      <c r="F43" s="78"/>
      <c r="G43" s="79"/>
      <c r="H43" s="85" t="s">
        <v>23</v>
      </c>
      <c r="I43" s="86"/>
      <c r="J43" s="77" t="s">
        <v>24</v>
      </c>
      <c r="K43" s="79"/>
      <c r="L43" s="39" t="s">
        <v>13</v>
      </c>
    </row>
    <row r="44" spans="1:17" ht="20.25" customHeight="1" thickBot="1" x14ac:dyDescent="0.2">
      <c r="A44" s="40">
        <f>SUMIF($C$8:$C$42,"U1",$J$8:$J$42)</f>
        <v>0</v>
      </c>
      <c r="B44" s="41">
        <f>SUMIF($C$8:$C$42,"U2",$J$8:$J$42)</f>
        <v>19</v>
      </c>
      <c r="C44" s="77">
        <f>SUMIF($C$8:$C$42,"U3-1",$J$8:$J$42)</f>
        <v>0</v>
      </c>
      <c r="D44" s="79"/>
      <c r="E44" s="77">
        <f>SUMIF($C$8:$C$42,"U3",$J$8:$J$42)</f>
        <v>917</v>
      </c>
      <c r="F44" s="78"/>
      <c r="G44" s="79"/>
      <c r="H44" s="77">
        <f>SUMIF($C$8:$C$42,"E5",$J$8:$J$42)</f>
        <v>0</v>
      </c>
      <c r="I44" s="79"/>
      <c r="J44" s="77">
        <f>SUM(A44:I44)</f>
        <v>936</v>
      </c>
      <c r="K44" s="79"/>
      <c r="L44" s="42"/>
    </row>
    <row r="45" spans="1:17" ht="20.25" customHeight="1" thickBot="1" x14ac:dyDescent="0.2">
      <c r="A45" s="43" t="s">
        <v>25</v>
      </c>
      <c r="B45" s="44" t="s">
        <v>26</v>
      </c>
      <c r="C45" s="75">
        <v>13876</v>
      </c>
      <c r="D45" s="76"/>
      <c r="E45" s="77" t="s">
        <v>27</v>
      </c>
      <c r="F45" s="78"/>
      <c r="G45" s="78"/>
      <c r="H45" s="78"/>
      <c r="I45" s="79"/>
      <c r="J45" s="80">
        <v>146744.37</v>
      </c>
      <c r="K45" s="81"/>
      <c r="L45" s="82"/>
    </row>
    <row r="47" spans="1:17" x14ac:dyDescent="0.15">
      <c r="D47" s="45"/>
    </row>
  </sheetData>
  <mergeCells count="26">
    <mergeCell ref="L2:L4"/>
    <mergeCell ref="A1:G3"/>
    <mergeCell ref="H1:H4"/>
    <mergeCell ref="I2:I4"/>
    <mergeCell ref="J2:J4"/>
    <mergeCell ref="K2:K4"/>
    <mergeCell ref="B5:G5"/>
    <mergeCell ref="A6:A7"/>
    <mergeCell ref="B6:B7"/>
    <mergeCell ref="C6:C7"/>
    <mergeCell ref="D6:D7"/>
    <mergeCell ref="E6:E7"/>
    <mergeCell ref="F6:F7"/>
    <mergeCell ref="G6:K6"/>
    <mergeCell ref="C45:D45"/>
    <mergeCell ref="E45:I45"/>
    <mergeCell ref="J45:L45"/>
    <mergeCell ref="L6:L7"/>
    <mergeCell ref="C43:D43"/>
    <mergeCell ref="E43:G43"/>
    <mergeCell ref="H43:I43"/>
    <mergeCell ref="J43:K43"/>
    <mergeCell ref="C44:D44"/>
    <mergeCell ref="E44:G44"/>
    <mergeCell ref="H44:I44"/>
    <mergeCell ref="J44:K44"/>
  </mergeCells>
  <phoneticPr fontId="2" type="noConversion"/>
  <printOptions horizontalCentered="1"/>
  <pageMargins left="0.39370078740157483" right="0.39370078740157483" top="0.74803149606299213" bottom="0.19685039370078741" header="0.31496062992125984" footer="0.15748031496062992"/>
  <pageSetup paperSize="9" scale="84" orientation="portrait" r:id="rId1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C46CCE-6D9C-44ED-B9FB-2A000C5C7B08}">
  <dimension ref="A1:Q47"/>
  <sheetViews>
    <sheetView view="pageBreakPreview" zoomScaleSheetLayoutView="100" workbookViewId="0">
      <selection activeCell="C10" sqref="C10"/>
    </sheetView>
  </sheetViews>
  <sheetFormatPr defaultColWidth="8.88671875" defaultRowHeight="13.5" x14ac:dyDescent="0.15"/>
  <cols>
    <col min="1" max="1" width="8.44140625" style="3" customWidth="1"/>
    <col min="2" max="2" width="14.77734375" style="3" customWidth="1"/>
    <col min="3" max="3" width="4.109375" style="3" customWidth="1"/>
    <col min="4" max="4" width="15.21875" style="3" customWidth="1"/>
    <col min="5" max="5" width="4.44140625" style="3" customWidth="1"/>
    <col min="6" max="6" width="4" style="3" customWidth="1"/>
    <col min="7" max="7" width="5.5546875" style="3" customWidth="1"/>
    <col min="8" max="8" width="5.44140625" style="3" customWidth="1"/>
    <col min="9" max="9" width="7.88671875" style="3" customWidth="1"/>
    <col min="10" max="10" width="7.109375" style="3" customWidth="1"/>
    <col min="11" max="11" width="7.21875" style="3" customWidth="1"/>
    <col min="12" max="12" width="6.77734375" style="3" customWidth="1"/>
    <col min="13" max="16384" width="8.88671875" style="3"/>
  </cols>
  <sheetData>
    <row r="1" spans="1:14" ht="18.75" customHeight="1" x14ac:dyDescent="0.15">
      <c r="A1" s="101" t="s">
        <v>0</v>
      </c>
      <c r="B1" s="102"/>
      <c r="C1" s="102"/>
      <c r="D1" s="102"/>
      <c r="E1" s="102"/>
      <c r="F1" s="102"/>
      <c r="G1" s="103"/>
      <c r="H1" s="107" t="s">
        <v>1</v>
      </c>
      <c r="I1" s="1" t="s">
        <v>2</v>
      </c>
      <c r="J1" s="1" t="s">
        <v>2</v>
      </c>
      <c r="K1" s="1" t="s">
        <v>3</v>
      </c>
      <c r="L1" s="2" t="s">
        <v>4</v>
      </c>
    </row>
    <row r="2" spans="1:14" ht="13.5" customHeight="1" x14ac:dyDescent="0.15">
      <c r="A2" s="104"/>
      <c r="B2" s="105"/>
      <c r="C2" s="105"/>
      <c r="D2" s="105"/>
      <c r="E2" s="105"/>
      <c r="F2" s="105"/>
      <c r="G2" s="106"/>
      <c r="H2" s="108"/>
      <c r="I2" s="110"/>
      <c r="J2" s="110"/>
      <c r="K2" s="110"/>
      <c r="L2" s="98"/>
    </row>
    <row r="3" spans="1:14" ht="13.5" customHeight="1" x14ac:dyDescent="0.15">
      <c r="A3" s="104"/>
      <c r="B3" s="105"/>
      <c r="C3" s="105"/>
      <c r="D3" s="105"/>
      <c r="E3" s="105"/>
      <c r="F3" s="105"/>
      <c r="G3" s="106"/>
      <c r="H3" s="108"/>
      <c r="I3" s="108"/>
      <c r="J3" s="108"/>
      <c r="K3" s="108"/>
      <c r="L3" s="99"/>
    </row>
    <row r="4" spans="1:14" ht="33" customHeight="1" x14ac:dyDescent="0.15">
      <c r="A4" s="4"/>
      <c r="B4" s="5"/>
      <c r="C4" s="5"/>
      <c r="D4" s="5"/>
      <c r="E4" s="5"/>
      <c r="F4" s="5"/>
      <c r="G4" s="5"/>
      <c r="H4" s="109"/>
      <c r="I4" s="109"/>
      <c r="J4" s="109"/>
      <c r="K4" s="109"/>
      <c r="L4" s="100"/>
    </row>
    <row r="5" spans="1:14" ht="17.25" customHeight="1" x14ac:dyDescent="0.15">
      <c r="A5" s="6" t="s">
        <v>5</v>
      </c>
      <c r="B5" s="87">
        <v>46100</v>
      </c>
      <c r="C5" s="88"/>
      <c r="D5" s="88"/>
      <c r="E5" s="88"/>
      <c r="F5" s="88"/>
      <c r="G5" s="88"/>
      <c r="H5" s="5"/>
      <c r="I5" s="5"/>
      <c r="J5" s="5"/>
      <c r="K5" s="5"/>
      <c r="L5" s="7"/>
    </row>
    <row r="6" spans="1:14" ht="13.5" customHeight="1" x14ac:dyDescent="0.15">
      <c r="A6" s="89" t="s">
        <v>6</v>
      </c>
      <c r="B6" s="91" t="s">
        <v>7</v>
      </c>
      <c r="C6" s="91" t="s">
        <v>8</v>
      </c>
      <c r="D6" s="91" t="s">
        <v>9</v>
      </c>
      <c r="E6" s="93" t="s">
        <v>10</v>
      </c>
      <c r="F6" s="93" t="s">
        <v>11</v>
      </c>
      <c r="G6" s="95" t="s">
        <v>12</v>
      </c>
      <c r="H6" s="96"/>
      <c r="I6" s="96"/>
      <c r="J6" s="96"/>
      <c r="K6" s="97"/>
      <c r="L6" s="83" t="s">
        <v>13</v>
      </c>
    </row>
    <row r="7" spans="1:14" x14ac:dyDescent="0.15">
      <c r="A7" s="90"/>
      <c r="B7" s="92"/>
      <c r="C7" s="92"/>
      <c r="D7" s="92"/>
      <c r="E7" s="94"/>
      <c r="F7" s="94"/>
      <c r="G7" s="8" t="s">
        <v>14</v>
      </c>
      <c r="H7" s="8" t="s">
        <v>15</v>
      </c>
      <c r="I7" s="8" t="s">
        <v>16</v>
      </c>
      <c r="J7" s="8" t="s">
        <v>17</v>
      </c>
      <c r="K7" s="8" t="s">
        <v>18</v>
      </c>
      <c r="L7" s="84"/>
    </row>
    <row r="8" spans="1:14" s="15" customFormat="1" ht="20.25" customHeight="1" x14ac:dyDescent="0.15">
      <c r="A8" s="60" t="s">
        <v>1534</v>
      </c>
      <c r="B8" s="9" t="s">
        <v>1535</v>
      </c>
      <c r="C8" s="58" t="s">
        <v>29</v>
      </c>
      <c r="D8" s="11" t="s">
        <v>1536</v>
      </c>
      <c r="E8" s="10">
        <v>28</v>
      </c>
      <c r="F8" s="58" t="s">
        <v>11</v>
      </c>
      <c r="G8" s="12">
        <v>858</v>
      </c>
      <c r="H8" s="12">
        <v>2330</v>
      </c>
      <c r="I8" s="17" t="s">
        <v>1537</v>
      </c>
      <c r="J8" s="18">
        <v>10</v>
      </c>
      <c r="K8" s="19">
        <f>+M8*N8</f>
        <v>227.601</v>
      </c>
      <c r="L8" s="14"/>
      <c r="M8" s="15">
        <v>20.9</v>
      </c>
      <c r="N8" s="15">
        <v>10.89</v>
      </c>
    </row>
    <row r="9" spans="1:14" s="15" customFormat="1" ht="20.25" customHeight="1" x14ac:dyDescent="0.15">
      <c r="A9" s="60"/>
      <c r="B9" s="9"/>
      <c r="C9" s="58" t="s">
        <v>29</v>
      </c>
      <c r="D9" s="11" t="s">
        <v>1538</v>
      </c>
      <c r="E9" s="10">
        <v>28</v>
      </c>
      <c r="F9" s="58" t="s">
        <v>11</v>
      </c>
      <c r="G9" s="12">
        <v>924</v>
      </c>
      <c r="H9" s="12">
        <v>2330</v>
      </c>
      <c r="I9" s="17">
        <v>1</v>
      </c>
      <c r="J9" s="18">
        <v>1</v>
      </c>
      <c r="K9" s="19">
        <f t="shared" ref="K9:K23" si="0">+M9*N9</f>
        <v>23.413499999999999</v>
      </c>
      <c r="L9" s="14"/>
      <c r="M9" s="15">
        <v>2.15</v>
      </c>
      <c r="N9" s="15">
        <v>10.89</v>
      </c>
    </row>
    <row r="10" spans="1:14" s="15" customFormat="1" ht="20.25" customHeight="1" x14ac:dyDescent="0.15">
      <c r="A10" s="60" t="s">
        <v>1539</v>
      </c>
      <c r="B10" s="9" t="s">
        <v>1540</v>
      </c>
      <c r="C10" s="58" t="s">
        <v>29</v>
      </c>
      <c r="D10" s="11" t="s">
        <v>345</v>
      </c>
      <c r="E10" s="10">
        <v>24</v>
      </c>
      <c r="F10" s="58" t="s">
        <v>11</v>
      </c>
      <c r="G10" s="12">
        <v>995</v>
      </c>
      <c r="H10" s="12">
        <v>510</v>
      </c>
      <c r="I10" s="17" t="s">
        <v>337</v>
      </c>
      <c r="J10" s="18">
        <v>2</v>
      </c>
      <c r="K10" s="19">
        <f t="shared" si="0"/>
        <v>10.998900000000001</v>
      </c>
      <c r="L10" s="14"/>
      <c r="M10" s="15">
        <v>1.01</v>
      </c>
      <c r="N10" s="15">
        <v>10.89</v>
      </c>
    </row>
    <row r="11" spans="1:14" s="15" customFormat="1" ht="20.25" customHeight="1" x14ac:dyDescent="0.15">
      <c r="A11" s="60" t="s">
        <v>1541</v>
      </c>
      <c r="B11" s="9" t="s">
        <v>1542</v>
      </c>
      <c r="C11" s="58" t="s">
        <v>29</v>
      </c>
      <c r="D11" s="11" t="s">
        <v>1544</v>
      </c>
      <c r="E11" s="10">
        <v>24</v>
      </c>
      <c r="F11" s="58" t="s">
        <v>11</v>
      </c>
      <c r="G11" s="12">
        <v>313</v>
      </c>
      <c r="H11" s="12">
        <v>937</v>
      </c>
      <c r="I11" s="17">
        <v>3</v>
      </c>
      <c r="J11" s="18">
        <v>3</v>
      </c>
      <c r="K11" s="19">
        <f t="shared" si="0"/>
        <v>9.4743000000000013</v>
      </c>
      <c r="L11" s="14"/>
      <c r="M11" s="15">
        <v>0.87</v>
      </c>
      <c r="N11" s="15">
        <v>10.89</v>
      </c>
    </row>
    <row r="12" spans="1:14" s="15" customFormat="1" ht="20.25" customHeight="1" x14ac:dyDescent="0.15">
      <c r="A12" s="60"/>
      <c r="B12" s="9"/>
      <c r="C12" s="58" t="s">
        <v>29</v>
      </c>
      <c r="D12" s="11" t="s">
        <v>1543</v>
      </c>
      <c r="E12" s="10">
        <v>39</v>
      </c>
      <c r="F12" s="58" t="s">
        <v>11</v>
      </c>
      <c r="G12" s="12">
        <v>1290</v>
      </c>
      <c r="H12" s="12">
        <v>1694</v>
      </c>
      <c r="I12" s="17" t="s">
        <v>1545</v>
      </c>
      <c r="J12" s="18">
        <v>106</v>
      </c>
      <c r="K12" s="19">
        <f t="shared" si="0"/>
        <v>1519.2638999999999</v>
      </c>
      <c r="L12" s="14"/>
      <c r="M12" s="15">
        <v>139.51</v>
      </c>
      <c r="N12" s="15">
        <v>10.89</v>
      </c>
    </row>
    <row r="13" spans="1:14" s="15" customFormat="1" ht="20.25" customHeight="1" x14ac:dyDescent="0.15">
      <c r="A13" s="60" t="s">
        <v>1508</v>
      </c>
      <c r="B13" s="9" t="s">
        <v>1435</v>
      </c>
      <c r="C13" s="58" t="s">
        <v>29</v>
      </c>
      <c r="D13" s="11" t="s">
        <v>1528</v>
      </c>
      <c r="E13" s="10">
        <v>25.76</v>
      </c>
      <c r="F13" s="58"/>
      <c r="G13" s="12">
        <v>800</v>
      </c>
      <c r="H13" s="12">
        <v>690</v>
      </c>
      <c r="I13" s="17" t="s">
        <v>1267</v>
      </c>
      <c r="J13" s="18">
        <v>42</v>
      </c>
      <c r="K13" s="19">
        <f t="shared" si="0"/>
        <v>218.23560000000001</v>
      </c>
      <c r="L13" s="14"/>
      <c r="M13" s="15">
        <v>20.04</v>
      </c>
      <c r="N13" s="15">
        <v>10.89</v>
      </c>
    </row>
    <row r="14" spans="1:14" s="15" customFormat="1" ht="20.25" customHeight="1" x14ac:dyDescent="0.15">
      <c r="A14" s="60" t="s">
        <v>1434</v>
      </c>
      <c r="B14" s="9" t="s">
        <v>1435</v>
      </c>
      <c r="C14" s="58" t="s">
        <v>29</v>
      </c>
      <c r="D14" s="11" t="s">
        <v>1528</v>
      </c>
      <c r="E14" s="10">
        <v>25.76</v>
      </c>
      <c r="F14" s="58"/>
      <c r="G14" s="12">
        <v>1445</v>
      </c>
      <c r="H14" s="12">
        <v>690</v>
      </c>
      <c r="I14" s="17" t="s">
        <v>1263</v>
      </c>
      <c r="J14" s="18">
        <v>54</v>
      </c>
      <c r="K14" s="19">
        <f t="shared" si="0"/>
        <v>341.07480000000004</v>
      </c>
      <c r="L14" s="20"/>
      <c r="M14" s="15">
        <v>31.32</v>
      </c>
      <c r="N14" s="15">
        <v>10.89</v>
      </c>
    </row>
    <row r="15" spans="1:14" s="15" customFormat="1" ht="20.25" customHeight="1" x14ac:dyDescent="0.15">
      <c r="A15" s="60" t="s">
        <v>1523</v>
      </c>
      <c r="B15" s="9" t="s">
        <v>1435</v>
      </c>
      <c r="C15" s="58" t="s">
        <v>29</v>
      </c>
      <c r="D15" s="11" t="s">
        <v>1528</v>
      </c>
      <c r="E15" s="10">
        <v>25.76</v>
      </c>
      <c r="F15" s="58"/>
      <c r="G15" s="12">
        <v>1445</v>
      </c>
      <c r="H15" s="12">
        <v>690</v>
      </c>
      <c r="I15" s="17" t="s">
        <v>1546</v>
      </c>
      <c r="J15" s="18">
        <v>42</v>
      </c>
      <c r="K15" s="19">
        <f t="shared" si="0"/>
        <v>271.81440000000003</v>
      </c>
      <c r="L15" s="20"/>
      <c r="M15" s="15">
        <v>24.96</v>
      </c>
      <c r="N15" s="15">
        <v>10.89</v>
      </c>
    </row>
    <row r="16" spans="1:14" s="15" customFormat="1" ht="20.25" customHeight="1" x14ac:dyDescent="0.15">
      <c r="A16" s="60"/>
      <c r="B16" s="9"/>
      <c r="C16" s="58" t="s">
        <v>29</v>
      </c>
      <c r="D16" s="11" t="s">
        <v>1436</v>
      </c>
      <c r="E16" s="10">
        <v>22</v>
      </c>
      <c r="F16" s="58"/>
      <c r="G16" s="12">
        <v>304</v>
      </c>
      <c r="H16" s="12">
        <v>967</v>
      </c>
      <c r="I16" s="17">
        <v>40</v>
      </c>
      <c r="J16" s="18">
        <v>40</v>
      </c>
      <c r="K16" s="19">
        <f t="shared" si="0"/>
        <v>126.324</v>
      </c>
      <c r="L16" s="20"/>
      <c r="M16" s="15">
        <v>11.6</v>
      </c>
      <c r="N16" s="15">
        <v>10.89</v>
      </c>
    </row>
    <row r="17" spans="1:14" s="15" customFormat="1" ht="20.25" customHeight="1" x14ac:dyDescent="0.15">
      <c r="A17" s="60"/>
      <c r="B17" s="9"/>
      <c r="C17" s="58"/>
      <c r="D17" s="11"/>
      <c r="E17" s="10"/>
      <c r="F17" s="58"/>
      <c r="G17" s="12"/>
      <c r="H17" s="12"/>
      <c r="I17" s="17"/>
      <c r="J17" s="18"/>
      <c r="K17" s="19">
        <f t="shared" si="0"/>
        <v>0</v>
      </c>
      <c r="L17" s="20"/>
      <c r="N17" s="15">
        <v>10.89</v>
      </c>
    </row>
    <row r="18" spans="1:14" s="15" customFormat="1" ht="20.25" customHeight="1" x14ac:dyDescent="0.15">
      <c r="A18" s="60"/>
      <c r="B18" s="9"/>
      <c r="C18" s="58"/>
      <c r="D18" s="11"/>
      <c r="E18" s="10"/>
      <c r="F18" s="58"/>
      <c r="G18" s="12"/>
      <c r="H18" s="12"/>
      <c r="I18" s="17"/>
      <c r="J18" s="18"/>
      <c r="K18" s="19">
        <f t="shared" si="0"/>
        <v>0</v>
      </c>
      <c r="L18" s="20"/>
      <c r="N18" s="15">
        <v>10.89</v>
      </c>
    </row>
    <row r="19" spans="1:14" s="15" customFormat="1" ht="20.25" customHeight="1" x14ac:dyDescent="0.15">
      <c r="A19" s="60"/>
      <c r="B19" s="9"/>
      <c r="C19" s="58"/>
      <c r="D19" s="11"/>
      <c r="E19" s="10"/>
      <c r="F19" s="58"/>
      <c r="G19" s="12"/>
      <c r="H19" s="12"/>
      <c r="I19" s="17"/>
      <c r="J19" s="18"/>
      <c r="K19" s="19">
        <f t="shared" si="0"/>
        <v>0</v>
      </c>
      <c r="L19" s="20"/>
      <c r="N19" s="15">
        <v>10.89</v>
      </c>
    </row>
    <row r="20" spans="1:14" s="15" customFormat="1" ht="20.25" customHeight="1" x14ac:dyDescent="0.15">
      <c r="A20" s="60"/>
      <c r="B20" s="9"/>
      <c r="C20" s="58"/>
      <c r="D20" s="11"/>
      <c r="E20" s="10"/>
      <c r="F20" s="58"/>
      <c r="G20" s="12"/>
      <c r="H20" s="12"/>
      <c r="I20" s="17"/>
      <c r="J20" s="18"/>
      <c r="K20" s="19">
        <f t="shared" si="0"/>
        <v>0</v>
      </c>
      <c r="L20" s="20"/>
      <c r="N20" s="15">
        <v>10.89</v>
      </c>
    </row>
    <row r="21" spans="1:14" s="15" customFormat="1" ht="20.25" customHeight="1" x14ac:dyDescent="0.15">
      <c r="A21" s="60"/>
      <c r="B21" s="9"/>
      <c r="C21" s="58"/>
      <c r="D21" s="11"/>
      <c r="E21" s="10"/>
      <c r="F21" s="58"/>
      <c r="G21" s="50"/>
      <c r="H21" s="50"/>
      <c r="I21" s="17"/>
      <c r="J21" s="18"/>
      <c r="K21" s="19">
        <f t="shared" si="0"/>
        <v>0</v>
      </c>
      <c r="L21" s="20"/>
      <c r="N21" s="15">
        <v>10.89</v>
      </c>
    </row>
    <row r="22" spans="1:14" s="15" customFormat="1" ht="20.25" customHeight="1" x14ac:dyDescent="0.15">
      <c r="A22" s="60"/>
      <c r="B22" s="9"/>
      <c r="C22" s="58"/>
      <c r="D22" s="11"/>
      <c r="E22" s="10"/>
      <c r="F22" s="58"/>
      <c r="G22" s="50"/>
      <c r="H22" s="50"/>
      <c r="I22" s="17"/>
      <c r="J22" s="18"/>
      <c r="K22" s="19">
        <f t="shared" si="0"/>
        <v>0</v>
      </c>
      <c r="L22" s="20"/>
      <c r="N22" s="15">
        <v>10.89</v>
      </c>
    </row>
    <row r="23" spans="1:14" ht="20.25" customHeight="1" x14ac:dyDescent="0.15">
      <c r="A23" s="60"/>
      <c r="B23" s="9"/>
      <c r="C23" s="58"/>
      <c r="D23" s="11"/>
      <c r="E23" s="10"/>
      <c r="F23" s="58"/>
      <c r="G23" s="16"/>
      <c r="H23" s="16"/>
      <c r="I23" s="17"/>
      <c r="J23" s="18"/>
      <c r="K23" s="19">
        <f t="shared" si="0"/>
        <v>0</v>
      </c>
      <c r="L23" s="20"/>
      <c r="N23" s="15">
        <v>10.89</v>
      </c>
    </row>
    <row r="24" spans="1:14" ht="20.25" customHeight="1" thickBot="1" x14ac:dyDescent="0.2">
      <c r="A24" s="56"/>
      <c r="B24" s="21"/>
      <c r="C24" s="59"/>
      <c r="D24" s="22"/>
      <c r="E24" s="23"/>
      <c r="F24" s="23"/>
      <c r="G24" s="24"/>
      <c r="H24" s="24"/>
      <c r="I24" s="25"/>
      <c r="J24" s="46">
        <f>SUM(J8:J23)</f>
        <v>300</v>
      </c>
      <c r="K24" s="47">
        <f>SUM(K8:K23)</f>
        <v>2748.2004000000002</v>
      </c>
      <c r="L24" s="26"/>
    </row>
    <row r="25" spans="1:14" ht="20.25" customHeight="1" thickTop="1" x14ac:dyDescent="0.15">
      <c r="A25" s="60"/>
      <c r="B25" s="9"/>
      <c r="C25" s="58" t="s">
        <v>29</v>
      </c>
      <c r="D25" s="11"/>
      <c r="E25" s="10"/>
      <c r="F25" s="58" t="s">
        <v>11</v>
      </c>
      <c r="G25" s="12"/>
      <c r="H25" s="12"/>
      <c r="I25" s="17"/>
      <c r="J25" s="18"/>
      <c r="K25" s="19">
        <f t="shared" ref="K25:K40" si="1">+M25*N25</f>
        <v>0</v>
      </c>
      <c r="L25" s="54"/>
      <c r="N25" s="15">
        <v>10.89</v>
      </c>
    </row>
    <row r="26" spans="1:14" ht="20.25" customHeight="1" x14ac:dyDescent="0.15">
      <c r="A26" s="60"/>
      <c r="B26" s="9"/>
      <c r="C26" s="58" t="s">
        <v>29</v>
      </c>
      <c r="D26" s="11"/>
      <c r="E26" s="10"/>
      <c r="F26" s="58" t="s">
        <v>11</v>
      </c>
      <c r="G26" s="12"/>
      <c r="H26" s="12"/>
      <c r="I26" s="17"/>
      <c r="J26" s="18"/>
      <c r="K26" s="19">
        <f t="shared" si="1"/>
        <v>0</v>
      </c>
      <c r="L26" s="54"/>
      <c r="N26" s="15">
        <v>10.89</v>
      </c>
    </row>
    <row r="27" spans="1:14" ht="20.25" customHeight="1" x14ac:dyDescent="0.15">
      <c r="A27" s="61"/>
      <c r="B27" s="9"/>
      <c r="C27" s="58" t="s">
        <v>29</v>
      </c>
      <c r="D27" s="11"/>
      <c r="E27" s="10"/>
      <c r="F27" s="58" t="s">
        <v>11</v>
      </c>
      <c r="G27" s="12"/>
      <c r="H27" s="12"/>
      <c r="I27" s="17"/>
      <c r="J27" s="18"/>
      <c r="K27" s="19">
        <f t="shared" si="1"/>
        <v>0</v>
      </c>
      <c r="L27" s="54"/>
      <c r="N27" s="15">
        <v>10.89</v>
      </c>
    </row>
    <row r="28" spans="1:14" ht="20.25" customHeight="1" x14ac:dyDescent="0.15">
      <c r="A28" s="61"/>
      <c r="B28" s="9"/>
      <c r="C28" s="58" t="s">
        <v>29</v>
      </c>
      <c r="D28" s="11"/>
      <c r="E28" s="10"/>
      <c r="F28" s="58" t="s">
        <v>11</v>
      </c>
      <c r="G28" s="12"/>
      <c r="H28" s="12"/>
      <c r="I28" s="17"/>
      <c r="J28" s="18"/>
      <c r="K28" s="19">
        <f t="shared" si="1"/>
        <v>0</v>
      </c>
      <c r="L28" s="54"/>
      <c r="N28" s="15">
        <v>10.89</v>
      </c>
    </row>
    <row r="29" spans="1:14" ht="20.25" customHeight="1" x14ac:dyDescent="0.15">
      <c r="A29" s="61"/>
      <c r="B29" s="9"/>
      <c r="C29" s="58" t="s">
        <v>29</v>
      </c>
      <c r="D29" s="11"/>
      <c r="E29" s="10"/>
      <c r="F29" s="10" t="s">
        <v>11</v>
      </c>
      <c r="G29" s="12"/>
      <c r="H29" s="12"/>
      <c r="I29" s="17"/>
      <c r="J29" s="18"/>
      <c r="K29" s="19">
        <f t="shared" si="1"/>
        <v>0</v>
      </c>
      <c r="L29" s="54"/>
      <c r="N29" s="15">
        <v>10.89</v>
      </c>
    </row>
    <row r="30" spans="1:14" ht="20.25" customHeight="1" x14ac:dyDescent="0.15">
      <c r="A30" s="61"/>
      <c r="B30" s="9"/>
      <c r="C30" s="58" t="s">
        <v>29</v>
      </c>
      <c r="D30" s="11"/>
      <c r="E30" s="10"/>
      <c r="F30" s="10" t="s">
        <v>11</v>
      </c>
      <c r="G30" s="12"/>
      <c r="H30" s="12"/>
      <c r="I30" s="51"/>
      <c r="J30" s="52"/>
      <c r="K30" s="53">
        <f t="shared" si="1"/>
        <v>0</v>
      </c>
      <c r="L30" s="54"/>
      <c r="N30" s="15">
        <v>10.89</v>
      </c>
    </row>
    <row r="31" spans="1:14" ht="20.25" customHeight="1" x14ac:dyDescent="0.15">
      <c r="A31" s="61"/>
      <c r="B31" s="9"/>
      <c r="C31" s="58" t="s">
        <v>29</v>
      </c>
      <c r="D31" s="11"/>
      <c r="E31" s="10"/>
      <c r="F31" s="10" t="s">
        <v>11</v>
      </c>
      <c r="G31" s="12"/>
      <c r="H31" s="12"/>
      <c r="I31" s="51"/>
      <c r="J31" s="52"/>
      <c r="K31" s="53">
        <f t="shared" si="1"/>
        <v>0</v>
      </c>
      <c r="L31" s="54"/>
      <c r="N31" s="15">
        <v>10.89</v>
      </c>
    </row>
    <row r="32" spans="1:14" ht="20.25" customHeight="1" x14ac:dyDescent="0.15">
      <c r="A32" s="60"/>
      <c r="B32" s="9"/>
      <c r="C32" s="58" t="s">
        <v>29</v>
      </c>
      <c r="D32" s="11"/>
      <c r="E32" s="10"/>
      <c r="F32" s="58" t="s">
        <v>11</v>
      </c>
      <c r="G32" s="12"/>
      <c r="H32" s="12"/>
      <c r="I32" s="17"/>
      <c r="J32" s="18"/>
      <c r="K32" s="19">
        <f t="shared" si="1"/>
        <v>0</v>
      </c>
      <c r="L32" s="27"/>
      <c r="N32" s="15">
        <v>10.89</v>
      </c>
    </row>
    <row r="33" spans="1:17" ht="20.25" customHeight="1" x14ac:dyDescent="0.15">
      <c r="A33" s="60"/>
      <c r="B33" s="9"/>
      <c r="C33" s="58" t="s">
        <v>29</v>
      </c>
      <c r="D33" s="11"/>
      <c r="E33" s="10"/>
      <c r="F33" s="58" t="s">
        <v>11</v>
      </c>
      <c r="G33" s="12"/>
      <c r="H33" s="12"/>
      <c r="I33" s="17"/>
      <c r="J33" s="18"/>
      <c r="K33" s="19">
        <f t="shared" si="1"/>
        <v>0</v>
      </c>
      <c r="L33" s="27"/>
      <c r="N33" s="15">
        <v>10.89</v>
      </c>
    </row>
    <row r="34" spans="1:17" ht="20.25" customHeight="1" x14ac:dyDescent="0.15">
      <c r="A34" s="60"/>
      <c r="B34" s="9"/>
      <c r="C34" s="58" t="s">
        <v>29</v>
      </c>
      <c r="D34" s="11"/>
      <c r="E34" s="10"/>
      <c r="F34" s="10" t="s">
        <v>11</v>
      </c>
      <c r="G34" s="12"/>
      <c r="H34" s="12"/>
      <c r="I34" s="17"/>
      <c r="J34" s="18"/>
      <c r="K34" s="19">
        <f t="shared" si="1"/>
        <v>0</v>
      </c>
      <c r="L34" s="27"/>
      <c r="N34" s="15">
        <v>10.89</v>
      </c>
    </row>
    <row r="35" spans="1:17" ht="20.25" customHeight="1" x14ac:dyDescent="0.15">
      <c r="A35" s="60"/>
      <c r="B35" s="9"/>
      <c r="C35" s="58" t="s">
        <v>29</v>
      </c>
      <c r="D35" s="11"/>
      <c r="E35" s="10"/>
      <c r="F35" s="10" t="s">
        <v>11</v>
      </c>
      <c r="G35" s="12"/>
      <c r="H35" s="12"/>
      <c r="I35" s="17"/>
      <c r="J35" s="18"/>
      <c r="K35" s="19">
        <f t="shared" si="1"/>
        <v>0</v>
      </c>
      <c r="L35" s="27"/>
      <c r="N35" s="15">
        <v>10.89</v>
      </c>
    </row>
    <row r="36" spans="1:17" ht="20.25" customHeight="1" x14ac:dyDescent="0.15">
      <c r="A36" s="60"/>
      <c r="B36" s="9"/>
      <c r="C36" s="58" t="s">
        <v>29</v>
      </c>
      <c r="D36" s="11"/>
      <c r="E36" s="10"/>
      <c r="F36" s="10" t="s">
        <v>11</v>
      </c>
      <c r="G36" s="12"/>
      <c r="H36" s="12"/>
      <c r="I36" s="17"/>
      <c r="J36" s="18"/>
      <c r="K36" s="19">
        <f t="shared" si="1"/>
        <v>0</v>
      </c>
      <c r="L36" s="27"/>
      <c r="N36" s="15">
        <v>10.89</v>
      </c>
    </row>
    <row r="37" spans="1:17" ht="20.25" customHeight="1" x14ac:dyDescent="0.15">
      <c r="A37" s="60"/>
      <c r="B37" s="9"/>
      <c r="C37" s="58" t="s">
        <v>29</v>
      </c>
      <c r="D37" s="11"/>
      <c r="E37" s="10"/>
      <c r="F37" s="10" t="s">
        <v>11</v>
      </c>
      <c r="G37" s="12"/>
      <c r="H37" s="12"/>
      <c r="I37" s="17"/>
      <c r="J37" s="18"/>
      <c r="K37" s="19">
        <f t="shared" si="1"/>
        <v>0</v>
      </c>
      <c r="L37" s="27"/>
      <c r="N37" s="15">
        <v>10.89</v>
      </c>
    </row>
    <row r="38" spans="1:17" ht="20.25" customHeight="1" x14ac:dyDescent="0.15">
      <c r="A38" s="60"/>
      <c r="B38" s="9"/>
      <c r="C38" s="58" t="s">
        <v>29</v>
      </c>
      <c r="D38" s="11"/>
      <c r="E38" s="10"/>
      <c r="F38" s="10" t="s">
        <v>11</v>
      </c>
      <c r="G38" s="12"/>
      <c r="H38" s="12"/>
      <c r="I38" s="17"/>
      <c r="J38" s="18"/>
      <c r="K38" s="19">
        <f t="shared" si="1"/>
        <v>0</v>
      </c>
      <c r="L38" s="27"/>
      <c r="N38" s="15">
        <v>10.89</v>
      </c>
    </row>
    <row r="39" spans="1:17" ht="20.25" customHeight="1" x14ac:dyDescent="0.15">
      <c r="A39" s="60"/>
      <c r="B39" s="9"/>
      <c r="C39" s="58" t="s">
        <v>29</v>
      </c>
      <c r="D39" s="11"/>
      <c r="E39" s="10"/>
      <c r="F39" s="10" t="s">
        <v>11</v>
      </c>
      <c r="G39" s="12"/>
      <c r="H39" s="12"/>
      <c r="I39" s="17"/>
      <c r="J39" s="18"/>
      <c r="K39" s="19">
        <f t="shared" si="1"/>
        <v>0</v>
      </c>
      <c r="L39" s="27"/>
      <c r="N39" s="15">
        <v>10.89</v>
      </c>
      <c r="Q39" s="65"/>
    </row>
    <row r="40" spans="1:17" ht="20.25" customHeight="1" x14ac:dyDescent="0.15">
      <c r="A40" s="60"/>
      <c r="B40" s="9"/>
      <c r="C40" s="58" t="s">
        <v>29</v>
      </c>
      <c r="D40" s="11"/>
      <c r="E40" s="10"/>
      <c r="F40" s="10" t="s">
        <v>11</v>
      </c>
      <c r="G40" s="12"/>
      <c r="H40" s="12"/>
      <c r="I40" s="17"/>
      <c r="J40" s="18"/>
      <c r="K40" s="19">
        <f t="shared" si="1"/>
        <v>0</v>
      </c>
      <c r="L40" s="27"/>
      <c r="N40" s="15">
        <v>10.89</v>
      </c>
    </row>
    <row r="41" spans="1:17" ht="20.25" customHeight="1" x14ac:dyDescent="0.15">
      <c r="A41" s="57"/>
      <c r="B41" s="28"/>
      <c r="C41" s="10"/>
      <c r="D41" s="29"/>
      <c r="E41" s="30"/>
      <c r="F41" s="30"/>
      <c r="G41" s="30"/>
      <c r="H41" s="30"/>
      <c r="I41" s="13"/>
      <c r="J41" s="48">
        <f>SUM(J25:J40)</f>
        <v>0</v>
      </c>
      <c r="K41" s="49">
        <f>SUM(K25:K40)</f>
        <v>0</v>
      </c>
      <c r="L41" s="31"/>
      <c r="N41" s="32"/>
    </row>
    <row r="42" spans="1:17" ht="20.25" customHeight="1" thickBot="1" x14ac:dyDescent="0.2">
      <c r="A42" s="55"/>
      <c r="B42" s="33"/>
      <c r="C42" s="33"/>
      <c r="D42" s="33"/>
      <c r="E42" s="33"/>
      <c r="F42" s="33"/>
      <c r="G42" s="33"/>
      <c r="H42" s="33"/>
      <c r="I42" s="33"/>
      <c r="J42" s="34"/>
      <c r="K42" s="35"/>
      <c r="L42" s="36"/>
    </row>
    <row r="43" spans="1:17" ht="20.25" customHeight="1" thickBot="1" x14ac:dyDescent="0.2">
      <c r="A43" s="37" t="s">
        <v>19</v>
      </c>
      <c r="B43" s="38" t="s">
        <v>20</v>
      </c>
      <c r="C43" s="77" t="s">
        <v>21</v>
      </c>
      <c r="D43" s="79"/>
      <c r="E43" s="77" t="s">
        <v>22</v>
      </c>
      <c r="F43" s="78"/>
      <c r="G43" s="79"/>
      <c r="H43" s="85" t="s">
        <v>23</v>
      </c>
      <c r="I43" s="86"/>
      <c r="J43" s="77" t="s">
        <v>24</v>
      </c>
      <c r="K43" s="79"/>
      <c r="L43" s="39" t="s">
        <v>13</v>
      </c>
    </row>
    <row r="44" spans="1:17" ht="20.25" customHeight="1" thickBot="1" x14ac:dyDescent="0.2">
      <c r="A44" s="40">
        <f>SUMIF($C$8:$C$42,"U1",$J$8:$J$42)</f>
        <v>0</v>
      </c>
      <c r="B44" s="41">
        <f>SUMIF($C$8:$C$42,"U2",$J$8:$J$42)</f>
        <v>0</v>
      </c>
      <c r="C44" s="77">
        <f>SUMIF($C$8:$C$42,"U3-1",$J$8:$J$42)</f>
        <v>0</v>
      </c>
      <c r="D44" s="79"/>
      <c r="E44" s="77">
        <f>SUMIF($C$8:$C$42,"U3",$J$8:$J$42)</f>
        <v>300</v>
      </c>
      <c r="F44" s="78"/>
      <c r="G44" s="79"/>
      <c r="H44" s="77">
        <f>SUMIF($C$8:$C$42,"E5",$J$8:$J$42)</f>
        <v>0</v>
      </c>
      <c r="I44" s="79"/>
      <c r="J44" s="77">
        <f>SUM(A44:I44)</f>
        <v>300</v>
      </c>
      <c r="K44" s="79"/>
      <c r="L44" s="42"/>
    </row>
    <row r="45" spans="1:17" ht="20.25" customHeight="1" thickBot="1" x14ac:dyDescent="0.2">
      <c r="A45" s="43" t="s">
        <v>25</v>
      </c>
      <c r="B45" s="44" t="s">
        <v>26</v>
      </c>
      <c r="C45" s="75">
        <v>13876</v>
      </c>
      <c r="D45" s="76"/>
      <c r="E45" s="77" t="s">
        <v>27</v>
      </c>
      <c r="F45" s="78"/>
      <c r="G45" s="78"/>
      <c r="H45" s="78"/>
      <c r="I45" s="79"/>
      <c r="J45" s="80">
        <v>146744.37</v>
      </c>
      <c r="K45" s="81"/>
      <c r="L45" s="82"/>
    </row>
    <row r="47" spans="1:17" x14ac:dyDescent="0.15">
      <c r="D47" s="45"/>
    </row>
  </sheetData>
  <mergeCells count="26">
    <mergeCell ref="L2:L4"/>
    <mergeCell ref="A1:G3"/>
    <mergeCell ref="H1:H4"/>
    <mergeCell ref="I2:I4"/>
    <mergeCell ref="J2:J4"/>
    <mergeCell ref="K2:K4"/>
    <mergeCell ref="B5:G5"/>
    <mergeCell ref="A6:A7"/>
    <mergeCell ref="B6:B7"/>
    <mergeCell ref="C6:C7"/>
    <mergeCell ref="D6:D7"/>
    <mergeCell ref="E6:E7"/>
    <mergeCell ref="F6:F7"/>
    <mergeCell ref="G6:K6"/>
    <mergeCell ref="C45:D45"/>
    <mergeCell ref="E45:I45"/>
    <mergeCell ref="J45:L45"/>
    <mergeCell ref="L6:L7"/>
    <mergeCell ref="C43:D43"/>
    <mergeCell ref="E43:G43"/>
    <mergeCell ref="H43:I43"/>
    <mergeCell ref="J43:K43"/>
    <mergeCell ref="C44:D44"/>
    <mergeCell ref="E44:G44"/>
    <mergeCell ref="H44:I44"/>
    <mergeCell ref="J44:K44"/>
  </mergeCells>
  <phoneticPr fontId="2" type="noConversion"/>
  <printOptions horizontalCentered="1"/>
  <pageMargins left="0.39370078740157483" right="0.39370078740157483" top="0.74803149606299213" bottom="0.19685039370078741" header="0.31496062992125984" footer="0.15748031496062992"/>
  <pageSetup paperSize="9" scale="84" orientation="portrait" r:id="rId1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966353-4707-4D96-ACE1-AF295B7EF537}">
  <dimension ref="A1:Q47"/>
  <sheetViews>
    <sheetView view="pageBreakPreview" topLeftCell="A16" zoomScaleSheetLayoutView="100" workbookViewId="0">
      <selection activeCell="D17" sqref="D17"/>
    </sheetView>
  </sheetViews>
  <sheetFormatPr defaultColWidth="8.88671875" defaultRowHeight="13.5" x14ac:dyDescent="0.15"/>
  <cols>
    <col min="1" max="1" width="8.44140625" style="3" customWidth="1"/>
    <col min="2" max="2" width="14.77734375" style="3" customWidth="1"/>
    <col min="3" max="3" width="4.109375" style="3" customWidth="1"/>
    <col min="4" max="4" width="15.21875" style="3" customWidth="1"/>
    <col min="5" max="5" width="4.44140625" style="3" customWidth="1"/>
    <col min="6" max="6" width="4" style="3" customWidth="1"/>
    <col min="7" max="7" width="5.5546875" style="3" customWidth="1"/>
    <col min="8" max="8" width="5.44140625" style="3" customWidth="1"/>
    <col min="9" max="9" width="7.88671875" style="3" customWidth="1"/>
    <col min="10" max="10" width="7.109375" style="3" customWidth="1"/>
    <col min="11" max="11" width="7.21875" style="3" customWidth="1"/>
    <col min="12" max="12" width="6.77734375" style="3" customWidth="1"/>
    <col min="13" max="16384" width="8.88671875" style="3"/>
  </cols>
  <sheetData>
    <row r="1" spans="1:14" ht="18.75" customHeight="1" x14ac:dyDescent="0.15">
      <c r="A1" s="101" t="s">
        <v>0</v>
      </c>
      <c r="B1" s="102"/>
      <c r="C1" s="102"/>
      <c r="D1" s="102"/>
      <c r="E1" s="102"/>
      <c r="F1" s="102"/>
      <c r="G1" s="103"/>
      <c r="H1" s="107" t="s">
        <v>1</v>
      </c>
      <c r="I1" s="1" t="s">
        <v>2</v>
      </c>
      <c r="J1" s="1" t="s">
        <v>2</v>
      </c>
      <c r="K1" s="1" t="s">
        <v>3</v>
      </c>
      <c r="L1" s="2" t="s">
        <v>4</v>
      </c>
    </row>
    <row r="2" spans="1:14" ht="13.5" customHeight="1" x14ac:dyDescent="0.15">
      <c r="A2" s="104"/>
      <c r="B2" s="105"/>
      <c r="C2" s="105"/>
      <c r="D2" s="105"/>
      <c r="E2" s="105"/>
      <c r="F2" s="105"/>
      <c r="G2" s="106"/>
      <c r="H2" s="108"/>
      <c r="I2" s="110"/>
      <c r="J2" s="110"/>
      <c r="K2" s="110"/>
      <c r="L2" s="98"/>
    </row>
    <row r="3" spans="1:14" ht="13.5" customHeight="1" x14ac:dyDescent="0.15">
      <c r="A3" s="104"/>
      <c r="B3" s="105"/>
      <c r="C3" s="105"/>
      <c r="D3" s="105"/>
      <c r="E3" s="105"/>
      <c r="F3" s="105"/>
      <c r="G3" s="106"/>
      <c r="H3" s="108"/>
      <c r="I3" s="108"/>
      <c r="J3" s="108"/>
      <c r="K3" s="108"/>
      <c r="L3" s="99"/>
    </row>
    <row r="4" spans="1:14" ht="33" customHeight="1" x14ac:dyDescent="0.15">
      <c r="A4" s="4"/>
      <c r="B4" s="5"/>
      <c r="C4" s="5"/>
      <c r="D4" s="5"/>
      <c r="E4" s="5"/>
      <c r="F4" s="5"/>
      <c r="G4" s="5"/>
      <c r="H4" s="109"/>
      <c r="I4" s="109"/>
      <c r="J4" s="109"/>
      <c r="K4" s="109"/>
      <c r="L4" s="100"/>
    </row>
    <row r="5" spans="1:14" ht="17.25" customHeight="1" x14ac:dyDescent="0.15">
      <c r="A5" s="6" t="s">
        <v>5</v>
      </c>
      <c r="B5" s="87">
        <v>46101</v>
      </c>
      <c r="C5" s="88"/>
      <c r="D5" s="88"/>
      <c r="E5" s="88"/>
      <c r="F5" s="88"/>
      <c r="G5" s="88"/>
      <c r="H5" s="5"/>
      <c r="I5" s="5"/>
      <c r="J5" s="5"/>
      <c r="K5" s="5"/>
      <c r="L5" s="7"/>
    </row>
    <row r="6" spans="1:14" ht="13.5" customHeight="1" x14ac:dyDescent="0.15">
      <c r="A6" s="89" t="s">
        <v>6</v>
      </c>
      <c r="B6" s="91" t="s">
        <v>7</v>
      </c>
      <c r="C6" s="91" t="s">
        <v>8</v>
      </c>
      <c r="D6" s="91" t="s">
        <v>9</v>
      </c>
      <c r="E6" s="93" t="s">
        <v>10</v>
      </c>
      <c r="F6" s="93" t="s">
        <v>11</v>
      </c>
      <c r="G6" s="95" t="s">
        <v>12</v>
      </c>
      <c r="H6" s="96"/>
      <c r="I6" s="96"/>
      <c r="J6" s="96"/>
      <c r="K6" s="97"/>
      <c r="L6" s="83" t="s">
        <v>13</v>
      </c>
    </row>
    <row r="7" spans="1:14" x14ac:dyDescent="0.15">
      <c r="A7" s="90"/>
      <c r="B7" s="92"/>
      <c r="C7" s="92"/>
      <c r="D7" s="92"/>
      <c r="E7" s="94"/>
      <c r="F7" s="94"/>
      <c r="G7" s="8" t="s">
        <v>14</v>
      </c>
      <c r="H7" s="8" t="s">
        <v>15</v>
      </c>
      <c r="I7" s="8" t="s">
        <v>16</v>
      </c>
      <c r="J7" s="8" t="s">
        <v>17</v>
      </c>
      <c r="K7" s="8" t="s">
        <v>18</v>
      </c>
      <c r="L7" s="84"/>
    </row>
    <row r="8" spans="1:14" s="15" customFormat="1" ht="20.25" customHeight="1" x14ac:dyDescent="0.15">
      <c r="A8" s="60" t="s">
        <v>1547</v>
      </c>
      <c r="B8" s="9" t="s">
        <v>1479</v>
      </c>
      <c r="C8" s="58" t="s">
        <v>29</v>
      </c>
      <c r="D8" s="11" t="s">
        <v>1480</v>
      </c>
      <c r="E8" s="10">
        <v>24</v>
      </c>
      <c r="F8" s="58" t="s">
        <v>11</v>
      </c>
      <c r="G8" s="12">
        <v>1118</v>
      </c>
      <c r="H8" s="12">
        <v>1168</v>
      </c>
      <c r="I8" s="17">
        <v>12</v>
      </c>
      <c r="J8" s="18">
        <v>12</v>
      </c>
      <c r="K8" s="19">
        <f>+M8*N8</f>
        <v>171.19080000000002</v>
      </c>
      <c r="L8" s="14"/>
      <c r="M8" s="15">
        <v>15.72</v>
      </c>
      <c r="N8" s="15">
        <v>10.89</v>
      </c>
    </row>
    <row r="9" spans="1:14" s="15" customFormat="1" ht="20.25" customHeight="1" x14ac:dyDescent="0.15">
      <c r="A9" s="60" t="s">
        <v>1548</v>
      </c>
      <c r="B9" s="9" t="s">
        <v>1549</v>
      </c>
      <c r="C9" s="58" t="s">
        <v>29</v>
      </c>
      <c r="D9" s="11" t="s">
        <v>1462</v>
      </c>
      <c r="E9" s="10">
        <v>22</v>
      </c>
      <c r="F9" s="58" t="s">
        <v>11</v>
      </c>
      <c r="G9" s="12">
        <v>610</v>
      </c>
      <c r="H9" s="12">
        <v>1265</v>
      </c>
      <c r="I9" s="17">
        <v>16</v>
      </c>
      <c r="J9" s="18">
        <v>16</v>
      </c>
      <c r="K9" s="19">
        <f t="shared" ref="K9:K23" si="0">+M9*N9</f>
        <v>134.16480000000001</v>
      </c>
      <c r="L9" s="14"/>
      <c r="M9" s="15">
        <v>12.32</v>
      </c>
      <c r="N9" s="15">
        <v>10.89</v>
      </c>
    </row>
    <row r="10" spans="1:14" s="15" customFormat="1" ht="20.25" customHeight="1" x14ac:dyDescent="0.15">
      <c r="A10" s="60"/>
      <c r="B10" s="9"/>
      <c r="C10" s="58" t="s">
        <v>29</v>
      </c>
      <c r="D10" s="11" t="s">
        <v>1550</v>
      </c>
      <c r="E10" s="10">
        <v>24</v>
      </c>
      <c r="F10" s="58" t="s">
        <v>11</v>
      </c>
      <c r="G10" s="12">
        <v>485</v>
      </c>
      <c r="H10" s="12">
        <v>2075</v>
      </c>
      <c r="I10" s="17" t="s">
        <v>666</v>
      </c>
      <c r="J10" s="18">
        <v>17</v>
      </c>
      <c r="K10" s="19">
        <f t="shared" si="0"/>
        <v>109.55340000000001</v>
      </c>
      <c r="L10" s="14"/>
      <c r="M10" s="15">
        <v>10.06</v>
      </c>
      <c r="N10" s="15">
        <v>10.89</v>
      </c>
    </row>
    <row r="11" spans="1:14" s="15" customFormat="1" ht="20.25" customHeight="1" x14ac:dyDescent="0.15">
      <c r="A11" s="60"/>
      <c r="B11" s="9"/>
      <c r="C11" s="58" t="s">
        <v>29</v>
      </c>
      <c r="D11" s="11" t="s">
        <v>1551</v>
      </c>
      <c r="E11" s="10">
        <v>24</v>
      </c>
      <c r="F11" s="58" t="s">
        <v>11</v>
      </c>
      <c r="G11" s="12">
        <v>733</v>
      </c>
      <c r="H11" s="12">
        <v>543</v>
      </c>
      <c r="I11" s="17" t="s">
        <v>337</v>
      </c>
      <c r="J11" s="18">
        <v>2</v>
      </c>
      <c r="K11" s="19">
        <f t="shared" si="0"/>
        <v>7.5141</v>
      </c>
      <c r="L11" s="14"/>
      <c r="M11" s="15">
        <v>0.69</v>
      </c>
      <c r="N11" s="15">
        <v>10.89</v>
      </c>
    </row>
    <row r="12" spans="1:14" s="15" customFormat="1" ht="20.25" customHeight="1" x14ac:dyDescent="0.15">
      <c r="A12" s="60" t="s">
        <v>1490</v>
      </c>
      <c r="B12" s="9" t="s">
        <v>1479</v>
      </c>
      <c r="C12" s="58" t="s">
        <v>29</v>
      </c>
      <c r="D12" s="11" t="s">
        <v>1480</v>
      </c>
      <c r="E12" s="10">
        <v>24</v>
      </c>
      <c r="F12" s="58" t="s">
        <v>11</v>
      </c>
      <c r="G12" s="12">
        <v>925</v>
      </c>
      <c r="H12" s="12">
        <v>460</v>
      </c>
      <c r="I12" s="17" t="s">
        <v>218</v>
      </c>
      <c r="J12" s="18">
        <v>3</v>
      </c>
      <c r="K12" s="19">
        <f t="shared" si="0"/>
        <v>13.612500000000001</v>
      </c>
      <c r="L12" s="14"/>
      <c r="M12" s="15">
        <v>1.25</v>
      </c>
      <c r="N12" s="15">
        <v>10.89</v>
      </c>
    </row>
    <row r="13" spans="1:14" s="15" customFormat="1" ht="20.25" customHeight="1" x14ac:dyDescent="0.15">
      <c r="A13" s="60" t="s">
        <v>1552</v>
      </c>
      <c r="B13" s="9" t="s">
        <v>1441</v>
      </c>
      <c r="C13" s="58" t="s">
        <v>29</v>
      </c>
      <c r="D13" s="11" t="s">
        <v>1553</v>
      </c>
      <c r="E13" s="10">
        <v>28</v>
      </c>
      <c r="F13" s="58" t="s">
        <v>11</v>
      </c>
      <c r="G13" s="12">
        <v>1880</v>
      </c>
      <c r="H13" s="12">
        <v>3305</v>
      </c>
      <c r="I13" s="17" t="s">
        <v>657</v>
      </c>
      <c r="J13" s="18">
        <v>9</v>
      </c>
      <c r="K13" s="19">
        <f t="shared" si="0"/>
        <v>474.2595</v>
      </c>
      <c r="L13" s="14"/>
      <c r="M13" s="15">
        <v>43.55</v>
      </c>
      <c r="N13" s="15">
        <v>10.89</v>
      </c>
    </row>
    <row r="14" spans="1:14" s="15" customFormat="1" ht="20.25" customHeight="1" x14ac:dyDescent="0.15">
      <c r="A14" s="60"/>
      <c r="B14" s="9"/>
      <c r="C14" s="58" t="s">
        <v>29</v>
      </c>
      <c r="D14" s="11" t="s">
        <v>1554</v>
      </c>
      <c r="E14" s="10">
        <v>28</v>
      </c>
      <c r="F14" s="58" t="s">
        <v>11</v>
      </c>
      <c r="G14" s="12">
        <v>1910</v>
      </c>
      <c r="H14" s="12">
        <v>3305</v>
      </c>
      <c r="I14" s="17" t="s">
        <v>1108</v>
      </c>
      <c r="J14" s="18">
        <v>10</v>
      </c>
      <c r="K14" s="19">
        <f t="shared" si="0"/>
        <v>481.33800000000008</v>
      </c>
      <c r="L14" s="20"/>
      <c r="M14" s="15">
        <v>44.2</v>
      </c>
      <c r="N14" s="15">
        <v>10.89</v>
      </c>
    </row>
    <row r="15" spans="1:14" s="15" customFormat="1" ht="20.25" customHeight="1" x14ac:dyDescent="0.15">
      <c r="A15" s="60"/>
      <c r="B15" s="9"/>
      <c r="C15" s="58" t="s">
        <v>29</v>
      </c>
      <c r="D15" s="11" t="s">
        <v>1555</v>
      </c>
      <c r="E15" s="10">
        <v>26</v>
      </c>
      <c r="F15" s="58" t="s">
        <v>11</v>
      </c>
      <c r="G15" s="12">
        <v>1845</v>
      </c>
      <c r="H15" s="12">
        <v>3305</v>
      </c>
      <c r="I15" s="17" t="s">
        <v>337</v>
      </c>
      <c r="J15" s="18">
        <v>2</v>
      </c>
      <c r="K15" s="19">
        <f t="shared" si="0"/>
        <v>123.27480000000001</v>
      </c>
      <c r="L15" s="20"/>
      <c r="M15" s="15">
        <v>11.32</v>
      </c>
      <c r="N15" s="15">
        <v>10.89</v>
      </c>
    </row>
    <row r="16" spans="1:14" s="15" customFormat="1" ht="20.25" customHeight="1" x14ac:dyDescent="0.15">
      <c r="A16" s="60" t="s">
        <v>1556</v>
      </c>
      <c r="B16" s="9" t="s">
        <v>1435</v>
      </c>
      <c r="C16" s="58" t="s">
        <v>29</v>
      </c>
      <c r="D16" s="11" t="s">
        <v>1528</v>
      </c>
      <c r="E16" s="10">
        <v>25.76</v>
      </c>
      <c r="F16" s="58"/>
      <c r="G16" s="12">
        <v>1445</v>
      </c>
      <c r="H16" s="12">
        <v>690</v>
      </c>
      <c r="I16" s="17" t="s">
        <v>1557</v>
      </c>
      <c r="J16" s="18">
        <v>108</v>
      </c>
      <c r="K16" s="19">
        <f t="shared" si="0"/>
        <v>682.14960000000008</v>
      </c>
      <c r="L16" s="20"/>
      <c r="M16" s="15">
        <v>62.64</v>
      </c>
      <c r="N16" s="15">
        <v>10.89</v>
      </c>
    </row>
    <row r="17" spans="1:14" s="15" customFormat="1" ht="20.25" customHeight="1" x14ac:dyDescent="0.15">
      <c r="A17" s="60"/>
      <c r="B17" s="9"/>
      <c r="C17" s="58" t="s">
        <v>29</v>
      </c>
      <c r="D17" s="11" t="s">
        <v>1436</v>
      </c>
      <c r="E17" s="10">
        <v>22</v>
      </c>
      <c r="F17" s="58"/>
      <c r="G17" s="12">
        <v>954</v>
      </c>
      <c r="H17" s="12">
        <v>1967</v>
      </c>
      <c r="I17" s="17" t="s">
        <v>1558</v>
      </c>
      <c r="J17" s="18">
        <v>92</v>
      </c>
      <c r="K17" s="19">
        <f t="shared" si="0"/>
        <v>1556.3987999999999</v>
      </c>
      <c r="L17" s="20"/>
      <c r="M17" s="15">
        <v>142.91999999999999</v>
      </c>
      <c r="N17" s="15">
        <v>10.89</v>
      </c>
    </row>
    <row r="18" spans="1:14" s="15" customFormat="1" ht="20.25" customHeight="1" x14ac:dyDescent="0.15">
      <c r="A18" s="60"/>
      <c r="B18" s="9"/>
      <c r="C18" s="58"/>
      <c r="D18" s="11"/>
      <c r="E18" s="10"/>
      <c r="F18" s="58"/>
      <c r="G18" s="12"/>
      <c r="H18" s="12"/>
      <c r="I18" s="17"/>
      <c r="J18" s="18"/>
      <c r="K18" s="19">
        <f t="shared" si="0"/>
        <v>0</v>
      </c>
      <c r="L18" s="20"/>
      <c r="N18" s="15">
        <v>10.89</v>
      </c>
    </row>
    <row r="19" spans="1:14" s="15" customFormat="1" ht="20.25" customHeight="1" x14ac:dyDescent="0.15">
      <c r="A19" s="60"/>
      <c r="B19" s="9"/>
      <c r="C19" s="58"/>
      <c r="D19" s="11"/>
      <c r="E19" s="10"/>
      <c r="F19" s="58"/>
      <c r="G19" s="12"/>
      <c r="H19" s="12"/>
      <c r="I19" s="17"/>
      <c r="J19" s="18"/>
      <c r="K19" s="19">
        <f t="shared" si="0"/>
        <v>0</v>
      </c>
      <c r="L19" s="20"/>
      <c r="N19" s="15">
        <v>10.89</v>
      </c>
    </row>
    <row r="20" spans="1:14" s="15" customFormat="1" ht="20.25" customHeight="1" x14ac:dyDescent="0.15">
      <c r="A20" s="60"/>
      <c r="B20" s="9"/>
      <c r="C20" s="58"/>
      <c r="D20" s="11"/>
      <c r="E20" s="10"/>
      <c r="F20" s="58"/>
      <c r="G20" s="12"/>
      <c r="H20" s="12"/>
      <c r="I20" s="17"/>
      <c r="J20" s="18"/>
      <c r="K20" s="19">
        <f t="shared" si="0"/>
        <v>0</v>
      </c>
      <c r="L20" s="20"/>
      <c r="N20" s="15">
        <v>10.89</v>
      </c>
    </row>
    <row r="21" spans="1:14" s="15" customFormat="1" ht="20.25" customHeight="1" x14ac:dyDescent="0.15">
      <c r="A21" s="60"/>
      <c r="B21" s="9"/>
      <c r="C21" s="58"/>
      <c r="D21" s="11"/>
      <c r="E21" s="10"/>
      <c r="F21" s="58"/>
      <c r="G21" s="50"/>
      <c r="H21" s="50"/>
      <c r="I21" s="17"/>
      <c r="J21" s="18"/>
      <c r="K21" s="19">
        <f t="shared" si="0"/>
        <v>0</v>
      </c>
      <c r="L21" s="20"/>
      <c r="N21" s="15">
        <v>10.89</v>
      </c>
    </row>
    <row r="22" spans="1:14" s="15" customFormat="1" ht="20.25" customHeight="1" x14ac:dyDescent="0.15">
      <c r="A22" s="60"/>
      <c r="B22" s="9"/>
      <c r="C22" s="58"/>
      <c r="D22" s="11"/>
      <c r="E22" s="10"/>
      <c r="F22" s="58"/>
      <c r="G22" s="50"/>
      <c r="H22" s="50"/>
      <c r="I22" s="17"/>
      <c r="J22" s="18"/>
      <c r="K22" s="19">
        <f t="shared" si="0"/>
        <v>0</v>
      </c>
      <c r="L22" s="20"/>
      <c r="N22" s="15">
        <v>10.89</v>
      </c>
    </row>
    <row r="23" spans="1:14" ht="20.25" customHeight="1" x14ac:dyDescent="0.15">
      <c r="A23" s="60"/>
      <c r="B23" s="9"/>
      <c r="C23" s="58"/>
      <c r="D23" s="11"/>
      <c r="E23" s="10"/>
      <c r="F23" s="58"/>
      <c r="G23" s="16"/>
      <c r="H23" s="16"/>
      <c r="I23" s="17"/>
      <c r="J23" s="18"/>
      <c r="K23" s="19">
        <f t="shared" si="0"/>
        <v>0</v>
      </c>
      <c r="L23" s="20"/>
      <c r="N23" s="15">
        <v>10.89</v>
      </c>
    </row>
    <row r="24" spans="1:14" ht="20.25" customHeight="1" thickBot="1" x14ac:dyDescent="0.2">
      <c r="A24" s="56"/>
      <c r="B24" s="21"/>
      <c r="C24" s="59"/>
      <c r="D24" s="22"/>
      <c r="E24" s="23"/>
      <c r="F24" s="23"/>
      <c r="G24" s="24"/>
      <c r="H24" s="24"/>
      <c r="I24" s="25"/>
      <c r="J24" s="46">
        <f>SUM(J8:J23)</f>
        <v>271</v>
      </c>
      <c r="K24" s="47">
        <f>SUM(K8:K23)</f>
        <v>3753.4562999999998</v>
      </c>
      <c r="L24" s="26"/>
    </row>
    <row r="25" spans="1:14" ht="20.25" customHeight="1" thickTop="1" x14ac:dyDescent="0.15">
      <c r="A25" s="60"/>
      <c r="B25" s="9"/>
      <c r="C25" s="58" t="s">
        <v>29</v>
      </c>
      <c r="D25" s="11"/>
      <c r="E25" s="10"/>
      <c r="F25" s="58" t="s">
        <v>11</v>
      </c>
      <c r="G25" s="12"/>
      <c r="H25" s="12"/>
      <c r="I25" s="17"/>
      <c r="J25" s="18"/>
      <c r="K25" s="19">
        <f t="shared" ref="K25:K40" si="1">+M25*N25</f>
        <v>0</v>
      </c>
      <c r="L25" s="54"/>
      <c r="N25" s="15">
        <v>10.89</v>
      </c>
    </row>
    <row r="26" spans="1:14" ht="20.25" customHeight="1" x14ac:dyDescent="0.15">
      <c r="A26" s="60"/>
      <c r="B26" s="9"/>
      <c r="C26" s="58" t="s">
        <v>29</v>
      </c>
      <c r="D26" s="11"/>
      <c r="E26" s="10"/>
      <c r="F26" s="58" t="s">
        <v>11</v>
      </c>
      <c r="G26" s="12"/>
      <c r="H26" s="12"/>
      <c r="I26" s="17"/>
      <c r="J26" s="18"/>
      <c r="K26" s="19">
        <f t="shared" si="1"/>
        <v>0</v>
      </c>
      <c r="L26" s="54"/>
      <c r="N26" s="15">
        <v>10.89</v>
      </c>
    </row>
    <row r="27" spans="1:14" ht="20.25" customHeight="1" x14ac:dyDescent="0.15">
      <c r="A27" s="61"/>
      <c r="B27" s="9"/>
      <c r="C27" s="58" t="s">
        <v>29</v>
      </c>
      <c r="D27" s="11"/>
      <c r="E27" s="10"/>
      <c r="F27" s="58" t="s">
        <v>11</v>
      </c>
      <c r="G27" s="12"/>
      <c r="H27" s="12"/>
      <c r="I27" s="17"/>
      <c r="J27" s="18"/>
      <c r="K27" s="19">
        <f t="shared" si="1"/>
        <v>0</v>
      </c>
      <c r="L27" s="54"/>
      <c r="N27" s="15">
        <v>10.89</v>
      </c>
    </row>
    <row r="28" spans="1:14" ht="20.25" customHeight="1" x14ac:dyDescent="0.15">
      <c r="A28" s="61"/>
      <c r="B28" s="9"/>
      <c r="C28" s="58" t="s">
        <v>29</v>
      </c>
      <c r="D28" s="11"/>
      <c r="E28" s="10"/>
      <c r="F28" s="58" t="s">
        <v>11</v>
      </c>
      <c r="G28" s="12"/>
      <c r="H28" s="12"/>
      <c r="I28" s="17"/>
      <c r="J28" s="18"/>
      <c r="K28" s="19">
        <f t="shared" si="1"/>
        <v>0</v>
      </c>
      <c r="L28" s="54"/>
      <c r="N28" s="15">
        <v>10.89</v>
      </c>
    </row>
    <row r="29" spans="1:14" ht="20.25" customHeight="1" x14ac:dyDescent="0.15">
      <c r="A29" s="61"/>
      <c r="B29" s="9"/>
      <c r="C29" s="58" t="s">
        <v>29</v>
      </c>
      <c r="D29" s="11"/>
      <c r="E29" s="10"/>
      <c r="F29" s="10" t="s">
        <v>11</v>
      </c>
      <c r="G29" s="12"/>
      <c r="H29" s="12"/>
      <c r="I29" s="17"/>
      <c r="J29" s="18"/>
      <c r="K29" s="19">
        <f t="shared" si="1"/>
        <v>0</v>
      </c>
      <c r="L29" s="54"/>
      <c r="N29" s="15">
        <v>10.89</v>
      </c>
    </row>
    <row r="30" spans="1:14" ht="20.25" customHeight="1" x14ac:dyDescent="0.15">
      <c r="A30" s="61"/>
      <c r="B30" s="9"/>
      <c r="C30" s="58" t="s">
        <v>29</v>
      </c>
      <c r="D30" s="11"/>
      <c r="E30" s="10"/>
      <c r="F30" s="10" t="s">
        <v>11</v>
      </c>
      <c r="G30" s="12"/>
      <c r="H30" s="12"/>
      <c r="I30" s="51"/>
      <c r="J30" s="52"/>
      <c r="K30" s="53">
        <f t="shared" si="1"/>
        <v>0</v>
      </c>
      <c r="L30" s="54"/>
      <c r="N30" s="15">
        <v>10.89</v>
      </c>
    </row>
    <row r="31" spans="1:14" ht="20.25" customHeight="1" x14ac:dyDescent="0.15">
      <c r="A31" s="61"/>
      <c r="B31" s="9"/>
      <c r="C31" s="58" t="s">
        <v>29</v>
      </c>
      <c r="D31" s="11"/>
      <c r="E31" s="10"/>
      <c r="F31" s="10" t="s">
        <v>11</v>
      </c>
      <c r="G31" s="12"/>
      <c r="H31" s="12"/>
      <c r="I31" s="51"/>
      <c r="J31" s="52"/>
      <c r="K31" s="53">
        <f t="shared" si="1"/>
        <v>0</v>
      </c>
      <c r="L31" s="54"/>
      <c r="N31" s="15">
        <v>10.89</v>
      </c>
    </row>
    <row r="32" spans="1:14" ht="20.25" customHeight="1" x14ac:dyDescent="0.15">
      <c r="A32" s="60"/>
      <c r="B32" s="9"/>
      <c r="C32" s="58" t="s">
        <v>29</v>
      </c>
      <c r="D32" s="11"/>
      <c r="E32" s="10"/>
      <c r="F32" s="58" t="s">
        <v>11</v>
      </c>
      <c r="G32" s="12"/>
      <c r="H32" s="12"/>
      <c r="I32" s="17"/>
      <c r="J32" s="18"/>
      <c r="K32" s="19">
        <f t="shared" si="1"/>
        <v>0</v>
      </c>
      <c r="L32" s="27"/>
      <c r="N32" s="15">
        <v>10.89</v>
      </c>
    </row>
    <row r="33" spans="1:17" ht="20.25" customHeight="1" x14ac:dyDescent="0.15">
      <c r="A33" s="60"/>
      <c r="B33" s="9"/>
      <c r="C33" s="58" t="s">
        <v>29</v>
      </c>
      <c r="D33" s="11"/>
      <c r="E33" s="10"/>
      <c r="F33" s="58" t="s">
        <v>11</v>
      </c>
      <c r="G33" s="12"/>
      <c r="H33" s="12"/>
      <c r="I33" s="17"/>
      <c r="J33" s="18"/>
      <c r="K33" s="19">
        <f t="shared" si="1"/>
        <v>0</v>
      </c>
      <c r="L33" s="27"/>
      <c r="N33" s="15">
        <v>10.89</v>
      </c>
    </row>
    <row r="34" spans="1:17" ht="20.25" customHeight="1" x14ac:dyDescent="0.15">
      <c r="A34" s="60"/>
      <c r="B34" s="9"/>
      <c r="C34" s="58" t="s">
        <v>29</v>
      </c>
      <c r="D34" s="11"/>
      <c r="E34" s="10"/>
      <c r="F34" s="10" t="s">
        <v>11</v>
      </c>
      <c r="G34" s="12"/>
      <c r="H34" s="12"/>
      <c r="I34" s="17"/>
      <c r="J34" s="18"/>
      <c r="K34" s="19">
        <f t="shared" si="1"/>
        <v>0</v>
      </c>
      <c r="L34" s="27"/>
      <c r="N34" s="15">
        <v>10.89</v>
      </c>
    </row>
    <row r="35" spans="1:17" ht="20.25" customHeight="1" x14ac:dyDescent="0.15">
      <c r="A35" s="60"/>
      <c r="B35" s="9"/>
      <c r="C35" s="58" t="s">
        <v>29</v>
      </c>
      <c r="D35" s="11"/>
      <c r="E35" s="10"/>
      <c r="F35" s="10" t="s">
        <v>11</v>
      </c>
      <c r="G35" s="12"/>
      <c r="H35" s="12"/>
      <c r="I35" s="17"/>
      <c r="J35" s="18"/>
      <c r="K35" s="19">
        <f t="shared" si="1"/>
        <v>0</v>
      </c>
      <c r="L35" s="27"/>
      <c r="N35" s="15">
        <v>10.89</v>
      </c>
    </row>
    <row r="36" spans="1:17" ht="20.25" customHeight="1" x14ac:dyDescent="0.15">
      <c r="A36" s="60"/>
      <c r="B36" s="9"/>
      <c r="C36" s="58" t="s">
        <v>29</v>
      </c>
      <c r="D36" s="11"/>
      <c r="E36" s="10"/>
      <c r="F36" s="10" t="s">
        <v>11</v>
      </c>
      <c r="G36" s="12"/>
      <c r="H36" s="12"/>
      <c r="I36" s="17"/>
      <c r="J36" s="18"/>
      <c r="K36" s="19">
        <f t="shared" si="1"/>
        <v>0</v>
      </c>
      <c r="L36" s="27"/>
      <c r="N36" s="15">
        <v>10.89</v>
      </c>
    </row>
    <row r="37" spans="1:17" ht="20.25" customHeight="1" x14ac:dyDescent="0.15">
      <c r="A37" s="60"/>
      <c r="B37" s="9"/>
      <c r="C37" s="58" t="s">
        <v>29</v>
      </c>
      <c r="D37" s="11"/>
      <c r="E37" s="10"/>
      <c r="F37" s="10" t="s">
        <v>11</v>
      </c>
      <c r="G37" s="12"/>
      <c r="H37" s="12"/>
      <c r="I37" s="17"/>
      <c r="J37" s="18"/>
      <c r="K37" s="19">
        <f t="shared" si="1"/>
        <v>0</v>
      </c>
      <c r="L37" s="27"/>
      <c r="N37" s="15">
        <v>10.89</v>
      </c>
    </row>
    <row r="38" spans="1:17" ht="20.25" customHeight="1" x14ac:dyDescent="0.15">
      <c r="A38" s="60"/>
      <c r="B38" s="9"/>
      <c r="C38" s="58" t="s">
        <v>29</v>
      </c>
      <c r="D38" s="11"/>
      <c r="E38" s="10"/>
      <c r="F38" s="10" t="s">
        <v>11</v>
      </c>
      <c r="G38" s="12"/>
      <c r="H38" s="12"/>
      <c r="I38" s="17"/>
      <c r="J38" s="18"/>
      <c r="K38" s="19">
        <f t="shared" si="1"/>
        <v>0</v>
      </c>
      <c r="L38" s="27"/>
      <c r="N38" s="15">
        <v>10.89</v>
      </c>
    </row>
    <row r="39" spans="1:17" ht="20.25" customHeight="1" x14ac:dyDescent="0.15">
      <c r="A39" s="60"/>
      <c r="B39" s="9"/>
      <c r="C39" s="58" t="s">
        <v>29</v>
      </c>
      <c r="D39" s="11"/>
      <c r="E39" s="10"/>
      <c r="F39" s="10" t="s">
        <v>11</v>
      </c>
      <c r="G39" s="12"/>
      <c r="H39" s="12"/>
      <c r="I39" s="17"/>
      <c r="J39" s="18"/>
      <c r="K39" s="19">
        <f t="shared" si="1"/>
        <v>0</v>
      </c>
      <c r="L39" s="27"/>
      <c r="N39" s="15">
        <v>10.89</v>
      </c>
      <c r="Q39" s="65"/>
    </row>
    <row r="40" spans="1:17" ht="20.25" customHeight="1" x14ac:dyDescent="0.15">
      <c r="A40" s="60"/>
      <c r="B40" s="9"/>
      <c r="C40" s="58" t="s">
        <v>29</v>
      </c>
      <c r="D40" s="11"/>
      <c r="E40" s="10"/>
      <c r="F40" s="10" t="s">
        <v>11</v>
      </c>
      <c r="G40" s="12"/>
      <c r="H40" s="12"/>
      <c r="I40" s="17"/>
      <c r="J40" s="18"/>
      <c r="K40" s="19">
        <f t="shared" si="1"/>
        <v>0</v>
      </c>
      <c r="L40" s="27"/>
      <c r="N40" s="15">
        <v>10.89</v>
      </c>
    </row>
    <row r="41" spans="1:17" ht="20.25" customHeight="1" x14ac:dyDescent="0.15">
      <c r="A41" s="57"/>
      <c r="B41" s="28"/>
      <c r="C41" s="10"/>
      <c r="D41" s="29"/>
      <c r="E41" s="30"/>
      <c r="F41" s="30"/>
      <c r="G41" s="30"/>
      <c r="H41" s="30"/>
      <c r="I41" s="13"/>
      <c r="J41" s="48">
        <f>SUM(J25:J40)</f>
        <v>0</v>
      </c>
      <c r="K41" s="49">
        <f>SUM(K25:K40)</f>
        <v>0</v>
      </c>
      <c r="L41" s="31"/>
      <c r="N41" s="32"/>
    </row>
    <row r="42" spans="1:17" ht="20.25" customHeight="1" thickBot="1" x14ac:dyDescent="0.2">
      <c r="A42" s="55"/>
      <c r="B42" s="33"/>
      <c r="C42" s="33"/>
      <c r="D42" s="33"/>
      <c r="E42" s="33"/>
      <c r="F42" s="33"/>
      <c r="G42" s="33"/>
      <c r="H42" s="33"/>
      <c r="I42" s="33"/>
      <c r="J42" s="34"/>
      <c r="K42" s="35"/>
      <c r="L42" s="36"/>
    </row>
    <row r="43" spans="1:17" ht="20.25" customHeight="1" thickBot="1" x14ac:dyDescent="0.2">
      <c r="A43" s="37" t="s">
        <v>19</v>
      </c>
      <c r="B43" s="38" t="s">
        <v>20</v>
      </c>
      <c r="C43" s="77" t="s">
        <v>21</v>
      </c>
      <c r="D43" s="79"/>
      <c r="E43" s="77" t="s">
        <v>22</v>
      </c>
      <c r="F43" s="78"/>
      <c r="G43" s="79"/>
      <c r="H43" s="85" t="s">
        <v>23</v>
      </c>
      <c r="I43" s="86"/>
      <c r="J43" s="77" t="s">
        <v>24</v>
      </c>
      <c r="K43" s="79"/>
      <c r="L43" s="39" t="s">
        <v>13</v>
      </c>
    </row>
    <row r="44" spans="1:17" ht="20.25" customHeight="1" thickBot="1" x14ac:dyDescent="0.2">
      <c r="A44" s="40">
        <f>SUMIF($C$8:$C$42,"U1",$J$8:$J$42)</f>
        <v>0</v>
      </c>
      <c r="B44" s="41">
        <f>SUMIF($C$8:$C$42,"U2",$J$8:$J$42)</f>
        <v>0</v>
      </c>
      <c r="C44" s="77">
        <f>SUMIF($C$8:$C$42,"U3-1",$J$8:$J$42)</f>
        <v>0</v>
      </c>
      <c r="D44" s="79"/>
      <c r="E44" s="77">
        <f>SUMIF($C$8:$C$42,"U3",$J$8:$J$42)</f>
        <v>271</v>
      </c>
      <c r="F44" s="78"/>
      <c r="G44" s="79"/>
      <c r="H44" s="77">
        <f>SUMIF($C$8:$C$42,"E5",$J$8:$J$42)</f>
        <v>0</v>
      </c>
      <c r="I44" s="79"/>
      <c r="J44" s="77">
        <f>SUM(A44:I44)</f>
        <v>271</v>
      </c>
      <c r="K44" s="79"/>
      <c r="L44" s="42"/>
    </row>
    <row r="45" spans="1:17" ht="20.25" customHeight="1" thickBot="1" x14ac:dyDescent="0.2">
      <c r="A45" s="43" t="s">
        <v>25</v>
      </c>
      <c r="B45" s="44" t="s">
        <v>26</v>
      </c>
      <c r="C45" s="75">
        <v>13876</v>
      </c>
      <c r="D45" s="76"/>
      <c r="E45" s="77" t="s">
        <v>27</v>
      </c>
      <c r="F45" s="78"/>
      <c r="G45" s="78"/>
      <c r="H45" s="78"/>
      <c r="I45" s="79"/>
      <c r="J45" s="80">
        <v>146744.37</v>
      </c>
      <c r="K45" s="81"/>
      <c r="L45" s="82"/>
    </row>
    <row r="47" spans="1:17" x14ac:dyDescent="0.15">
      <c r="D47" s="45"/>
    </row>
  </sheetData>
  <mergeCells count="26">
    <mergeCell ref="C45:D45"/>
    <mergeCell ref="E45:I45"/>
    <mergeCell ref="J45:L45"/>
    <mergeCell ref="L6:L7"/>
    <mergeCell ref="C43:D43"/>
    <mergeCell ref="E43:G43"/>
    <mergeCell ref="H43:I43"/>
    <mergeCell ref="J43:K43"/>
    <mergeCell ref="C44:D44"/>
    <mergeCell ref="E44:G44"/>
    <mergeCell ref="H44:I44"/>
    <mergeCell ref="J44:K44"/>
    <mergeCell ref="B5:G5"/>
    <mergeCell ref="A6:A7"/>
    <mergeCell ref="B6:B7"/>
    <mergeCell ref="C6:C7"/>
    <mergeCell ref="D6:D7"/>
    <mergeCell ref="E6:E7"/>
    <mergeCell ref="F6:F7"/>
    <mergeCell ref="G6:K6"/>
    <mergeCell ref="L2:L4"/>
    <mergeCell ref="A1:G3"/>
    <mergeCell ref="H1:H4"/>
    <mergeCell ref="I2:I4"/>
    <mergeCell ref="J2:J4"/>
    <mergeCell ref="K2:K4"/>
  </mergeCells>
  <phoneticPr fontId="2" type="noConversion"/>
  <printOptions horizontalCentered="1"/>
  <pageMargins left="0.39370078740157483" right="0.39370078740157483" top="0.74803149606299213" bottom="0.19685039370078741" header="0.31496062992125984" footer="0.15748031496062992"/>
  <pageSetup paperSize="9" scale="84" orientation="portrait" r:id="rId1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561274-D88D-4FEB-B520-CE87A0885317}">
  <dimension ref="A1:Q47"/>
  <sheetViews>
    <sheetView view="pageBreakPreview" topLeftCell="A16" zoomScaleSheetLayoutView="100" workbookViewId="0">
      <selection activeCell="B25" sqref="B25"/>
    </sheetView>
  </sheetViews>
  <sheetFormatPr defaultColWidth="8.88671875" defaultRowHeight="13.5" x14ac:dyDescent="0.15"/>
  <cols>
    <col min="1" max="1" width="8.44140625" style="3" customWidth="1"/>
    <col min="2" max="2" width="14.77734375" style="3" customWidth="1"/>
    <col min="3" max="3" width="4.109375" style="3" customWidth="1"/>
    <col min="4" max="4" width="15.21875" style="3" customWidth="1"/>
    <col min="5" max="5" width="4.44140625" style="3" customWidth="1"/>
    <col min="6" max="6" width="4" style="3" customWidth="1"/>
    <col min="7" max="7" width="5.5546875" style="3" customWidth="1"/>
    <col min="8" max="8" width="5.44140625" style="3" customWidth="1"/>
    <col min="9" max="9" width="7.88671875" style="3" customWidth="1"/>
    <col min="10" max="10" width="7.109375" style="3" customWidth="1"/>
    <col min="11" max="11" width="7.21875" style="3" customWidth="1"/>
    <col min="12" max="12" width="6.77734375" style="3" customWidth="1"/>
    <col min="13" max="16384" width="8.88671875" style="3"/>
  </cols>
  <sheetData>
    <row r="1" spans="1:14" ht="18.75" customHeight="1" x14ac:dyDescent="0.15">
      <c r="A1" s="101" t="s">
        <v>0</v>
      </c>
      <c r="B1" s="102"/>
      <c r="C1" s="102"/>
      <c r="D1" s="102"/>
      <c r="E1" s="102"/>
      <c r="F1" s="102"/>
      <c r="G1" s="103"/>
      <c r="H1" s="107" t="s">
        <v>1</v>
      </c>
      <c r="I1" s="1" t="s">
        <v>2</v>
      </c>
      <c r="J1" s="1" t="s">
        <v>2</v>
      </c>
      <c r="K1" s="1" t="s">
        <v>3</v>
      </c>
      <c r="L1" s="2" t="s">
        <v>4</v>
      </c>
    </row>
    <row r="2" spans="1:14" ht="13.5" customHeight="1" x14ac:dyDescent="0.15">
      <c r="A2" s="104"/>
      <c r="B2" s="105"/>
      <c r="C2" s="105"/>
      <c r="D2" s="105"/>
      <c r="E2" s="105"/>
      <c r="F2" s="105"/>
      <c r="G2" s="106"/>
      <c r="H2" s="108"/>
      <c r="I2" s="110"/>
      <c r="J2" s="110"/>
      <c r="K2" s="110"/>
      <c r="L2" s="98"/>
    </row>
    <row r="3" spans="1:14" ht="13.5" customHeight="1" x14ac:dyDescent="0.15">
      <c r="A3" s="104"/>
      <c r="B3" s="105"/>
      <c r="C3" s="105"/>
      <c r="D3" s="105"/>
      <c r="E3" s="105"/>
      <c r="F3" s="105"/>
      <c r="G3" s="106"/>
      <c r="H3" s="108"/>
      <c r="I3" s="108"/>
      <c r="J3" s="108"/>
      <c r="K3" s="108"/>
      <c r="L3" s="99"/>
    </row>
    <row r="4" spans="1:14" ht="33" customHeight="1" x14ac:dyDescent="0.15">
      <c r="A4" s="4"/>
      <c r="B4" s="5"/>
      <c r="C4" s="5"/>
      <c r="D4" s="5"/>
      <c r="E4" s="5"/>
      <c r="F4" s="5"/>
      <c r="G4" s="5"/>
      <c r="H4" s="109"/>
      <c r="I4" s="109"/>
      <c r="J4" s="109"/>
      <c r="K4" s="109"/>
      <c r="L4" s="100"/>
    </row>
    <row r="5" spans="1:14" ht="17.25" customHeight="1" x14ac:dyDescent="0.15">
      <c r="A5" s="6" t="s">
        <v>5</v>
      </c>
      <c r="B5" s="87">
        <v>46104</v>
      </c>
      <c r="C5" s="88"/>
      <c r="D5" s="88"/>
      <c r="E5" s="88"/>
      <c r="F5" s="88"/>
      <c r="G5" s="88"/>
      <c r="H5" s="5"/>
      <c r="I5" s="5"/>
      <c r="J5" s="5"/>
      <c r="K5" s="5"/>
      <c r="L5" s="7"/>
    </row>
    <row r="6" spans="1:14" ht="13.5" customHeight="1" x14ac:dyDescent="0.15">
      <c r="A6" s="89" t="s">
        <v>6</v>
      </c>
      <c r="B6" s="91" t="s">
        <v>7</v>
      </c>
      <c r="C6" s="91" t="s">
        <v>8</v>
      </c>
      <c r="D6" s="91" t="s">
        <v>9</v>
      </c>
      <c r="E6" s="93" t="s">
        <v>10</v>
      </c>
      <c r="F6" s="93" t="s">
        <v>11</v>
      </c>
      <c r="G6" s="95" t="s">
        <v>12</v>
      </c>
      <c r="H6" s="96"/>
      <c r="I6" s="96"/>
      <c r="J6" s="96"/>
      <c r="K6" s="97"/>
      <c r="L6" s="83" t="s">
        <v>13</v>
      </c>
    </row>
    <row r="7" spans="1:14" x14ac:dyDescent="0.15">
      <c r="A7" s="90"/>
      <c r="B7" s="92"/>
      <c r="C7" s="92"/>
      <c r="D7" s="92"/>
      <c r="E7" s="94"/>
      <c r="F7" s="94"/>
      <c r="G7" s="8" t="s">
        <v>14</v>
      </c>
      <c r="H7" s="8" t="s">
        <v>15</v>
      </c>
      <c r="I7" s="8" t="s">
        <v>16</v>
      </c>
      <c r="J7" s="8" t="s">
        <v>17</v>
      </c>
      <c r="K7" s="8" t="s">
        <v>18</v>
      </c>
      <c r="L7" s="84"/>
    </row>
    <row r="8" spans="1:14" s="15" customFormat="1" ht="20.25" customHeight="1" x14ac:dyDescent="0.15">
      <c r="A8" s="60"/>
      <c r="B8" s="9"/>
      <c r="C8" s="58" t="s">
        <v>231</v>
      </c>
      <c r="D8" s="11"/>
      <c r="E8" s="10"/>
      <c r="F8" s="58" t="s">
        <v>11</v>
      </c>
      <c r="G8" s="12"/>
      <c r="H8" s="12"/>
      <c r="I8" s="17"/>
      <c r="J8" s="18"/>
      <c r="K8" s="19">
        <f>+M8*N8</f>
        <v>0</v>
      </c>
      <c r="L8" s="14"/>
      <c r="N8" s="15">
        <v>10.89</v>
      </c>
    </row>
    <row r="9" spans="1:14" s="15" customFormat="1" ht="20.25" customHeight="1" x14ac:dyDescent="0.15">
      <c r="A9" s="60"/>
      <c r="B9" s="9"/>
      <c r="C9" s="58" t="s">
        <v>29</v>
      </c>
      <c r="D9" s="11"/>
      <c r="E9" s="10"/>
      <c r="F9" s="58" t="s">
        <v>11</v>
      </c>
      <c r="G9" s="12"/>
      <c r="H9" s="12"/>
      <c r="I9" s="17"/>
      <c r="J9" s="18"/>
      <c r="K9" s="19">
        <f t="shared" ref="K9:K23" si="0">+M9*N9</f>
        <v>0</v>
      </c>
      <c r="L9" s="14"/>
      <c r="N9" s="15">
        <v>10.89</v>
      </c>
    </row>
    <row r="10" spans="1:14" s="15" customFormat="1" ht="20.25" customHeight="1" x14ac:dyDescent="0.15">
      <c r="A10" s="60"/>
      <c r="B10" s="9"/>
      <c r="C10" s="58" t="s">
        <v>29</v>
      </c>
      <c r="D10" s="11"/>
      <c r="E10" s="10"/>
      <c r="F10" s="58" t="s">
        <v>11</v>
      </c>
      <c r="G10" s="12"/>
      <c r="H10" s="12"/>
      <c r="I10" s="17"/>
      <c r="J10" s="18"/>
      <c r="K10" s="19">
        <f t="shared" si="0"/>
        <v>0</v>
      </c>
      <c r="L10" s="14"/>
      <c r="N10" s="15">
        <v>10.89</v>
      </c>
    </row>
    <row r="11" spans="1:14" s="15" customFormat="1" ht="20.25" customHeight="1" x14ac:dyDescent="0.15">
      <c r="A11" s="60"/>
      <c r="B11" s="9"/>
      <c r="C11" s="58" t="s">
        <v>29</v>
      </c>
      <c r="D11" s="11"/>
      <c r="E11" s="10"/>
      <c r="F11" s="58" t="s">
        <v>11</v>
      </c>
      <c r="G11" s="12"/>
      <c r="H11" s="12"/>
      <c r="I11" s="17"/>
      <c r="J11" s="18"/>
      <c r="K11" s="19">
        <f t="shared" si="0"/>
        <v>0</v>
      </c>
      <c r="L11" s="14"/>
      <c r="N11" s="15">
        <v>10.89</v>
      </c>
    </row>
    <row r="12" spans="1:14" s="15" customFormat="1" ht="20.25" customHeight="1" x14ac:dyDescent="0.15">
      <c r="A12" s="60"/>
      <c r="B12" s="9"/>
      <c r="C12" s="58" t="s">
        <v>29</v>
      </c>
      <c r="D12" s="11"/>
      <c r="E12" s="10"/>
      <c r="F12" s="58" t="s">
        <v>11</v>
      </c>
      <c r="G12" s="12"/>
      <c r="H12" s="12"/>
      <c r="I12" s="17"/>
      <c r="J12" s="18"/>
      <c r="K12" s="19">
        <f t="shared" si="0"/>
        <v>0</v>
      </c>
      <c r="L12" s="14"/>
      <c r="N12" s="15">
        <v>10.89</v>
      </c>
    </row>
    <row r="13" spans="1:14" s="15" customFormat="1" ht="20.25" customHeight="1" x14ac:dyDescent="0.15">
      <c r="A13" s="60"/>
      <c r="B13" s="9"/>
      <c r="C13" s="58" t="s">
        <v>29</v>
      </c>
      <c r="D13" s="11"/>
      <c r="E13" s="10"/>
      <c r="F13" s="58" t="s">
        <v>11</v>
      </c>
      <c r="G13" s="12"/>
      <c r="H13" s="12"/>
      <c r="I13" s="17"/>
      <c r="J13" s="18"/>
      <c r="K13" s="19">
        <f t="shared" si="0"/>
        <v>0</v>
      </c>
      <c r="L13" s="14"/>
      <c r="N13" s="15">
        <v>10.89</v>
      </c>
    </row>
    <row r="14" spans="1:14" s="15" customFormat="1" ht="20.25" customHeight="1" x14ac:dyDescent="0.15">
      <c r="A14" s="60"/>
      <c r="B14" s="9"/>
      <c r="C14" s="58" t="s">
        <v>29</v>
      </c>
      <c r="D14" s="11"/>
      <c r="E14" s="10"/>
      <c r="F14" s="58" t="s">
        <v>11</v>
      </c>
      <c r="G14" s="12"/>
      <c r="H14" s="12"/>
      <c r="I14" s="17"/>
      <c r="J14" s="18"/>
      <c r="K14" s="19">
        <f t="shared" si="0"/>
        <v>0</v>
      </c>
      <c r="L14" s="20"/>
      <c r="N14" s="15">
        <v>10.89</v>
      </c>
    </row>
    <row r="15" spans="1:14" s="15" customFormat="1" ht="20.25" customHeight="1" x14ac:dyDescent="0.15">
      <c r="A15" s="60"/>
      <c r="B15" s="9"/>
      <c r="C15" s="58" t="s">
        <v>29</v>
      </c>
      <c r="D15" s="11"/>
      <c r="E15" s="10"/>
      <c r="F15" s="58" t="s">
        <v>11</v>
      </c>
      <c r="G15" s="12"/>
      <c r="H15" s="12"/>
      <c r="I15" s="17"/>
      <c r="J15" s="19"/>
      <c r="K15" s="19">
        <f t="shared" si="0"/>
        <v>0</v>
      </c>
      <c r="L15" s="20"/>
      <c r="N15" s="15">
        <v>10.89</v>
      </c>
    </row>
    <row r="16" spans="1:14" s="15" customFormat="1" ht="20.25" customHeight="1" x14ac:dyDescent="0.15">
      <c r="A16" s="60"/>
      <c r="B16" s="9"/>
      <c r="C16" s="58" t="s">
        <v>29</v>
      </c>
      <c r="D16" s="11"/>
      <c r="E16" s="10"/>
      <c r="F16" s="58" t="s">
        <v>11</v>
      </c>
      <c r="G16" s="12"/>
      <c r="H16" s="12"/>
      <c r="I16" s="17"/>
      <c r="J16" s="18"/>
      <c r="K16" s="19">
        <f t="shared" si="0"/>
        <v>0</v>
      </c>
      <c r="L16" s="20"/>
      <c r="N16" s="15">
        <v>10.89</v>
      </c>
    </row>
    <row r="17" spans="1:14" s="15" customFormat="1" ht="20.25" customHeight="1" x14ac:dyDescent="0.15">
      <c r="A17" s="60"/>
      <c r="B17" s="9"/>
      <c r="C17" s="58" t="s">
        <v>29</v>
      </c>
      <c r="D17" s="11"/>
      <c r="E17" s="10"/>
      <c r="F17" s="58" t="s">
        <v>11</v>
      </c>
      <c r="G17" s="12"/>
      <c r="H17" s="12"/>
      <c r="I17" s="17"/>
      <c r="J17" s="18"/>
      <c r="K17" s="19">
        <f t="shared" si="0"/>
        <v>0</v>
      </c>
      <c r="L17" s="20"/>
      <c r="N17" s="15">
        <v>10.89</v>
      </c>
    </row>
    <row r="18" spans="1:14" s="15" customFormat="1" ht="20.25" customHeight="1" x14ac:dyDescent="0.15">
      <c r="A18" s="60"/>
      <c r="B18" s="9"/>
      <c r="C18" s="58" t="s">
        <v>29</v>
      </c>
      <c r="D18" s="11"/>
      <c r="E18" s="10"/>
      <c r="F18" s="58" t="s">
        <v>11</v>
      </c>
      <c r="G18" s="12"/>
      <c r="H18" s="12"/>
      <c r="I18" s="17"/>
      <c r="J18" s="18"/>
      <c r="K18" s="19">
        <f t="shared" si="0"/>
        <v>0</v>
      </c>
      <c r="L18" s="20"/>
      <c r="N18" s="15">
        <v>10.89</v>
      </c>
    </row>
    <row r="19" spans="1:14" s="15" customFormat="1" ht="20.25" customHeight="1" x14ac:dyDescent="0.15">
      <c r="A19" s="60"/>
      <c r="B19" s="9"/>
      <c r="C19" s="58" t="s">
        <v>29</v>
      </c>
      <c r="D19" s="11"/>
      <c r="E19" s="10"/>
      <c r="F19" s="58" t="s">
        <v>11</v>
      </c>
      <c r="G19" s="12"/>
      <c r="H19" s="12"/>
      <c r="I19" s="17"/>
      <c r="J19" s="18"/>
      <c r="K19" s="19">
        <f t="shared" si="0"/>
        <v>0</v>
      </c>
      <c r="L19" s="20"/>
      <c r="N19" s="15">
        <v>10.89</v>
      </c>
    </row>
    <row r="20" spans="1:14" s="15" customFormat="1" ht="20.25" customHeight="1" x14ac:dyDescent="0.15">
      <c r="A20" s="60"/>
      <c r="B20" s="9"/>
      <c r="C20" s="58" t="s">
        <v>29</v>
      </c>
      <c r="D20" s="11"/>
      <c r="E20" s="10"/>
      <c r="F20" s="58" t="s">
        <v>11</v>
      </c>
      <c r="G20" s="12"/>
      <c r="H20" s="12"/>
      <c r="I20" s="17"/>
      <c r="J20" s="18"/>
      <c r="K20" s="19">
        <f t="shared" si="0"/>
        <v>0</v>
      </c>
      <c r="L20" s="20"/>
      <c r="N20" s="15">
        <v>10.89</v>
      </c>
    </row>
    <row r="21" spans="1:14" s="15" customFormat="1" ht="20.25" customHeight="1" x14ac:dyDescent="0.15">
      <c r="A21" s="60"/>
      <c r="B21" s="9"/>
      <c r="C21" s="58" t="s">
        <v>29</v>
      </c>
      <c r="D21" s="11"/>
      <c r="E21" s="10"/>
      <c r="F21" s="58" t="s">
        <v>11</v>
      </c>
      <c r="G21" s="50"/>
      <c r="H21" s="50"/>
      <c r="I21" s="17"/>
      <c r="J21" s="18"/>
      <c r="K21" s="19">
        <f t="shared" si="0"/>
        <v>0</v>
      </c>
      <c r="L21" s="20"/>
      <c r="N21" s="15">
        <v>10.89</v>
      </c>
    </row>
    <row r="22" spans="1:14" s="15" customFormat="1" ht="20.25" customHeight="1" x14ac:dyDescent="0.15">
      <c r="A22" s="60"/>
      <c r="B22" s="9"/>
      <c r="C22" s="58" t="s">
        <v>29</v>
      </c>
      <c r="D22" s="11"/>
      <c r="E22" s="10"/>
      <c r="F22" s="58" t="s">
        <v>11</v>
      </c>
      <c r="G22" s="50"/>
      <c r="H22" s="50"/>
      <c r="I22" s="17"/>
      <c r="J22" s="18"/>
      <c r="K22" s="19">
        <f t="shared" si="0"/>
        <v>0</v>
      </c>
      <c r="L22" s="20"/>
      <c r="N22" s="15">
        <v>10.89</v>
      </c>
    </row>
    <row r="23" spans="1:14" ht="20.25" customHeight="1" x14ac:dyDescent="0.15">
      <c r="A23" s="60"/>
      <c r="B23" s="9"/>
      <c r="C23" s="58" t="s">
        <v>29</v>
      </c>
      <c r="D23" s="11"/>
      <c r="E23" s="10"/>
      <c r="F23" s="58" t="s">
        <v>11</v>
      </c>
      <c r="G23" s="16"/>
      <c r="H23" s="16"/>
      <c r="I23" s="17"/>
      <c r="J23" s="18"/>
      <c r="K23" s="19">
        <f t="shared" si="0"/>
        <v>0</v>
      </c>
      <c r="L23" s="20"/>
      <c r="N23" s="15">
        <v>10.89</v>
      </c>
    </row>
    <row r="24" spans="1:14" ht="20.25" customHeight="1" thickBot="1" x14ac:dyDescent="0.2">
      <c r="A24" s="56"/>
      <c r="B24" s="21"/>
      <c r="C24" s="59"/>
      <c r="D24" s="22"/>
      <c r="E24" s="23"/>
      <c r="F24" s="23"/>
      <c r="G24" s="24"/>
      <c r="H24" s="24"/>
      <c r="I24" s="25"/>
      <c r="J24" s="46">
        <f>SUM(J8:J23)</f>
        <v>0</v>
      </c>
      <c r="K24" s="47">
        <f>SUM(K8:K23)</f>
        <v>0</v>
      </c>
      <c r="L24" s="26"/>
    </row>
    <row r="25" spans="1:14" ht="20.25" customHeight="1" thickTop="1" x14ac:dyDescent="0.15">
      <c r="A25" s="60" t="s">
        <v>1559</v>
      </c>
      <c r="B25" s="9" t="s">
        <v>271</v>
      </c>
      <c r="C25" s="58" t="s">
        <v>29</v>
      </c>
      <c r="D25" s="11" t="s">
        <v>1560</v>
      </c>
      <c r="E25" s="10">
        <v>26</v>
      </c>
      <c r="F25" s="58" t="s">
        <v>11</v>
      </c>
      <c r="G25" s="12">
        <v>812</v>
      </c>
      <c r="H25" s="12">
        <v>1675</v>
      </c>
      <c r="I25" s="17">
        <v>1</v>
      </c>
      <c r="J25" s="18">
        <v>1</v>
      </c>
      <c r="K25" s="19">
        <f t="shared" ref="K25:K40" si="1">+M25*N25</f>
        <v>14.810400000000001</v>
      </c>
      <c r="L25" s="54"/>
      <c r="M25" s="3">
        <v>1.36</v>
      </c>
      <c r="N25" s="15">
        <v>10.89</v>
      </c>
    </row>
    <row r="26" spans="1:14" ht="20.25" customHeight="1" x14ac:dyDescent="0.15">
      <c r="A26" s="60" t="s">
        <v>1561</v>
      </c>
      <c r="B26" s="9" t="s">
        <v>1562</v>
      </c>
      <c r="C26" s="58" t="s">
        <v>29</v>
      </c>
      <c r="D26" s="11" t="s">
        <v>1563</v>
      </c>
      <c r="E26" s="10">
        <v>28</v>
      </c>
      <c r="F26" s="58" t="s">
        <v>11</v>
      </c>
      <c r="G26" s="12">
        <v>620</v>
      </c>
      <c r="H26" s="12">
        <v>2085</v>
      </c>
      <c r="I26" s="17">
        <v>1</v>
      </c>
      <c r="J26" s="18">
        <v>1</v>
      </c>
      <c r="K26" s="19">
        <f t="shared" si="1"/>
        <v>14.048100000000002</v>
      </c>
      <c r="L26" s="54"/>
      <c r="M26" s="3">
        <v>1.29</v>
      </c>
      <c r="N26" s="15">
        <v>10.89</v>
      </c>
    </row>
    <row r="27" spans="1:14" ht="20.25" customHeight="1" x14ac:dyDescent="0.15">
      <c r="A27" s="61" t="s">
        <v>1564</v>
      </c>
      <c r="B27" s="9" t="s">
        <v>1496</v>
      </c>
      <c r="C27" s="58" t="s">
        <v>29</v>
      </c>
      <c r="D27" s="11" t="s">
        <v>1494</v>
      </c>
      <c r="E27" s="10">
        <v>28</v>
      </c>
      <c r="F27" s="58" t="s">
        <v>11</v>
      </c>
      <c r="G27" s="12">
        <v>950</v>
      </c>
      <c r="H27" s="12">
        <v>1885</v>
      </c>
      <c r="I27" s="17" t="s">
        <v>1565</v>
      </c>
      <c r="J27" s="18">
        <v>21</v>
      </c>
      <c r="K27" s="19">
        <f t="shared" si="1"/>
        <v>271.92329999999998</v>
      </c>
      <c r="L27" s="54"/>
      <c r="M27" s="3">
        <v>24.97</v>
      </c>
      <c r="N27" s="15">
        <v>10.89</v>
      </c>
    </row>
    <row r="28" spans="1:14" ht="20.25" customHeight="1" x14ac:dyDescent="0.15">
      <c r="A28" s="61" t="s">
        <v>1566</v>
      </c>
      <c r="B28" s="9" t="s">
        <v>1567</v>
      </c>
      <c r="C28" s="58" t="s">
        <v>29</v>
      </c>
      <c r="D28" s="11" t="s">
        <v>1568</v>
      </c>
      <c r="E28" s="10">
        <v>28</v>
      </c>
      <c r="F28" s="58" t="s">
        <v>11</v>
      </c>
      <c r="G28" s="12">
        <v>978</v>
      </c>
      <c r="H28" s="12">
        <v>2353</v>
      </c>
      <c r="I28" s="17" t="s">
        <v>1569</v>
      </c>
      <c r="J28" s="18">
        <v>19</v>
      </c>
      <c r="K28" s="19">
        <f t="shared" si="1"/>
        <v>282.05099999999999</v>
      </c>
      <c r="L28" s="54"/>
      <c r="M28" s="3">
        <v>25.9</v>
      </c>
      <c r="N28" s="15">
        <v>10.89</v>
      </c>
    </row>
    <row r="29" spans="1:14" ht="20.25" customHeight="1" x14ac:dyDescent="0.15">
      <c r="A29" s="61" t="s">
        <v>1570</v>
      </c>
      <c r="B29" s="9" t="s">
        <v>1571</v>
      </c>
      <c r="C29" s="58" t="s">
        <v>29</v>
      </c>
      <c r="D29" s="11" t="s">
        <v>1572</v>
      </c>
      <c r="E29" s="10">
        <v>24</v>
      </c>
      <c r="F29" s="10" t="s">
        <v>11</v>
      </c>
      <c r="G29" s="12">
        <v>778</v>
      </c>
      <c r="H29" s="12">
        <v>2588</v>
      </c>
      <c r="I29" s="17" t="s">
        <v>731</v>
      </c>
      <c r="J29" s="18">
        <v>14</v>
      </c>
      <c r="K29" s="19">
        <f t="shared" si="1"/>
        <v>194.05980000000002</v>
      </c>
      <c r="L29" s="54"/>
      <c r="M29" s="3">
        <v>17.82</v>
      </c>
      <c r="N29" s="15">
        <v>10.89</v>
      </c>
    </row>
    <row r="30" spans="1:14" ht="20.25" customHeight="1" x14ac:dyDescent="0.15">
      <c r="A30" s="61" t="s">
        <v>1541</v>
      </c>
      <c r="B30" s="9" t="s">
        <v>1542</v>
      </c>
      <c r="C30" s="58" t="s">
        <v>29</v>
      </c>
      <c r="D30" s="11" t="s">
        <v>1543</v>
      </c>
      <c r="E30" s="10">
        <v>39</v>
      </c>
      <c r="F30" s="10" t="s">
        <v>11</v>
      </c>
      <c r="G30" s="12">
        <v>1237</v>
      </c>
      <c r="H30" s="12">
        <v>1694</v>
      </c>
      <c r="I30" s="51" t="s">
        <v>659</v>
      </c>
      <c r="J30" s="52">
        <v>5</v>
      </c>
      <c r="K30" s="53">
        <f t="shared" si="1"/>
        <v>71.438400000000001</v>
      </c>
      <c r="L30" s="54"/>
      <c r="M30" s="3">
        <v>6.56</v>
      </c>
      <c r="N30" s="15">
        <v>10.89</v>
      </c>
    </row>
    <row r="31" spans="1:14" ht="20.25" customHeight="1" x14ac:dyDescent="0.15">
      <c r="A31" s="61" t="s">
        <v>1573</v>
      </c>
      <c r="B31" s="9" t="s">
        <v>1435</v>
      </c>
      <c r="C31" s="58" t="s">
        <v>29</v>
      </c>
      <c r="D31" s="11" t="s">
        <v>1436</v>
      </c>
      <c r="E31" s="10">
        <v>22</v>
      </c>
      <c r="F31" s="10"/>
      <c r="G31" s="12">
        <v>1435</v>
      </c>
      <c r="H31" s="12">
        <v>1885</v>
      </c>
      <c r="I31" s="51">
        <v>6</v>
      </c>
      <c r="J31" s="52">
        <v>6</v>
      </c>
      <c r="K31" s="53">
        <f t="shared" si="1"/>
        <v>176.41800000000001</v>
      </c>
      <c r="L31" s="54"/>
      <c r="M31" s="3">
        <v>16.2</v>
      </c>
      <c r="N31" s="15">
        <v>10.89</v>
      </c>
    </row>
    <row r="32" spans="1:14" ht="20.25" customHeight="1" x14ac:dyDescent="0.15">
      <c r="A32" s="60" t="s">
        <v>1556</v>
      </c>
      <c r="B32" s="9" t="s">
        <v>1435</v>
      </c>
      <c r="C32" s="58" t="s">
        <v>29</v>
      </c>
      <c r="D32" s="11" t="s">
        <v>1436</v>
      </c>
      <c r="E32" s="10">
        <v>22</v>
      </c>
      <c r="F32" s="58"/>
      <c r="G32" s="12">
        <v>966</v>
      </c>
      <c r="H32" s="12">
        <v>1181</v>
      </c>
      <c r="I32" s="17" t="s">
        <v>1574</v>
      </c>
      <c r="J32" s="18">
        <v>160</v>
      </c>
      <c r="K32" s="19">
        <f t="shared" si="1"/>
        <v>931.74840000000006</v>
      </c>
      <c r="L32" s="27"/>
      <c r="M32" s="3">
        <v>85.56</v>
      </c>
      <c r="N32" s="15">
        <v>10.89</v>
      </c>
    </row>
    <row r="33" spans="1:17" ht="20.25" customHeight="1" x14ac:dyDescent="0.15">
      <c r="A33" s="60" t="s">
        <v>1575</v>
      </c>
      <c r="B33" s="9" t="s">
        <v>1435</v>
      </c>
      <c r="C33" s="58" t="s">
        <v>29</v>
      </c>
      <c r="D33" s="11" t="s">
        <v>1436</v>
      </c>
      <c r="E33" s="10">
        <v>22</v>
      </c>
      <c r="F33" s="58"/>
      <c r="G33" s="12">
        <v>754</v>
      </c>
      <c r="H33" s="12">
        <v>1967</v>
      </c>
      <c r="I33" s="17" t="s">
        <v>1189</v>
      </c>
      <c r="J33" s="18">
        <v>120</v>
      </c>
      <c r="K33" s="19">
        <f t="shared" si="1"/>
        <v>1132.9956000000002</v>
      </c>
      <c r="L33" s="27"/>
      <c r="M33" s="3">
        <v>104.04</v>
      </c>
      <c r="N33" s="15">
        <v>10.89</v>
      </c>
    </row>
    <row r="34" spans="1:17" ht="20.25" customHeight="1" x14ac:dyDescent="0.15">
      <c r="A34" s="60" t="s">
        <v>1576</v>
      </c>
      <c r="B34" s="9" t="s">
        <v>1435</v>
      </c>
      <c r="C34" s="58" t="s">
        <v>29</v>
      </c>
      <c r="D34" s="11" t="s">
        <v>1436</v>
      </c>
      <c r="E34" s="10">
        <v>22</v>
      </c>
      <c r="F34" s="10"/>
      <c r="G34" s="12">
        <v>604</v>
      </c>
      <c r="H34" s="12">
        <v>1967</v>
      </c>
      <c r="I34" s="17" t="s">
        <v>1511</v>
      </c>
      <c r="J34" s="18">
        <v>144</v>
      </c>
      <c r="K34" s="19">
        <f t="shared" si="1"/>
        <v>1264.329</v>
      </c>
      <c r="L34" s="27"/>
      <c r="M34" s="3">
        <v>116.1</v>
      </c>
      <c r="N34" s="15">
        <v>10.89</v>
      </c>
    </row>
    <row r="35" spans="1:17" ht="20.25" customHeight="1" x14ac:dyDescent="0.15">
      <c r="A35" s="60"/>
      <c r="B35" s="9"/>
      <c r="C35" s="58"/>
      <c r="D35" s="11"/>
      <c r="E35" s="10"/>
      <c r="F35" s="10"/>
      <c r="G35" s="12"/>
      <c r="H35" s="12"/>
      <c r="I35" s="17"/>
      <c r="J35" s="18"/>
      <c r="K35" s="19">
        <f t="shared" si="1"/>
        <v>0</v>
      </c>
      <c r="L35" s="27"/>
      <c r="N35" s="15">
        <v>10.89</v>
      </c>
    </row>
    <row r="36" spans="1:17" ht="20.25" customHeight="1" x14ac:dyDescent="0.15">
      <c r="A36" s="60"/>
      <c r="B36" s="9"/>
      <c r="C36" s="58"/>
      <c r="D36" s="11"/>
      <c r="E36" s="10"/>
      <c r="F36" s="10"/>
      <c r="G36" s="12"/>
      <c r="H36" s="12"/>
      <c r="I36" s="17"/>
      <c r="J36" s="18"/>
      <c r="K36" s="19">
        <f t="shared" si="1"/>
        <v>0</v>
      </c>
      <c r="L36" s="27"/>
      <c r="N36" s="15">
        <v>10.89</v>
      </c>
    </row>
    <row r="37" spans="1:17" ht="20.25" customHeight="1" x14ac:dyDescent="0.15">
      <c r="A37" s="60"/>
      <c r="B37" s="9"/>
      <c r="C37" s="58"/>
      <c r="D37" s="11"/>
      <c r="E37" s="10"/>
      <c r="F37" s="10"/>
      <c r="G37" s="12"/>
      <c r="H37" s="12"/>
      <c r="I37" s="17"/>
      <c r="J37" s="18"/>
      <c r="K37" s="19">
        <f t="shared" si="1"/>
        <v>0</v>
      </c>
      <c r="L37" s="27"/>
      <c r="N37" s="15">
        <v>10.89</v>
      </c>
    </row>
    <row r="38" spans="1:17" ht="20.25" customHeight="1" x14ac:dyDescent="0.15">
      <c r="A38" s="60"/>
      <c r="B38" s="9"/>
      <c r="C38" s="58"/>
      <c r="D38" s="11"/>
      <c r="E38" s="10"/>
      <c r="F38" s="10"/>
      <c r="G38" s="12"/>
      <c r="H38" s="12"/>
      <c r="I38" s="17"/>
      <c r="J38" s="18"/>
      <c r="K38" s="19">
        <f t="shared" si="1"/>
        <v>0</v>
      </c>
      <c r="L38" s="27"/>
      <c r="N38" s="15">
        <v>10.89</v>
      </c>
    </row>
    <row r="39" spans="1:17" ht="20.25" customHeight="1" x14ac:dyDescent="0.15">
      <c r="A39" s="60"/>
      <c r="B39" s="9"/>
      <c r="C39" s="58"/>
      <c r="D39" s="11"/>
      <c r="E39" s="10"/>
      <c r="F39" s="10"/>
      <c r="G39" s="12"/>
      <c r="H39" s="12"/>
      <c r="I39" s="17"/>
      <c r="J39" s="18"/>
      <c r="K39" s="19">
        <f t="shared" si="1"/>
        <v>0</v>
      </c>
      <c r="L39" s="27"/>
      <c r="N39" s="15">
        <v>10.89</v>
      </c>
      <c r="Q39" s="65"/>
    </row>
    <row r="40" spans="1:17" ht="20.25" customHeight="1" x14ac:dyDescent="0.15">
      <c r="A40" s="60"/>
      <c r="B40" s="9"/>
      <c r="C40" s="58"/>
      <c r="D40" s="11"/>
      <c r="E40" s="10"/>
      <c r="F40" s="10"/>
      <c r="G40" s="12"/>
      <c r="H40" s="12"/>
      <c r="I40" s="17"/>
      <c r="J40" s="18"/>
      <c r="K40" s="19">
        <f t="shared" si="1"/>
        <v>0</v>
      </c>
      <c r="L40" s="27"/>
      <c r="N40" s="15">
        <v>10.89</v>
      </c>
    </row>
    <row r="41" spans="1:17" ht="20.25" customHeight="1" x14ac:dyDescent="0.15">
      <c r="A41" s="57"/>
      <c r="B41" s="28"/>
      <c r="C41" s="10"/>
      <c r="D41" s="29"/>
      <c r="E41" s="30"/>
      <c r="F41" s="30"/>
      <c r="G41" s="30"/>
      <c r="H41" s="30"/>
      <c r="I41" s="13"/>
      <c r="J41" s="48">
        <f>SUM(J25:J40)</f>
        <v>491</v>
      </c>
      <c r="K41" s="49">
        <f>SUM(K25:K40)</f>
        <v>4353.8220000000001</v>
      </c>
      <c r="L41" s="31"/>
      <c r="N41" s="32"/>
    </row>
    <row r="42" spans="1:17" ht="20.25" customHeight="1" thickBot="1" x14ac:dyDescent="0.2">
      <c r="A42" s="55"/>
      <c r="B42" s="33"/>
      <c r="C42" s="33"/>
      <c r="D42" s="33"/>
      <c r="E42" s="33"/>
      <c r="F42" s="33"/>
      <c r="G42" s="33"/>
      <c r="H42" s="33"/>
      <c r="I42" s="33"/>
      <c r="J42" s="34"/>
      <c r="K42" s="35"/>
      <c r="L42" s="36"/>
    </row>
    <row r="43" spans="1:17" ht="20.25" customHeight="1" thickBot="1" x14ac:dyDescent="0.2">
      <c r="A43" s="37" t="s">
        <v>19</v>
      </c>
      <c r="B43" s="38" t="s">
        <v>20</v>
      </c>
      <c r="C43" s="77" t="s">
        <v>21</v>
      </c>
      <c r="D43" s="79"/>
      <c r="E43" s="77" t="s">
        <v>22</v>
      </c>
      <c r="F43" s="78"/>
      <c r="G43" s="79"/>
      <c r="H43" s="85" t="s">
        <v>23</v>
      </c>
      <c r="I43" s="86"/>
      <c r="J43" s="77" t="s">
        <v>24</v>
      </c>
      <c r="K43" s="79"/>
      <c r="L43" s="39" t="s">
        <v>13</v>
      </c>
    </row>
    <row r="44" spans="1:17" ht="20.25" customHeight="1" thickBot="1" x14ac:dyDescent="0.2">
      <c r="A44" s="40">
        <f>SUMIF($C$8:$C$42,"U1",$J$8:$J$42)</f>
        <v>0</v>
      </c>
      <c r="B44" s="41">
        <f>SUMIF($C$8:$C$42,"U2",$J$8:$J$42)</f>
        <v>0</v>
      </c>
      <c r="C44" s="77">
        <f>SUMIF($C$8:$C$42,"U3-1",$J$8:$J$42)</f>
        <v>0</v>
      </c>
      <c r="D44" s="79"/>
      <c r="E44" s="77">
        <f>SUMIF($C$8:$C$42,"U3",$J$8:$J$42)</f>
        <v>491</v>
      </c>
      <c r="F44" s="78"/>
      <c r="G44" s="79"/>
      <c r="H44" s="77">
        <f>SUMIF($C$8:$C$42,"E5",$J$8:$J$42)</f>
        <v>0</v>
      </c>
      <c r="I44" s="79"/>
      <c r="J44" s="77">
        <f>SUM(A44:I44)</f>
        <v>491</v>
      </c>
      <c r="K44" s="79"/>
      <c r="L44" s="42"/>
    </row>
    <row r="45" spans="1:17" ht="20.25" customHeight="1" thickBot="1" x14ac:dyDescent="0.2">
      <c r="A45" s="43" t="s">
        <v>25</v>
      </c>
      <c r="B45" s="44" t="s">
        <v>26</v>
      </c>
      <c r="C45" s="75">
        <v>13876</v>
      </c>
      <c r="D45" s="76"/>
      <c r="E45" s="77" t="s">
        <v>27</v>
      </c>
      <c r="F45" s="78"/>
      <c r="G45" s="78"/>
      <c r="H45" s="78"/>
      <c r="I45" s="79"/>
      <c r="J45" s="80">
        <v>146744.37</v>
      </c>
      <c r="K45" s="81"/>
      <c r="L45" s="82"/>
    </row>
    <row r="47" spans="1:17" x14ac:dyDescent="0.15">
      <c r="D47" s="45"/>
    </row>
  </sheetData>
  <mergeCells count="26">
    <mergeCell ref="L2:L4"/>
    <mergeCell ref="A1:G3"/>
    <mergeCell ref="H1:H4"/>
    <mergeCell ref="I2:I4"/>
    <mergeCell ref="J2:J4"/>
    <mergeCell ref="K2:K4"/>
    <mergeCell ref="B5:G5"/>
    <mergeCell ref="A6:A7"/>
    <mergeCell ref="B6:B7"/>
    <mergeCell ref="C6:C7"/>
    <mergeCell ref="D6:D7"/>
    <mergeCell ref="E6:E7"/>
    <mergeCell ref="F6:F7"/>
    <mergeCell ref="G6:K6"/>
    <mergeCell ref="C45:D45"/>
    <mergeCell ref="E45:I45"/>
    <mergeCell ref="J45:L45"/>
    <mergeCell ref="L6:L7"/>
    <mergeCell ref="C43:D43"/>
    <mergeCell ref="E43:G43"/>
    <mergeCell ref="H43:I43"/>
    <mergeCell ref="J43:K43"/>
    <mergeCell ref="C44:D44"/>
    <mergeCell ref="E44:G44"/>
    <mergeCell ref="H44:I44"/>
    <mergeCell ref="J44:K44"/>
  </mergeCells>
  <phoneticPr fontId="2" type="noConversion"/>
  <printOptions horizontalCentered="1"/>
  <pageMargins left="0.39370078740157483" right="0.39370078740157483" top="0.74803149606299213" bottom="0.19685039370078741" header="0.31496062992125984" footer="0.15748031496062992"/>
  <pageSetup paperSize="9" scale="84" orientation="portrait" r:id="rId1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EFEA20-2A91-4EDB-968E-16B04A7F4285}">
  <dimension ref="A1:Q47"/>
  <sheetViews>
    <sheetView view="pageBreakPreview" topLeftCell="A19" zoomScaleSheetLayoutView="100" workbookViewId="0">
      <selection activeCell="D38" sqref="D38"/>
    </sheetView>
  </sheetViews>
  <sheetFormatPr defaultColWidth="8.88671875" defaultRowHeight="13.5" x14ac:dyDescent="0.15"/>
  <cols>
    <col min="1" max="1" width="8.44140625" style="3" customWidth="1"/>
    <col min="2" max="2" width="14.77734375" style="3" customWidth="1"/>
    <col min="3" max="3" width="4.109375" style="3" customWidth="1"/>
    <col min="4" max="4" width="15.21875" style="3" customWidth="1"/>
    <col min="5" max="5" width="4.44140625" style="3" customWidth="1"/>
    <col min="6" max="6" width="4" style="3" customWidth="1"/>
    <col min="7" max="7" width="5.5546875" style="3" customWidth="1"/>
    <col min="8" max="8" width="5.44140625" style="3" customWidth="1"/>
    <col min="9" max="9" width="7.88671875" style="3" customWidth="1"/>
    <col min="10" max="10" width="7.109375" style="3" customWidth="1"/>
    <col min="11" max="11" width="7.21875" style="3" customWidth="1"/>
    <col min="12" max="12" width="6.77734375" style="3" customWidth="1"/>
    <col min="13" max="16384" width="8.88671875" style="3"/>
  </cols>
  <sheetData>
    <row r="1" spans="1:14" ht="18.75" customHeight="1" x14ac:dyDescent="0.15">
      <c r="A1" s="101" t="s">
        <v>0</v>
      </c>
      <c r="B1" s="102"/>
      <c r="C1" s="102"/>
      <c r="D1" s="102"/>
      <c r="E1" s="102"/>
      <c r="F1" s="102"/>
      <c r="G1" s="103"/>
      <c r="H1" s="107" t="s">
        <v>1</v>
      </c>
      <c r="I1" s="1" t="s">
        <v>2</v>
      </c>
      <c r="J1" s="1" t="s">
        <v>2</v>
      </c>
      <c r="K1" s="1" t="s">
        <v>3</v>
      </c>
      <c r="L1" s="2" t="s">
        <v>4</v>
      </c>
    </row>
    <row r="2" spans="1:14" ht="13.5" customHeight="1" x14ac:dyDescent="0.15">
      <c r="A2" s="104"/>
      <c r="B2" s="105"/>
      <c r="C2" s="105"/>
      <c r="D2" s="105"/>
      <c r="E2" s="105"/>
      <c r="F2" s="105"/>
      <c r="G2" s="106"/>
      <c r="H2" s="108"/>
      <c r="I2" s="110"/>
      <c r="J2" s="110"/>
      <c r="K2" s="110"/>
      <c r="L2" s="98"/>
    </row>
    <row r="3" spans="1:14" ht="13.5" customHeight="1" x14ac:dyDescent="0.15">
      <c r="A3" s="104"/>
      <c r="B3" s="105"/>
      <c r="C3" s="105"/>
      <c r="D3" s="105"/>
      <c r="E3" s="105"/>
      <c r="F3" s="105"/>
      <c r="G3" s="106"/>
      <c r="H3" s="108"/>
      <c r="I3" s="108"/>
      <c r="J3" s="108"/>
      <c r="K3" s="108"/>
      <c r="L3" s="99"/>
    </row>
    <row r="4" spans="1:14" ht="33" customHeight="1" x14ac:dyDescent="0.15">
      <c r="A4" s="4"/>
      <c r="B4" s="5"/>
      <c r="C4" s="5"/>
      <c r="D4" s="5"/>
      <c r="E4" s="5"/>
      <c r="F4" s="5"/>
      <c r="G4" s="5"/>
      <c r="H4" s="109"/>
      <c r="I4" s="109"/>
      <c r="J4" s="109"/>
      <c r="K4" s="109"/>
      <c r="L4" s="100"/>
    </row>
    <row r="5" spans="1:14" ht="17.25" customHeight="1" x14ac:dyDescent="0.15">
      <c r="A5" s="6" t="s">
        <v>5</v>
      </c>
      <c r="B5" s="87">
        <v>46105</v>
      </c>
      <c r="C5" s="88"/>
      <c r="D5" s="88"/>
      <c r="E5" s="88"/>
      <c r="F5" s="88"/>
      <c r="G5" s="88"/>
      <c r="H5" s="5"/>
      <c r="I5" s="5"/>
      <c r="J5" s="5"/>
      <c r="K5" s="5"/>
      <c r="L5" s="7"/>
    </row>
    <row r="6" spans="1:14" ht="13.5" customHeight="1" x14ac:dyDescent="0.15">
      <c r="A6" s="89" t="s">
        <v>6</v>
      </c>
      <c r="B6" s="91" t="s">
        <v>7</v>
      </c>
      <c r="C6" s="91" t="s">
        <v>8</v>
      </c>
      <c r="D6" s="91" t="s">
        <v>9</v>
      </c>
      <c r="E6" s="93" t="s">
        <v>10</v>
      </c>
      <c r="F6" s="93" t="s">
        <v>11</v>
      </c>
      <c r="G6" s="95" t="s">
        <v>12</v>
      </c>
      <c r="H6" s="96"/>
      <c r="I6" s="96"/>
      <c r="J6" s="96"/>
      <c r="K6" s="97"/>
      <c r="L6" s="83" t="s">
        <v>13</v>
      </c>
    </row>
    <row r="7" spans="1:14" x14ac:dyDescent="0.15">
      <c r="A7" s="90"/>
      <c r="B7" s="92"/>
      <c r="C7" s="92"/>
      <c r="D7" s="92"/>
      <c r="E7" s="94"/>
      <c r="F7" s="94"/>
      <c r="G7" s="8" t="s">
        <v>14</v>
      </c>
      <c r="H7" s="8" t="s">
        <v>15</v>
      </c>
      <c r="I7" s="8" t="s">
        <v>16</v>
      </c>
      <c r="J7" s="8" t="s">
        <v>17</v>
      </c>
      <c r="K7" s="8" t="s">
        <v>18</v>
      </c>
      <c r="L7" s="84"/>
    </row>
    <row r="8" spans="1:14" s="15" customFormat="1" ht="20.25" customHeight="1" x14ac:dyDescent="0.15">
      <c r="A8" s="60"/>
      <c r="B8" s="9"/>
      <c r="C8" s="58" t="s">
        <v>231</v>
      </c>
      <c r="D8" s="11"/>
      <c r="E8" s="10"/>
      <c r="F8" s="58" t="s">
        <v>11</v>
      </c>
      <c r="G8" s="12"/>
      <c r="H8" s="12"/>
      <c r="I8" s="17"/>
      <c r="J8" s="18"/>
      <c r="K8" s="19">
        <f>+M8*N8</f>
        <v>0</v>
      </c>
      <c r="L8" s="14"/>
      <c r="N8" s="15">
        <v>10.89</v>
      </c>
    </row>
    <row r="9" spans="1:14" s="15" customFormat="1" ht="20.25" customHeight="1" x14ac:dyDescent="0.15">
      <c r="A9" s="60"/>
      <c r="B9" s="9"/>
      <c r="C9" s="58" t="s">
        <v>29</v>
      </c>
      <c r="D9" s="11"/>
      <c r="E9" s="10"/>
      <c r="F9" s="58" t="s">
        <v>11</v>
      </c>
      <c r="G9" s="12"/>
      <c r="H9" s="12"/>
      <c r="I9" s="17"/>
      <c r="J9" s="18"/>
      <c r="K9" s="19">
        <f t="shared" ref="K9:K23" si="0">+M9*N9</f>
        <v>0</v>
      </c>
      <c r="L9" s="14"/>
      <c r="N9" s="15">
        <v>10.89</v>
      </c>
    </row>
    <row r="10" spans="1:14" s="15" customFormat="1" ht="20.25" customHeight="1" x14ac:dyDescent="0.15">
      <c r="A10" s="60"/>
      <c r="B10" s="9"/>
      <c r="C10" s="58" t="s">
        <v>29</v>
      </c>
      <c r="D10" s="11"/>
      <c r="E10" s="10"/>
      <c r="F10" s="58" t="s">
        <v>11</v>
      </c>
      <c r="G10" s="12"/>
      <c r="H10" s="12"/>
      <c r="I10" s="17"/>
      <c r="J10" s="18"/>
      <c r="K10" s="19">
        <f t="shared" si="0"/>
        <v>0</v>
      </c>
      <c r="L10" s="14"/>
      <c r="N10" s="15">
        <v>10.89</v>
      </c>
    </row>
    <row r="11" spans="1:14" s="15" customFormat="1" ht="20.25" customHeight="1" x14ac:dyDescent="0.15">
      <c r="A11" s="60"/>
      <c r="B11" s="9"/>
      <c r="C11" s="58" t="s">
        <v>29</v>
      </c>
      <c r="D11" s="11"/>
      <c r="E11" s="10"/>
      <c r="F11" s="58" t="s">
        <v>11</v>
      </c>
      <c r="G11" s="12"/>
      <c r="H11" s="12"/>
      <c r="I11" s="17"/>
      <c r="J11" s="18"/>
      <c r="K11" s="19">
        <f t="shared" si="0"/>
        <v>0</v>
      </c>
      <c r="L11" s="14"/>
      <c r="N11" s="15">
        <v>10.89</v>
      </c>
    </row>
    <row r="12" spans="1:14" s="15" customFormat="1" ht="20.25" customHeight="1" x14ac:dyDescent="0.15">
      <c r="A12" s="60"/>
      <c r="B12" s="9"/>
      <c r="C12" s="58" t="s">
        <v>29</v>
      </c>
      <c r="D12" s="11"/>
      <c r="E12" s="10"/>
      <c r="F12" s="58" t="s">
        <v>11</v>
      </c>
      <c r="G12" s="12"/>
      <c r="H12" s="12"/>
      <c r="I12" s="17"/>
      <c r="J12" s="18"/>
      <c r="K12" s="19">
        <f t="shared" si="0"/>
        <v>0</v>
      </c>
      <c r="L12" s="14"/>
      <c r="N12" s="15">
        <v>10.89</v>
      </c>
    </row>
    <row r="13" spans="1:14" s="15" customFormat="1" ht="20.25" customHeight="1" x14ac:dyDescent="0.15">
      <c r="A13" s="60"/>
      <c r="B13" s="9"/>
      <c r="C13" s="58" t="s">
        <v>29</v>
      </c>
      <c r="D13" s="11"/>
      <c r="E13" s="10"/>
      <c r="F13" s="58" t="s">
        <v>11</v>
      </c>
      <c r="G13" s="12"/>
      <c r="H13" s="12"/>
      <c r="I13" s="17"/>
      <c r="J13" s="18"/>
      <c r="K13" s="19">
        <f t="shared" si="0"/>
        <v>0</v>
      </c>
      <c r="L13" s="14"/>
      <c r="N13" s="15">
        <v>10.89</v>
      </c>
    </row>
    <row r="14" spans="1:14" s="15" customFormat="1" ht="20.25" customHeight="1" x14ac:dyDescent="0.15">
      <c r="A14" s="60"/>
      <c r="B14" s="9"/>
      <c r="C14" s="58" t="s">
        <v>29</v>
      </c>
      <c r="D14" s="11"/>
      <c r="E14" s="10"/>
      <c r="F14" s="58" t="s">
        <v>11</v>
      </c>
      <c r="G14" s="12"/>
      <c r="H14" s="12"/>
      <c r="I14" s="17"/>
      <c r="J14" s="18"/>
      <c r="K14" s="19">
        <f t="shared" si="0"/>
        <v>0</v>
      </c>
      <c r="L14" s="20"/>
      <c r="N14" s="15">
        <v>10.89</v>
      </c>
    </row>
    <row r="15" spans="1:14" s="15" customFormat="1" ht="20.25" customHeight="1" x14ac:dyDescent="0.15">
      <c r="A15" s="60"/>
      <c r="B15" s="9"/>
      <c r="C15" s="58" t="s">
        <v>29</v>
      </c>
      <c r="D15" s="11"/>
      <c r="E15" s="10"/>
      <c r="F15" s="58" t="s">
        <v>11</v>
      </c>
      <c r="G15" s="12"/>
      <c r="H15" s="12"/>
      <c r="I15" s="17"/>
      <c r="J15" s="19"/>
      <c r="K15" s="19">
        <f t="shared" si="0"/>
        <v>0</v>
      </c>
      <c r="L15" s="20"/>
      <c r="N15" s="15">
        <v>10.89</v>
      </c>
    </row>
    <row r="16" spans="1:14" s="15" customFormat="1" ht="20.25" customHeight="1" x14ac:dyDescent="0.15">
      <c r="A16" s="60"/>
      <c r="B16" s="9"/>
      <c r="C16" s="58" t="s">
        <v>29</v>
      </c>
      <c r="D16" s="11"/>
      <c r="E16" s="10"/>
      <c r="F16" s="58" t="s">
        <v>11</v>
      </c>
      <c r="G16" s="12"/>
      <c r="H16" s="12"/>
      <c r="I16" s="17"/>
      <c r="J16" s="18"/>
      <c r="K16" s="19">
        <f t="shared" si="0"/>
        <v>0</v>
      </c>
      <c r="L16" s="20"/>
      <c r="N16" s="15">
        <v>10.89</v>
      </c>
    </row>
    <row r="17" spans="1:14" s="15" customFormat="1" ht="20.25" customHeight="1" x14ac:dyDescent="0.15">
      <c r="A17" s="60"/>
      <c r="B17" s="9"/>
      <c r="C17" s="58" t="s">
        <v>29</v>
      </c>
      <c r="D17" s="11"/>
      <c r="E17" s="10"/>
      <c r="F17" s="58" t="s">
        <v>11</v>
      </c>
      <c r="G17" s="12"/>
      <c r="H17" s="12"/>
      <c r="I17" s="17"/>
      <c r="J17" s="18"/>
      <c r="K17" s="19">
        <f t="shared" si="0"/>
        <v>0</v>
      </c>
      <c r="L17" s="20"/>
      <c r="N17" s="15">
        <v>10.89</v>
      </c>
    </row>
    <row r="18" spans="1:14" s="15" customFormat="1" ht="20.25" customHeight="1" x14ac:dyDescent="0.15">
      <c r="A18" s="60"/>
      <c r="B18" s="9"/>
      <c r="C18" s="58" t="s">
        <v>29</v>
      </c>
      <c r="D18" s="11"/>
      <c r="E18" s="10"/>
      <c r="F18" s="58" t="s">
        <v>11</v>
      </c>
      <c r="G18" s="12"/>
      <c r="H18" s="12"/>
      <c r="I18" s="17"/>
      <c r="J18" s="18"/>
      <c r="K18" s="19">
        <f t="shared" si="0"/>
        <v>0</v>
      </c>
      <c r="L18" s="20"/>
      <c r="N18" s="15">
        <v>10.89</v>
      </c>
    </row>
    <row r="19" spans="1:14" s="15" customFormat="1" ht="20.25" customHeight="1" x14ac:dyDescent="0.15">
      <c r="A19" s="60"/>
      <c r="B19" s="9"/>
      <c r="C19" s="58" t="s">
        <v>29</v>
      </c>
      <c r="D19" s="11"/>
      <c r="E19" s="10"/>
      <c r="F19" s="58" t="s">
        <v>11</v>
      </c>
      <c r="G19" s="12"/>
      <c r="H19" s="12"/>
      <c r="I19" s="17"/>
      <c r="J19" s="18"/>
      <c r="K19" s="19">
        <f t="shared" si="0"/>
        <v>0</v>
      </c>
      <c r="L19" s="20"/>
      <c r="N19" s="15">
        <v>10.89</v>
      </c>
    </row>
    <row r="20" spans="1:14" s="15" customFormat="1" ht="20.25" customHeight="1" x14ac:dyDescent="0.15">
      <c r="A20" s="60"/>
      <c r="B20" s="9"/>
      <c r="C20" s="58" t="s">
        <v>29</v>
      </c>
      <c r="D20" s="11"/>
      <c r="E20" s="10"/>
      <c r="F20" s="58" t="s">
        <v>11</v>
      </c>
      <c r="G20" s="12"/>
      <c r="H20" s="12"/>
      <c r="I20" s="17"/>
      <c r="J20" s="18"/>
      <c r="K20" s="19">
        <f t="shared" si="0"/>
        <v>0</v>
      </c>
      <c r="L20" s="20"/>
      <c r="N20" s="15">
        <v>10.89</v>
      </c>
    </row>
    <row r="21" spans="1:14" s="15" customFormat="1" ht="20.25" customHeight="1" x14ac:dyDescent="0.15">
      <c r="A21" s="60"/>
      <c r="B21" s="9"/>
      <c r="C21" s="58" t="s">
        <v>29</v>
      </c>
      <c r="D21" s="11"/>
      <c r="E21" s="10"/>
      <c r="F21" s="58" t="s">
        <v>11</v>
      </c>
      <c r="G21" s="50"/>
      <c r="H21" s="50"/>
      <c r="I21" s="17"/>
      <c r="J21" s="18"/>
      <c r="K21" s="19">
        <f t="shared" si="0"/>
        <v>0</v>
      </c>
      <c r="L21" s="20"/>
      <c r="N21" s="15">
        <v>10.89</v>
      </c>
    </row>
    <row r="22" spans="1:14" s="15" customFormat="1" ht="20.25" customHeight="1" x14ac:dyDescent="0.15">
      <c r="A22" s="60"/>
      <c r="B22" s="9"/>
      <c r="C22" s="58" t="s">
        <v>29</v>
      </c>
      <c r="D22" s="11"/>
      <c r="E22" s="10"/>
      <c r="F22" s="58" t="s">
        <v>11</v>
      </c>
      <c r="G22" s="50"/>
      <c r="H22" s="50"/>
      <c r="I22" s="17"/>
      <c r="J22" s="18"/>
      <c r="K22" s="19">
        <f t="shared" si="0"/>
        <v>0</v>
      </c>
      <c r="L22" s="20"/>
      <c r="N22" s="15">
        <v>10.89</v>
      </c>
    </row>
    <row r="23" spans="1:14" ht="20.25" customHeight="1" x14ac:dyDescent="0.15">
      <c r="A23" s="60"/>
      <c r="B23" s="9"/>
      <c r="C23" s="58" t="s">
        <v>29</v>
      </c>
      <c r="D23" s="11"/>
      <c r="E23" s="10"/>
      <c r="F23" s="58" t="s">
        <v>11</v>
      </c>
      <c r="G23" s="16"/>
      <c r="H23" s="16"/>
      <c r="I23" s="17"/>
      <c r="J23" s="18"/>
      <c r="K23" s="19">
        <f t="shared" si="0"/>
        <v>0</v>
      </c>
      <c r="L23" s="20"/>
      <c r="N23" s="15">
        <v>10.89</v>
      </c>
    </row>
    <row r="24" spans="1:14" ht="20.25" customHeight="1" thickBot="1" x14ac:dyDescent="0.2">
      <c r="A24" s="56"/>
      <c r="B24" s="21"/>
      <c r="C24" s="59"/>
      <c r="D24" s="22"/>
      <c r="E24" s="23"/>
      <c r="F24" s="23"/>
      <c r="G24" s="24"/>
      <c r="H24" s="24"/>
      <c r="I24" s="25"/>
      <c r="J24" s="46">
        <f>SUM(J8:J23)</f>
        <v>0</v>
      </c>
      <c r="K24" s="47">
        <f>SUM(K8:K23)</f>
        <v>0</v>
      </c>
      <c r="L24" s="26"/>
    </row>
    <row r="25" spans="1:14" ht="20.25" customHeight="1" thickTop="1" x14ac:dyDescent="0.15">
      <c r="A25" s="60" t="s">
        <v>1577</v>
      </c>
      <c r="B25" s="9" t="s">
        <v>1578</v>
      </c>
      <c r="C25" s="58" t="s">
        <v>29</v>
      </c>
      <c r="D25" s="11" t="s">
        <v>1579</v>
      </c>
      <c r="E25" s="10">
        <v>24</v>
      </c>
      <c r="F25" s="58" t="s">
        <v>11</v>
      </c>
      <c r="G25" s="12">
        <v>648</v>
      </c>
      <c r="H25" s="12">
        <v>1848</v>
      </c>
      <c r="I25" s="17">
        <v>1</v>
      </c>
      <c r="J25" s="18">
        <v>1</v>
      </c>
      <c r="K25" s="19">
        <f t="shared" ref="K25:K40" si="1">+M25*N25</f>
        <v>13.068</v>
      </c>
      <c r="L25" s="54"/>
      <c r="M25" s="3">
        <v>1.2</v>
      </c>
      <c r="N25" s="15">
        <v>10.89</v>
      </c>
    </row>
    <row r="26" spans="1:14" ht="20.25" customHeight="1" x14ac:dyDescent="0.15">
      <c r="A26" s="60" t="s">
        <v>1580</v>
      </c>
      <c r="B26" s="9" t="s">
        <v>37</v>
      </c>
      <c r="C26" s="58" t="s">
        <v>29</v>
      </c>
      <c r="D26" s="11" t="s">
        <v>1581</v>
      </c>
      <c r="E26" s="10">
        <v>22</v>
      </c>
      <c r="F26" s="58"/>
      <c r="G26" s="12">
        <v>748</v>
      </c>
      <c r="H26" s="12">
        <v>1790</v>
      </c>
      <c r="I26" s="17" t="s">
        <v>657</v>
      </c>
      <c r="J26" s="18">
        <v>9</v>
      </c>
      <c r="K26" s="19">
        <f t="shared" si="1"/>
        <v>142.3323</v>
      </c>
      <c r="L26" s="54"/>
      <c r="M26" s="3">
        <v>13.07</v>
      </c>
      <c r="N26" s="15">
        <v>10.89</v>
      </c>
    </row>
    <row r="27" spans="1:14" ht="20.25" customHeight="1" x14ac:dyDescent="0.15">
      <c r="A27" s="61" t="s">
        <v>1582</v>
      </c>
      <c r="B27" s="9" t="s">
        <v>1578</v>
      </c>
      <c r="C27" s="58" t="s">
        <v>29</v>
      </c>
      <c r="D27" s="11" t="s">
        <v>1436</v>
      </c>
      <c r="E27" s="10">
        <v>24</v>
      </c>
      <c r="F27" s="58"/>
      <c r="G27" s="12">
        <v>1063</v>
      </c>
      <c r="H27" s="12">
        <v>1974</v>
      </c>
      <c r="I27" s="17" t="s">
        <v>832</v>
      </c>
      <c r="J27" s="18">
        <v>24</v>
      </c>
      <c r="K27" s="19">
        <f t="shared" si="1"/>
        <v>248.50980000000001</v>
      </c>
      <c r="L27" s="54"/>
      <c r="M27" s="3">
        <v>22.82</v>
      </c>
      <c r="N27" s="15">
        <v>10.89</v>
      </c>
    </row>
    <row r="28" spans="1:14" ht="20.25" customHeight="1" x14ac:dyDescent="0.15">
      <c r="A28" s="61"/>
      <c r="B28" s="9"/>
      <c r="C28" s="58" t="s">
        <v>231</v>
      </c>
      <c r="D28" s="11" t="s">
        <v>1583</v>
      </c>
      <c r="E28" s="10">
        <v>22</v>
      </c>
      <c r="F28" s="58"/>
      <c r="G28" s="12">
        <v>672</v>
      </c>
      <c r="H28" s="12">
        <v>2292</v>
      </c>
      <c r="I28" s="17">
        <v>4</v>
      </c>
      <c r="J28" s="18">
        <v>4</v>
      </c>
      <c r="K28" s="19">
        <f t="shared" si="1"/>
        <v>67.082400000000007</v>
      </c>
      <c r="L28" s="54"/>
      <c r="M28" s="3">
        <v>6.16</v>
      </c>
      <c r="N28" s="15">
        <v>10.89</v>
      </c>
    </row>
    <row r="29" spans="1:14" ht="20.25" customHeight="1" x14ac:dyDescent="0.15">
      <c r="A29" s="61" t="s">
        <v>1564</v>
      </c>
      <c r="B29" s="9" t="s">
        <v>1496</v>
      </c>
      <c r="C29" s="58" t="s">
        <v>29</v>
      </c>
      <c r="D29" s="11" t="s">
        <v>1494</v>
      </c>
      <c r="E29" s="10">
        <v>28</v>
      </c>
      <c r="F29" s="10" t="s">
        <v>11</v>
      </c>
      <c r="G29" s="12">
        <v>950</v>
      </c>
      <c r="H29" s="12">
        <v>550</v>
      </c>
      <c r="I29" s="17">
        <v>1</v>
      </c>
      <c r="J29" s="18">
        <v>1</v>
      </c>
      <c r="K29" s="19">
        <f t="shared" si="1"/>
        <v>5.6628000000000007</v>
      </c>
      <c r="L29" s="54"/>
      <c r="M29" s="3">
        <v>0.52</v>
      </c>
      <c r="N29" s="15">
        <v>10.89</v>
      </c>
    </row>
    <row r="30" spans="1:14" ht="20.25" customHeight="1" x14ac:dyDescent="0.15">
      <c r="A30" s="61" t="s">
        <v>1573</v>
      </c>
      <c r="B30" s="9" t="s">
        <v>1435</v>
      </c>
      <c r="C30" s="58" t="s">
        <v>29</v>
      </c>
      <c r="D30" s="11" t="s">
        <v>1528</v>
      </c>
      <c r="E30" s="10">
        <v>25.76</v>
      </c>
      <c r="F30" s="10" t="s">
        <v>11</v>
      </c>
      <c r="G30" s="12">
        <v>1445</v>
      </c>
      <c r="H30" s="12">
        <v>690</v>
      </c>
      <c r="I30" s="51" t="s">
        <v>1546</v>
      </c>
      <c r="J30" s="52">
        <v>42</v>
      </c>
      <c r="K30" s="53">
        <f t="shared" si="1"/>
        <v>271.81440000000003</v>
      </c>
      <c r="L30" s="54"/>
      <c r="M30" s="3">
        <v>24.96</v>
      </c>
      <c r="N30" s="15">
        <v>10.89</v>
      </c>
    </row>
    <row r="31" spans="1:14" ht="20.25" customHeight="1" x14ac:dyDescent="0.15">
      <c r="A31" s="61"/>
      <c r="B31" s="9"/>
      <c r="C31" s="58" t="s">
        <v>29</v>
      </c>
      <c r="D31" s="11" t="s">
        <v>1436</v>
      </c>
      <c r="E31" s="10">
        <v>22</v>
      </c>
      <c r="F31" s="10"/>
      <c r="G31" s="12">
        <v>754</v>
      </c>
      <c r="H31" s="12">
        <v>1967</v>
      </c>
      <c r="I31" s="51" t="s">
        <v>1341</v>
      </c>
      <c r="J31" s="52">
        <v>156</v>
      </c>
      <c r="K31" s="53">
        <f t="shared" si="1"/>
        <v>1272.1697999999999</v>
      </c>
      <c r="L31" s="54"/>
      <c r="M31" s="3">
        <v>116.82</v>
      </c>
      <c r="N31" s="15">
        <v>10.89</v>
      </c>
    </row>
    <row r="32" spans="1:14" ht="20.25" customHeight="1" x14ac:dyDescent="0.15">
      <c r="A32" s="60" t="s">
        <v>1575</v>
      </c>
      <c r="B32" s="9" t="s">
        <v>1435</v>
      </c>
      <c r="C32" s="58" t="s">
        <v>29</v>
      </c>
      <c r="D32" s="11" t="s">
        <v>1528</v>
      </c>
      <c r="E32" s="10">
        <v>25.76</v>
      </c>
      <c r="F32" s="10" t="s">
        <v>11</v>
      </c>
      <c r="G32" s="12">
        <v>952</v>
      </c>
      <c r="H32" s="12">
        <v>690</v>
      </c>
      <c r="I32" s="17" t="s">
        <v>1265</v>
      </c>
      <c r="J32" s="18">
        <v>54</v>
      </c>
      <c r="K32" s="19">
        <f t="shared" si="1"/>
        <v>301.87080000000003</v>
      </c>
      <c r="L32" s="27"/>
      <c r="M32" s="3">
        <v>27.72</v>
      </c>
      <c r="N32" s="15">
        <v>10.89</v>
      </c>
    </row>
    <row r="33" spans="1:17" ht="20.25" customHeight="1" x14ac:dyDescent="0.15">
      <c r="A33" s="60" t="s">
        <v>1576</v>
      </c>
      <c r="B33" s="9" t="s">
        <v>1435</v>
      </c>
      <c r="C33" s="58" t="s">
        <v>29</v>
      </c>
      <c r="D33" s="11" t="s">
        <v>1528</v>
      </c>
      <c r="E33" s="10">
        <v>25.76</v>
      </c>
      <c r="F33" s="10" t="s">
        <v>11</v>
      </c>
      <c r="G33" s="12">
        <v>800</v>
      </c>
      <c r="H33" s="12">
        <v>690</v>
      </c>
      <c r="I33" s="17" t="s">
        <v>1267</v>
      </c>
      <c r="J33" s="18">
        <v>42</v>
      </c>
      <c r="K33" s="19">
        <f t="shared" si="1"/>
        <v>218.23560000000001</v>
      </c>
      <c r="L33" s="27"/>
      <c r="M33" s="3">
        <v>20.04</v>
      </c>
      <c r="N33" s="15">
        <v>10.89</v>
      </c>
    </row>
    <row r="34" spans="1:17" ht="20.25" customHeight="1" x14ac:dyDescent="0.15">
      <c r="A34" s="60" t="s">
        <v>1584</v>
      </c>
      <c r="B34" s="9" t="s">
        <v>1435</v>
      </c>
      <c r="C34" s="58" t="s">
        <v>29</v>
      </c>
      <c r="D34" s="11" t="s">
        <v>1528</v>
      </c>
      <c r="E34" s="10">
        <v>25.76</v>
      </c>
      <c r="F34" s="10" t="s">
        <v>11</v>
      </c>
      <c r="G34" s="12">
        <v>590</v>
      </c>
      <c r="H34" s="12">
        <v>670</v>
      </c>
      <c r="I34" s="17">
        <v>12</v>
      </c>
      <c r="J34" s="18">
        <v>12</v>
      </c>
      <c r="K34" s="19">
        <f t="shared" si="1"/>
        <v>52.271999999999998</v>
      </c>
      <c r="L34" s="27"/>
      <c r="M34" s="3">
        <v>4.8</v>
      </c>
      <c r="N34" s="15">
        <v>10.89</v>
      </c>
    </row>
    <row r="35" spans="1:17" ht="20.25" customHeight="1" x14ac:dyDescent="0.15">
      <c r="A35" s="60"/>
      <c r="B35" s="9"/>
      <c r="C35" s="58" t="s">
        <v>29</v>
      </c>
      <c r="D35" s="11" t="s">
        <v>1436</v>
      </c>
      <c r="E35" s="10">
        <v>22</v>
      </c>
      <c r="F35" s="10"/>
      <c r="G35" s="12">
        <v>1949</v>
      </c>
      <c r="H35" s="12">
        <v>1957</v>
      </c>
      <c r="I35" s="17" t="s">
        <v>1585</v>
      </c>
      <c r="J35" s="18">
        <v>72</v>
      </c>
      <c r="K35" s="19">
        <f t="shared" si="1"/>
        <v>930.44159999999999</v>
      </c>
      <c r="L35" s="27"/>
      <c r="M35" s="3">
        <v>85.44</v>
      </c>
      <c r="N35" s="15">
        <v>10.89</v>
      </c>
    </row>
    <row r="36" spans="1:17" ht="20.25" customHeight="1" x14ac:dyDescent="0.15">
      <c r="A36" s="60" t="s">
        <v>1586</v>
      </c>
      <c r="B36" s="9" t="s">
        <v>1435</v>
      </c>
      <c r="C36" s="58" t="s">
        <v>29</v>
      </c>
      <c r="D36" s="11" t="s">
        <v>1528</v>
      </c>
      <c r="E36" s="10">
        <v>25.76</v>
      </c>
      <c r="F36" s="10" t="s">
        <v>11</v>
      </c>
      <c r="G36" s="12">
        <v>590</v>
      </c>
      <c r="H36" s="12">
        <v>670</v>
      </c>
      <c r="I36" s="17">
        <v>12</v>
      </c>
      <c r="J36" s="18">
        <v>12</v>
      </c>
      <c r="K36" s="19">
        <f t="shared" si="1"/>
        <v>52.271999999999998</v>
      </c>
      <c r="L36" s="27"/>
      <c r="M36" s="3">
        <v>4.8</v>
      </c>
      <c r="N36" s="15">
        <v>10.89</v>
      </c>
    </row>
    <row r="37" spans="1:17" ht="20.25" customHeight="1" x14ac:dyDescent="0.15">
      <c r="A37" s="60"/>
      <c r="B37" s="9"/>
      <c r="C37" s="58" t="s">
        <v>29</v>
      </c>
      <c r="D37" s="11" t="s">
        <v>1436</v>
      </c>
      <c r="E37" s="10">
        <v>22</v>
      </c>
      <c r="F37" s="10"/>
      <c r="G37" s="12">
        <v>1949</v>
      </c>
      <c r="H37" s="12">
        <v>1957</v>
      </c>
      <c r="I37" s="17" t="s">
        <v>1585</v>
      </c>
      <c r="J37" s="18">
        <v>72</v>
      </c>
      <c r="K37" s="19">
        <f t="shared" si="1"/>
        <v>930.44159999999999</v>
      </c>
      <c r="L37" s="27"/>
      <c r="M37" s="3">
        <v>85.44</v>
      </c>
      <c r="N37" s="15">
        <v>10.89</v>
      </c>
    </row>
    <row r="38" spans="1:17" ht="20.25" customHeight="1" x14ac:dyDescent="0.15">
      <c r="A38" s="60" t="s">
        <v>1587</v>
      </c>
      <c r="B38" s="9" t="s">
        <v>1435</v>
      </c>
      <c r="C38" s="58" t="s">
        <v>29</v>
      </c>
      <c r="D38" s="11" t="s">
        <v>1528</v>
      </c>
      <c r="E38" s="10">
        <v>25.76</v>
      </c>
      <c r="F38" s="10" t="s">
        <v>11</v>
      </c>
      <c r="G38" s="12">
        <v>590</v>
      </c>
      <c r="H38" s="12">
        <v>670</v>
      </c>
      <c r="I38" s="17">
        <v>12</v>
      </c>
      <c r="J38" s="18">
        <v>12</v>
      </c>
      <c r="K38" s="19">
        <f t="shared" si="1"/>
        <v>52.271999999999998</v>
      </c>
      <c r="L38" s="27"/>
      <c r="M38" s="3">
        <v>4.8</v>
      </c>
      <c r="N38" s="15">
        <v>10.89</v>
      </c>
    </row>
    <row r="39" spans="1:17" ht="20.25" customHeight="1" x14ac:dyDescent="0.15">
      <c r="A39" s="60"/>
      <c r="B39" s="9"/>
      <c r="C39" s="58"/>
      <c r="D39" s="11"/>
      <c r="E39" s="10"/>
      <c r="F39" s="10"/>
      <c r="G39" s="12"/>
      <c r="H39" s="12"/>
      <c r="I39" s="17"/>
      <c r="J39" s="18"/>
      <c r="K39" s="19">
        <f t="shared" si="1"/>
        <v>0</v>
      </c>
      <c r="L39" s="27"/>
      <c r="N39" s="15">
        <v>10.89</v>
      </c>
      <c r="Q39" s="65"/>
    </row>
    <row r="40" spans="1:17" ht="20.25" customHeight="1" x14ac:dyDescent="0.15">
      <c r="A40" s="60"/>
      <c r="B40" s="9"/>
      <c r="C40" s="58"/>
      <c r="D40" s="11"/>
      <c r="E40" s="10"/>
      <c r="F40" s="10"/>
      <c r="G40" s="12"/>
      <c r="H40" s="12"/>
      <c r="I40" s="17"/>
      <c r="J40" s="18"/>
      <c r="K40" s="19">
        <f t="shared" si="1"/>
        <v>0</v>
      </c>
      <c r="L40" s="27"/>
      <c r="N40" s="15">
        <v>10.89</v>
      </c>
    </row>
    <row r="41" spans="1:17" ht="20.25" customHeight="1" x14ac:dyDescent="0.15">
      <c r="A41" s="57"/>
      <c r="B41" s="28"/>
      <c r="C41" s="10"/>
      <c r="D41" s="29"/>
      <c r="E41" s="30"/>
      <c r="F41" s="30"/>
      <c r="G41" s="30"/>
      <c r="H41" s="30"/>
      <c r="I41" s="13"/>
      <c r="J41" s="48">
        <f>SUM(J25:J40)</f>
        <v>513</v>
      </c>
      <c r="K41" s="49">
        <f>SUM(K25:K40)</f>
        <v>4558.4450999999999</v>
      </c>
      <c r="L41" s="31"/>
      <c r="N41" s="32"/>
    </row>
    <row r="42" spans="1:17" ht="20.25" customHeight="1" thickBot="1" x14ac:dyDescent="0.2">
      <c r="A42" s="55"/>
      <c r="B42" s="33"/>
      <c r="C42" s="33"/>
      <c r="D42" s="33"/>
      <c r="E42" s="33"/>
      <c r="F42" s="33"/>
      <c r="G42" s="33"/>
      <c r="H42" s="33"/>
      <c r="I42" s="33"/>
      <c r="J42" s="34"/>
      <c r="K42" s="35"/>
      <c r="L42" s="36"/>
    </row>
    <row r="43" spans="1:17" ht="20.25" customHeight="1" thickBot="1" x14ac:dyDescent="0.2">
      <c r="A43" s="37" t="s">
        <v>19</v>
      </c>
      <c r="B43" s="38" t="s">
        <v>20</v>
      </c>
      <c r="C43" s="77" t="s">
        <v>21</v>
      </c>
      <c r="D43" s="79"/>
      <c r="E43" s="77" t="s">
        <v>22</v>
      </c>
      <c r="F43" s="78"/>
      <c r="G43" s="79"/>
      <c r="H43" s="85" t="s">
        <v>23</v>
      </c>
      <c r="I43" s="86"/>
      <c r="J43" s="77" t="s">
        <v>24</v>
      </c>
      <c r="K43" s="79"/>
      <c r="L43" s="39" t="s">
        <v>13</v>
      </c>
    </row>
    <row r="44" spans="1:17" ht="20.25" customHeight="1" thickBot="1" x14ac:dyDescent="0.2">
      <c r="A44" s="40">
        <f>SUMIF($C$8:$C$42,"U1",$J$8:$J$42)</f>
        <v>0</v>
      </c>
      <c r="B44" s="41">
        <f>SUMIF($C$8:$C$42,"U2",$J$8:$J$42)</f>
        <v>4</v>
      </c>
      <c r="C44" s="77">
        <f>SUMIF($C$8:$C$42,"U3-1",$J$8:$J$42)</f>
        <v>0</v>
      </c>
      <c r="D44" s="79"/>
      <c r="E44" s="77">
        <f>SUMIF($C$8:$C$42,"U3",$J$8:$J$42)</f>
        <v>509</v>
      </c>
      <c r="F44" s="78"/>
      <c r="G44" s="79"/>
      <c r="H44" s="77">
        <f>SUMIF($C$8:$C$42,"E5",$J$8:$J$42)</f>
        <v>0</v>
      </c>
      <c r="I44" s="79"/>
      <c r="J44" s="77">
        <f>SUM(A44:I44)</f>
        <v>513</v>
      </c>
      <c r="K44" s="79"/>
      <c r="L44" s="42"/>
    </row>
    <row r="45" spans="1:17" ht="20.25" customHeight="1" thickBot="1" x14ac:dyDescent="0.2">
      <c r="A45" s="43" t="s">
        <v>25</v>
      </c>
      <c r="B45" s="44" t="s">
        <v>26</v>
      </c>
      <c r="C45" s="75">
        <v>13876</v>
      </c>
      <c r="D45" s="76"/>
      <c r="E45" s="77" t="s">
        <v>27</v>
      </c>
      <c r="F45" s="78"/>
      <c r="G45" s="78"/>
      <c r="H45" s="78"/>
      <c r="I45" s="79"/>
      <c r="J45" s="80">
        <v>146744.37</v>
      </c>
      <c r="K45" s="81"/>
      <c r="L45" s="82"/>
    </row>
    <row r="47" spans="1:17" x14ac:dyDescent="0.15">
      <c r="D47" s="45"/>
    </row>
  </sheetData>
  <mergeCells count="26">
    <mergeCell ref="C45:D45"/>
    <mergeCell ref="E45:I45"/>
    <mergeCell ref="J45:L45"/>
    <mergeCell ref="L6:L7"/>
    <mergeCell ref="C43:D43"/>
    <mergeCell ref="E43:G43"/>
    <mergeCell ref="H43:I43"/>
    <mergeCell ref="J43:K43"/>
    <mergeCell ref="C44:D44"/>
    <mergeCell ref="E44:G44"/>
    <mergeCell ref="H44:I44"/>
    <mergeCell ref="J44:K44"/>
    <mergeCell ref="B5:G5"/>
    <mergeCell ref="A6:A7"/>
    <mergeCell ref="B6:B7"/>
    <mergeCell ref="C6:C7"/>
    <mergeCell ref="D6:D7"/>
    <mergeCell ref="E6:E7"/>
    <mergeCell ref="F6:F7"/>
    <mergeCell ref="G6:K6"/>
    <mergeCell ref="L2:L4"/>
    <mergeCell ref="A1:G3"/>
    <mergeCell ref="H1:H4"/>
    <mergeCell ref="I2:I4"/>
    <mergeCell ref="J2:J4"/>
    <mergeCell ref="K2:K4"/>
  </mergeCells>
  <phoneticPr fontId="2" type="noConversion"/>
  <printOptions horizontalCentered="1"/>
  <pageMargins left="0.39370078740157483" right="0.39370078740157483" top="0.74803149606299213" bottom="0.19685039370078741" header="0.31496062992125984" footer="0.15748031496062992"/>
  <pageSetup paperSize="9" scale="84" orientation="portrait" r:id="rId1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C2F033-802F-48D7-B39B-E3C43B76F31F}">
  <dimension ref="A1:Q47"/>
  <sheetViews>
    <sheetView view="pageBreakPreview" topLeftCell="A10" zoomScaleSheetLayoutView="100" workbookViewId="0">
      <selection activeCell="C33" sqref="C33"/>
    </sheetView>
  </sheetViews>
  <sheetFormatPr defaultColWidth="8.88671875" defaultRowHeight="13.5" x14ac:dyDescent="0.15"/>
  <cols>
    <col min="1" max="1" width="8.44140625" style="3" customWidth="1"/>
    <col min="2" max="2" width="14.77734375" style="3" customWidth="1"/>
    <col min="3" max="3" width="4.109375" style="3" customWidth="1"/>
    <col min="4" max="4" width="15.21875" style="3" customWidth="1"/>
    <col min="5" max="5" width="4.44140625" style="3" customWidth="1"/>
    <col min="6" max="6" width="4" style="3" customWidth="1"/>
    <col min="7" max="7" width="5.5546875" style="3" customWidth="1"/>
    <col min="8" max="8" width="5.44140625" style="3" customWidth="1"/>
    <col min="9" max="9" width="7.88671875" style="3" customWidth="1"/>
    <col min="10" max="10" width="7.109375" style="3" customWidth="1"/>
    <col min="11" max="11" width="7.21875" style="3" customWidth="1"/>
    <col min="12" max="12" width="6.77734375" style="3" customWidth="1"/>
    <col min="13" max="16384" width="8.88671875" style="3"/>
  </cols>
  <sheetData>
    <row r="1" spans="1:14" ht="18.75" customHeight="1" x14ac:dyDescent="0.15">
      <c r="A1" s="101" t="s">
        <v>0</v>
      </c>
      <c r="B1" s="102"/>
      <c r="C1" s="102"/>
      <c r="D1" s="102"/>
      <c r="E1" s="102"/>
      <c r="F1" s="102"/>
      <c r="G1" s="103"/>
      <c r="H1" s="107" t="s">
        <v>1</v>
      </c>
      <c r="I1" s="1" t="s">
        <v>2</v>
      </c>
      <c r="J1" s="1" t="s">
        <v>2</v>
      </c>
      <c r="K1" s="1" t="s">
        <v>3</v>
      </c>
      <c r="L1" s="2" t="s">
        <v>4</v>
      </c>
    </row>
    <row r="2" spans="1:14" ht="13.5" customHeight="1" x14ac:dyDescent="0.15">
      <c r="A2" s="104"/>
      <c r="B2" s="105"/>
      <c r="C2" s="105"/>
      <c r="D2" s="105"/>
      <c r="E2" s="105"/>
      <c r="F2" s="105"/>
      <c r="G2" s="106"/>
      <c r="H2" s="108"/>
      <c r="I2" s="110"/>
      <c r="J2" s="110"/>
      <c r="K2" s="110"/>
      <c r="L2" s="98"/>
    </row>
    <row r="3" spans="1:14" ht="13.5" customHeight="1" x14ac:dyDescent="0.15">
      <c r="A3" s="104"/>
      <c r="B3" s="105"/>
      <c r="C3" s="105"/>
      <c r="D3" s="105"/>
      <c r="E3" s="105"/>
      <c r="F3" s="105"/>
      <c r="G3" s="106"/>
      <c r="H3" s="108"/>
      <c r="I3" s="108"/>
      <c r="J3" s="108"/>
      <c r="K3" s="108"/>
      <c r="L3" s="99"/>
    </row>
    <row r="4" spans="1:14" ht="33" customHeight="1" x14ac:dyDescent="0.15">
      <c r="A4" s="4"/>
      <c r="B4" s="5"/>
      <c r="C4" s="5"/>
      <c r="D4" s="5"/>
      <c r="E4" s="5"/>
      <c r="F4" s="5"/>
      <c r="G4" s="5"/>
      <c r="H4" s="109"/>
      <c r="I4" s="109"/>
      <c r="J4" s="109"/>
      <c r="K4" s="109"/>
      <c r="L4" s="100"/>
    </row>
    <row r="5" spans="1:14" ht="17.25" customHeight="1" x14ac:dyDescent="0.15">
      <c r="A5" s="6" t="s">
        <v>5</v>
      </c>
      <c r="B5" s="87">
        <v>46106</v>
      </c>
      <c r="C5" s="88"/>
      <c r="D5" s="88"/>
      <c r="E5" s="88"/>
      <c r="F5" s="88"/>
      <c r="G5" s="88"/>
      <c r="H5" s="5"/>
      <c r="I5" s="5"/>
      <c r="J5" s="5"/>
      <c r="K5" s="5"/>
      <c r="L5" s="7"/>
    </row>
    <row r="6" spans="1:14" ht="13.5" customHeight="1" x14ac:dyDescent="0.15">
      <c r="A6" s="89" t="s">
        <v>6</v>
      </c>
      <c r="B6" s="91" t="s">
        <v>7</v>
      </c>
      <c r="C6" s="91" t="s">
        <v>8</v>
      </c>
      <c r="D6" s="91" t="s">
        <v>9</v>
      </c>
      <c r="E6" s="93" t="s">
        <v>10</v>
      </c>
      <c r="F6" s="93" t="s">
        <v>11</v>
      </c>
      <c r="G6" s="95" t="s">
        <v>12</v>
      </c>
      <c r="H6" s="96"/>
      <c r="I6" s="96"/>
      <c r="J6" s="96"/>
      <c r="K6" s="97"/>
      <c r="L6" s="83" t="s">
        <v>13</v>
      </c>
    </row>
    <row r="7" spans="1:14" x14ac:dyDescent="0.15">
      <c r="A7" s="90"/>
      <c r="B7" s="92"/>
      <c r="C7" s="92"/>
      <c r="D7" s="92"/>
      <c r="E7" s="94"/>
      <c r="F7" s="94"/>
      <c r="G7" s="8" t="s">
        <v>14</v>
      </c>
      <c r="H7" s="8" t="s">
        <v>15</v>
      </c>
      <c r="I7" s="8" t="s">
        <v>16</v>
      </c>
      <c r="J7" s="8" t="s">
        <v>17</v>
      </c>
      <c r="K7" s="8" t="s">
        <v>18</v>
      </c>
      <c r="L7" s="84"/>
    </row>
    <row r="8" spans="1:14" s="15" customFormat="1" ht="20.25" customHeight="1" x14ac:dyDescent="0.15">
      <c r="A8" s="60" t="s">
        <v>1600</v>
      </c>
      <c r="B8" s="9" t="s">
        <v>1601</v>
      </c>
      <c r="C8" s="58" t="s">
        <v>29</v>
      </c>
      <c r="D8" s="11" t="s">
        <v>1581</v>
      </c>
      <c r="E8" s="10">
        <v>22</v>
      </c>
      <c r="F8" s="58"/>
      <c r="G8" s="12">
        <v>1545</v>
      </c>
      <c r="H8" s="12">
        <v>1973</v>
      </c>
      <c r="I8" s="17" t="s">
        <v>1602</v>
      </c>
      <c r="J8" s="18">
        <v>176</v>
      </c>
      <c r="K8" s="19">
        <f>+M8*N8</f>
        <v>3543.1704000000004</v>
      </c>
      <c r="L8" s="14"/>
      <c r="M8" s="15">
        <v>325.36</v>
      </c>
      <c r="N8" s="15">
        <v>10.89</v>
      </c>
    </row>
    <row r="9" spans="1:14" s="15" customFormat="1" ht="20.25" customHeight="1" x14ac:dyDescent="0.15">
      <c r="A9" s="60" t="s">
        <v>1603</v>
      </c>
      <c r="B9" s="9" t="s">
        <v>1604</v>
      </c>
      <c r="C9" s="58" t="s">
        <v>231</v>
      </c>
      <c r="D9" s="11" t="s">
        <v>1605</v>
      </c>
      <c r="E9" s="10">
        <v>24</v>
      </c>
      <c r="F9" s="58"/>
      <c r="G9" s="12">
        <v>2231</v>
      </c>
      <c r="H9" s="12">
        <v>1746</v>
      </c>
      <c r="I9" s="17" t="s">
        <v>638</v>
      </c>
      <c r="J9" s="18">
        <v>12</v>
      </c>
      <c r="K9" s="19">
        <f t="shared" ref="K9:K23" si="0">+M9*N9</f>
        <v>190.68390000000002</v>
      </c>
      <c r="L9" s="14"/>
      <c r="M9" s="15">
        <v>17.510000000000002</v>
      </c>
      <c r="N9" s="15">
        <v>10.89</v>
      </c>
    </row>
    <row r="10" spans="1:14" s="15" customFormat="1" ht="20.25" customHeight="1" x14ac:dyDescent="0.15">
      <c r="A10" s="60" t="s">
        <v>1606</v>
      </c>
      <c r="B10" s="9" t="s">
        <v>1607</v>
      </c>
      <c r="C10" s="58" t="s">
        <v>29</v>
      </c>
      <c r="D10" s="11" t="s">
        <v>1608</v>
      </c>
      <c r="E10" s="10">
        <v>24</v>
      </c>
      <c r="F10" s="58" t="s">
        <v>11</v>
      </c>
      <c r="G10" s="12">
        <v>950</v>
      </c>
      <c r="H10" s="12">
        <v>2005</v>
      </c>
      <c r="I10" s="17" t="s">
        <v>376</v>
      </c>
      <c r="J10" s="18">
        <v>21</v>
      </c>
      <c r="K10" s="19">
        <f t="shared" si="0"/>
        <v>197.9802</v>
      </c>
      <c r="L10" s="14"/>
      <c r="M10" s="15">
        <v>18.18</v>
      </c>
      <c r="N10" s="15">
        <v>10.89</v>
      </c>
    </row>
    <row r="11" spans="1:14" s="15" customFormat="1" ht="20.25" customHeight="1" x14ac:dyDescent="0.15">
      <c r="A11" s="60" t="s">
        <v>1587</v>
      </c>
      <c r="B11" s="9" t="s">
        <v>1435</v>
      </c>
      <c r="C11" s="58" t="s">
        <v>29</v>
      </c>
      <c r="D11" s="11" t="s">
        <v>1436</v>
      </c>
      <c r="E11" s="10">
        <v>22</v>
      </c>
      <c r="F11" s="58"/>
      <c r="G11" s="12">
        <v>1649</v>
      </c>
      <c r="H11" s="12">
        <v>1957</v>
      </c>
      <c r="I11" s="17" t="s">
        <v>968</v>
      </c>
      <c r="J11" s="18">
        <v>19</v>
      </c>
      <c r="K11" s="19">
        <f t="shared" si="0"/>
        <v>383.11020000000002</v>
      </c>
      <c r="L11" s="14"/>
      <c r="M11" s="15">
        <v>35.18</v>
      </c>
      <c r="N11" s="15">
        <v>10.89</v>
      </c>
    </row>
    <row r="12" spans="1:14" s="15" customFormat="1" ht="20.25" customHeight="1" x14ac:dyDescent="0.15">
      <c r="A12" s="60" t="s">
        <v>1609</v>
      </c>
      <c r="B12" s="9" t="s">
        <v>1604</v>
      </c>
      <c r="C12" s="58" t="s">
        <v>29</v>
      </c>
      <c r="D12" s="11" t="s">
        <v>1610</v>
      </c>
      <c r="E12" s="10">
        <v>26.76</v>
      </c>
      <c r="F12" s="58"/>
      <c r="G12" s="12">
        <v>2246</v>
      </c>
      <c r="H12" s="12">
        <v>1748</v>
      </c>
      <c r="I12" s="17" t="s">
        <v>324</v>
      </c>
      <c r="J12" s="18">
        <v>8</v>
      </c>
      <c r="K12" s="19">
        <f t="shared" si="0"/>
        <v>139.71870000000001</v>
      </c>
      <c r="L12" s="14"/>
      <c r="M12" s="15">
        <v>12.83</v>
      </c>
      <c r="N12" s="15">
        <v>10.89</v>
      </c>
    </row>
    <row r="13" spans="1:14" s="15" customFormat="1" ht="20.25" customHeight="1" x14ac:dyDescent="0.15">
      <c r="A13" s="60"/>
      <c r="B13" s="9"/>
      <c r="C13" s="58" t="s">
        <v>231</v>
      </c>
      <c r="D13" s="11" t="s">
        <v>1605</v>
      </c>
      <c r="E13" s="10">
        <v>24</v>
      </c>
      <c r="F13" s="58"/>
      <c r="G13" s="12">
        <v>435</v>
      </c>
      <c r="H13" s="12">
        <v>794</v>
      </c>
      <c r="I13" s="17" t="s">
        <v>887</v>
      </c>
      <c r="J13" s="18">
        <v>8</v>
      </c>
      <c r="K13" s="19">
        <f t="shared" si="0"/>
        <v>27.442800000000002</v>
      </c>
      <c r="L13" s="14"/>
      <c r="M13" s="15">
        <v>2.52</v>
      </c>
      <c r="N13" s="15">
        <v>10.89</v>
      </c>
    </row>
    <row r="14" spans="1:14" s="15" customFormat="1" ht="20.25" customHeight="1" x14ac:dyDescent="0.15">
      <c r="A14" s="60"/>
      <c r="B14" s="9"/>
      <c r="C14" s="58" t="s">
        <v>29</v>
      </c>
      <c r="D14" s="11" t="s">
        <v>1611</v>
      </c>
      <c r="E14" s="10">
        <v>24</v>
      </c>
      <c r="F14" s="58"/>
      <c r="G14" s="12">
        <v>742</v>
      </c>
      <c r="H14" s="12">
        <v>1748</v>
      </c>
      <c r="I14" s="17" t="s">
        <v>1612</v>
      </c>
      <c r="J14" s="18">
        <v>16</v>
      </c>
      <c r="K14" s="19">
        <f t="shared" si="0"/>
        <v>121.31460000000001</v>
      </c>
      <c r="L14" s="20"/>
      <c r="M14" s="15">
        <v>11.14</v>
      </c>
      <c r="N14" s="15">
        <v>10.89</v>
      </c>
    </row>
    <row r="15" spans="1:14" s="15" customFormat="1" ht="20.25" customHeight="1" x14ac:dyDescent="0.15">
      <c r="A15" s="60" t="s">
        <v>1613</v>
      </c>
      <c r="B15" s="9" t="s">
        <v>1607</v>
      </c>
      <c r="C15" s="58" t="s">
        <v>29</v>
      </c>
      <c r="D15" s="11" t="s">
        <v>1608</v>
      </c>
      <c r="E15" s="10">
        <v>24</v>
      </c>
      <c r="F15" s="58" t="s">
        <v>11</v>
      </c>
      <c r="G15" s="12">
        <v>750</v>
      </c>
      <c r="H15" s="12">
        <v>2805</v>
      </c>
      <c r="I15" s="17" t="s">
        <v>1614</v>
      </c>
      <c r="J15" s="18">
        <v>56</v>
      </c>
      <c r="K15" s="19">
        <f t="shared" si="0"/>
        <v>585.99090000000001</v>
      </c>
      <c r="L15" s="20"/>
      <c r="M15" s="15">
        <v>53.81</v>
      </c>
      <c r="N15" s="15">
        <v>10.89</v>
      </c>
    </row>
    <row r="16" spans="1:14" s="15" customFormat="1" ht="20.25" customHeight="1" x14ac:dyDescent="0.15">
      <c r="A16" s="60" t="s">
        <v>1615</v>
      </c>
      <c r="B16" s="9" t="s">
        <v>1607</v>
      </c>
      <c r="C16" s="58" t="s">
        <v>29</v>
      </c>
      <c r="D16" s="11" t="s">
        <v>1608</v>
      </c>
      <c r="E16" s="10">
        <v>24</v>
      </c>
      <c r="F16" s="58" t="s">
        <v>11</v>
      </c>
      <c r="G16" s="12">
        <v>2175</v>
      </c>
      <c r="H16" s="12">
        <v>1095</v>
      </c>
      <c r="I16" s="17" t="s">
        <v>695</v>
      </c>
      <c r="J16" s="18">
        <v>25</v>
      </c>
      <c r="K16" s="19">
        <f t="shared" si="0"/>
        <v>293.37660000000005</v>
      </c>
      <c r="L16" s="20"/>
      <c r="M16" s="15">
        <v>26.94</v>
      </c>
      <c r="N16" s="15">
        <v>10.89</v>
      </c>
    </row>
    <row r="17" spans="1:14" s="15" customFormat="1" ht="20.25" customHeight="1" x14ac:dyDescent="0.15">
      <c r="A17" s="60"/>
      <c r="B17" s="9"/>
      <c r="C17" s="58"/>
      <c r="D17" s="11"/>
      <c r="E17" s="10"/>
      <c r="F17" s="58"/>
      <c r="G17" s="12"/>
      <c r="H17" s="12"/>
      <c r="I17" s="17"/>
      <c r="J17" s="18"/>
      <c r="K17" s="19">
        <f t="shared" si="0"/>
        <v>0</v>
      </c>
      <c r="L17" s="20"/>
      <c r="N17" s="15">
        <v>10.89</v>
      </c>
    </row>
    <row r="18" spans="1:14" s="15" customFormat="1" ht="20.25" customHeight="1" x14ac:dyDescent="0.15">
      <c r="A18" s="60"/>
      <c r="B18" s="9"/>
      <c r="C18" s="58"/>
      <c r="D18" s="11"/>
      <c r="E18" s="10"/>
      <c r="F18" s="58"/>
      <c r="G18" s="12"/>
      <c r="H18" s="12"/>
      <c r="I18" s="17"/>
      <c r="J18" s="18"/>
      <c r="K18" s="19">
        <f t="shared" si="0"/>
        <v>0</v>
      </c>
      <c r="L18" s="20"/>
      <c r="N18" s="15">
        <v>10.89</v>
      </c>
    </row>
    <row r="19" spans="1:14" s="15" customFormat="1" ht="20.25" customHeight="1" x14ac:dyDescent="0.15">
      <c r="A19" s="60"/>
      <c r="B19" s="9"/>
      <c r="C19" s="58"/>
      <c r="D19" s="11"/>
      <c r="E19" s="10"/>
      <c r="F19" s="58"/>
      <c r="G19" s="12"/>
      <c r="H19" s="12"/>
      <c r="I19" s="17"/>
      <c r="J19" s="18"/>
      <c r="K19" s="19">
        <f t="shared" si="0"/>
        <v>0</v>
      </c>
      <c r="L19" s="20"/>
      <c r="N19" s="15">
        <v>10.89</v>
      </c>
    </row>
    <row r="20" spans="1:14" s="15" customFormat="1" ht="20.25" customHeight="1" x14ac:dyDescent="0.15">
      <c r="A20" s="60"/>
      <c r="B20" s="9"/>
      <c r="C20" s="58"/>
      <c r="D20" s="11"/>
      <c r="E20" s="10"/>
      <c r="F20" s="58"/>
      <c r="G20" s="12"/>
      <c r="H20" s="12"/>
      <c r="I20" s="17"/>
      <c r="J20" s="18"/>
      <c r="K20" s="19">
        <f t="shared" si="0"/>
        <v>0</v>
      </c>
      <c r="L20" s="20"/>
      <c r="N20" s="15">
        <v>10.89</v>
      </c>
    </row>
    <row r="21" spans="1:14" s="15" customFormat="1" ht="20.25" customHeight="1" x14ac:dyDescent="0.15">
      <c r="A21" s="60"/>
      <c r="B21" s="9"/>
      <c r="C21" s="58"/>
      <c r="D21" s="11"/>
      <c r="E21" s="10"/>
      <c r="F21" s="58"/>
      <c r="G21" s="50"/>
      <c r="H21" s="50"/>
      <c r="I21" s="17"/>
      <c r="J21" s="18"/>
      <c r="K21" s="19">
        <f t="shared" si="0"/>
        <v>0</v>
      </c>
      <c r="L21" s="20"/>
      <c r="N21" s="15">
        <v>10.89</v>
      </c>
    </row>
    <row r="22" spans="1:14" s="15" customFormat="1" ht="20.25" customHeight="1" x14ac:dyDescent="0.15">
      <c r="A22" s="60"/>
      <c r="B22" s="9"/>
      <c r="C22" s="58"/>
      <c r="D22" s="11"/>
      <c r="E22" s="10"/>
      <c r="F22" s="58"/>
      <c r="G22" s="50"/>
      <c r="H22" s="50"/>
      <c r="I22" s="17"/>
      <c r="J22" s="18"/>
      <c r="K22" s="19">
        <f t="shared" si="0"/>
        <v>0</v>
      </c>
      <c r="L22" s="20"/>
      <c r="N22" s="15">
        <v>10.89</v>
      </c>
    </row>
    <row r="23" spans="1:14" ht="20.25" customHeight="1" x14ac:dyDescent="0.15">
      <c r="A23" s="60"/>
      <c r="B23" s="9"/>
      <c r="C23" s="58"/>
      <c r="D23" s="11"/>
      <c r="E23" s="10"/>
      <c r="F23" s="58"/>
      <c r="G23" s="16"/>
      <c r="H23" s="16"/>
      <c r="I23" s="17"/>
      <c r="J23" s="18"/>
      <c r="K23" s="19">
        <f t="shared" si="0"/>
        <v>0</v>
      </c>
      <c r="L23" s="20"/>
      <c r="N23" s="15">
        <v>10.89</v>
      </c>
    </row>
    <row r="24" spans="1:14" ht="20.25" customHeight="1" thickBot="1" x14ac:dyDescent="0.2">
      <c r="A24" s="56"/>
      <c r="B24" s="21"/>
      <c r="C24" s="59"/>
      <c r="D24" s="22"/>
      <c r="E24" s="23"/>
      <c r="F24" s="23"/>
      <c r="G24" s="24"/>
      <c r="H24" s="24"/>
      <c r="I24" s="25"/>
      <c r="J24" s="46">
        <f>SUM(J8:J23)</f>
        <v>341</v>
      </c>
      <c r="K24" s="47">
        <f>SUM(K8:K23)</f>
        <v>5482.7883000000002</v>
      </c>
      <c r="L24" s="26"/>
    </row>
    <row r="25" spans="1:14" ht="20.25" customHeight="1" thickTop="1" x14ac:dyDescent="0.15">
      <c r="A25" s="60" t="s">
        <v>1588</v>
      </c>
      <c r="B25" s="9" t="s">
        <v>1589</v>
      </c>
      <c r="C25" s="58" t="s">
        <v>29</v>
      </c>
      <c r="D25" s="11" t="s">
        <v>1590</v>
      </c>
      <c r="E25" s="10">
        <v>24</v>
      </c>
      <c r="F25" s="58" t="s">
        <v>11</v>
      </c>
      <c r="G25" s="12">
        <v>1015</v>
      </c>
      <c r="H25" s="12">
        <v>490</v>
      </c>
      <c r="I25" s="17" t="s">
        <v>218</v>
      </c>
      <c r="J25" s="18">
        <v>3</v>
      </c>
      <c r="K25" s="19">
        <f t="shared" ref="K25:K40" si="1">+M25*N25</f>
        <v>13.721400000000001</v>
      </c>
      <c r="L25" s="54"/>
      <c r="M25" s="3">
        <v>1.26</v>
      </c>
      <c r="N25" s="15">
        <v>10.89</v>
      </c>
    </row>
    <row r="26" spans="1:14" ht="20.25" customHeight="1" x14ac:dyDescent="0.15">
      <c r="A26" s="60" t="s">
        <v>1591</v>
      </c>
      <c r="B26" s="9" t="s">
        <v>1447</v>
      </c>
      <c r="C26" s="58" t="s">
        <v>29</v>
      </c>
      <c r="D26" s="11" t="s">
        <v>1448</v>
      </c>
      <c r="E26" s="10">
        <v>26</v>
      </c>
      <c r="F26" s="58" t="s">
        <v>11</v>
      </c>
      <c r="G26" s="12">
        <v>670</v>
      </c>
      <c r="H26" s="12">
        <v>2155</v>
      </c>
      <c r="I26" s="17" t="s">
        <v>300</v>
      </c>
      <c r="J26" s="18">
        <v>7</v>
      </c>
      <c r="K26" s="19">
        <f t="shared" si="1"/>
        <v>59.1327</v>
      </c>
      <c r="L26" s="54"/>
      <c r="M26" s="3">
        <v>5.43</v>
      </c>
      <c r="N26" s="15">
        <v>10.89</v>
      </c>
    </row>
    <row r="27" spans="1:14" ht="20.25" customHeight="1" x14ac:dyDescent="0.15">
      <c r="A27" s="61" t="s">
        <v>1592</v>
      </c>
      <c r="B27" s="9" t="s">
        <v>1567</v>
      </c>
      <c r="C27" s="58" t="s">
        <v>29</v>
      </c>
      <c r="D27" s="11" t="s">
        <v>1593</v>
      </c>
      <c r="E27" s="10">
        <v>35.520000000000003</v>
      </c>
      <c r="F27" s="58" t="s">
        <v>11</v>
      </c>
      <c r="G27" s="12">
        <v>1420</v>
      </c>
      <c r="H27" s="12">
        <v>992</v>
      </c>
      <c r="I27" s="17" t="s">
        <v>389</v>
      </c>
      <c r="J27" s="18">
        <v>6</v>
      </c>
      <c r="K27" s="19">
        <f t="shared" si="1"/>
        <v>71.220600000000005</v>
      </c>
      <c r="L27" s="54"/>
      <c r="M27" s="3">
        <v>6.54</v>
      </c>
      <c r="N27" s="15">
        <v>10.89</v>
      </c>
    </row>
    <row r="28" spans="1:14" ht="20.25" customHeight="1" x14ac:dyDescent="0.15">
      <c r="A28" s="61" t="s">
        <v>1594</v>
      </c>
      <c r="B28" s="9" t="s">
        <v>1567</v>
      </c>
      <c r="C28" s="58" t="s">
        <v>29</v>
      </c>
      <c r="D28" s="11" t="s">
        <v>1595</v>
      </c>
      <c r="E28" s="10">
        <v>44</v>
      </c>
      <c r="F28" s="58" t="s">
        <v>11</v>
      </c>
      <c r="G28" s="12">
        <v>726</v>
      </c>
      <c r="H28" s="12">
        <v>2025</v>
      </c>
      <c r="I28" s="17">
        <v>2</v>
      </c>
      <c r="J28" s="18">
        <v>2</v>
      </c>
      <c r="K28" s="19">
        <f t="shared" si="1"/>
        <v>32.016600000000004</v>
      </c>
      <c r="L28" s="54"/>
      <c r="M28" s="3">
        <v>2.94</v>
      </c>
      <c r="N28" s="15">
        <v>10.89</v>
      </c>
    </row>
    <row r="29" spans="1:14" ht="20.25" customHeight="1" x14ac:dyDescent="0.15">
      <c r="A29" s="61"/>
      <c r="B29" s="9"/>
      <c r="C29" s="58" t="s">
        <v>29</v>
      </c>
      <c r="D29" s="11" t="s">
        <v>1538</v>
      </c>
      <c r="E29" s="10">
        <v>28</v>
      </c>
      <c r="F29" s="58" t="s">
        <v>11</v>
      </c>
      <c r="G29" s="12">
        <v>205</v>
      </c>
      <c r="H29" s="12">
        <v>1025</v>
      </c>
      <c r="I29" s="17">
        <v>1</v>
      </c>
      <c r="J29" s="18">
        <v>1</v>
      </c>
      <c r="K29" s="19">
        <f t="shared" si="1"/>
        <v>3.0492000000000004</v>
      </c>
      <c r="L29" s="54"/>
      <c r="M29" s="3">
        <v>0.28000000000000003</v>
      </c>
      <c r="N29" s="15">
        <v>10.89</v>
      </c>
    </row>
    <row r="30" spans="1:14" ht="20.25" customHeight="1" x14ac:dyDescent="0.15">
      <c r="A30" s="61"/>
      <c r="B30" s="9"/>
      <c r="C30" s="58" t="s">
        <v>29</v>
      </c>
      <c r="D30" s="11" t="s">
        <v>1596</v>
      </c>
      <c r="E30" s="10">
        <v>28</v>
      </c>
      <c r="F30" s="58" t="s">
        <v>11</v>
      </c>
      <c r="G30" s="12">
        <v>952</v>
      </c>
      <c r="H30" s="12">
        <v>3610</v>
      </c>
      <c r="I30" s="51" t="s">
        <v>1108</v>
      </c>
      <c r="J30" s="52">
        <v>10</v>
      </c>
      <c r="K30" s="53">
        <f t="shared" si="1"/>
        <v>316.24560000000002</v>
      </c>
      <c r="L30" s="54"/>
      <c r="M30" s="3">
        <v>29.04</v>
      </c>
      <c r="N30" s="15">
        <v>10.89</v>
      </c>
    </row>
    <row r="31" spans="1:14" ht="20.25" customHeight="1" x14ac:dyDescent="0.15">
      <c r="A31" s="61"/>
      <c r="B31" s="9"/>
      <c r="C31" s="58" t="s">
        <v>29</v>
      </c>
      <c r="D31" s="11" t="s">
        <v>1597</v>
      </c>
      <c r="E31" s="10">
        <v>28</v>
      </c>
      <c r="F31" s="58" t="s">
        <v>11</v>
      </c>
      <c r="G31" s="12">
        <v>992</v>
      </c>
      <c r="H31" s="12">
        <v>3610</v>
      </c>
      <c r="I31" s="51" t="s">
        <v>337</v>
      </c>
      <c r="J31" s="52">
        <v>2</v>
      </c>
      <c r="K31" s="53">
        <f t="shared" si="1"/>
        <v>429.28380000000004</v>
      </c>
      <c r="L31" s="54"/>
      <c r="M31" s="3">
        <v>39.42</v>
      </c>
      <c r="N31" s="15">
        <v>10.89</v>
      </c>
    </row>
    <row r="32" spans="1:14" ht="20.25" customHeight="1" x14ac:dyDescent="0.15">
      <c r="A32" s="60" t="s">
        <v>1491</v>
      </c>
      <c r="B32" s="9" t="s">
        <v>1492</v>
      </c>
      <c r="C32" s="58" t="s">
        <v>29</v>
      </c>
      <c r="D32" s="11" t="s">
        <v>1598</v>
      </c>
      <c r="E32" s="10">
        <v>27.76</v>
      </c>
      <c r="F32" s="58"/>
      <c r="G32" s="12">
        <v>790</v>
      </c>
      <c r="H32" s="12">
        <v>846</v>
      </c>
      <c r="I32" s="17" t="s">
        <v>1599</v>
      </c>
      <c r="J32" s="18">
        <v>296</v>
      </c>
      <c r="K32" s="19">
        <f t="shared" si="1"/>
        <v>2159.7048</v>
      </c>
      <c r="L32" s="27"/>
      <c r="M32" s="3">
        <v>198.32</v>
      </c>
      <c r="N32" s="15">
        <v>10.89</v>
      </c>
    </row>
    <row r="33" spans="1:17" ht="20.25" customHeight="1" x14ac:dyDescent="0.15">
      <c r="A33" s="60"/>
      <c r="B33" s="9"/>
      <c r="C33" s="58" t="s">
        <v>29</v>
      </c>
      <c r="D33" s="11" t="s">
        <v>1530</v>
      </c>
      <c r="E33" s="10">
        <v>22</v>
      </c>
      <c r="F33" s="58"/>
      <c r="G33" s="12">
        <v>740</v>
      </c>
      <c r="H33" s="12">
        <v>805</v>
      </c>
      <c r="I33" s="17">
        <v>1</v>
      </c>
      <c r="J33" s="18">
        <v>1</v>
      </c>
      <c r="K33" s="19">
        <f t="shared" si="1"/>
        <v>6.5339999999999998</v>
      </c>
      <c r="L33" s="27"/>
      <c r="M33" s="3">
        <v>0.6</v>
      </c>
      <c r="N33" s="15">
        <v>10.89</v>
      </c>
    </row>
    <row r="34" spans="1:17" ht="20.25" customHeight="1" x14ac:dyDescent="0.15">
      <c r="A34" s="60"/>
      <c r="B34" s="9"/>
      <c r="C34" s="58"/>
      <c r="D34" s="11"/>
      <c r="E34" s="10"/>
      <c r="F34" s="58"/>
      <c r="G34" s="12"/>
      <c r="H34" s="12"/>
      <c r="I34" s="17"/>
      <c r="J34" s="18"/>
      <c r="K34" s="19">
        <f t="shared" si="1"/>
        <v>0</v>
      </c>
      <c r="L34" s="27"/>
      <c r="N34" s="15">
        <v>10.89</v>
      </c>
    </row>
    <row r="35" spans="1:17" ht="20.25" customHeight="1" x14ac:dyDescent="0.15">
      <c r="A35" s="60"/>
      <c r="B35" s="9"/>
      <c r="C35" s="58"/>
      <c r="D35" s="11"/>
      <c r="E35" s="10"/>
      <c r="F35" s="58"/>
      <c r="G35" s="12"/>
      <c r="H35" s="12"/>
      <c r="I35" s="17"/>
      <c r="J35" s="18"/>
      <c r="K35" s="19">
        <f t="shared" si="1"/>
        <v>0</v>
      </c>
      <c r="L35" s="27"/>
      <c r="N35" s="15">
        <v>10.89</v>
      </c>
    </row>
    <row r="36" spans="1:17" ht="20.25" customHeight="1" x14ac:dyDescent="0.15">
      <c r="A36" s="60"/>
      <c r="B36" s="9"/>
      <c r="C36" s="58"/>
      <c r="D36" s="11"/>
      <c r="E36" s="10"/>
      <c r="F36" s="58"/>
      <c r="G36" s="12"/>
      <c r="H36" s="12"/>
      <c r="I36" s="17"/>
      <c r="J36" s="18"/>
      <c r="K36" s="19">
        <f t="shared" si="1"/>
        <v>0</v>
      </c>
      <c r="L36" s="27"/>
      <c r="N36" s="15">
        <v>10.89</v>
      </c>
    </row>
    <row r="37" spans="1:17" ht="20.25" customHeight="1" x14ac:dyDescent="0.15">
      <c r="A37" s="60"/>
      <c r="B37" s="9"/>
      <c r="C37" s="58"/>
      <c r="D37" s="11"/>
      <c r="E37" s="10"/>
      <c r="F37" s="58"/>
      <c r="G37" s="12"/>
      <c r="H37" s="12"/>
      <c r="I37" s="17"/>
      <c r="J37" s="18"/>
      <c r="K37" s="19">
        <f t="shared" si="1"/>
        <v>0</v>
      </c>
      <c r="L37" s="27"/>
      <c r="N37" s="15">
        <v>10.89</v>
      </c>
    </row>
    <row r="38" spans="1:17" ht="20.25" customHeight="1" x14ac:dyDescent="0.15">
      <c r="A38" s="60"/>
      <c r="B38" s="9"/>
      <c r="C38" s="58"/>
      <c r="D38" s="11"/>
      <c r="E38" s="10"/>
      <c r="F38" s="58"/>
      <c r="G38" s="12"/>
      <c r="H38" s="12"/>
      <c r="I38" s="17"/>
      <c r="J38" s="18"/>
      <c r="K38" s="19">
        <f t="shared" si="1"/>
        <v>0</v>
      </c>
      <c r="L38" s="27"/>
      <c r="N38" s="15">
        <v>10.89</v>
      </c>
    </row>
    <row r="39" spans="1:17" ht="20.25" customHeight="1" x14ac:dyDescent="0.15">
      <c r="A39" s="60"/>
      <c r="B39" s="9"/>
      <c r="C39" s="58"/>
      <c r="D39" s="11"/>
      <c r="E39" s="10"/>
      <c r="F39" s="58"/>
      <c r="G39" s="12"/>
      <c r="H39" s="12"/>
      <c r="I39" s="17"/>
      <c r="J39" s="18"/>
      <c r="K39" s="19">
        <f t="shared" si="1"/>
        <v>0</v>
      </c>
      <c r="L39" s="27"/>
      <c r="N39" s="15">
        <v>10.89</v>
      </c>
      <c r="Q39" s="65"/>
    </row>
    <row r="40" spans="1:17" ht="20.25" customHeight="1" x14ac:dyDescent="0.15">
      <c r="A40" s="60"/>
      <c r="B40" s="9"/>
      <c r="C40" s="58"/>
      <c r="D40" s="11"/>
      <c r="E40" s="10"/>
      <c r="F40" s="58"/>
      <c r="G40" s="12"/>
      <c r="H40" s="12"/>
      <c r="I40" s="17"/>
      <c r="J40" s="18"/>
      <c r="K40" s="19">
        <f t="shared" si="1"/>
        <v>0</v>
      </c>
      <c r="L40" s="27"/>
      <c r="N40" s="15">
        <v>10.89</v>
      </c>
    </row>
    <row r="41" spans="1:17" ht="20.25" customHeight="1" x14ac:dyDescent="0.15">
      <c r="A41" s="57"/>
      <c r="B41" s="28"/>
      <c r="C41" s="58"/>
      <c r="D41" s="29"/>
      <c r="E41" s="30"/>
      <c r="F41" s="30"/>
      <c r="G41" s="30"/>
      <c r="H41" s="30"/>
      <c r="I41" s="13"/>
      <c r="J41" s="48">
        <f>SUM(J25:J40)</f>
        <v>328</v>
      </c>
      <c r="K41" s="49">
        <f>SUM(K25:K40)</f>
        <v>3090.9087000000004</v>
      </c>
      <c r="L41" s="31"/>
      <c r="N41" s="32"/>
    </row>
    <row r="42" spans="1:17" ht="20.25" customHeight="1" thickBot="1" x14ac:dyDescent="0.2">
      <c r="A42" s="55"/>
      <c r="B42" s="33"/>
      <c r="C42" s="33"/>
      <c r="D42" s="33"/>
      <c r="E42" s="33"/>
      <c r="F42" s="33"/>
      <c r="G42" s="33"/>
      <c r="H42" s="33"/>
      <c r="I42" s="33"/>
      <c r="J42" s="34"/>
      <c r="K42" s="35"/>
      <c r="L42" s="36"/>
    </row>
    <row r="43" spans="1:17" ht="20.25" customHeight="1" thickBot="1" x14ac:dyDescent="0.2">
      <c r="A43" s="37" t="s">
        <v>19</v>
      </c>
      <c r="B43" s="38" t="s">
        <v>20</v>
      </c>
      <c r="C43" s="77" t="s">
        <v>21</v>
      </c>
      <c r="D43" s="79"/>
      <c r="E43" s="77" t="s">
        <v>22</v>
      </c>
      <c r="F43" s="78"/>
      <c r="G43" s="79"/>
      <c r="H43" s="85" t="s">
        <v>23</v>
      </c>
      <c r="I43" s="86"/>
      <c r="J43" s="77" t="s">
        <v>24</v>
      </c>
      <c r="K43" s="79"/>
      <c r="L43" s="39" t="s">
        <v>13</v>
      </c>
    </row>
    <row r="44" spans="1:17" ht="20.25" customHeight="1" thickBot="1" x14ac:dyDescent="0.2">
      <c r="A44" s="40">
        <f>SUMIF($C$8:$C$42,"U1",$J$8:$J$42)</f>
        <v>0</v>
      </c>
      <c r="B44" s="41">
        <f>SUMIF($C$8:$C$42,"U2",$J$8:$J$42)</f>
        <v>20</v>
      </c>
      <c r="C44" s="77">
        <f>SUMIF($C$8:$C$42,"U3-1",$J$8:$J$42)</f>
        <v>0</v>
      </c>
      <c r="D44" s="79"/>
      <c r="E44" s="77">
        <f>SUMIF($C$8:$C$42,"U3",$J$8:$J$42)</f>
        <v>649</v>
      </c>
      <c r="F44" s="78"/>
      <c r="G44" s="79"/>
      <c r="H44" s="77">
        <f>SUMIF($C$8:$C$42,"E5",$J$8:$J$42)</f>
        <v>0</v>
      </c>
      <c r="I44" s="79"/>
      <c r="J44" s="77">
        <f>SUM(A44:I44)</f>
        <v>669</v>
      </c>
      <c r="K44" s="79"/>
      <c r="L44" s="42"/>
    </row>
    <row r="45" spans="1:17" ht="20.25" customHeight="1" thickBot="1" x14ac:dyDescent="0.2">
      <c r="A45" s="43" t="s">
        <v>25</v>
      </c>
      <c r="B45" s="44" t="s">
        <v>26</v>
      </c>
      <c r="C45" s="75">
        <v>13876</v>
      </c>
      <c r="D45" s="76"/>
      <c r="E45" s="77" t="s">
        <v>27</v>
      </c>
      <c r="F45" s="78"/>
      <c r="G45" s="78"/>
      <c r="H45" s="78"/>
      <c r="I45" s="79"/>
      <c r="J45" s="80">
        <v>146744.37</v>
      </c>
      <c r="K45" s="81"/>
      <c r="L45" s="82"/>
    </row>
    <row r="47" spans="1:17" x14ac:dyDescent="0.15">
      <c r="D47" s="45"/>
    </row>
  </sheetData>
  <mergeCells count="26">
    <mergeCell ref="L2:L4"/>
    <mergeCell ref="A1:G3"/>
    <mergeCell ref="H1:H4"/>
    <mergeCell ref="I2:I4"/>
    <mergeCell ref="J2:J4"/>
    <mergeCell ref="K2:K4"/>
    <mergeCell ref="B5:G5"/>
    <mergeCell ref="A6:A7"/>
    <mergeCell ref="B6:B7"/>
    <mergeCell ref="C6:C7"/>
    <mergeCell ref="D6:D7"/>
    <mergeCell ref="E6:E7"/>
    <mergeCell ref="F6:F7"/>
    <mergeCell ref="G6:K6"/>
    <mergeCell ref="C45:D45"/>
    <mergeCell ref="E45:I45"/>
    <mergeCell ref="J45:L45"/>
    <mergeCell ref="L6:L7"/>
    <mergeCell ref="C43:D43"/>
    <mergeCell ref="E43:G43"/>
    <mergeCell ref="H43:I43"/>
    <mergeCell ref="J43:K43"/>
    <mergeCell ref="C44:D44"/>
    <mergeCell ref="E44:G44"/>
    <mergeCell ref="H44:I44"/>
    <mergeCell ref="J44:K44"/>
  </mergeCells>
  <phoneticPr fontId="2" type="noConversion"/>
  <printOptions horizontalCentered="1"/>
  <pageMargins left="0.39370078740157483" right="0.39370078740157483" top="0.74803149606299213" bottom="0.19685039370078741" header="0.31496062992125984" footer="0.15748031496062992"/>
  <pageSetup paperSize="9" scale="84" orientation="portrait" r:id="rId1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C1BFDF-88AA-4B37-8083-B2F969576ABC}">
  <dimension ref="A1:Q47"/>
  <sheetViews>
    <sheetView view="pageBreakPreview" topLeftCell="A19" zoomScaleSheetLayoutView="100" workbookViewId="0">
      <selection activeCell="C15" sqref="C15"/>
    </sheetView>
  </sheetViews>
  <sheetFormatPr defaultColWidth="8.88671875" defaultRowHeight="13.5" x14ac:dyDescent="0.15"/>
  <cols>
    <col min="1" max="1" width="8.44140625" style="3" customWidth="1"/>
    <col min="2" max="2" width="14.77734375" style="3" customWidth="1"/>
    <col min="3" max="3" width="4.109375" style="3" customWidth="1"/>
    <col min="4" max="4" width="15.21875" style="3" customWidth="1"/>
    <col min="5" max="5" width="4.44140625" style="3" customWidth="1"/>
    <col min="6" max="6" width="4" style="3" customWidth="1"/>
    <col min="7" max="7" width="5.5546875" style="3" customWidth="1"/>
    <col min="8" max="8" width="5.44140625" style="3" customWidth="1"/>
    <col min="9" max="9" width="7.88671875" style="3" customWidth="1"/>
    <col min="10" max="10" width="7.109375" style="3" customWidth="1"/>
    <col min="11" max="11" width="7.21875" style="3" customWidth="1"/>
    <col min="12" max="12" width="6.77734375" style="3" customWidth="1"/>
    <col min="13" max="16384" width="8.88671875" style="3"/>
  </cols>
  <sheetData>
    <row r="1" spans="1:14" ht="18.75" customHeight="1" x14ac:dyDescent="0.15">
      <c r="A1" s="101" t="s">
        <v>0</v>
      </c>
      <c r="B1" s="102"/>
      <c r="C1" s="102"/>
      <c r="D1" s="102"/>
      <c r="E1" s="102"/>
      <c r="F1" s="102"/>
      <c r="G1" s="103"/>
      <c r="H1" s="107" t="s">
        <v>1</v>
      </c>
      <c r="I1" s="1" t="s">
        <v>2</v>
      </c>
      <c r="J1" s="1" t="s">
        <v>2</v>
      </c>
      <c r="K1" s="1" t="s">
        <v>3</v>
      </c>
      <c r="L1" s="2" t="s">
        <v>4</v>
      </c>
    </row>
    <row r="2" spans="1:14" ht="13.5" customHeight="1" x14ac:dyDescent="0.15">
      <c r="A2" s="104"/>
      <c r="B2" s="105"/>
      <c r="C2" s="105"/>
      <c r="D2" s="105"/>
      <c r="E2" s="105"/>
      <c r="F2" s="105"/>
      <c r="G2" s="106"/>
      <c r="H2" s="108"/>
      <c r="I2" s="110"/>
      <c r="J2" s="110"/>
      <c r="K2" s="110"/>
      <c r="L2" s="98"/>
    </row>
    <row r="3" spans="1:14" ht="13.5" customHeight="1" x14ac:dyDescent="0.15">
      <c r="A3" s="104"/>
      <c r="B3" s="105"/>
      <c r="C3" s="105"/>
      <c r="D3" s="105"/>
      <c r="E3" s="105"/>
      <c r="F3" s="105"/>
      <c r="G3" s="106"/>
      <c r="H3" s="108"/>
      <c r="I3" s="108"/>
      <c r="J3" s="108"/>
      <c r="K3" s="108"/>
      <c r="L3" s="99"/>
    </row>
    <row r="4" spans="1:14" ht="33" customHeight="1" x14ac:dyDescent="0.15">
      <c r="A4" s="4"/>
      <c r="B4" s="5"/>
      <c r="C4" s="5"/>
      <c r="D4" s="5"/>
      <c r="E4" s="5"/>
      <c r="F4" s="5"/>
      <c r="G4" s="5"/>
      <c r="H4" s="109"/>
      <c r="I4" s="109"/>
      <c r="J4" s="109"/>
      <c r="K4" s="109"/>
      <c r="L4" s="100"/>
    </row>
    <row r="5" spans="1:14" ht="17.25" customHeight="1" x14ac:dyDescent="0.15">
      <c r="A5" s="6" t="s">
        <v>5</v>
      </c>
      <c r="B5" s="87">
        <v>46107</v>
      </c>
      <c r="C5" s="88"/>
      <c r="D5" s="88"/>
      <c r="E5" s="88"/>
      <c r="F5" s="88"/>
      <c r="G5" s="88"/>
      <c r="H5" s="5"/>
      <c r="I5" s="5"/>
      <c r="J5" s="5"/>
      <c r="K5" s="5"/>
      <c r="L5" s="7"/>
    </row>
    <row r="6" spans="1:14" ht="13.5" customHeight="1" x14ac:dyDescent="0.15">
      <c r="A6" s="89" t="s">
        <v>6</v>
      </c>
      <c r="B6" s="91" t="s">
        <v>7</v>
      </c>
      <c r="C6" s="91" t="s">
        <v>8</v>
      </c>
      <c r="D6" s="91" t="s">
        <v>9</v>
      </c>
      <c r="E6" s="93" t="s">
        <v>10</v>
      </c>
      <c r="F6" s="93" t="s">
        <v>11</v>
      </c>
      <c r="G6" s="95" t="s">
        <v>12</v>
      </c>
      <c r="H6" s="96"/>
      <c r="I6" s="96"/>
      <c r="J6" s="96"/>
      <c r="K6" s="97"/>
      <c r="L6" s="83" t="s">
        <v>13</v>
      </c>
    </row>
    <row r="7" spans="1:14" x14ac:dyDescent="0.15">
      <c r="A7" s="90"/>
      <c r="B7" s="92"/>
      <c r="C7" s="92"/>
      <c r="D7" s="92"/>
      <c r="E7" s="94"/>
      <c r="F7" s="94"/>
      <c r="G7" s="8" t="s">
        <v>14</v>
      </c>
      <c r="H7" s="8" t="s">
        <v>15</v>
      </c>
      <c r="I7" s="8" t="s">
        <v>16</v>
      </c>
      <c r="J7" s="8" t="s">
        <v>17</v>
      </c>
      <c r="K7" s="8" t="s">
        <v>18</v>
      </c>
      <c r="L7" s="84"/>
    </row>
    <row r="8" spans="1:14" s="15" customFormat="1" ht="20.25" customHeight="1" x14ac:dyDescent="0.15">
      <c r="A8" s="60" t="s">
        <v>1616</v>
      </c>
      <c r="B8" s="9" t="s">
        <v>268</v>
      </c>
      <c r="C8" s="58" t="s">
        <v>29</v>
      </c>
      <c r="D8" s="11" t="s">
        <v>1457</v>
      </c>
      <c r="E8" s="10">
        <v>24</v>
      </c>
      <c r="F8" s="58" t="s">
        <v>11</v>
      </c>
      <c r="G8" s="12">
        <v>900</v>
      </c>
      <c r="H8" s="12">
        <v>340</v>
      </c>
      <c r="I8" s="17" t="s">
        <v>337</v>
      </c>
      <c r="J8" s="18">
        <v>2</v>
      </c>
      <c r="K8" s="19">
        <f>+M8*N8</f>
        <v>15.0282</v>
      </c>
      <c r="L8" s="14"/>
      <c r="M8" s="15">
        <v>1.38</v>
      </c>
      <c r="N8" s="15">
        <v>10.89</v>
      </c>
    </row>
    <row r="9" spans="1:14" s="15" customFormat="1" ht="20.25" customHeight="1" x14ac:dyDescent="0.15">
      <c r="A9" s="60" t="s">
        <v>1617</v>
      </c>
      <c r="B9" s="9" t="s">
        <v>322</v>
      </c>
      <c r="C9" s="58" t="s">
        <v>273</v>
      </c>
      <c r="D9" s="11" t="s">
        <v>1618</v>
      </c>
      <c r="E9" s="10">
        <v>16</v>
      </c>
      <c r="F9" s="58"/>
      <c r="G9" s="12">
        <v>601</v>
      </c>
      <c r="H9" s="12">
        <v>1878</v>
      </c>
      <c r="I9" s="17">
        <v>2</v>
      </c>
      <c r="J9" s="18">
        <v>2</v>
      </c>
      <c r="K9" s="19">
        <f t="shared" ref="K9:K23" si="0">+M9*N9</f>
        <v>24.6114</v>
      </c>
      <c r="L9" s="14"/>
      <c r="M9" s="15">
        <v>2.2599999999999998</v>
      </c>
      <c r="N9" s="15">
        <v>10.89</v>
      </c>
    </row>
    <row r="10" spans="1:14" s="15" customFormat="1" ht="20.25" customHeight="1" x14ac:dyDescent="0.15">
      <c r="A10" s="60" t="s">
        <v>1619</v>
      </c>
      <c r="B10" s="9" t="s">
        <v>1620</v>
      </c>
      <c r="C10" s="58" t="s">
        <v>231</v>
      </c>
      <c r="D10" s="11" t="s">
        <v>1621</v>
      </c>
      <c r="E10" s="10">
        <v>22</v>
      </c>
      <c r="F10" s="58"/>
      <c r="G10" s="12">
        <v>855</v>
      </c>
      <c r="H10" s="12">
        <v>1870</v>
      </c>
      <c r="I10" s="17">
        <v>1</v>
      </c>
      <c r="J10" s="18">
        <v>1</v>
      </c>
      <c r="K10" s="19">
        <f t="shared" si="0"/>
        <v>17.424000000000003</v>
      </c>
      <c r="L10" s="14"/>
      <c r="M10" s="15">
        <v>1.6</v>
      </c>
      <c r="N10" s="15">
        <v>10.89</v>
      </c>
    </row>
    <row r="11" spans="1:14" s="15" customFormat="1" ht="20.25" customHeight="1" x14ac:dyDescent="0.15">
      <c r="A11" s="60" t="s">
        <v>1622</v>
      </c>
      <c r="B11" s="9" t="s">
        <v>1623</v>
      </c>
      <c r="C11" s="58" t="s">
        <v>29</v>
      </c>
      <c r="D11" s="11" t="s">
        <v>1581</v>
      </c>
      <c r="E11" s="10">
        <v>22</v>
      </c>
      <c r="F11" s="58"/>
      <c r="G11" s="12">
        <v>1545</v>
      </c>
      <c r="H11" s="12">
        <v>1973</v>
      </c>
      <c r="I11" s="17" t="s">
        <v>1624</v>
      </c>
      <c r="J11" s="18">
        <v>416</v>
      </c>
      <c r="K11" s="19">
        <f t="shared" si="0"/>
        <v>8653.1940000000013</v>
      </c>
      <c r="L11" s="14"/>
      <c r="M11" s="15">
        <v>794.6</v>
      </c>
      <c r="N11" s="15">
        <v>10.89</v>
      </c>
    </row>
    <row r="12" spans="1:14" s="15" customFormat="1" ht="20.25" customHeight="1" x14ac:dyDescent="0.15">
      <c r="A12" s="60" t="s">
        <v>1379</v>
      </c>
      <c r="B12" s="9" t="s">
        <v>1465</v>
      </c>
      <c r="C12" s="58" t="s">
        <v>29</v>
      </c>
      <c r="D12" s="11" t="s">
        <v>1466</v>
      </c>
      <c r="E12" s="10">
        <v>24</v>
      </c>
      <c r="F12" s="58"/>
      <c r="G12" s="12">
        <v>775</v>
      </c>
      <c r="H12" s="12">
        <v>1890</v>
      </c>
      <c r="I12" s="17">
        <v>1</v>
      </c>
      <c r="J12" s="18">
        <v>1</v>
      </c>
      <c r="K12" s="19">
        <f t="shared" si="0"/>
        <v>15.8994</v>
      </c>
      <c r="L12" s="14"/>
      <c r="M12" s="15">
        <v>1.46</v>
      </c>
      <c r="N12" s="15">
        <v>10.89</v>
      </c>
    </row>
    <row r="13" spans="1:14" s="15" customFormat="1" ht="20.25" customHeight="1" x14ac:dyDescent="0.15">
      <c r="A13" s="60" t="s">
        <v>1587</v>
      </c>
      <c r="B13" s="9" t="s">
        <v>1435</v>
      </c>
      <c r="C13" s="58" t="s">
        <v>29</v>
      </c>
      <c r="D13" s="11" t="s">
        <v>1436</v>
      </c>
      <c r="E13" s="10">
        <v>22</v>
      </c>
      <c r="F13" s="58"/>
      <c r="G13" s="12">
        <v>804</v>
      </c>
      <c r="H13" s="12">
        <v>1217</v>
      </c>
      <c r="I13" s="17" t="s">
        <v>1625</v>
      </c>
      <c r="J13" s="18">
        <v>53</v>
      </c>
      <c r="K13" s="19">
        <f t="shared" si="0"/>
        <v>462.38940000000002</v>
      </c>
      <c r="L13" s="14"/>
      <c r="M13" s="15">
        <v>42.46</v>
      </c>
      <c r="N13" s="15">
        <v>10.89</v>
      </c>
    </row>
    <row r="14" spans="1:14" s="15" customFormat="1" ht="20.25" customHeight="1" x14ac:dyDescent="0.15">
      <c r="A14" s="60" t="s">
        <v>1626</v>
      </c>
      <c r="B14" s="9" t="s">
        <v>1627</v>
      </c>
      <c r="C14" s="58" t="s">
        <v>231</v>
      </c>
      <c r="D14" s="11" t="s">
        <v>1583</v>
      </c>
      <c r="E14" s="10">
        <v>22</v>
      </c>
      <c r="F14" s="58"/>
      <c r="G14" s="12">
        <v>625</v>
      </c>
      <c r="H14" s="12">
        <v>2253</v>
      </c>
      <c r="I14" s="17" t="s">
        <v>218</v>
      </c>
      <c r="J14" s="18">
        <v>3</v>
      </c>
      <c r="K14" s="19">
        <f t="shared" si="0"/>
        <v>67.844700000000003</v>
      </c>
      <c r="L14" s="20"/>
      <c r="M14" s="15">
        <v>6.23</v>
      </c>
      <c r="N14" s="15">
        <v>10.89</v>
      </c>
    </row>
    <row r="15" spans="1:14" s="15" customFormat="1" ht="20.25" customHeight="1" x14ac:dyDescent="0.15">
      <c r="A15" s="60"/>
      <c r="B15" s="9"/>
      <c r="C15" s="58" t="s">
        <v>231</v>
      </c>
      <c r="D15" s="11" t="s">
        <v>1628</v>
      </c>
      <c r="E15" s="10">
        <v>25.76</v>
      </c>
      <c r="F15" s="58"/>
      <c r="G15" s="12">
        <v>1669</v>
      </c>
      <c r="H15" s="12">
        <v>884</v>
      </c>
      <c r="I15" s="17" t="s">
        <v>337</v>
      </c>
      <c r="J15" s="18">
        <v>2</v>
      </c>
      <c r="K15" s="19">
        <f t="shared" si="0"/>
        <v>23.8491</v>
      </c>
      <c r="L15" s="20"/>
      <c r="M15" s="15">
        <v>2.19</v>
      </c>
      <c r="N15" s="15">
        <v>10.89</v>
      </c>
    </row>
    <row r="16" spans="1:14" s="15" customFormat="1" ht="20.25" customHeight="1" x14ac:dyDescent="0.15">
      <c r="A16" s="60"/>
      <c r="B16" s="9"/>
      <c r="C16" s="58"/>
      <c r="D16" s="11"/>
      <c r="E16" s="10"/>
      <c r="F16" s="58"/>
      <c r="G16" s="12"/>
      <c r="H16" s="12"/>
      <c r="I16" s="17"/>
      <c r="J16" s="18"/>
      <c r="K16" s="19">
        <f t="shared" si="0"/>
        <v>0</v>
      </c>
      <c r="L16" s="20"/>
      <c r="N16" s="15">
        <v>10.89</v>
      </c>
    </row>
    <row r="17" spans="1:14" s="15" customFormat="1" ht="20.25" customHeight="1" x14ac:dyDescent="0.15">
      <c r="A17" s="60"/>
      <c r="B17" s="9"/>
      <c r="C17" s="58"/>
      <c r="D17" s="11"/>
      <c r="E17" s="10"/>
      <c r="F17" s="58"/>
      <c r="G17" s="12"/>
      <c r="H17" s="12"/>
      <c r="I17" s="17"/>
      <c r="J17" s="18"/>
      <c r="K17" s="19">
        <f t="shared" si="0"/>
        <v>0</v>
      </c>
      <c r="L17" s="20"/>
      <c r="N17" s="15">
        <v>10.89</v>
      </c>
    </row>
    <row r="18" spans="1:14" s="15" customFormat="1" ht="20.25" customHeight="1" x14ac:dyDescent="0.15">
      <c r="A18" s="60"/>
      <c r="B18" s="9"/>
      <c r="C18" s="58"/>
      <c r="D18" s="11"/>
      <c r="E18" s="10"/>
      <c r="F18" s="58"/>
      <c r="G18" s="12"/>
      <c r="H18" s="12"/>
      <c r="I18" s="17"/>
      <c r="J18" s="18"/>
      <c r="K18" s="19">
        <f t="shared" si="0"/>
        <v>0</v>
      </c>
      <c r="L18" s="20"/>
      <c r="N18" s="15">
        <v>10.89</v>
      </c>
    </row>
    <row r="19" spans="1:14" s="15" customFormat="1" ht="20.25" customHeight="1" x14ac:dyDescent="0.15">
      <c r="A19" s="60"/>
      <c r="B19" s="9"/>
      <c r="C19" s="58"/>
      <c r="D19" s="11"/>
      <c r="E19" s="10"/>
      <c r="F19" s="58"/>
      <c r="G19" s="12"/>
      <c r="H19" s="12"/>
      <c r="I19" s="17"/>
      <c r="J19" s="18"/>
      <c r="K19" s="19">
        <f t="shared" si="0"/>
        <v>0</v>
      </c>
      <c r="L19" s="20"/>
      <c r="N19" s="15">
        <v>10.89</v>
      </c>
    </row>
    <row r="20" spans="1:14" s="15" customFormat="1" ht="20.25" customHeight="1" x14ac:dyDescent="0.15">
      <c r="A20" s="60"/>
      <c r="B20" s="9"/>
      <c r="C20" s="58"/>
      <c r="D20" s="11"/>
      <c r="E20" s="10"/>
      <c r="F20" s="58"/>
      <c r="G20" s="12"/>
      <c r="H20" s="12"/>
      <c r="I20" s="17"/>
      <c r="J20" s="18"/>
      <c r="K20" s="19">
        <f t="shared" si="0"/>
        <v>0</v>
      </c>
      <c r="L20" s="20"/>
      <c r="N20" s="15">
        <v>10.89</v>
      </c>
    </row>
    <row r="21" spans="1:14" s="15" customFormat="1" ht="20.25" customHeight="1" x14ac:dyDescent="0.15">
      <c r="A21" s="60"/>
      <c r="B21" s="9"/>
      <c r="C21" s="58"/>
      <c r="D21" s="11"/>
      <c r="E21" s="10"/>
      <c r="F21" s="58"/>
      <c r="G21" s="50"/>
      <c r="H21" s="50"/>
      <c r="I21" s="17"/>
      <c r="J21" s="18"/>
      <c r="K21" s="19">
        <f t="shared" si="0"/>
        <v>0</v>
      </c>
      <c r="L21" s="20"/>
      <c r="N21" s="15">
        <v>10.89</v>
      </c>
    </row>
    <row r="22" spans="1:14" s="15" customFormat="1" ht="20.25" customHeight="1" x14ac:dyDescent="0.15">
      <c r="A22" s="60"/>
      <c r="B22" s="9"/>
      <c r="C22" s="58"/>
      <c r="D22" s="11"/>
      <c r="E22" s="10"/>
      <c r="F22" s="58"/>
      <c r="G22" s="50"/>
      <c r="H22" s="50"/>
      <c r="I22" s="17"/>
      <c r="J22" s="18"/>
      <c r="K22" s="19">
        <f t="shared" si="0"/>
        <v>0</v>
      </c>
      <c r="L22" s="20"/>
      <c r="N22" s="15">
        <v>10.89</v>
      </c>
    </row>
    <row r="23" spans="1:14" ht="20.25" customHeight="1" x14ac:dyDescent="0.15">
      <c r="A23" s="60"/>
      <c r="B23" s="9"/>
      <c r="C23" s="58"/>
      <c r="D23" s="11"/>
      <c r="E23" s="10"/>
      <c r="F23" s="58"/>
      <c r="G23" s="16"/>
      <c r="H23" s="16"/>
      <c r="I23" s="17"/>
      <c r="J23" s="18"/>
      <c r="K23" s="19">
        <f t="shared" si="0"/>
        <v>0</v>
      </c>
      <c r="L23" s="20"/>
      <c r="N23" s="15">
        <v>10.89</v>
      </c>
    </row>
    <row r="24" spans="1:14" ht="20.25" customHeight="1" thickBot="1" x14ac:dyDescent="0.2">
      <c r="A24" s="56"/>
      <c r="B24" s="21"/>
      <c r="C24" s="59"/>
      <c r="D24" s="22"/>
      <c r="E24" s="23"/>
      <c r="F24" s="23"/>
      <c r="G24" s="24"/>
      <c r="H24" s="24"/>
      <c r="I24" s="25"/>
      <c r="J24" s="46">
        <f>SUM(J8:J23)</f>
        <v>480</v>
      </c>
      <c r="K24" s="47">
        <f>SUM(K8:K23)</f>
        <v>9280.2402000000002</v>
      </c>
      <c r="L24" s="26"/>
    </row>
    <row r="25" spans="1:14" ht="20.25" customHeight="1" thickTop="1" x14ac:dyDescent="0.15">
      <c r="A25" s="60" t="s">
        <v>1629</v>
      </c>
      <c r="B25" s="9" t="s">
        <v>1630</v>
      </c>
      <c r="C25" s="58" t="s">
        <v>29</v>
      </c>
      <c r="D25" s="11" t="s">
        <v>1572</v>
      </c>
      <c r="E25" s="10">
        <v>24</v>
      </c>
      <c r="F25" s="58" t="s">
        <v>11</v>
      </c>
      <c r="G25" s="12">
        <v>1035</v>
      </c>
      <c r="H25" s="12">
        <v>2415</v>
      </c>
      <c r="I25" s="17" t="s">
        <v>385</v>
      </c>
      <c r="J25" s="18">
        <v>6</v>
      </c>
      <c r="K25" s="19">
        <f t="shared" ref="K25:K40" si="1">+M25*N25</f>
        <v>72.091800000000006</v>
      </c>
      <c r="L25" s="54"/>
      <c r="M25" s="3">
        <v>6.62</v>
      </c>
      <c r="N25" s="15">
        <v>10.89</v>
      </c>
    </row>
    <row r="26" spans="1:14" ht="20.25" customHeight="1" x14ac:dyDescent="0.15">
      <c r="A26" s="60" t="s">
        <v>1631</v>
      </c>
      <c r="B26" s="9" t="s">
        <v>1496</v>
      </c>
      <c r="C26" s="58" t="s">
        <v>29</v>
      </c>
      <c r="D26" s="11" t="s">
        <v>1494</v>
      </c>
      <c r="E26" s="10">
        <v>28</v>
      </c>
      <c r="F26" s="58" t="s">
        <v>11</v>
      </c>
      <c r="G26" s="12">
        <v>950</v>
      </c>
      <c r="H26" s="12">
        <v>1885</v>
      </c>
      <c r="I26" s="17" t="s">
        <v>1632</v>
      </c>
      <c r="J26" s="18">
        <v>187</v>
      </c>
      <c r="K26" s="19">
        <f t="shared" si="1"/>
        <v>2358.3384000000001</v>
      </c>
      <c r="L26" s="54"/>
      <c r="M26" s="3">
        <v>216.56</v>
      </c>
      <c r="N26" s="15">
        <v>10.89</v>
      </c>
    </row>
    <row r="27" spans="1:14" ht="20.25" customHeight="1" x14ac:dyDescent="0.15">
      <c r="A27" s="61" t="s">
        <v>1633</v>
      </c>
      <c r="B27" s="9" t="s">
        <v>1441</v>
      </c>
      <c r="C27" s="58" t="s">
        <v>29</v>
      </c>
      <c r="D27" s="11" t="s">
        <v>1553</v>
      </c>
      <c r="E27" s="10">
        <v>28</v>
      </c>
      <c r="F27" s="58" t="s">
        <v>11</v>
      </c>
      <c r="G27" s="12">
        <v>1280</v>
      </c>
      <c r="H27" s="12">
        <v>3305</v>
      </c>
      <c r="I27" s="17" t="s">
        <v>366</v>
      </c>
      <c r="J27" s="18">
        <v>4</v>
      </c>
      <c r="K27" s="19">
        <f t="shared" si="1"/>
        <v>200.15819999999999</v>
      </c>
      <c r="L27" s="54"/>
      <c r="M27" s="3">
        <v>18.38</v>
      </c>
      <c r="N27" s="15">
        <v>10.89</v>
      </c>
    </row>
    <row r="28" spans="1:14" ht="20.25" customHeight="1" x14ac:dyDescent="0.15">
      <c r="A28" s="61"/>
      <c r="B28" s="9"/>
      <c r="C28" s="58" t="s">
        <v>29</v>
      </c>
      <c r="D28" s="11" t="s">
        <v>1554</v>
      </c>
      <c r="E28" s="10">
        <v>28</v>
      </c>
      <c r="F28" s="58" t="s">
        <v>11</v>
      </c>
      <c r="G28" s="12">
        <v>1845</v>
      </c>
      <c r="H28" s="12">
        <v>3305</v>
      </c>
      <c r="I28" s="17" t="s">
        <v>1634</v>
      </c>
      <c r="J28" s="18">
        <v>12</v>
      </c>
      <c r="K28" s="19">
        <f t="shared" si="1"/>
        <v>773.19</v>
      </c>
      <c r="L28" s="54"/>
      <c r="M28" s="3">
        <v>71</v>
      </c>
      <c r="N28" s="15">
        <v>10.89</v>
      </c>
    </row>
    <row r="29" spans="1:14" ht="20.25" customHeight="1" x14ac:dyDescent="0.15">
      <c r="A29" s="61"/>
      <c r="B29" s="9"/>
      <c r="C29" s="58" t="s">
        <v>29</v>
      </c>
      <c r="D29" s="11" t="s">
        <v>1555</v>
      </c>
      <c r="E29" s="10">
        <v>26</v>
      </c>
      <c r="F29" s="58" t="s">
        <v>11</v>
      </c>
      <c r="G29" s="12">
        <v>1840</v>
      </c>
      <c r="H29" s="12">
        <v>3305</v>
      </c>
      <c r="I29" s="17" t="s">
        <v>337</v>
      </c>
      <c r="J29" s="18">
        <v>2</v>
      </c>
      <c r="K29" s="19">
        <f t="shared" si="1"/>
        <v>132.42240000000001</v>
      </c>
      <c r="L29" s="54"/>
      <c r="M29" s="3">
        <v>12.16</v>
      </c>
      <c r="N29" s="15">
        <v>10.89</v>
      </c>
    </row>
    <row r="30" spans="1:14" ht="20.25" customHeight="1" x14ac:dyDescent="0.15">
      <c r="A30" s="61" t="s">
        <v>1635</v>
      </c>
      <c r="B30" s="9" t="s">
        <v>1479</v>
      </c>
      <c r="C30" s="58" t="s">
        <v>29</v>
      </c>
      <c r="D30" s="11" t="s">
        <v>1480</v>
      </c>
      <c r="E30" s="10">
        <v>24</v>
      </c>
      <c r="F30" s="58" t="s">
        <v>11</v>
      </c>
      <c r="G30" s="12">
        <v>915</v>
      </c>
      <c r="H30" s="12">
        <v>1945</v>
      </c>
      <c r="I30" s="51" t="s">
        <v>1636</v>
      </c>
      <c r="J30" s="52">
        <v>31</v>
      </c>
      <c r="K30" s="53">
        <f t="shared" si="1"/>
        <v>226.83869999999999</v>
      </c>
      <c r="L30" s="54"/>
      <c r="M30" s="3">
        <v>20.83</v>
      </c>
      <c r="N30" s="15">
        <v>10.89</v>
      </c>
    </row>
    <row r="31" spans="1:14" ht="20.25" customHeight="1" x14ac:dyDescent="0.15">
      <c r="A31" s="61" t="s">
        <v>1523</v>
      </c>
      <c r="B31" s="9" t="s">
        <v>1435</v>
      </c>
      <c r="C31" s="58" t="s">
        <v>29</v>
      </c>
      <c r="D31" s="11" t="s">
        <v>1637</v>
      </c>
      <c r="E31" s="10">
        <v>22</v>
      </c>
      <c r="F31" s="58"/>
      <c r="G31" s="12">
        <v>1440</v>
      </c>
      <c r="H31" s="12">
        <v>1238</v>
      </c>
      <c r="I31" s="51" t="s">
        <v>857</v>
      </c>
      <c r="J31" s="52">
        <v>18</v>
      </c>
      <c r="K31" s="53">
        <f t="shared" si="1"/>
        <v>215.62200000000001</v>
      </c>
      <c r="L31" s="54"/>
      <c r="M31" s="3">
        <v>19.8</v>
      </c>
      <c r="N31" s="15">
        <v>10.89</v>
      </c>
    </row>
    <row r="32" spans="1:14" ht="20.25" customHeight="1" x14ac:dyDescent="0.15">
      <c r="A32" s="60"/>
      <c r="B32" s="9"/>
      <c r="C32" s="58" t="s">
        <v>29</v>
      </c>
      <c r="D32" s="11" t="s">
        <v>1638</v>
      </c>
      <c r="E32" s="10">
        <v>46.76</v>
      </c>
      <c r="F32" s="58" t="s">
        <v>11</v>
      </c>
      <c r="G32" s="12">
        <v>886</v>
      </c>
      <c r="H32" s="12">
        <v>508</v>
      </c>
      <c r="I32" s="17">
        <v>6</v>
      </c>
      <c r="J32" s="18">
        <v>6</v>
      </c>
      <c r="K32" s="19">
        <f t="shared" si="1"/>
        <v>29.403000000000002</v>
      </c>
      <c r="L32" s="27"/>
      <c r="M32" s="3">
        <v>2.7</v>
      </c>
      <c r="N32" s="15">
        <v>10.89</v>
      </c>
    </row>
    <row r="33" spans="1:17" ht="20.25" customHeight="1" x14ac:dyDescent="0.15">
      <c r="A33" s="60" t="s">
        <v>1508</v>
      </c>
      <c r="B33" s="9" t="s">
        <v>1435</v>
      </c>
      <c r="C33" s="58" t="s">
        <v>29</v>
      </c>
      <c r="D33" s="11" t="s">
        <v>1637</v>
      </c>
      <c r="E33" s="10">
        <v>22</v>
      </c>
      <c r="F33" s="58"/>
      <c r="G33" s="12">
        <v>1665</v>
      </c>
      <c r="H33" s="12">
        <v>1238</v>
      </c>
      <c r="I33" s="17" t="s">
        <v>1188</v>
      </c>
      <c r="J33" s="18">
        <v>12</v>
      </c>
      <c r="K33" s="19">
        <f t="shared" si="1"/>
        <v>184.25880000000004</v>
      </c>
      <c r="L33" s="27"/>
      <c r="M33" s="3">
        <v>16.920000000000002</v>
      </c>
      <c r="N33" s="15">
        <v>10.89</v>
      </c>
    </row>
    <row r="34" spans="1:17" ht="20.25" customHeight="1" x14ac:dyDescent="0.15">
      <c r="A34" s="60"/>
      <c r="B34" s="9"/>
      <c r="C34" s="58" t="s">
        <v>29</v>
      </c>
      <c r="D34" s="11" t="s">
        <v>1638</v>
      </c>
      <c r="E34" s="10">
        <v>46.76</v>
      </c>
      <c r="F34" s="58" t="s">
        <v>11</v>
      </c>
      <c r="G34" s="12">
        <v>886</v>
      </c>
      <c r="H34" s="12">
        <v>508</v>
      </c>
      <c r="I34" s="17">
        <v>6</v>
      </c>
      <c r="J34" s="18">
        <v>6</v>
      </c>
      <c r="K34" s="19">
        <f t="shared" si="1"/>
        <v>29.403000000000002</v>
      </c>
      <c r="L34" s="27"/>
      <c r="M34" s="3">
        <v>2.7</v>
      </c>
      <c r="N34" s="15">
        <v>10.89</v>
      </c>
    </row>
    <row r="35" spans="1:17" ht="20.25" customHeight="1" x14ac:dyDescent="0.15">
      <c r="A35" s="60" t="s">
        <v>1438</v>
      </c>
      <c r="B35" s="9" t="s">
        <v>1435</v>
      </c>
      <c r="C35" s="58" t="s">
        <v>29</v>
      </c>
      <c r="D35" s="11" t="s">
        <v>1637</v>
      </c>
      <c r="E35" s="10">
        <v>22</v>
      </c>
      <c r="F35" s="58"/>
      <c r="G35" s="12">
        <v>1665</v>
      </c>
      <c r="H35" s="12">
        <v>1238</v>
      </c>
      <c r="I35" s="17" t="s">
        <v>1317</v>
      </c>
      <c r="J35" s="18">
        <v>24</v>
      </c>
      <c r="K35" s="19">
        <f t="shared" si="1"/>
        <v>368.51760000000007</v>
      </c>
      <c r="L35" s="27"/>
      <c r="M35" s="3">
        <v>33.840000000000003</v>
      </c>
      <c r="N35" s="15">
        <v>10.89</v>
      </c>
    </row>
    <row r="36" spans="1:17" ht="20.25" customHeight="1" x14ac:dyDescent="0.15">
      <c r="A36" s="60"/>
      <c r="B36" s="9"/>
      <c r="C36" s="58" t="s">
        <v>29</v>
      </c>
      <c r="D36" s="11" t="s">
        <v>1638</v>
      </c>
      <c r="E36" s="10">
        <v>46.76</v>
      </c>
      <c r="F36" s="58" t="s">
        <v>11</v>
      </c>
      <c r="G36" s="12">
        <v>786</v>
      </c>
      <c r="H36" s="12">
        <v>508</v>
      </c>
      <c r="I36" s="17">
        <v>12</v>
      </c>
      <c r="J36" s="18">
        <v>12</v>
      </c>
      <c r="K36" s="19">
        <f t="shared" si="1"/>
        <v>52.271999999999998</v>
      </c>
      <c r="L36" s="27"/>
      <c r="M36" s="3">
        <v>4.8</v>
      </c>
      <c r="N36" s="15">
        <v>10.89</v>
      </c>
    </row>
    <row r="37" spans="1:17" ht="20.25" customHeight="1" x14ac:dyDescent="0.15">
      <c r="A37" s="60" t="s">
        <v>1434</v>
      </c>
      <c r="B37" s="9" t="s">
        <v>1435</v>
      </c>
      <c r="C37" s="58" t="s">
        <v>29</v>
      </c>
      <c r="D37" s="11" t="s">
        <v>1637</v>
      </c>
      <c r="E37" s="10">
        <v>22</v>
      </c>
      <c r="F37" s="58"/>
      <c r="G37" s="12">
        <v>1440</v>
      </c>
      <c r="H37" s="12">
        <v>1238</v>
      </c>
      <c r="I37" s="17" t="s">
        <v>857</v>
      </c>
      <c r="J37" s="18">
        <v>18</v>
      </c>
      <c r="K37" s="19">
        <f t="shared" si="1"/>
        <v>215.62200000000001</v>
      </c>
      <c r="L37" s="27"/>
      <c r="M37" s="3">
        <v>19.8</v>
      </c>
      <c r="N37" s="15">
        <v>10.89</v>
      </c>
    </row>
    <row r="38" spans="1:17" ht="20.25" customHeight="1" x14ac:dyDescent="0.15">
      <c r="A38" s="60"/>
      <c r="B38" s="9"/>
      <c r="C38" s="58" t="s">
        <v>29</v>
      </c>
      <c r="D38" s="11" t="s">
        <v>1638</v>
      </c>
      <c r="E38" s="10">
        <v>46.76</v>
      </c>
      <c r="F38" s="58" t="s">
        <v>11</v>
      </c>
      <c r="G38" s="12">
        <v>886</v>
      </c>
      <c r="H38" s="12">
        <v>508</v>
      </c>
      <c r="I38" s="17">
        <v>6</v>
      </c>
      <c r="J38" s="18">
        <v>6</v>
      </c>
      <c r="K38" s="19">
        <f t="shared" si="1"/>
        <v>29.403000000000002</v>
      </c>
      <c r="L38" s="27"/>
      <c r="M38" s="3">
        <v>2.7</v>
      </c>
      <c r="N38" s="15">
        <v>10.89</v>
      </c>
    </row>
    <row r="39" spans="1:17" ht="20.25" customHeight="1" x14ac:dyDescent="0.15">
      <c r="A39" s="60" t="s">
        <v>1639</v>
      </c>
      <c r="B39" s="9" t="s">
        <v>1479</v>
      </c>
      <c r="C39" s="58" t="s">
        <v>29</v>
      </c>
      <c r="D39" s="11" t="s">
        <v>1640</v>
      </c>
      <c r="E39" s="10">
        <v>24</v>
      </c>
      <c r="F39" s="58" t="s">
        <v>11</v>
      </c>
      <c r="G39" s="12">
        <v>728</v>
      </c>
      <c r="H39" s="12">
        <v>2110</v>
      </c>
      <c r="I39" s="17" t="s">
        <v>832</v>
      </c>
      <c r="J39" s="18">
        <v>24</v>
      </c>
      <c r="K39" s="19">
        <f t="shared" si="1"/>
        <v>259.18200000000002</v>
      </c>
      <c r="L39" s="27"/>
      <c r="M39" s="3">
        <v>23.8</v>
      </c>
      <c r="N39" s="15">
        <v>10.89</v>
      </c>
      <c r="Q39" s="65"/>
    </row>
    <row r="40" spans="1:17" ht="20.25" customHeight="1" x14ac:dyDescent="0.15">
      <c r="A40" s="60" t="s">
        <v>1591</v>
      </c>
      <c r="B40" s="9" t="s">
        <v>1447</v>
      </c>
      <c r="C40" s="58" t="s">
        <v>29</v>
      </c>
      <c r="D40" s="11" t="s">
        <v>1448</v>
      </c>
      <c r="E40" s="10">
        <v>26</v>
      </c>
      <c r="F40" s="58" t="s">
        <v>11</v>
      </c>
      <c r="G40" s="12">
        <v>1040</v>
      </c>
      <c r="H40" s="12">
        <v>1035</v>
      </c>
      <c r="I40" s="17" t="s">
        <v>657</v>
      </c>
      <c r="J40" s="18">
        <v>9</v>
      </c>
      <c r="K40" s="19">
        <f t="shared" si="1"/>
        <v>56.628000000000007</v>
      </c>
      <c r="L40" s="27"/>
      <c r="M40" s="3">
        <v>5.2</v>
      </c>
      <c r="N40" s="15">
        <v>10.89</v>
      </c>
    </row>
    <row r="41" spans="1:17" ht="20.25" customHeight="1" x14ac:dyDescent="0.15">
      <c r="A41" s="57"/>
      <c r="B41" s="28"/>
      <c r="C41" s="58"/>
      <c r="D41" s="29"/>
      <c r="E41" s="30"/>
      <c r="F41" s="30"/>
      <c r="G41" s="30"/>
      <c r="H41" s="30"/>
      <c r="I41" s="13"/>
      <c r="J41" s="48">
        <f>SUM(J25:J40)</f>
        <v>377</v>
      </c>
      <c r="K41" s="49">
        <f>SUM(K25:K40)</f>
        <v>5203.3508999999995</v>
      </c>
      <c r="L41" s="31"/>
      <c r="N41" s="32"/>
    </row>
    <row r="42" spans="1:17" ht="20.25" customHeight="1" thickBot="1" x14ac:dyDescent="0.2">
      <c r="A42" s="55"/>
      <c r="B42" s="33"/>
      <c r="C42" s="33"/>
      <c r="D42" s="33"/>
      <c r="E42" s="33"/>
      <c r="F42" s="33"/>
      <c r="G42" s="33"/>
      <c r="H42" s="33"/>
      <c r="I42" s="33"/>
      <c r="J42" s="34"/>
      <c r="K42" s="35"/>
      <c r="L42" s="36"/>
    </row>
    <row r="43" spans="1:17" ht="20.25" customHeight="1" thickBot="1" x14ac:dyDescent="0.2">
      <c r="A43" s="37" t="s">
        <v>19</v>
      </c>
      <c r="B43" s="38" t="s">
        <v>20</v>
      </c>
      <c r="C43" s="77" t="s">
        <v>21</v>
      </c>
      <c r="D43" s="79"/>
      <c r="E43" s="77" t="s">
        <v>22</v>
      </c>
      <c r="F43" s="78"/>
      <c r="G43" s="79"/>
      <c r="H43" s="85" t="s">
        <v>23</v>
      </c>
      <c r="I43" s="86"/>
      <c r="J43" s="77" t="s">
        <v>24</v>
      </c>
      <c r="K43" s="79"/>
      <c r="L43" s="39" t="s">
        <v>13</v>
      </c>
    </row>
    <row r="44" spans="1:17" ht="20.25" customHeight="1" thickBot="1" x14ac:dyDescent="0.2">
      <c r="A44" s="40">
        <f>SUMIF($C$8:$C$42,"U1",$J$8:$J$42)</f>
        <v>2</v>
      </c>
      <c r="B44" s="41">
        <f>SUMIF($C$8:$C$42,"U2",$J$8:$J$42)</f>
        <v>6</v>
      </c>
      <c r="C44" s="77">
        <f>SUMIF($C$8:$C$42,"U3-1",$J$8:$J$42)</f>
        <v>0</v>
      </c>
      <c r="D44" s="79"/>
      <c r="E44" s="77">
        <f>SUMIF($C$8:$C$42,"U3",$J$8:$J$42)</f>
        <v>849</v>
      </c>
      <c r="F44" s="78"/>
      <c r="G44" s="79"/>
      <c r="H44" s="77">
        <f>SUMIF($C$8:$C$42,"E5",$J$8:$J$42)</f>
        <v>0</v>
      </c>
      <c r="I44" s="79"/>
      <c r="J44" s="77">
        <f>SUM(A44:I44)</f>
        <v>857</v>
      </c>
      <c r="K44" s="79"/>
      <c r="L44" s="42"/>
    </row>
    <row r="45" spans="1:17" ht="20.25" customHeight="1" thickBot="1" x14ac:dyDescent="0.2">
      <c r="A45" s="43" t="s">
        <v>25</v>
      </c>
      <c r="B45" s="44" t="s">
        <v>26</v>
      </c>
      <c r="C45" s="75">
        <v>13876</v>
      </c>
      <c r="D45" s="76"/>
      <c r="E45" s="77" t="s">
        <v>27</v>
      </c>
      <c r="F45" s="78"/>
      <c r="G45" s="78"/>
      <c r="H45" s="78"/>
      <c r="I45" s="79"/>
      <c r="J45" s="80">
        <v>146744.37</v>
      </c>
      <c r="K45" s="81"/>
      <c r="L45" s="82"/>
    </row>
    <row r="47" spans="1:17" x14ac:dyDescent="0.15">
      <c r="D47" s="45"/>
    </row>
  </sheetData>
  <mergeCells count="26">
    <mergeCell ref="C45:D45"/>
    <mergeCell ref="E45:I45"/>
    <mergeCell ref="J45:L45"/>
    <mergeCell ref="L6:L7"/>
    <mergeCell ref="C43:D43"/>
    <mergeCell ref="E43:G43"/>
    <mergeCell ref="H43:I43"/>
    <mergeCell ref="J43:K43"/>
    <mergeCell ref="C44:D44"/>
    <mergeCell ref="E44:G44"/>
    <mergeCell ref="H44:I44"/>
    <mergeCell ref="J44:K44"/>
    <mergeCell ref="B5:G5"/>
    <mergeCell ref="A6:A7"/>
    <mergeCell ref="B6:B7"/>
    <mergeCell ref="C6:C7"/>
    <mergeCell ref="D6:D7"/>
    <mergeCell ref="E6:E7"/>
    <mergeCell ref="F6:F7"/>
    <mergeCell ref="G6:K6"/>
    <mergeCell ref="L2:L4"/>
    <mergeCell ref="A1:G3"/>
    <mergeCell ref="H1:H4"/>
    <mergeCell ref="I2:I4"/>
    <mergeCell ref="J2:J4"/>
    <mergeCell ref="K2:K4"/>
  </mergeCells>
  <phoneticPr fontId="2" type="noConversion"/>
  <printOptions horizontalCentered="1"/>
  <pageMargins left="0.39370078740157483" right="0.39370078740157483" top="0.74803149606299213" bottom="0.19685039370078741" header="0.31496062992125984" footer="0.15748031496062992"/>
  <pageSetup paperSize="9" scale="84" orientation="portrait" r:id="rId1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7BA92B-C2EE-4518-8B0F-7D5F1E83990D}">
  <dimension ref="A1:Q47"/>
  <sheetViews>
    <sheetView view="pageBreakPreview" topLeftCell="A16" zoomScaleSheetLayoutView="100" workbookViewId="0">
      <selection activeCell="M8" sqref="M8"/>
    </sheetView>
  </sheetViews>
  <sheetFormatPr defaultColWidth="8.88671875" defaultRowHeight="13.5" x14ac:dyDescent="0.15"/>
  <cols>
    <col min="1" max="1" width="8.44140625" style="3" customWidth="1"/>
    <col min="2" max="2" width="14.77734375" style="3" customWidth="1"/>
    <col min="3" max="3" width="4.109375" style="3" customWidth="1"/>
    <col min="4" max="4" width="15.21875" style="3" customWidth="1"/>
    <col min="5" max="5" width="4.44140625" style="3" customWidth="1"/>
    <col min="6" max="6" width="4" style="3" customWidth="1"/>
    <col min="7" max="7" width="5.5546875" style="3" customWidth="1"/>
    <col min="8" max="8" width="5.44140625" style="3" customWidth="1"/>
    <col min="9" max="9" width="7.88671875" style="3" customWidth="1"/>
    <col min="10" max="10" width="7.109375" style="3" customWidth="1"/>
    <col min="11" max="11" width="7.21875" style="3" customWidth="1"/>
    <col min="12" max="12" width="6.77734375" style="3" customWidth="1"/>
    <col min="13" max="16384" width="8.88671875" style="3"/>
  </cols>
  <sheetData>
    <row r="1" spans="1:14" ht="18.75" customHeight="1" x14ac:dyDescent="0.15">
      <c r="A1" s="101" t="s">
        <v>0</v>
      </c>
      <c r="B1" s="102"/>
      <c r="C1" s="102"/>
      <c r="D1" s="102"/>
      <c r="E1" s="102"/>
      <c r="F1" s="102"/>
      <c r="G1" s="103"/>
      <c r="H1" s="107" t="s">
        <v>1</v>
      </c>
      <c r="I1" s="1" t="s">
        <v>2</v>
      </c>
      <c r="J1" s="1" t="s">
        <v>2</v>
      </c>
      <c r="K1" s="1" t="s">
        <v>3</v>
      </c>
      <c r="L1" s="2" t="s">
        <v>4</v>
      </c>
    </row>
    <row r="2" spans="1:14" ht="13.5" customHeight="1" x14ac:dyDescent="0.15">
      <c r="A2" s="104"/>
      <c r="B2" s="105"/>
      <c r="C2" s="105"/>
      <c r="D2" s="105"/>
      <c r="E2" s="105"/>
      <c r="F2" s="105"/>
      <c r="G2" s="106"/>
      <c r="H2" s="108"/>
      <c r="I2" s="110"/>
      <c r="J2" s="110"/>
      <c r="K2" s="110"/>
      <c r="L2" s="98"/>
    </row>
    <row r="3" spans="1:14" ht="13.5" customHeight="1" x14ac:dyDescent="0.15">
      <c r="A3" s="104"/>
      <c r="B3" s="105"/>
      <c r="C3" s="105"/>
      <c r="D3" s="105"/>
      <c r="E3" s="105"/>
      <c r="F3" s="105"/>
      <c r="G3" s="106"/>
      <c r="H3" s="108"/>
      <c r="I3" s="108"/>
      <c r="J3" s="108"/>
      <c r="K3" s="108"/>
      <c r="L3" s="99"/>
    </row>
    <row r="4" spans="1:14" ht="33" customHeight="1" x14ac:dyDescent="0.15">
      <c r="A4" s="4"/>
      <c r="B4" s="5"/>
      <c r="C4" s="5"/>
      <c r="D4" s="5"/>
      <c r="E4" s="5"/>
      <c r="F4" s="5"/>
      <c r="G4" s="5"/>
      <c r="H4" s="109"/>
      <c r="I4" s="109"/>
      <c r="J4" s="109"/>
      <c r="K4" s="109"/>
      <c r="L4" s="100"/>
    </row>
    <row r="5" spans="1:14" ht="17.25" customHeight="1" x14ac:dyDescent="0.15">
      <c r="A5" s="6" t="s">
        <v>5</v>
      </c>
      <c r="B5" s="87">
        <v>46108</v>
      </c>
      <c r="C5" s="88"/>
      <c r="D5" s="88"/>
      <c r="E5" s="88"/>
      <c r="F5" s="88"/>
      <c r="G5" s="88"/>
      <c r="H5" s="5"/>
      <c r="I5" s="5"/>
      <c r="J5" s="5"/>
      <c r="K5" s="5"/>
      <c r="L5" s="7"/>
    </row>
    <row r="6" spans="1:14" ht="13.5" customHeight="1" x14ac:dyDescent="0.15">
      <c r="A6" s="89" t="s">
        <v>6</v>
      </c>
      <c r="B6" s="91" t="s">
        <v>7</v>
      </c>
      <c r="C6" s="91" t="s">
        <v>8</v>
      </c>
      <c r="D6" s="91" t="s">
        <v>9</v>
      </c>
      <c r="E6" s="93" t="s">
        <v>10</v>
      </c>
      <c r="F6" s="93" t="s">
        <v>11</v>
      </c>
      <c r="G6" s="95" t="s">
        <v>12</v>
      </c>
      <c r="H6" s="96"/>
      <c r="I6" s="96"/>
      <c r="J6" s="96"/>
      <c r="K6" s="97"/>
      <c r="L6" s="83" t="s">
        <v>13</v>
      </c>
    </row>
    <row r="7" spans="1:14" x14ac:dyDescent="0.15">
      <c r="A7" s="90"/>
      <c r="B7" s="92"/>
      <c r="C7" s="92"/>
      <c r="D7" s="92"/>
      <c r="E7" s="94"/>
      <c r="F7" s="94"/>
      <c r="G7" s="8" t="s">
        <v>14</v>
      </c>
      <c r="H7" s="8" t="s">
        <v>15</v>
      </c>
      <c r="I7" s="8" t="s">
        <v>16</v>
      </c>
      <c r="J7" s="8" t="s">
        <v>17</v>
      </c>
      <c r="K7" s="8" t="s">
        <v>18</v>
      </c>
      <c r="L7" s="84"/>
    </row>
    <row r="8" spans="1:14" s="15" customFormat="1" ht="20.25" customHeight="1" x14ac:dyDescent="0.15">
      <c r="A8" s="60" t="s">
        <v>1641</v>
      </c>
      <c r="B8" s="9" t="s">
        <v>1642</v>
      </c>
      <c r="C8" s="58" t="s">
        <v>29</v>
      </c>
      <c r="D8" s="11" t="s">
        <v>1643</v>
      </c>
      <c r="E8" s="10">
        <v>22</v>
      </c>
      <c r="F8" s="58"/>
      <c r="G8" s="12">
        <v>759</v>
      </c>
      <c r="H8" s="12">
        <v>1973</v>
      </c>
      <c r="I8" s="17" t="s">
        <v>1644</v>
      </c>
      <c r="J8" s="18">
        <v>154</v>
      </c>
      <c r="K8" s="19">
        <f>+M8*N8</f>
        <v>2647.3589999999999</v>
      </c>
      <c r="L8" s="14"/>
      <c r="M8" s="15">
        <v>243.1</v>
      </c>
      <c r="N8" s="15">
        <v>10.89</v>
      </c>
    </row>
    <row r="9" spans="1:14" s="15" customFormat="1" ht="20.25" customHeight="1" x14ac:dyDescent="0.15">
      <c r="A9" s="60" t="s">
        <v>1645</v>
      </c>
      <c r="B9" s="9" t="s">
        <v>1646</v>
      </c>
      <c r="C9" s="58" t="s">
        <v>29</v>
      </c>
      <c r="D9" s="11" t="s">
        <v>1647</v>
      </c>
      <c r="E9" s="10">
        <v>24</v>
      </c>
      <c r="F9" s="58" t="s">
        <v>11</v>
      </c>
      <c r="G9" s="12">
        <v>875</v>
      </c>
      <c r="H9" s="12">
        <v>1310</v>
      </c>
      <c r="I9" s="17" t="s">
        <v>1648</v>
      </c>
      <c r="J9" s="18">
        <v>2</v>
      </c>
      <c r="K9" s="19">
        <f t="shared" ref="K9:K23" si="0">+M9*N9</f>
        <v>17.8596</v>
      </c>
      <c r="L9" s="14"/>
      <c r="M9" s="15">
        <v>1.64</v>
      </c>
      <c r="N9" s="15">
        <v>10.89</v>
      </c>
    </row>
    <row r="10" spans="1:14" s="15" customFormat="1" ht="20.25" customHeight="1" x14ac:dyDescent="0.15">
      <c r="A10" s="60" t="s">
        <v>1649</v>
      </c>
      <c r="B10" s="9" t="s">
        <v>1650</v>
      </c>
      <c r="C10" s="58" t="s">
        <v>29</v>
      </c>
      <c r="D10" s="11" t="s">
        <v>1651</v>
      </c>
      <c r="E10" s="10">
        <v>24</v>
      </c>
      <c r="F10" s="58" t="s">
        <v>11</v>
      </c>
      <c r="G10" s="12">
        <v>175</v>
      </c>
      <c r="H10" s="12">
        <v>2355</v>
      </c>
      <c r="I10" s="17" t="s">
        <v>1652</v>
      </c>
      <c r="J10" s="18">
        <v>11</v>
      </c>
      <c r="K10" s="19">
        <f t="shared" si="0"/>
        <v>93.000599999999991</v>
      </c>
      <c r="L10" s="14"/>
      <c r="M10" s="15">
        <v>8.5399999999999991</v>
      </c>
      <c r="N10" s="15">
        <v>10.89</v>
      </c>
    </row>
    <row r="11" spans="1:14" s="15" customFormat="1" ht="20.25" customHeight="1" x14ac:dyDescent="0.15">
      <c r="A11" s="60" t="s">
        <v>1653</v>
      </c>
      <c r="B11" s="9" t="s">
        <v>1435</v>
      </c>
      <c r="C11" s="58" t="s">
        <v>29</v>
      </c>
      <c r="D11" s="11" t="s">
        <v>1654</v>
      </c>
      <c r="E11" s="10">
        <v>22</v>
      </c>
      <c r="F11" s="58"/>
      <c r="G11" s="12">
        <v>954</v>
      </c>
      <c r="H11" s="12">
        <v>1967</v>
      </c>
      <c r="I11" s="17" t="s">
        <v>1655</v>
      </c>
      <c r="J11" s="18">
        <v>7</v>
      </c>
      <c r="K11" s="19">
        <f t="shared" si="0"/>
        <v>179.03160000000003</v>
      </c>
      <c r="L11" s="14"/>
      <c r="M11" s="15">
        <v>16.440000000000001</v>
      </c>
      <c r="N11" s="15">
        <v>10.89</v>
      </c>
    </row>
    <row r="12" spans="1:14" s="15" customFormat="1" ht="20.25" customHeight="1" x14ac:dyDescent="0.15">
      <c r="A12" s="60" t="s">
        <v>1656</v>
      </c>
      <c r="B12" s="9" t="s">
        <v>1657</v>
      </c>
      <c r="C12" s="58" t="s">
        <v>29</v>
      </c>
      <c r="D12" s="11" t="s">
        <v>1658</v>
      </c>
      <c r="E12" s="10">
        <v>28</v>
      </c>
      <c r="F12" s="58" t="s">
        <v>11</v>
      </c>
      <c r="G12" s="12">
        <v>190</v>
      </c>
      <c r="H12" s="12">
        <v>2070</v>
      </c>
      <c r="I12" s="17" t="s">
        <v>1659</v>
      </c>
      <c r="J12" s="18">
        <v>36</v>
      </c>
      <c r="K12" s="19">
        <f t="shared" si="0"/>
        <v>468.48780000000005</v>
      </c>
      <c r="L12" s="14"/>
      <c r="M12" s="15">
        <v>43.02</v>
      </c>
      <c r="N12" s="15">
        <v>10.89</v>
      </c>
    </row>
    <row r="13" spans="1:14" s="15" customFormat="1" ht="20.25" customHeight="1" x14ac:dyDescent="0.15">
      <c r="A13" s="60"/>
      <c r="B13" s="9"/>
      <c r="C13" s="58" t="s">
        <v>29</v>
      </c>
      <c r="D13" s="11" t="s">
        <v>1660</v>
      </c>
      <c r="E13" s="10">
        <v>28</v>
      </c>
      <c r="F13" s="58" t="s">
        <v>11</v>
      </c>
      <c r="G13" s="12">
        <v>530</v>
      </c>
      <c r="H13" s="12">
        <v>600</v>
      </c>
      <c r="I13" s="17" t="s">
        <v>1661</v>
      </c>
      <c r="J13" s="18">
        <v>4</v>
      </c>
      <c r="K13" s="19">
        <f t="shared" si="0"/>
        <v>13.939200000000001</v>
      </c>
      <c r="L13" s="14"/>
      <c r="M13" s="15">
        <v>1.28</v>
      </c>
      <c r="N13" s="15">
        <v>10.89</v>
      </c>
    </row>
    <row r="14" spans="1:14" s="15" customFormat="1" ht="20.25" customHeight="1" x14ac:dyDescent="0.15">
      <c r="A14" s="60" t="s">
        <v>1662</v>
      </c>
      <c r="B14" s="9" t="s">
        <v>1663</v>
      </c>
      <c r="C14" s="58" t="s">
        <v>29</v>
      </c>
      <c r="D14" s="11" t="s">
        <v>1664</v>
      </c>
      <c r="E14" s="10">
        <v>28</v>
      </c>
      <c r="F14" s="58" t="s">
        <v>11</v>
      </c>
      <c r="G14" s="12">
        <v>945</v>
      </c>
      <c r="H14" s="12">
        <v>1880</v>
      </c>
      <c r="I14" s="17" t="s">
        <v>1666</v>
      </c>
      <c r="J14" s="18">
        <v>25</v>
      </c>
      <c r="K14" s="19">
        <f t="shared" si="0"/>
        <v>246.87630000000004</v>
      </c>
      <c r="L14" s="20"/>
      <c r="M14" s="15">
        <v>22.67</v>
      </c>
      <c r="N14" s="15">
        <v>10.89</v>
      </c>
    </row>
    <row r="15" spans="1:14" s="15" customFormat="1" ht="20.25" customHeight="1" x14ac:dyDescent="0.15">
      <c r="A15" s="60" t="s">
        <v>1665</v>
      </c>
      <c r="B15" s="9" t="s">
        <v>1663</v>
      </c>
      <c r="C15" s="58" t="s">
        <v>29</v>
      </c>
      <c r="D15" s="11" t="s">
        <v>1664</v>
      </c>
      <c r="E15" s="10">
        <v>28</v>
      </c>
      <c r="F15" s="58" t="s">
        <v>11</v>
      </c>
      <c r="G15" s="12">
        <v>945</v>
      </c>
      <c r="H15" s="12">
        <v>1880</v>
      </c>
      <c r="I15" s="17" t="s">
        <v>1666</v>
      </c>
      <c r="J15" s="18">
        <v>25</v>
      </c>
      <c r="K15" s="19">
        <f t="shared" si="0"/>
        <v>246.87630000000004</v>
      </c>
      <c r="L15" s="20"/>
      <c r="M15" s="15">
        <v>22.67</v>
      </c>
      <c r="N15" s="15">
        <v>10.89</v>
      </c>
    </row>
    <row r="16" spans="1:14" s="15" customFormat="1" ht="20.25" customHeight="1" x14ac:dyDescent="0.15">
      <c r="A16" s="60"/>
      <c r="B16" s="9"/>
      <c r="C16" s="58"/>
      <c r="D16" s="11"/>
      <c r="E16" s="10"/>
      <c r="F16" s="58"/>
      <c r="G16" s="12"/>
      <c r="H16" s="12"/>
      <c r="I16" s="17"/>
      <c r="J16" s="18"/>
      <c r="K16" s="19">
        <f t="shared" si="0"/>
        <v>0</v>
      </c>
      <c r="L16" s="20"/>
      <c r="N16" s="15">
        <v>10.89</v>
      </c>
    </row>
    <row r="17" spans="1:14" s="15" customFormat="1" ht="20.25" customHeight="1" x14ac:dyDescent="0.15">
      <c r="A17" s="60"/>
      <c r="B17" s="9"/>
      <c r="C17" s="58"/>
      <c r="D17" s="11"/>
      <c r="E17" s="10"/>
      <c r="F17" s="58"/>
      <c r="G17" s="12"/>
      <c r="H17" s="12"/>
      <c r="I17" s="17"/>
      <c r="J17" s="18"/>
      <c r="K17" s="19">
        <f t="shared" si="0"/>
        <v>0</v>
      </c>
      <c r="L17" s="20"/>
      <c r="N17" s="15">
        <v>10.89</v>
      </c>
    </row>
    <row r="18" spans="1:14" s="15" customFormat="1" ht="20.25" customHeight="1" x14ac:dyDescent="0.15">
      <c r="A18" s="60"/>
      <c r="B18" s="9"/>
      <c r="C18" s="58"/>
      <c r="D18" s="11"/>
      <c r="E18" s="10"/>
      <c r="F18" s="58"/>
      <c r="G18" s="12"/>
      <c r="H18" s="12"/>
      <c r="I18" s="17"/>
      <c r="J18" s="18"/>
      <c r="K18" s="19">
        <f t="shared" si="0"/>
        <v>0</v>
      </c>
      <c r="L18" s="20"/>
      <c r="N18" s="15">
        <v>10.89</v>
      </c>
    </row>
    <row r="19" spans="1:14" s="15" customFormat="1" ht="20.25" customHeight="1" x14ac:dyDescent="0.15">
      <c r="A19" s="60"/>
      <c r="B19" s="9"/>
      <c r="C19" s="58"/>
      <c r="D19" s="11"/>
      <c r="E19" s="10"/>
      <c r="F19" s="58"/>
      <c r="G19" s="12"/>
      <c r="H19" s="12"/>
      <c r="I19" s="17"/>
      <c r="J19" s="18"/>
      <c r="K19" s="19">
        <f t="shared" si="0"/>
        <v>0</v>
      </c>
      <c r="L19" s="20"/>
      <c r="N19" s="15">
        <v>10.89</v>
      </c>
    </row>
    <row r="20" spans="1:14" s="15" customFormat="1" ht="20.25" customHeight="1" x14ac:dyDescent="0.15">
      <c r="A20" s="60"/>
      <c r="B20" s="9"/>
      <c r="C20" s="58"/>
      <c r="D20" s="11"/>
      <c r="E20" s="10"/>
      <c r="F20" s="58"/>
      <c r="G20" s="12"/>
      <c r="H20" s="12"/>
      <c r="I20" s="17"/>
      <c r="J20" s="18"/>
      <c r="K20" s="19">
        <f t="shared" si="0"/>
        <v>0</v>
      </c>
      <c r="L20" s="20"/>
      <c r="N20" s="15">
        <v>10.89</v>
      </c>
    </row>
    <row r="21" spans="1:14" s="15" customFormat="1" ht="20.25" customHeight="1" x14ac:dyDescent="0.15">
      <c r="A21" s="60"/>
      <c r="B21" s="9"/>
      <c r="C21" s="58"/>
      <c r="D21" s="11"/>
      <c r="E21" s="10"/>
      <c r="F21" s="58"/>
      <c r="G21" s="50"/>
      <c r="H21" s="50"/>
      <c r="I21" s="17"/>
      <c r="J21" s="18"/>
      <c r="K21" s="19">
        <f t="shared" si="0"/>
        <v>0</v>
      </c>
      <c r="L21" s="20"/>
      <c r="N21" s="15">
        <v>10.89</v>
      </c>
    </row>
    <row r="22" spans="1:14" s="15" customFormat="1" ht="20.25" customHeight="1" x14ac:dyDescent="0.15">
      <c r="A22" s="60"/>
      <c r="B22" s="9"/>
      <c r="C22" s="58"/>
      <c r="D22" s="11"/>
      <c r="E22" s="10"/>
      <c r="F22" s="58"/>
      <c r="G22" s="50"/>
      <c r="H22" s="50"/>
      <c r="I22" s="17"/>
      <c r="J22" s="18"/>
      <c r="K22" s="19">
        <f t="shared" si="0"/>
        <v>0</v>
      </c>
      <c r="L22" s="20"/>
      <c r="N22" s="15">
        <v>10.89</v>
      </c>
    </row>
    <row r="23" spans="1:14" ht="20.25" customHeight="1" x14ac:dyDescent="0.15">
      <c r="A23" s="60"/>
      <c r="B23" s="9"/>
      <c r="C23" s="58"/>
      <c r="D23" s="11"/>
      <c r="E23" s="10"/>
      <c r="F23" s="58"/>
      <c r="G23" s="16"/>
      <c r="H23" s="16"/>
      <c r="I23" s="17"/>
      <c r="J23" s="18"/>
      <c r="K23" s="19">
        <f t="shared" si="0"/>
        <v>0</v>
      </c>
      <c r="L23" s="20"/>
      <c r="N23" s="15">
        <v>10.89</v>
      </c>
    </row>
    <row r="24" spans="1:14" ht="20.25" customHeight="1" thickBot="1" x14ac:dyDescent="0.2">
      <c r="A24" s="56"/>
      <c r="B24" s="21"/>
      <c r="C24" s="59"/>
      <c r="D24" s="22"/>
      <c r="E24" s="23"/>
      <c r="F24" s="23"/>
      <c r="G24" s="24"/>
      <c r="H24" s="24"/>
      <c r="I24" s="25"/>
      <c r="J24" s="46">
        <f>SUM(J8:J23)</f>
        <v>264</v>
      </c>
      <c r="K24" s="47">
        <f>SUM(K8:K23)</f>
        <v>3913.4303999999993</v>
      </c>
      <c r="L24" s="26"/>
    </row>
    <row r="25" spans="1:14" ht="20.25" customHeight="1" thickTop="1" x14ac:dyDescent="0.15">
      <c r="A25" s="60" t="s">
        <v>1667</v>
      </c>
      <c r="B25" s="9" t="s">
        <v>1668</v>
      </c>
      <c r="C25" s="58" t="s">
        <v>29</v>
      </c>
      <c r="D25" s="11" t="s">
        <v>1669</v>
      </c>
      <c r="E25" s="10">
        <v>28</v>
      </c>
      <c r="F25" s="58" t="s">
        <v>11</v>
      </c>
      <c r="G25" s="12">
        <v>1763</v>
      </c>
      <c r="H25" s="12">
        <v>3305</v>
      </c>
      <c r="I25" s="17" t="s">
        <v>1648</v>
      </c>
      <c r="J25" s="18">
        <v>2</v>
      </c>
      <c r="K25" s="19">
        <f t="shared" ref="K25:K40" si="1">+M25*N25</f>
        <v>73.180800000000005</v>
      </c>
      <c r="L25" s="54"/>
      <c r="M25" s="3">
        <v>6.72</v>
      </c>
      <c r="N25" s="15">
        <v>10.89</v>
      </c>
    </row>
    <row r="26" spans="1:14" ht="20.25" customHeight="1" x14ac:dyDescent="0.15">
      <c r="A26" s="60" t="s">
        <v>1670</v>
      </c>
      <c r="B26" s="9" t="s">
        <v>1671</v>
      </c>
      <c r="C26" s="58" t="s">
        <v>29</v>
      </c>
      <c r="D26" s="11" t="s">
        <v>1672</v>
      </c>
      <c r="E26" s="10">
        <v>42</v>
      </c>
      <c r="F26" s="58" t="s">
        <v>11</v>
      </c>
      <c r="G26" s="12">
        <v>793</v>
      </c>
      <c r="H26" s="12">
        <v>973</v>
      </c>
      <c r="I26" s="17">
        <v>10</v>
      </c>
      <c r="J26" s="18">
        <v>10</v>
      </c>
      <c r="K26" s="19">
        <f t="shared" si="1"/>
        <v>83.853000000000009</v>
      </c>
      <c r="L26" s="54"/>
      <c r="M26" s="3">
        <v>7.7</v>
      </c>
      <c r="N26" s="15">
        <v>10.89</v>
      </c>
    </row>
    <row r="27" spans="1:14" ht="20.25" customHeight="1" x14ac:dyDescent="0.15">
      <c r="A27" s="61" t="s">
        <v>1673</v>
      </c>
      <c r="B27" s="9" t="s">
        <v>1642</v>
      </c>
      <c r="C27" s="58" t="s">
        <v>29</v>
      </c>
      <c r="D27" s="11" t="s">
        <v>1643</v>
      </c>
      <c r="E27" s="10">
        <v>22</v>
      </c>
      <c r="F27" s="58"/>
      <c r="G27" s="12">
        <v>1545</v>
      </c>
      <c r="H27" s="12">
        <v>1973</v>
      </c>
      <c r="I27" s="17" t="s">
        <v>1674</v>
      </c>
      <c r="J27" s="18">
        <v>318</v>
      </c>
      <c r="K27" s="19">
        <f t="shared" si="1"/>
        <v>7475.3316000000013</v>
      </c>
      <c r="L27" s="54"/>
      <c r="M27" s="3">
        <v>686.44</v>
      </c>
      <c r="N27" s="15">
        <v>10.89</v>
      </c>
    </row>
    <row r="28" spans="1:14" ht="20.25" customHeight="1" x14ac:dyDescent="0.15">
      <c r="A28" s="61" t="s">
        <v>1675</v>
      </c>
      <c r="B28" s="9" t="s">
        <v>1668</v>
      </c>
      <c r="C28" s="58" t="s">
        <v>29</v>
      </c>
      <c r="D28" s="11" t="s">
        <v>1676</v>
      </c>
      <c r="E28" s="10">
        <v>28</v>
      </c>
      <c r="F28" s="58" t="s">
        <v>11</v>
      </c>
      <c r="G28" s="12">
        <v>270</v>
      </c>
      <c r="H28" s="12">
        <v>3305</v>
      </c>
      <c r="I28" s="17">
        <v>2</v>
      </c>
      <c r="J28" s="18">
        <v>2</v>
      </c>
      <c r="K28" s="19">
        <f t="shared" si="1"/>
        <v>19.3842</v>
      </c>
      <c r="L28" s="54"/>
      <c r="M28" s="3">
        <v>1.78</v>
      </c>
      <c r="N28" s="15">
        <v>10.89</v>
      </c>
    </row>
    <row r="29" spans="1:14" ht="20.25" customHeight="1" x14ac:dyDescent="0.15">
      <c r="A29" s="61"/>
      <c r="B29" s="9"/>
      <c r="C29" s="58" t="s">
        <v>29</v>
      </c>
      <c r="D29" s="11" t="s">
        <v>1669</v>
      </c>
      <c r="E29" s="10">
        <v>28</v>
      </c>
      <c r="F29" s="58" t="s">
        <v>11</v>
      </c>
      <c r="G29" s="12">
        <v>495</v>
      </c>
      <c r="H29" s="12">
        <v>3305</v>
      </c>
      <c r="I29" s="17" t="s">
        <v>1677</v>
      </c>
      <c r="J29" s="18">
        <v>3</v>
      </c>
      <c r="K29" s="19">
        <f t="shared" si="1"/>
        <v>27.660600000000002</v>
      </c>
      <c r="L29" s="54"/>
      <c r="M29" s="3">
        <v>2.54</v>
      </c>
      <c r="N29" s="15">
        <v>10.89</v>
      </c>
    </row>
    <row r="30" spans="1:14" ht="20.25" customHeight="1" x14ac:dyDescent="0.15">
      <c r="A30" s="61" t="s">
        <v>1678</v>
      </c>
      <c r="B30" s="9" t="s">
        <v>1679</v>
      </c>
      <c r="C30" s="58" t="s">
        <v>29</v>
      </c>
      <c r="D30" s="11" t="s">
        <v>1680</v>
      </c>
      <c r="E30" s="10">
        <v>28</v>
      </c>
      <c r="F30" s="58" t="s">
        <v>11</v>
      </c>
      <c r="G30" s="12">
        <v>1185</v>
      </c>
      <c r="H30" s="12">
        <v>1705</v>
      </c>
      <c r="I30" s="51">
        <v>1</v>
      </c>
      <c r="J30" s="52">
        <v>1</v>
      </c>
      <c r="K30" s="53">
        <f t="shared" si="1"/>
        <v>21.997800000000002</v>
      </c>
      <c r="L30" s="54"/>
      <c r="M30" s="3">
        <v>2.02</v>
      </c>
      <c r="N30" s="15">
        <v>10.89</v>
      </c>
    </row>
    <row r="31" spans="1:14" ht="20.25" customHeight="1" x14ac:dyDescent="0.15">
      <c r="A31" s="61"/>
      <c r="B31" s="9"/>
      <c r="C31" s="58"/>
      <c r="D31" s="11"/>
      <c r="E31" s="10"/>
      <c r="F31" s="58"/>
      <c r="G31" s="12"/>
      <c r="H31" s="12"/>
      <c r="I31" s="51"/>
      <c r="J31" s="52"/>
      <c r="K31" s="53">
        <f t="shared" si="1"/>
        <v>0</v>
      </c>
      <c r="L31" s="54"/>
      <c r="N31" s="15">
        <v>10.89</v>
      </c>
    </row>
    <row r="32" spans="1:14" ht="20.25" customHeight="1" x14ac:dyDescent="0.15">
      <c r="A32" s="60"/>
      <c r="B32" s="9"/>
      <c r="C32" s="58"/>
      <c r="D32" s="11"/>
      <c r="E32" s="10"/>
      <c r="F32" s="58"/>
      <c r="G32" s="12"/>
      <c r="H32" s="12"/>
      <c r="I32" s="17"/>
      <c r="J32" s="18"/>
      <c r="K32" s="19">
        <f t="shared" si="1"/>
        <v>0</v>
      </c>
      <c r="L32" s="27"/>
      <c r="N32" s="15">
        <v>10.89</v>
      </c>
    </row>
    <row r="33" spans="1:17" ht="20.25" customHeight="1" x14ac:dyDescent="0.15">
      <c r="A33" s="60"/>
      <c r="B33" s="9"/>
      <c r="C33" s="58"/>
      <c r="D33" s="11"/>
      <c r="E33" s="10"/>
      <c r="F33" s="58"/>
      <c r="G33" s="12"/>
      <c r="H33" s="12"/>
      <c r="I33" s="17"/>
      <c r="J33" s="18"/>
      <c r="K33" s="19">
        <f t="shared" si="1"/>
        <v>0</v>
      </c>
      <c r="L33" s="27"/>
      <c r="N33" s="15">
        <v>10.89</v>
      </c>
    </row>
    <row r="34" spans="1:17" ht="20.25" customHeight="1" x14ac:dyDescent="0.15">
      <c r="A34" s="60"/>
      <c r="B34" s="9"/>
      <c r="C34" s="58"/>
      <c r="D34" s="11"/>
      <c r="E34" s="10"/>
      <c r="F34" s="58"/>
      <c r="G34" s="12"/>
      <c r="H34" s="12"/>
      <c r="I34" s="17"/>
      <c r="J34" s="18"/>
      <c r="K34" s="19">
        <f t="shared" si="1"/>
        <v>0</v>
      </c>
      <c r="L34" s="27"/>
      <c r="N34" s="15">
        <v>10.89</v>
      </c>
    </row>
    <row r="35" spans="1:17" ht="20.25" customHeight="1" x14ac:dyDescent="0.15">
      <c r="A35" s="60"/>
      <c r="B35" s="9"/>
      <c r="C35" s="58"/>
      <c r="D35" s="11"/>
      <c r="E35" s="10"/>
      <c r="F35" s="58"/>
      <c r="G35" s="12"/>
      <c r="H35" s="12"/>
      <c r="I35" s="17"/>
      <c r="J35" s="18"/>
      <c r="K35" s="19">
        <f t="shared" si="1"/>
        <v>0</v>
      </c>
      <c r="L35" s="27"/>
      <c r="N35" s="15">
        <v>10.89</v>
      </c>
    </row>
    <row r="36" spans="1:17" ht="20.25" customHeight="1" x14ac:dyDescent="0.15">
      <c r="A36" s="60"/>
      <c r="B36" s="9"/>
      <c r="C36" s="58"/>
      <c r="D36" s="11"/>
      <c r="E36" s="10"/>
      <c r="F36" s="58"/>
      <c r="G36" s="12"/>
      <c r="H36" s="12"/>
      <c r="I36" s="17"/>
      <c r="J36" s="18"/>
      <c r="K36" s="19">
        <f t="shared" si="1"/>
        <v>0</v>
      </c>
      <c r="L36" s="27"/>
      <c r="N36" s="15">
        <v>10.89</v>
      </c>
    </row>
    <row r="37" spans="1:17" ht="20.25" customHeight="1" x14ac:dyDescent="0.15">
      <c r="A37" s="60"/>
      <c r="B37" s="9"/>
      <c r="C37" s="58"/>
      <c r="D37" s="11"/>
      <c r="E37" s="10"/>
      <c r="F37" s="58"/>
      <c r="G37" s="12"/>
      <c r="H37" s="12"/>
      <c r="I37" s="17"/>
      <c r="J37" s="18"/>
      <c r="K37" s="19">
        <f t="shared" si="1"/>
        <v>0</v>
      </c>
      <c r="L37" s="27"/>
      <c r="N37" s="15">
        <v>10.89</v>
      </c>
    </row>
    <row r="38" spans="1:17" ht="20.25" customHeight="1" x14ac:dyDescent="0.15">
      <c r="A38" s="60"/>
      <c r="B38" s="9"/>
      <c r="C38" s="58"/>
      <c r="D38" s="11"/>
      <c r="E38" s="10"/>
      <c r="F38" s="58"/>
      <c r="G38" s="12"/>
      <c r="H38" s="12"/>
      <c r="I38" s="17"/>
      <c r="J38" s="18"/>
      <c r="K38" s="19">
        <f t="shared" si="1"/>
        <v>0</v>
      </c>
      <c r="L38" s="27"/>
      <c r="N38" s="15">
        <v>10.89</v>
      </c>
    </row>
    <row r="39" spans="1:17" ht="20.25" customHeight="1" x14ac:dyDescent="0.15">
      <c r="A39" s="60"/>
      <c r="B39" s="9"/>
      <c r="C39" s="58"/>
      <c r="D39" s="11"/>
      <c r="E39" s="10"/>
      <c r="F39" s="58"/>
      <c r="G39" s="12"/>
      <c r="H39" s="12"/>
      <c r="I39" s="17"/>
      <c r="J39" s="18"/>
      <c r="K39" s="19">
        <f t="shared" si="1"/>
        <v>0</v>
      </c>
      <c r="L39" s="27"/>
      <c r="N39" s="15">
        <v>10.89</v>
      </c>
      <c r="Q39" s="65"/>
    </row>
    <row r="40" spans="1:17" ht="20.25" customHeight="1" x14ac:dyDescent="0.15">
      <c r="A40" s="60"/>
      <c r="B40" s="9"/>
      <c r="C40" s="58"/>
      <c r="D40" s="11"/>
      <c r="E40" s="10"/>
      <c r="F40" s="58"/>
      <c r="G40" s="12"/>
      <c r="H40" s="12"/>
      <c r="I40" s="17"/>
      <c r="J40" s="18"/>
      <c r="K40" s="19">
        <f t="shared" si="1"/>
        <v>0</v>
      </c>
      <c r="L40" s="27"/>
      <c r="N40" s="15">
        <v>10.89</v>
      </c>
    </row>
    <row r="41" spans="1:17" ht="20.25" customHeight="1" x14ac:dyDescent="0.15">
      <c r="A41" s="57"/>
      <c r="B41" s="28"/>
      <c r="C41" s="58"/>
      <c r="D41" s="29"/>
      <c r="E41" s="30"/>
      <c r="F41" s="30"/>
      <c r="G41" s="30"/>
      <c r="H41" s="30"/>
      <c r="I41" s="13"/>
      <c r="J41" s="48">
        <f>SUM(J25:J40)</f>
        <v>336</v>
      </c>
      <c r="K41" s="49">
        <f>SUM(K25:K40)</f>
        <v>7701.4080000000022</v>
      </c>
      <c r="L41" s="31"/>
      <c r="N41" s="32"/>
    </row>
    <row r="42" spans="1:17" ht="20.25" customHeight="1" thickBot="1" x14ac:dyDescent="0.2">
      <c r="A42" s="55"/>
      <c r="B42" s="33"/>
      <c r="C42" s="33"/>
      <c r="D42" s="33"/>
      <c r="E42" s="33"/>
      <c r="F42" s="33"/>
      <c r="G42" s="33"/>
      <c r="H42" s="33"/>
      <c r="I42" s="33"/>
      <c r="J42" s="34"/>
      <c r="K42" s="35"/>
      <c r="L42" s="36"/>
    </row>
    <row r="43" spans="1:17" ht="20.25" customHeight="1" thickBot="1" x14ac:dyDescent="0.2">
      <c r="A43" s="37" t="s">
        <v>19</v>
      </c>
      <c r="B43" s="38" t="s">
        <v>20</v>
      </c>
      <c r="C43" s="77" t="s">
        <v>21</v>
      </c>
      <c r="D43" s="79"/>
      <c r="E43" s="77" t="s">
        <v>22</v>
      </c>
      <c r="F43" s="78"/>
      <c r="G43" s="79"/>
      <c r="H43" s="85" t="s">
        <v>23</v>
      </c>
      <c r="I43" s="86"/>
      <c r="J43" s="77" t="s">
        <v>24</v>
      </c>
      <c r="K43" s="79"/>
      <c r="L43" s="39" t="s">
        <v>13</v>
      </c>
    </row>
    <row r="44" spans="1:17" ht="20.25" customHeight="1" thickBot="1" x14ac:dyDescent="0.2">
      <c r="A44" s="40">
        <f>SUMIF($C$8:$C$42,"U1",$J$8:$J$42)</f>
        <v>0</v>
      </c>
      <c r="B44" s="41">
        <f>SUMIF($C$8:$C$42,"U2",$J$8:$J$42)</f>
        <v>0</v>
      </c>
      <c r="C44" s="77">
        <f>SUMIF($C$8:$C$42,"U3-1",$J$8:$J$42)</f>
        <v>0</v>
      </c>
      <c r="D44" s="79"/>
      <c r="E44" s="77">
        <f>SUMIF($C$8:$C$42,"U3",$J$8:$J$42)</f>
        <v>600</v>
      </c>
      <c r="F44" s="78"/>
      <c r="G44" s="79"/>
      <c r="H44" s="77">
        <f>SUMIF($C$8:$C$42,"E5",$J$8:$J$42)</f>
        <v>0</v>
      </c>
      <c r="I44" s="79"/>
      <c r="J44" s="77">
        <f>SUM(A44:I44)</f>
        <v>600</v>
      </c>
      <c r="K44" s="79"/>
      <c r="L44" s="42"/>
    </row>
    <row r="45" spans="1:17" ht="20.25" customHeight="1" thickBot="1" x14ac:dyDescent="0.2">
      <c r="A45" s="43" t="s">
        <v>25</v>
      </c>
      <c r="B45" s="44" t="s">
        <v>26</v>
      </c>
      <c r="C45" s="75">
        <v>13876</v>
      </c>
      <c r="D45" s="76"/>
      <c r="E45" s="77" t="s">
        <v>27</v>
      </c>
      <c r="F45" s="78"/>
      <c r="G45" s="78"/>
      <c r="H45" s="78"/>
      <c r="I45" s="79"/>
      <c r="J45" s="80">
        <v>146744.37</v>
      </c>
      <c r="K45" s="81"/>
      <c r="L45" s="82"/>
    </row>
    <row r="47" spans="1:17" x14ac:dyDescent="0.15">
      <c r="D47" s="45"/>
    </row>
  </sheetData>
  <mergeCells count="26">
    <mergeCell ref="C45:D45"/>
    <mergeCell ref="E45:I45"/>
    <mergeCell ref="J45:L45"/>
    <mergeCell ref="L6:L7"/>
    <mergeCell ref="C43:D43"/>
    <mergeCell ref="E43:G43"/>
    <mergeCell ref="H43:I43"/>
    <mergeCell ref="J43:K43"/>
    <mergeCell ref="C44:D44"/>
    <mergeCell ref="E44:G44"/>
    <mergeCell ref="H44:I44"/>
    <mergeCell ref="J44:K44"/>
    <mergeCell ref="B5:G5"/>
    <mergeCell ref="A6:A7"/>
    <mergeCell ref="B6:B7"/>
    <mergeCell ref="C6:C7"/>
    <mergeCell ref="D6:D7"/>
    <mergeCell ref="E6:E7"/>
    <mergeCell ref="F6:F7"/>
    <mergeCell ref="G6:K6"/>
    <mergeCell ref="L2:L4"/>
    <mergeCell ref="A1:G3"/>
    <mergeCell ref="H1:H4"/>
    <mergeCell ref="I2:I4"/>
    <mergeCell ref="J2:J4"/>
    <mergeCell ref="K2:K4"/>
  </mergeCells>
  <phoneticPr fontId="2" type="noConversion"/>
  <printOptions horizontalCentered="1"/>
  <pageMargins left="0.39370078740157483" right="0.39370078740157483" top="0.74803149606299213" bottom="0.19685039370078741" header="0.31496062992125984" footer="0.15748031496062992"/>
  <pageSetup paperSize="9" scale="84" orientation="portrait" r:id="rId1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9F2697-3042-4E9F-82C4-04D7ED04B0D5}">
  <dimension ref="A1:Q47"/>
  <sheetViews>
    <sheetView view="pageBreakPreview" topLeftCell="A4" zoomScaleSheetLayoutView="100" workbookViewId="0">
      <selection activeCell="C9" sqref="C9"/>
    </sheetView>
  </sheetViews>
  <sheetFormatPr defaultColWidth="8.88671875" defaultRowHeight="13.5" x14ac:dyDescent="0.15"/>
  <cols>
    <col min="1" max="1" width="8.44140625" style="3" customWidth="1"/>
    <col min="2" max="2" width="14.77734375" style="3" customWidth="1"/>
    <col min="3" max="3" width="4.109375" style="3" customWidth="1"/>
    <col min="4" max="4" width="15.21875" style="3" customWidth="1"/>
    <col min="5" max="5" width="4.44140625" style="3" customWidth="1"/>
    <col min="6" max="6" width="4" style="3" customWidth="1"/>
    <col min="7" max="7" width="5.5546875" style="3" customWidth="1"/>
    <col min="8" max="8" width="5.44140625" style="3" customWidth="1"/>
    <col min="9" max="9" width="7.88671875" style="3" customWidth="1"/>
    <col min="10" max="10" width="7.109375" style="3" customWidth="1"/>
    <col min="11" max="11" width="7.21875" style="3" customWidth="1"/>
    <col min="12" max="12" width="6.77734375" style="3" customWidth="1"/>
    <col min="13" max="16384" width="8.88671875" style="3"/>
  </cols>
  <sheetData>
    <row r="1" spans="1:14" ht="18.75" customHeight="1" x14ac:dyDescent="0.15">
      <c r="A1" s="101" t="s">
        <v>0</v>
      </c>
      <c r="B1" s="102"/>
      <c r="C1" s="102"/>
      <c r="D1" s="102"/>
      <c r="E1" s="102"/>
      <c r="F1" s="102"/>
      <c r="G1" s="103"/>
      <c r="H1" s="107" t="s">
        <v>1</v>
      </c>
      <c r="I1" s="1" t="s">
        <v>2</v>
      </c>
      <c r="J1" s="1" t="s">
        <v>2</v>
      </c>
      <c r="K1" s="1" t="s">
        <v>3</v>
      </c>
      <c r="L1" s="2" t="s">
        <v>4</v>
      </c>
    </row>
    <row r="2" spans="1:14" ht="13.5" customHeight="1" x14ac:dyDescent="0.15">
      <c r="A2" s="104"/>
      <c r="B2" s="105"/>
      <c r="C2" s="105"/>
      <c r="D2" s="105"/>
      <c r="E2" s="105"/>
      <c r="F2" s="105"/>
      <c r="G2" s="106"/>
      <c r="H2" s="108"/>
      <c r="I2" s="110"/>
      <c r="J2" s="110"/>
      <c r="K2" s="110"/>
      <c r="L2" s="98"/>
    </row>
    <row r="3" spans="1:14" ht="13.5" customHeight="1" x14ac:dyDescent="0.15">
      <c r="A3" s="104"/>
      <c r="B3" s="105"/>
      <c r="C3" s="105"/>
      <c r="D3" s="105"/>
      <c r="E3" s="105"/>
      <c r="F3" s="105"/>
      <c r="G3" s="106"/>
      <c r="H3" s="108"/>
      <c r="I3" s="108"/>
      <c r="J3" s="108"/>
      <c r="K3" s="108"/>
      <c r="L3" s="99"/>
    </row>
    <row r="4" spans="1:14" ht="33" customHeight="1" x14ac:dyDescent="0.15">
      <c r="A4" s="4"/>
      <c r="B4" s="5"/>
      <c r="C4" s="5"/>
      <c r="D4" s="5"/>
      <c r="E4" s="5"/>
      <c r="F4" s="5"/>
      <c r="G4" s="5"/>
      <c r="H4" s="109"/>
      <c r="I4" s="109"/>
      <c r="J4" s="109"/>
      <c r="K4" s="109"/>
      <c r="L4" s="100"/>
    </row>
    <row r="5" spans="1:14" ht="17.25" customHeight="1" x14ac:dyDescent="0.15">
      <c r="A5" s="6" t="s">
        <v>5</v>
      </c>
      <c r="B5" s="87">
        <v>46111</v>
      </c>
      <c r="C5" s="88"/>
      <c r="D5" s="88"/>
      <c r="E5" s="88"/>
      <c r="F5" s="88"/>
      <c r="G5" s="88"/>
      <c r="H5" s="5"/>
      <c r="I5" s="5"/>
      <c r="J5" s="5"/>
      <c r="K5" s="5"/>
      <c r="L5" s="7"/>
    </row>
    <row r="6" spans="1:14" ht="13.5" customHeight="1" x14ac:dyDescent="0.15">
      <c r="A6" s="89" t="s">
        <v>6</v>
      </c>
      <c r="B6" s="91" t="s">
        <v>7</v>
      </c>
      <c r="C6" s="91" t="s">
        <v>8</v>
      </c>
      <c r="D6" s="91" t="s">
        <v>9</v>
      </c>
      <c r="E6" s="93" t="s">
        <v>10</v>
      </c>
      <c r="F6" s="93" t="s">
        <v>11</v>
      </c>
      <c r="G6" s="95" t="s">
        <v>12</v>
      </c>
      <c r="H6" s="96"/>
      <c r="I6" s="96"/>
      <c r="J6" s="96"/>
      <c r="K6" s="97"/>
      <c r="L6" s="83" t="s">
        <v>13</v>
      </c>
    </row>
    <row r="7" spans="1:14" x14ac:dyDescent="0.15">
      <c r="A7" s="90"/>
      <c r="B7" s="92"/>
      <c r="C7" s="92"/>
      <c r="D7" s="92"/>
      <c r="E7" s="94"/>
      <c r="F7" s="94"/>
      <c r="G7" s="8" t="s">
        <v>14</v>
      </c>
      <c r="H7" s="8" t="s">
        <v>15</v>
      </c>
      <c r="I7" s="8" t="s">
        <v>16</v>
      </c>
      <c r="J7" s="8" t="s">
        <v>17</v>
      </c>
      <c r="K7" s="8" t="s">
        <v>18</v>
      </c>
      <c r="L7" s="84"/>
    </row>
    <row r="8" spans="1:14" s="15" customFormat="1" ht="20.25" customHeight="1" x14ac:dyDescent="0.15">
      <c r="A8" s="60" t="s">
        <v>1681</v>
      </c>
      <c r="B8" s="9" t="s">
        <v>1682</v>
      </c>
      <c r="C8" s="58" t="s">
        <v>273</v>
      </c>
      <c r="D8" s="11" t="s">
        <v>1618</v>
      </c>
      <c r="E8" s="10">
        <v>16</v>
      </c>
      <c r="F8" s="58"/>
      <c r="G8" s="12">
        <v>390</v>
      </c>
      <c r="H8" s="12">
        <v>1156</v>
      </c>
      <c r="I8" s="17" t="s">
        <v>1683</v>
      </c>
      <c r="J8" s="18">
        <v>28</v>
      </c>
      <c r="K8" s="19">
        <f>+M8*N8</f>
        <v>154.74690000000001</v>
      </c>
      <c r="L8" s="14"/>
      <c r="M8" s="15">
        <v>14.21</v>
      </c>
      <c r="N8" s="15">
        <v>10.89</v>
      </c>
    </row>
    <row r="9" spans="1:14" s="15" customFormat="1" ht="20.25" customHeight="1" x14ac:dyDescent="0.15">
      <c r="A9" s="60" t="s">
        <v>1684</v>
      </c>
      <c r="B9" s="9" t="s">
        <v>1435</v>
      </c>
      <c r="C9" s="58" t="s">
        <v>29</v>
      </c>
      <c r="D9" s="11" t="s">
        <v>1436</v>
      </c>
      <c r="E9" s="10">
        <v>22</v>
      </c>
      <c r="F9" s="58"/>
      <c r="G9" s="12">
        <v>954</v>
      </c>
      <c r="H9" s="12">
        <v>1967</v>
      </c>
      <c r="I9" s="17" t="s">
        <v>809</v>
      </c>
      <c r="J9" s="18">
        <v>77</v>
      </c>
      <c r="K9" s="19">
        <f t="shared" ref="K9:K23" si="0">+M9*N9</f>
        <v>650.35080000000005</v>
      </c>
      <c r="L9" s="14"/>
      <c r="M9" s="15">
        <v>59.72</v>
      </c>
      <c r="N9" s="15">
        <v>10.89</v>
      </c>
    </row>
    <row r="10" spans="1:14" s="15" customFormat="1" ht="20.25" customHeight="1" x14ac:dyDescent="0.15">
      <c r="A10" s="60" t="s">
        <v>1685</v>
      </c>
      <c r="B10" s="9" t="s">
        <v>1435</v>
      </c>
      <c r="C10" s="58" t="s">
        <v>29</v>
      </c>
      <c r="D10" s="11" t="s">
        <v>1436</v>
      </c>
      <c r="E10" s="10">
        <v>22</v>
      </c>
      <c r="F10" s="58"/>
      <c r="G10" s="12">
        <v>754</v>
      </c>
      <c r="H10" s="12">
        <v>1967</v>
      </c>
      <c r="I10" s="17" t="s">
        <v>408</v>
      </c>
      <c r="J10" s="18">
        <v>80</v>
      </c>
      <c r="K10" s="19">
        <f t="shared" si="0"/>
        <v>755.33040000000005</v>
      </c>
      <c r="L10" s="14"/>
      <c r="M10" s="15">
        <v>69.36</v>
      </c>
      <c r="N10" s="15">
        <v>10.89</v>
      </c>
    </row>
    <row r="11" spans="1:14" s="15" customFormat="1" ht="20.25" customHeight="1" x14ac:dyDescent="0.15">
      <c r="A11" s="60" t="s">
        <v>1686</v>
      </c>
      <c r="B11" s="9" t="s">
        <v>1435</v>
      </c>
      <c r="C11" s="58" t="s">
        <v>29</v>
      </c>
      <c r="D11" s="11" t="s">
        <v>1436</v>
      </c>
      <c r="E11" s="10">
        <v>22</v>
      </c>
      <c r="F11" s="58"/>
      <c r="G11" s="12">
        <v>604</v>
      </c>
      <c r="H11" s="12">
        <v>1967</v>
      </c>
      <c r="I11" s="17" t="s">
        <v>1687</v>
      </c>
      <c r="J11" s="18">
        <v>64</v>
      </c>
      <c r="K11" s="19">
        <f t="shared" si="0"/>
        <v>523.15560000000005</v>
      </c>
      <c r="L11" s="14"/>
      <c r="M11" s="15">
        <v>48.04</v>
      </c>
      <c r="N11" s="15">
        <v>10.89</v>
      </c>
    </row>
    <row r="12" spans="1:14" s="15" customFormat="1" ht="20.25" customHeight="1" x14ac:dyDescent="0.15">
      <c r="A12" s="60" t="s">
        <v>1688</v>
      </c>
      <c r="B12" s="9" t="s">
        <v>1435</v>
      </c>
      <c r="C12" s="58" t="s">
        <v>29</v>
      </c>
      <c r="D12" s="11" t="s">
        <v>1436</v>
      </c>
      <c r="E12" s="10">
        <v>22</v>
      </c>
      <c r="F12" s="58"/>
      <c r="G12" s="12">
        <v>754</v>
      </c>
      <c r="H12" s="12">
        <v>1967</v>
      </c>
      <c r="I12" s="17" t="s">
        <v>1689</v>
      </c>
      <c r="J12" s="18">
        <v>206</v>
      </c>
      <c r="K12" s="19">
        <f t="shared" si="0"/>
        <v>1899.8694000000003</v>
      </c>
      <c r="L12" s="14"/>
      <c r="M12" s="15">
        <v>174.46</v>
      </c>
      <c r="N12" s="15">
        <v>10.89</v>
      </c>
    </row>
    <row r="13" spans="1:14" s="15" customFormat="1" ht="20.25" customHeight="1" x14ac:dyDescent="0.15">
      <c r="A13" s="60"/>
      <c r="B13" s="9"/>
      <c r="C13" s="58"/>
      <c r="D13" s="11"/>
      <c r="E13" s="10"/>
      <c r="F13" s="58"/>
      <c r="G13" s="12"/>
      <c r="H13" s="12"/>
      <c r="I13" s="17"/>
      <c r="J13" s="18"/>
      <c r="K13" s="19">
        <f t="shared" si="0"/>
        <v>0</v>
      </c>
      <c r="L13" s="14"/>
      <c r="N13" s="15">
        <v>10.89</v>
      </c>
    </row>
    <row r="14" spans="1:14" s="15" customFormat="1" ht="20.25" customHeight="1" x14ac:dyDescent="0.15">
      <c r="A14" s="60"/>
      <c r="B14" s="9"/>
      <c r="C14" s="58"/>
      <c r="D14" s="11"/>
      <c r="E14" s="10"/>
      <c r="F14" s="58"/>
      <c r="G14" s="12"/>
      <c r="H14" s="12"/>
      <c r="I14" s="17"/>
      <c r="J14" s="18"/>
      <c r="K14" s="19">
        <f t="shared" si="0"/>
        <v>0</v>
      </c>
      <c r="L14" s="20"/>
      <c r="N14" s="15">
        <v>10.89</v>
      </c>
    </row>
    <row r="15" spans="1:14" s="15" customFormat="1" ht="20.25" customHeight="1" x14ac:dyDescent="0.15">
      <c r="A15" s="60"/>
      <c r="B15" s="9"/>
      <c r="C15" s="58"/>
      <c r="D15" s="11"/>
      <c r="E15" s="10"/>
      <c r="F15" s="58"/>
      <c r="G15" s="12"/>
      <c r="H15" s="12"/>
      <c r="I15" s="17"/>
      <c r="J15" s="18"/>
      <c r="K15" s="19">
        <f t="shared" si="0"/>
        <v>0</v>
      </c>
      <c r="L15" s="20"/>
      <c r="N15" s="15">
        <v>10.89</v>
      </c>
    </row>
    <row r="16" spans="1:14" s="15" customFormat="1" ht="20.25" customHeight="1" x14ac:dyDescent="0.15">
      <c r="A16" s="60"/>
      <c r="B16" s="9"/>
      <c r="C16" s="58"/>
      <c r="D16" s="11"/>
      <c r="E16" s="10"/>
      <c r="F16" s="58"/>
      <c r="G16" s="12"/>
      <c r="H16" s="12"/>
      <c r="I16" s="17"/>
      <c r="J16" s="18"/>
      <c r="K16" s="19">
        <f t="shared" si="0"/>
        <v>0</v>
      </c>
      <c r="L16" s="20"/>
      <c r="N16" s="15">
        <v>10.89</v>
      </c>
    </row>
    <row r="17" spans="1:14" s="15" customFormat="1" ht="20.25" customHeight="1" x14ac:dyDescent="0.15">
      <c r="A17" s="60"/>
      <c r="B17" s="9"/>
      <c r="C17" s="58"/>
      <c r="D17" s="11"/>
      <c r="E17" s="10"/>
      <c r="F17" s="58"/>
      <c r="G17" s="12"/>
      <c r="H17" s="12"/>
      <c r="I17" s="17"/>
      <c r="J17" s="18"/>
      <c r="K17" s="19">
        <f t="shared" si="0"/>
        <v>0</v>
      </c>
      <c r="L17" s="20"/>
      <c r="N17" s="15">
        <v>10.89</v>
      </c>
    </row>
    <row r="18" spans="1:14" s="15" customFormat="1" ht="20.25" customHeight="1" x14ac:dyDescent="0.15">
      <c r="A18" s="60"/>
      <c r="B18" s="9"/>
      <c r="C18" s="58"/>
      <c r="D18" s="11"/>
      <c r="E18" s="10"/>
      <c r="F18" s="58"/>
      <c r="G18" s="12"/>
      <c r="H18" s="12"/>
      <c r="I18" s="17"/>
      <c r="J18" s="18"/>
      <c r="K18" s="19">
        <f t="shared" si="0"/>
        <v>0</v>
      </c>
      <c r="L18" s="20"/>
      <c r="N18" s="15">
        <v>10.89</v>
      </c>
    </row>
    <row r="19" spans="1:14" s="15" customFormat="1" ht="20.25" customHeight="1" x14ac:dyDescent="0.15">
      <c r="A19" s="60"/>
      <c r="B19" s="9"/>
      <c r="C19" s="58"/>
      <c r="D19" s="11"/>
      <c r="E19" s="10"/>
      <c r="F19" s="58"/>
      <c r="G19" s="12"/>
      <c r="H19" s="12"/>
      <c r="I19" s="17"/>
      <c r="J19" s="18"/>
      <c r="K19" s="19">
        <f t="shared" si="0"/>
        <v>0</v>
      </c>
      <c r="L19" s="20"/>
      <c r="N19" s="15">
        <v>10.89</v>
      </c>
    </row>
    <row r="20" spans="1:14" s="15" customFormat="1" ht="20.25" customHeight="1" x14ac:dyDescent="0.15">
      <c r="A20" s="60"/>
      <c r="B20" s="9"/>
      <c r="C20" s="58"/>
      <c r="D20" s="11"/>
      <c r="E20" s="10"/>
      <c r="F20" s="58"/>
      <c r="G20" s="12"/>
      <c r="H20" s="12"/>
      <c r="I20" s="17"/>
      <c r="J20" s="18"/>
      <c r="K20" s="19">
        <f t="shared" si="0"/>
        <v>0</v>
      </c>
      <c r="L20" s="20"/>
      <c r="N20" s="15">
        <v>10.89</v>
      </c>
    </row>
    <row r="21" spans="1:14" s="15" customFormat="1" ht="20.25" customHeight="1" x14ac:dyDescent="0.15">
      <c r="A21" s="60"/>
      <c r="B21" s="9"/>
      <c r="C21" s="58"/>
      <c r="D21" s="11"/>
      <c r="E21" s="10"/>
      <c r="F21" s="58"/>
      <c r="G21" s="50"/>
      <c r="H21" s="50"/>
      <c r="I21" s="17"/>
      <c r="J21" s="18"/>
      <c r="K21" s="19">
        <f t="shared" si="0"/>
        <v>0</v>
      </c>
      <c r="L21" s="20"/>
      <c r="N21" s="15">
        <v>10.89</v>
      </c>
    </row>
    <row r="22" spans="1:14" s="15" customFormat="1" ht="20.25" customHeight="1" x14ac:dyDescent="0.15">
      <c r="A22" s="60"/>
      <c r="B22" s="9"/>
      <c r="C22" s="58"/>
      <c r="D22" s="11"/>
      <c r="E22" s="10"/>
      <c r="F22" s="58"/>
      <c r="G22" s="50"/>
      <c r="H22" s="50"/>
      <c r="I22" s="17"/>
      <c r="J22" s="18"/>
      <c r="K22" s="19">
        <f t="shared" si="0"/>
        <v>0</v>
      </c>
      <c r="L22" s="20"/>
      <c r="N22" s="15">
        <v>10.89</v>
      </c>
    </row>
    <row r="23" spans="1:14" ht="20.25" customHeight="1" x14ac:dyDescent="0.15">
      <c r="A23" s="60"/>
      <c r="B23" s="9"/>
      <c r="C23" s="58"/>
      <c r="D23" s="11"/>
      <c r="E23" s="10"/>
      <c r="F23" s="58"/>
      <c r="G23" s="16"/>
      <c r="H23" s="16"/>
      <c r="I23" s="17"/>
      <c r="J23" s="18"/>
      <c r="K23" s="19">
        <f t="shared" si="0"/>
        <v>0</v>
      </c>
      <c r="L23" s="20"/>
      <c r="N23" s="15">
        <v>10.89</v>
      </c>
    </row>
    <row r="24" spans="1:14" ht="20.25" customHeight="1" thickBot="1" x14ac:dyDescent="0.2">
      <c r="A24" s="56"/>
      <c r="B24" s="21"/>
      <c r="C24" s="59"/>
      <c r="D24" s="22"/>
      <c r="E24" s="23"/>
      <c r="F24" s="23"/>
      <c r="G24" s="24"/>
      <c r="H24" s="24"/>
      <c r="I24" s="25"/>
      <c r="J24" s="46">
        <f>SUM(J8:J23)</f>
        <v>455</v>
      </c>
      <c r="K24" s="47">
        <f>SUM(K8:K23)</f>
        <v>3983.4531000000006</v>
      </c>
      <c r="L24" s="26"/>
    </row>
    <row r="25" spans="1:14" ht="20.25" customHeight="1" thickTop="1" x14ac:dyDescent="0.15">
      <c r="A25" s="60" t="s">
        <v>1556</v>
      </c>
      <c r="B25" s="9" t="s">
        <v>1435</v>
      </c>
      <c r="C25" s="58" t="s">
        <v>29</v>
      </c>
      <c r="D25" s="11" t="s">
        <v>1637</v>
      </c>
      <c r="E25" s="10">
        <v>22</v>
      </c>
      <c r="F25" s="58"/>
      <c r="G25" s="12">
        <v>1440</v>
      </c>
      <c r="H25" s="12">
        <v>1238</v>
      </c>
      <c r="I25" s="17" t="s">
        <v>857</v>
      </c>
      <c r="J25" s="18">
        <v>18</v>
      </c>
      <c r="K25" s="19">
        <f t="shared" ref="K25:K40" si="1">+M25*N25</f>
        <v>215.62200000000001</v>
      </c>
      <c r="L25" s="54"/>
      <c r="M25" s="3">
        <v>19.8</v>
      </c>
      <c r="N25" s="15">
        <v>10.89</v>
      </c>
    </row>
    <row r="26" spans="1:14" ht="20.25" customHeight="1" x14ac:dyDescent="0.15">
      <c r="A26" s="60"/>
      <c r="B26" s="9"/>
      <c r="C26" s="58" t="s">
        <v>29</v>
      </c>
      <c r="D26" s="11" t="s">
        <v>1690</v>
      </c>
      <c r="E26" s="10">
        <v>22</v>
      </c>
      <c r="F26" s="58"/>
      <c r="G26" s="12">
        <v>1440</v>
      </c>
      <c r="H26" s="12">
        <v>1238</v>
      </c>
      <c r="I26" s="17" t="s">
        <v>857</v>
      </c>
      <c r="J26" s="18">
        <v>18</v>
      </c>
      <c r="K26" s="19">
        <f t="shared" si="1"/>
        <v>215.62200000000001</v>
      </c>
      <c r="L26" s="54"/>
      <c r="M26" s="3">
        <v>19.8</v>
      </c>
      <c r="N26" s="15">
        <v>10.89</v>
      </c>
    </row>
    <row r="27" spans="1:14" ht="20.25" customHeight="1" x14ac:dyDescent="0.15">
      <c r="A27" s="61"/>
      <c r="B27" s="9"/>
      <c r="C27" s="58" t="s">
        <v>29</v>
      </c>
      <c r="D27" s="11" t="s">
        <v>1638</v>
      </c>
      <c r="E27" s="10">
        <v>46.76</v>
      </c>
      <c r="F27" s="58" t="s">
        <v>11</v>
      </c>
      <c r="G27" s="12">
        <v>886</v>
      </c>
      <c r="H27" s="12">
        <v>508</v>
      </c>
      <c r="I27" s="17">
        <v>8</v>
      </c>
      <c r="J27" s="18">
        <v>8</v>
      </c>
      <c r="K27" s="19">
        <f t="shared" si="1"/>
        <v>39.204000000000001</v>
      </c>
      <c r="L27" s="54"/>
      <c r="M27" s="3">
        <v>3.6</v>
      </c>
      <c r="N27" s="15">
        <v>10.89</v>
      </c>
    </row>
    <row r="28" spans="1:14" ht="20.25" customHeight="1" x14ac:dyDescent="0.15">
      <c r="A28" s="61" t="s">
        <v>1691</v>
      </c>
      <c r="B28" s="9" t="s">
        <v>131</v>
      </c>
      <c r="C28" s="58" t="s">
        <v>29</v>
      </c>
      <c r="D28" s="11" t="s">
        <v>1445</v>
      </c>
      <c r="E28" s="10">
        <v>22</v>
      </c>
      <c r="F28" s="58" t="s">
        <v>11</v>
      </c>
      <c r="G28" s="12">
        <v>1434</v>
      </c>
      <c r="H28" s="12">
        <v>1927</v>
      </c>
      <c r="I28" s="17" t="s">
        <v>1253</v>
      </c>
      <c r="J28" s="18">
        <v>152</v>
      </c>
      <c r="K28" s="19">
        <f t="shared" si="1"/>
        <v>1446.4097999999999</v>
      </c>
      <c r="L28" s="54"/>
      <c r="M28" s="3">
        <v>132.82</v>
      </c>
      <c r="N28" s="15">
        <v>10.89</v>
      </c>
    </row>
    <row r="29" spans="1:14" ht="20.25" customHeight="1" x14ac:dyDescent="0.15">
      <c r="A29" s="61" t="s">
        <v>1692</v>
      </c>
      <c r="B29" s="9" t="s">
        <v>1693</v>
      </c>
      <c r="C29" s="58" t="s">
        <v>29</v>
      </c>
      <c r="D29" s="11" t="s">
        <v>1694</v>
      </c>
      <c r="E29" s="10">
        <v>43</v>
      </c>
      <c r="F29" s="58" t="s">
        <v>11</v>
      </c>
      <c r="G29" s="12">
        <v>300</v>
      </c>
      <c r="H29" s="12">
        <v>300</v>
      </c>
      <c r="I29" s="17">
        <v>1</v>
      </c>
      <c r="J29" s="18">
        <v>1</v>
      </c>
      <c r="K29" s="19">
        <f t="shared" si="1"/>
        <v>3.0492000000000004</v>
      </c>
      <c r="L29" s="54"/>
      <c r="M29" s="3">
        <v>0.28000000000000003</v>
      </c>
      <c r="N29" s="15">
        <v>10.89</v>
      </c>
    </row>
    <row r="30" spans="1:14" ht="20.25" customHeight="1" x14ac:dyDescent="0.15">
      <c r="A30" s="60"/>
      <c r="B30" s="9"/>
      <c r="C30" s="58" t="s">
        <v>29</v>
      </c>
      <c r="D30" s="11" t="s">
        <v>1749</v>
      </c>
      <c r="E30" s="10">
        <v>43</v>
      </c>
      <c r="F30" s="58"/>
      <c r="G30" s="12">
        <v>300</v>
      </c>
      <c r="H30" s="12">
        <v>300</v>
      </c>
      <c r="I30" s="17">
        <v>1</v>
      </c>
      <c r="J30" s="18">
        <v>1</v>
      </c>
      <c r="K30" s="19">
        <f>+M30*N30</f>
        <v>3.0492000000000004</v>
      </c>
      <c r="L30" s="27"/>
      <c r="M30" s="3">
        <v>0.28000000000000003</v>
      </c>
      <c r="N30" s="15">
        <v>10.89</v>
      </c>
    </row>
    <row r="31" spans="1:14" ht="20.25" customHeight="1" x14ac:dyDescent="0.15">
      <c r="A31" s="61" t="s">
        <v>1695</v>
      </c>
      <c r="B31" s="9" t="s">
        <v>1642</v>
      </c>
      <c r="C31" s="58" t="s">
        <v>29</v>
      </c>
      <c r="D31" s="11" t="s">
        <v>1581</v>
      </c>
      <c r="E31" s="10">
        <v>22</v>
      </c>
      <c r="F31" s="58"/>
      <c r="G31" s="12">
        <v>759</v>
      </c>
      <c r="H31" s="12">
        <v>1973</v>
      </c>
      <c r="I31" s="51" t="s">
        <v>1748</v>
      </c>
      <c r="J31" s="52">
        <v>234</v>
      </c>
      <c r="K31" s="53">
        <f t="shared" si="1"/>
        <v>3069.6732000000002</v>
      </c>
      <c r="L31" s="54"/>
      <c r="M31" s="3">
        <v>281.88</v>
      </c>
      <c r="N31" s="15">
        <v>10.89</v>
      </c>
    </row>
    <row r="32" spans="1:14" ht="20.25" customHeight="1" x14ac:dyDescent="0.15">
      <c r="A32" s="61" t="s">
        <v>1573</v>
      </c>
      <c r="B32" s="9" t="s">
        <v>1435</v>
      </c>
      <c r="C32" s="58" t="s">
        <v>29</v>
      </c>
      <c r="D32" s="11" t="s">
        <v>1637</v>
      </c>
      <c r="E32" s="10">
        <v>22</v>
      </c>
      <c r="F32" s="58"/>
      <c r="G32" s="12">
        <v>1440</v>
      </c>
      <c r="H32" s="12">
        <v>1238</v>
      </c>
      <c r="I32" s="51" t="s">
        <v>857</v>
      </c>
      <c r="J32" s="52">
        <v>18</v>
      </c>
      <c r="K32" s="53">
        <f t="shared" si="1"/>
        <v>215.62200000000001</v>
      </c>
      <c r="L32" s="54"/>
      <c r="M32" s="3">
        <v>19.8</v>
      </c>
      <c r="N32" s="15">
        <v>10.89</v>
      </c>
    </row>
    <row r="33" spans="1:17" ht="20.25" customHeight="1" x14ac:dyDescent="0.15">
      <c r="A33" s="60"/>
      <c r="B33" s="9"/>
      <c r="C33" s="58"/>
      <c r="D33" s="11"/>
      <c r="E33" s="10"/>
      <c r="F33" s="58"/>
      <c r="G33" s="12"/>
      <c r="H33" s="12"/>
      <c r="I33" s="17"/>
      <c r="J33" s="18"/>
      <c r="K33" s="19">
        <f t="shared" si="1"/>
        <v>0</v>
      </c>
      <c r="L33" s="27"/>
      <c r="N33" s="15">
        <v>10.89</v>
      </c>
    </row>
    <row r="34" spans="1:17" ht="20.25" customHeight="1" x14ac:dyDescent="0.15">
      <c r="A34" s="60"/>
      <c r="B34" s="9"/>
      <c r="C34" s="58"/>
      <c r="D34" s="11"/>
      <c r="E34" s="10"/>
      <c r="F34" s="58"/>
      <c r="G34" s="12"/>
      <c r="H34" s="12"/>
      <c r="I34" s="17"/>
      <c r="J34" s="18"/>
      <c r="K34" s="19">
        <f t="shared" si="1"/>
        <v>0</v>
      </c>
      <c r="L34" s="27"/>
      <c r="N34" s="15">
        <v>10.89</v>
      </c>
    </row>
    <row r="35" spans="1:17" ht="20.25" customHeight="1" x14ac:dyDescent="0.15">
      <c r="A35" s="60"/>
      <c r="B35" s="9"/>
      <c r="C35" s="58"/>
      <c r="D35" s="11"/>
      <c r="E35" s="10"/>
      <c r="F35" s="58"/>
      <c r="G35" s="12"/>
      <c r="H35" s="12"/>
      <c r="I35" s="17"/>
      <c r="J35" s="18"/>
      <c r="K35" s="19">
        <f t="shared" si="1"/>
        <v>0</v>
      </c>
      <c r="L35" s="27"/>
      <c r="N35" s="15">
        <v>10.89</v>
      </c>
    </row>
    <row r="36" spans="1:17" ht="20.25" customHeight="1" x14ac:dyDescent="0.15">
      <c r="A36" s="60"/>
      <c r="B36" s="9"/>
      <c r="C36" s="58"/>
      <c r="D36" s="11"/>
      <c r="E36" s="10"/>
      <c r="F36" s="58"/>
      <c r="G36" s="12"/>
      <c r="H36" s="12"/>
      <c r="I36" s="17"/>
      <c r="J36" s="18"/>
      <c r="K36" s="19">
        <f t="shared" si="1"/>
        <v>0</v>
      </c>
      <c r="L36" s="27"/>
      <c r="N36" s="15">
        <v>10.89</v>
      </c>
    </row>
    <row r="37" spans="1:17" ht="20.25" customHeight="1" x14ac:dyDescent="0.15">
      <c r="A37" s="60"/>
      <c r="B37" s="9"/>
      <c r="C37" s="58"/>
      <c r="D37" s="11"/>
      <c r="E37" s="10"/>
      <c r="F37" s="58"/>
      <c r="G37" s="12"/>
      <c r="H37" s="12"/>
      <c r="I37" s="17"/>
      <c r="J37" s="18"/>
      <c r="K37" s="19">
        <f t="shared" si="1"/>
        <v>0</v>
      </c>
      <c r="L37" s="27"/>
      <c r="N37" s="15">
        <v>10.89</v>
      </c>
    </row>
    <row r="38" spans="1:17" ht="20.25" customHeight="1" x14ac:dyDescent="0.15">
      <c r="A38" s="60"/>
      <c r="B38" s="9"/>
      <c r="C38" s="58"/>
      <c r="D38" s="11"/>
      <c r="E38" s="10"/>
      <c r="F38" s="58"/>
      <c r="G38" s="12"/>
      <c r="H38" s="12"/>
      <c r="I38" s="17"/>
      <c r="J38" s="18"/>
      <c r="K38" s="19">
        <f t="shared" si="1"/>
        <v>0</v>
      </c>
      <c r="L38" s="27"/>
      <c r="N38" s="15">
        <v>10.89</v>
      </c>
    </row>
    <row r="39" spans="1:17" ht="20.25" customHeight="1" x14ac:dyDescent="0.15">
      <c r="A39" s="60"/>
      <c r="B39" s="9"/>
      <c r="C39" s="58"/>
      <c r="D39" s="11"/>
      <c r="E39" s="10"/>
      <c r="F39" s="58"/>
      <c r="G39" s="12"/>
      <c r="H39" s="12"/>
      <c r="I39" s="17"/>
      <c r="J39" s="18"/>
      <c r="K39" s="19">
        <f t="shared" si="1"/>
        <v>0</v>
      </c>
      <c r="L39" s="27"/>
      <c r="N39" s="15">
        <v>10.89</v>
      </c>
      <c r="Q39" s="65"/>
    </row>
    <row r="40" spans="1:17" ht="20.25" customHeight="1" x14ac:dyDescent="0.15">
      <c r="A40" s="60"/>
      <c r="B40" s="9"/>
      <c r="C40" s="58"/>
      <c r="D40" s="11"/>
      <c r="E40" s="10"/>
      <c r="F40" s="58"/>
      <c r="G40" s="12"/>
      <c r="H40" s="12"/>
      <c r="I40" s="17"/>
      <c r="J40" s="18"/>
      <c r="K40" s="19">
        <f t="shared" si="1"/>
        <v>0</v>
      </c>
      <c r="L40" s="27"/>
      <c r="N40" s="15">
        <v>10.89</v>
      </c>
    </row>
    <row r="41" spans="1:17" ht="20.25" customHeight="1" x14ac:dyDescent="0.15">
      <c r="A41" s="57"/>
      <c r="B41" s="28"/>
      <c r="C41" s="58"/>
      <c r="D41" s="29"/>
      <c r="E41" s="30"/>
      <c r="F41" s="30"/>
      <c r="G41" s="30"/>
      <c r="H41" s="30"/>
      <c r="I41" s="13"/>
      <c r="J41" s="48">
        <f>SUM(J25:J40)</f>
        <v>450</v>
      </c>
      <c r="K41" s="49">
        <f>SUM(K25:K40)</f>
        <v>5208.2514000000001</v>
      </c>
      <c r="L41" s="31"/>
      <c r="N41" s="32"/>
    </row>
    <row r="42" spans="1:17" ht="20.25" customHeight="1" thickBot="1" x14ac:dyDescent="0.2">
      <c r="A42" s="55"/>
      <c r="B42" s="33"/>
      <c r="C42" s="33"/>
      <c r="D42" s="33"/>
      <c r="E42" s="33"/>
      <c r="F42" s="33"/>
      <c r="G42" s="33"/>
      <c r="H42" s="33"/>
      <c r="I42" s="33"/>
      <c r="J42" s="34"/>
      <c r="K42" s="35"/>
      <c r="L42" s="36"/>
    </row>
    <row r="43" spans="1:17" ht="20.25" customHeight="1" thickBot="1" x14ac:dyDescent="0.2">
      <c r="A43" s="37" t="s">
        <v>19</v>
      </c>
      <c r="B43" s="38" t="s">
        <v>20</v>
      </c>
      <c r="C43" s="77" t="s">
        <v>21</v>
      </c>
      <c r="D43" s="79"/>
      <c r="E43" s="77" t="s">
        <v>22</v>
      </c>
      <c r="F43" s="78"/>
      <c r="G43" s="79"/>
      <c r="H43" s="85" t="s">
        <v>23</v>
      </c>
      <c r="I43" s="86"/>
      <c r="J43" s="77" t="s">
        <v>24</v>
      </c>
      <c r="K43" s="79"/>
      <c r="L43" s="39" t="s">
        <v>13</v>
      </c>
    </row>
    <row r="44" spans="1:17" ht="20.25" customHeight="1" thickBot="1" x14ac:dyDescent="0.2">
      <c r="A44" s="40">
        <f>SUMIF($C$8:$C$42,"U1",$J$8:$J$42)</f>
        <v>28</v>
      </c>
      <c r="B44" s="41">
        <f>SUMIF($C$8:$C$42,"U2",$J$8:$J$42)</f>
        <v>0</v>
      </c>
      <c r="C44" s="77">
        <f>SUMIF($C$8:$C$42,"U3-1",$J$8:$J$42)</f>
        <v>0</v>
      </c>
      <c r="D44" s="79"/>
      <c r="E44" s="77">
        <f>SUMIF($C$8:$C$42,"U3",$J$8:$J$42)</f>
        <v>877</v>
      </c>
      <c r="F44" s="78"/>
      <c r="G44" s="79"/>
      <c r="H44" s="77">
        <f>SUMIF($C$8:$C$42,"E5",$J$8:$J$42)</f>
        <v>0</v>
      </c>
      <c r="I44" s="79"/>
      <c r="J44" s="77">
        <f>SUM(A44:I44)</f>
        <v>905</v>
      </c>
      <c r="K44" s="79"/>
      <c r="L44" s="42"/>
    </row>
    <row r="45" spans="1:17" ht="20.25" customHeight="1" thickBot="1" x14ac:dyDescent="0.2">
      <c r="A45" s="43" t="s">
        <v>25</v>
      </c>
      <c r="B45" s="44" t="s">
        <v>26</v>
      </c>
      <c r="C45" s="75">
        <v>13876</v>
      </c>
      <c r="D45" s="76"/>
      <c r="E45" s="77" t="s">
        <v>27</v>
      </c>
      <c r="F45" s="78"/>
      <c r="G45" s="78"/>
      <c r="H45" s="78"/>
      <c r="I45" s="79"/>
      <c r="J45" s="80">
        <v>146744.37</v>
      </c>
      <c r="K45" s="81"/>
      <c r="L45" s="82"/>
    </row>
    <row r="47" spans="1:17" x14ac:dyDescent="0.15">
      <c r="D47" s="45"/>
    </row>
  </sheetData>
  <mergeCells count="26">
    <mergeCell ref="L2:L4"/>
    <mergeCell ref="A1:G3"/>
    <mergeCell ref="H1:H4"/>
    <mergeCell ref="I2:I4"/>
    <mergeCell ref="J2:J4"/>
    <mergeCell ref="K2:K4"/>
    <mergeCell ref="B5:G5"/>
    <mergeCell ref="A6:A7"/>
    <mergeCell ref="B6:B7"/>
    <mergeCell ref="C6:C7"/>
    <mergeCell ref="D6:D7"/>
    <mergeCell ref="E6:E7"/>
    <mergeCell ref="F6:F7"/>
    <mergeCell ref="G6:K6"/>
    <mergeCell ref="C45:D45"/>
    <mergeCell ref="E45:I45"/>
    <mergeCell ref="J45:L45"/>
    <mergeCell ref="L6:L7"/>
    <mergeCell ref="C43:D43"/>
    <mergeCell ref="E43:G43"/>
    <mergeCell ref="H43:I43"/>
    <mergeCell ref="J43:K43"/>
    <mergeCell ref="C44:D44"/>
    <mergeCell ref="E44:G44"/>
    <mergeCell ref="H44:I44"/>
    <mergeCell ref="J44:K44"/>
  </mergeCells>
  <phoneticPr fontId="2" type="noConversion"/>
  <printOptions horizontalCentered="1"/>
  <pageMargins left="0.39370078740157483" right="0.39370078740157483" top="0.74803149606299213" bottom="0.19685039370078741" header="0.31496062992125984" footer="0.15748031496062992"/>
  <pageSetup paperSize="9" scale="84" orientation="portrait" r:id="rId1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F0B9AB-732F-40F8-B14C-676B71E9E466}">
  <dimension ref="A1:Q47"/>
  <sheetViews>
    <sheetView view="pageBreakPreview" zoomScaleSheetLayoutView="100" workbookViewId="0">
      <selection activeCell="J12" sqref="J12"/>
    </sheetView>
  </sheetViews>
  <sheetFormatPr defaultColWidth="8.88671875" defaultRowHeight="13.5" x14ac:dyDescent="0.15"/>
  <cols>
    <col min="1" max="1" width="8.44140625" style="3" customWidth="1"/>
    <col min="2" max="2" width="14.77734375" style="3" customWidth="1"/>
    <col min="3" max="3" width="4.109375" style="3" customWidth="1"/>
    <col min="4" max="4" width="15.21875" style="3" customWidth="1"/>
    <col min="5" max="5" width="4.44140625" style="3" customWidth="1"/>
    <col min="6" max="6" width="4" style="3" customWidth="1"/>
    <col min="7" max="7" width="5.5546875" style="3" customWidth="1"/>
    <col min="8" max="8" width="5.44140625" style="3" customWidth="1"/>
    <col min="9" max="9" width="7.88671875" style="3" customWidth="1"/>
    <col min="10" max="10" width="7.109375" style="3" customWidth="1"/>
    <col min="11" max="11" width="7.21875" style="3" customWidth="1"/>
    <col min="12" max="12" width="6.77734375" style="3" customWidth="1"/>
    <col min="13" max="16384" width="8.88671875" style="3"/>
  </cols>
  <sheetData>
    <row r="1" spans="1:14" ht="18.75" customHeight="1" x14ac:dyDescent="0.15">
      <c r="A1" s="101" t="s">
        <v>0</v>
      </c>
      <c r="B1" s="102"/>
      <c r="C1" s="102"/>
      <c r="D1" s="102"/>
      <c r="E1" s="102"/>
      <c r="F1" s="102"/>
      <c r="G1" s="103"/>
      <c r="H1" s="107" t="s">
        <v>1</v>
      </c>
      <c r="I1" s="1" t="s">
        <v>2</v>
      </c>
      <c r="J1" s="1" t="s">
        <v>2</v>
      </c>
      <c r="K1" s="1" t="s">
        <v>3</v>
      </c>
      <c r="L1" s="2" t="s">
        <v>4</v>
      </c>
    </row>
    <row r="2" spans="1:14" ht="13.5" customHeight="1" x14ac:dyDescent="0.15">
      <c r="A2" s="104"/>
      <c r="B2" s="105"/>
      <c r="C2" s="105"/>
      <c r="D2" s="105"/>
      <c r="E2" s="105"/>
      <c r="F2" s="105"/>
      <c r="G2" s="106"/>
      <c r="H2" s="108"/>
      <c r="I2" s="110"/>
      <c r="J2" s="110"/>
      <c r="K2" s="110"/>
      <c r="L2" s="98"/>
    </row>
    <row r="3" spans="1:14" ht="13.5" customHeight="1" x14ac:dyDescent="0.15">
      <c r="A3" s="104"/>
      <c r="B3" s="105"/>
      <c r="C3" s="105"/>
      <c r="D3" s="105"/>
      <c r="E3" s="105"/>
      <c r="F3" s="105"/>
      <c r="G3" s="106"/>
      <c r="H3" s="108"/>
      <c r="I3" s="108"/>
      <c r="J3" s="108"/>
      <c r="K3" s="108"/>
      <c r="L3" s="99"/>
    </row>
    <row r="4" spans="1:14" ht="33" customHeight="1" x14ac:dyDescent="0.15">
      <c r="A4" s="4"/>
      <c r="B4" s="5"/>
      <c r="C4" s="5"/>
      <c r="D4" s="5"/>
      <c r="E4" s="5"/>
      <c r="F4" s="5"/>
      <c r="G4" s="5"/>
      <c r="H4" s="109"/>
      <c r="I4" s="109"/>
      <c r="J4" s="109"/>
      <c r="K4" s="109"/>
      <c r="L4" s="100"/>
    </row>
    <row r="5" spans="1:14" ht="17.25" customHeight="1" x14ac:dyDescent="0.15">
      <c r="A5" s="6" t="s">
        <v>5</v>
      </c>
      <c r="B5" s="87">
        <v>46112</v>
      </c>
      <c r="C5" s="88"/>
      <c r="D5" s="88"/>
      <c r="E5" s="88"/>
      <c r="F5" s="88"/>
      <c r="G5" s="88"/>
      <c r="H5" s="5"/>
      <c r="I5" s="5"/>
      <c r="J5" s="5"/>
      <c r="K5" s="5"/>
      <c r="L5" s="7"/>
    </row>
    <row r="6" spans="1:14" ht="13.5" customHeight="1" x14ac:dyDescent="0.15">
      <c r="A6" s="89" t="s">
        <v>6</v>
      </c>
      <c r="B6" s="91" t="s">
        <v>7</v>
      </c>
      <c r="C6" s="91" t="s">
        <v>8</v>
      </c>
      <c r="D6" s="91" t="s">
        <v>9</v>
      </c>
      <c r="E6" s="93" t="s">
        <v>10</v>
      </c>
      <c r="F6" s="93" t="s">
        <v>11</v>
      </c>
      <c r="G6" s="95" t="s">
        <v>12</v>
      </c>
      <c r="H6" s="96"/>
      <c r="I6" s="96"/>
      <c r="J6" s="96"/>
      <c r="K6" s="97"/>
      <c r="L6" s="83" t="s">
        <v>13</v>
      </c>
    </row>
    <row r="7" spans="1:14" x14ac:dyDescent="0.15">
      <c r="A7" s="90"/>
      <c r="B7" s="92"/>
      <c r="C7" s="92"/>
      <c r="D7" s="92"/>
      <c r="E7" s="94"/>
      <c r="F7" s="94"/>
      <c r="G7" s="8" t="s">
        <v>14</v>
      </c>
      <c r="H7" s="8" t="s">
        <v>15</v>
      </c>
      <c r="I7" s="8" t="s">
        <v>16</v>
      </c>
      <c r="J7" s="8" t="s">
        <v>17</v>
      </c>
      <c r="K7" s="8" t="s">
        <v>18</v>
      </c>
      <c r="L7" s="84"/>
    </row>
    <row r="8" spans="1:14" s="15" customFormat="1" ht="20.25" customHeight="1" x14ac:dyDescent="0.15">
      <c r="A8" s="60" t="s">
        <v>1696</v>
      </c>
      <c r="B8" s="9" t="s">
        <v>131</v>
      </c>
      <c r="C8" s="58" t="s">
        <v>29</v>
      </c>
      <c r="D8" s="11" t="s">
        <v>1445</v>
      </c>
      <c r="E8" s="10">
        <v>22</v>
      </c>
      <c r="F8" s="58" t="s">
        <v>11</v>
      </c>
      <c r="G8" s="12">
        <v>1421</v>
      </c>
      <c r="H8" s="12">
        <v>1763</v>
      </c>
      <c r="I8" s="17" t="s">
        <v>1697</v>
      </c>
      <c r="J8" s="18">
        <v>123</v>
      </c>
      <c r="K8" s="19">
        <f>+M8*N8</f>
        <v>1157.4981</v>
      </c>
      <c r="L8" s="14"/>
      <c r="M8" s="15">
        <v>106.29</v>
      </c>
      <c r="N8" s="15">
        <v>10.89</v>
      </c>
    </row>
    <row r="9" spans="1:14" s="15" customFormat="1" ht="20.25" customHeight="1" x14ac:dyDescent="0.15">
      <c r="A9" s="60"/>
      <c r="B9" s="9"/>
      <c r="C9" s="58" t="s">
        <v>29</v>
      </c>
      <c r="D9" s="11" t="s">
        <v>1698</v>
      </c>
      <c r="E9" s="10">
        <v>22</v>
      </c>
      <c r="F9" s="58" t="s">
        <v>11</v>
      </c>
      <c r="G9" s="12">
        <v>1421</v>
      </c>
      <c r="H9" s="12">
        <v>1763</v>
      </c>
      <c r="I9" s="17" t="s">
        <v>1697</v>
      </c>
      <c r="J9" s="18">
        <v>123</v>
      </c>
      <c r="K9" s="19">
        <f t="shared" ref="K9:K23" si="0">+M9*N9</f>
        <v>1157.4981</v>
      </c>
      <c r="L9" s="14"/>
      <c r="M9" s="15">
        <v>106.29</v>
      </c>
      <c r="N9" s="15">
        <v>10.89</v>
      </c>
    </row>
    <row r="10" spans="1:14" s="15" customFormat="1" ht="20.25" customHeight="1" x14ac:dyDescent="0.15">
      <c r="A10" s="60" t="s">
        <v>1699</v>
      </c>
      <c r="B10" s="9" t="s">
        <v>1506</v>
      </c>
      <c r="C10" s="58" t="s">
        <v>29</v>
      </c>
      <c r="D10" s="11" t="s">
        <v>1700</v>
      </c>
      <c r="E10" s="10">
        <v>24</v>
      </c>
      <c r="F10" s="58" t="s">
        <v>11</v>
      </c>
      <c r="G10" s="12">
        <v>1482</v>
      </c>
      <c r="H10" s="12">
        <v>1225</v>
      </c>
      <c r="I10" s="17">
        <v>1</v>
      </c>
      <c r="J10" s="18">
        <v>1</v>
      </c>
      <c r="K10" s="19">
        <f t="shared" si="0"/>
        <v>19.819800000000001</v>
      </c>
      <c r="L10" s="14"/>
      <c r="M10" s="15">
        <v>1.82</v>
      </c>
      <c r="N10" s="15">
        <v>10.89</v>
      </c>
    </row>
    <row r="11" spans="1:14" s="15" customFormat="1" ht="20.25" customHeight="1" x14ac:dyDescent="0.15">
      <c r="A11" s="60" t="s">
        <v>1701</v>
      </c>
      <c r="B11" s="9" t="s">
        <v>131</v>
      </c>
      <c r="C11" s="58" t="s">
        <v>29</v>
      </c>
      <c r="D11" s="11" t="s">
        <v>1445</v>
      </c>
      <c r="E11" s="10">
        <v>22</v>
      </c>
      <c r="F11" s="58" t="s">
        <v>11</v>
      </c>
      <c r="G11" s="12">
        <v>1723</v>
      </c>
      <c r="H11" s="12">
        <v>1763</v>
      </c>
      <c r="I11" s="17" t="s">
        <v>1750</v>
      </c>
      <c r="J11" s="18">
        <v>179</v>
      </c>
      <c r="K11" s="19">
        <f t="shared" si="0"/>
        <v>1716.6995999999999</v>
      </c>
      <c r="L11" s="14"/>
      <c r="M11" s="15">
        <v>157.63999999999999</v>
      </c>
      <c r="N11" s="15">
        <v>10.89</v>
      </c>
    </row>
    <row r="12" spans="1:14" s="15" customFormat="1" ht="20.25" customHeight="1" x14ac:dyDescent="0.15">
      <c r="A12" s="60" t="s">
        <v>1688</v>
      </c>
      <c r="B12" s="9" t="s">
        <v>1435</v>
      </c>
      <c r="C12" s="58" t="s">
        <v>29</v>
      </c>
      <c r="D12" s="11" t="s">
        <v>1436</v>
      </c>
      <c r="E12" s="10">
        <v>22</v>
      </c>
      <c r="F12" s="58"/>
      <c r="G12" s="12">
        <v>304</v>
      </c>
      <c r="H12" s="12">
        <v>967</v>
      </c>
      <c r="I12" s="17">
        <v>10</v>
      </c>
      <c r="J12" s="18">
        <v>10</v>
      </c>
      <c r="K12" s="19">
        <f t="shared" si="0"/>
        <v>31.581</v>
      </c>
      <c r="L12" s="14"/>
      <c r="M12" s="15">
        <v>2.9</v>
      </c>
      <c r="N12" s="15">
        <v>10.89</v>
      </c>
    </row>
    <row r="13" spans="1:14" s="15" customFormat="1" ht="20.25" customHeight="1" x14ac:dyDescent="0.15">
      <c r="A13" s="60"/>
      <c r="B13" s="9"/>
      <c r="C13" s="58"/>
      <c r="D13" s="11"/>
      <c r="E13" s="10"/>
      <c r="F13" s="58"/>
      <c r="G13" s="12"/>
      <c r="H13" s="12"/>
      <c r="I13" s="17"/>
      <c r="J13" s="18"/>
      <c r="K13" s="19">
        <f t="shared" si="0"/>
        <v>0</v>
      </c>
      <c r="L13" s="14"/>
      <c r="N13" s="15">
        <v>10.89</v>
      </c>
    </row>
    <row r="14" spans="1:14" s="15" customFormat="1" ht="20.25" customHeight="1" x14ac:dyDescent="0.15">
      <c r="A14" s="60"/>
      <c r="B14" s="9"/>
      <c r="C14" s="58"/>
      <c r="D14" s="11"/>
      <c r="E14" s="10"/>
      <c r="F14" s="58"/>
      <c r="G14" s="12"/>
      <c r="H14" s="12"/>
      <c r="I14" s="17"/>
      <c r="J14" s="18"/>
      <c r="K14" s="19">
        <f t="shared" si="0"/>
        <v>0</v>
      </c>
      <c r="L14" s="20"/>
      <c r="N14" s="15">
        <v>10.89</v>
      </c>
    </row>
    <row r="15" spans="1:14" s="15" customFormat="1" ht="20.25" customHeight="1" x14ac:dyDescent="0.15">
      <c r="A15" s="60"/>
      <c r="B15" s="9"/>
      <c r="C15" s="58"/>
      <c r="D15" s="11"/>
      <c r="E15" s="10"/>
      <c r="F15" s="58"/>
      <c r="G15" s="12"/>
      <c r="H15" s="12"/>
      <c r="I15" s="17"/>
      <c r="J15" s="18"/>
      <c r="K15" s="19">
        <f t="shared" si="0"/>
        <v>0</v>
      </c>
      <c r="L15" s="20"/>
      <c r="N15" s="15">
        <v>10.89</v>
      </c>
    </row>
    <row r="16" spans="1:14" s="15" customFormat="1" ht="20.25" customHeight="1" x14ac:dyDescent="0.15">
      <c r="A16" s="60"/>
      <c r="B16" s="9"/>
      <c r="C16" s="58"/>
      <c r="D16" s="11"/>
      <c r="E16" s="10"/>
      <c r="F16" s="58"/>
      <c r="G16" s="12"/>
      <c r="H16" s="12"/>
      <c r="I16" s="17"/>
      <c r="J16" s="18"/>
      <c r="K16" s="19">
        <f t="shared" si="0"/>
        <v>0</v>
      </c>
      <c r="L16" s="20"/>
      <c r="N16" s="15">
        <v>10.89</v>
      </c>
    </row>
    <row r="17" spans="1:14" s="15" customFormat="1" ht="20.25" customHeight="1" x14ac:dyDescent="0.15">
      <c r="A17" s="60"/>
      <c r="B17" s="9"/>
      <c r="C17" s="58"/>
      <c r="D17" s="11"/>
      <c r="E17" s="10"/>
      <c r="F17" s="58"/>
      <c r="G17" s="12"/>
      <c r="H17" s="12"/>
      <c r="I17" s="17"/>
      <c r="J17" s="18"/>
      <c r="K17" s="19">
        <f t="shared" si="0"/>
        <v>0</v>
      </c>
      <c r="L17" s="20"/>
      <c r="N17" s="15">
        <v>10.89</v>
      </c>
    </row>
    <row r="18" spans="1:14" s="15" customFormat="1" ht="20.25" customHeight="1" x14ac:dyDescent="0.15">
      <c r="A18" s="60"/>
      <c r="B18" s="9"/>
      <c r="C18" s="58"/>
      <c r="D18" s="11"/>
      <c r="E18" s="10"/>
      <c r="F18" s="58"/>
      <c r="G18" s="12"/>
      <c r="H18" s="12"/>
      <c r="I18" s="17"/>
      <c r="J18" s="18"/>
      <c r="K18" s="19">
        <f t="shared" si="0"/>
        <v>0</v>
      </c>
      <c r="L18" s="20"/>
      <c r="N18" s="15">
        <v>10.89</v>
      </c>
    </row>
    <row r="19" spans="1:14" s="15" customFormat="1" ht="20.25" customHeight="1" x14ac:dyDescent="0.15">
      <c r="A19" s="60"/>
      <c r="B19" s="9"/>
      <c r="C19" s="58"/>
      <c r="D19" s="11"/>
      <c r="E19" s="10"/>
      <c r="F19" s="58"/>
      <c r="G19" s="12"/>
      <c r="H19" s="12"/>
      <c r="I19" s="17"/>
      <c r="J19" s="18"/>
      <c r="K19" s="19">
        <f t="shared" si="0"/>
        <v>0</v>
      </c>
      <c r="L19" s="20"/>
      <c r="N19" s="15">
        <v>10.89</v>
      </c>
    </row>
    <row r="20" spans="1:14" s="15" customFormat="1" ht="20.25" customHeight="1" x14ac:dyDescent="0.15">
      <c r="A20" s="60"/>
      <c r="B20" s="9"/>
      <c r="C20" s="58"/>
      <c r="D20" s="11"/>
      <c r="E20" s="10"/>
      <c r="F20" s="58"/>
      <c r="G20" s="12"/>
      <c r="H20" s="12"/>
      <c r="I20" s="17"/>
      <c r="J20" s="18"/>
      <c r="K20" s="19">
        <f t="shared" si="0"/>
        <v>0</v>
      </c>
      <c r="L20" s="20"/>
      <c r="N20" s="15">
        <v>10.89</v>
      </c>
    </row>
    <row r="21" spans="1:14" s="15" customFormat="1" ht="20.25" customHeight="1" x14ac:dyDescent="0.15">
      <c r="A21" s="60"/>
      <c r="B21" s="9"/>
      <c r="C21" s="58"/>
      <c r="D21" s="11"/>
      <c r="E21" s="10"/>
      <c r="F21" s="58"/>
      <c r="G21" s="50"/>
      <c r="H21" s="50"/>
      <c r="I21" s="17"/>
      <c r="J21" s="18"/>
      <c r="K21" s="19">
        <f t="shared" si="0"/>
        <v>0</v>
      </c>
      <c r="L21" s="20"/>
      <c r="N21" s="15">
        <v>10.89</v>
      </c>
    </row>
    <row r="22" spans="1:14" s="15" customFormat="1" ht="20.25" customHeight="1" x14ac:dyDescent="0.15">
      <c r="A22" s="60"/>
      <c r="B22" s="9"/>
      <c r="C22" s="58"/>
      <c r="D22" s="11"/>
      <c r="E22" s="10"/>
      <c r="F22" s="58"/>
      <c r="G22" s="50"/>
      <c r="H22" s="50"/>
      <c r="I22" s="17"/>
      <c r="J22" s="18"/>
      <c r="K22" s="19">
        <f t="shared" si="0"/>
        <v>0</v>
      </c>
      <c r="L22" s="20"/>
      <c r="N22" s="15">
        <v>10.89</v>
      </c>
    </row>
    <row r="23" spans="1:14" ht="20.25" customHeight="1" x14ac:dyDescent="0.15">
      <c r="A23" s="60"/>
      <c r="B23" s="9"/>
      <c r="C23" s="58"/>
      <c r="D23" s="11"/>
      <c r="E23" s="10"/>
      <c r="F23" s="58"/>
      <c r="G23" s="16"/>
      <c r="H23" s="16"/>
      <c r="I23" s="17"/>
      <c r="J23" s="18"/>
      <c r="K23" s="19">
        <f t="shared" si="0"/>
        <v>0</v>
      </c>
      <c r="L23" s="20"/>
      <c r="N23" s="15">
        <v>10.89</v>
      </c>
    </row>
    <row r="24" spans="1:14" ht="20.25" customHeight="1" thickBot="1" x14ac:dyDescent="0.2">
      <c r="A24" s="56"/>
      <c r="B24" s="21"/>
      <c r="C24" s="59"/>
      <c r="D24" s="22"/>
      <c r="E24" s="23"/>
      <c r="F24" s="23"/>
      <c r="G24" s="24"/>
      <c r="H24" s="24"/>
      <c r="I24" s="25"/>
      <c r="J24" s="46">
        <f>SUM(J8:J23)</f>
        <v>436</v>
      </c>
      <c r="K24" s="47">
        <f>SUM(K8:K23)</f>
        <v>4083.0966000000003</v>
      </c>
      <c r="L24" s="26"/>
    </row>
    <row r="25" spans="1:14" ht="20.25" customHeight="1" thickTop="1" x14ac:dyDescent="0.15">
      <c r="A25" s="60" t="s">
        <v>1703</v>
      </c>
      <c r="B25" s="9" t="s">
        <v>131</v>
      </c>
      <c r="C25" s="58" t="s">
        <v>29</v>
      </c>
      <c r="D25" s="11" t="s">
        <v>1445</v>
      </c>
      <c r="E25" s="10">
        <v>22</v>
      </c>
      <c r="F25" s="58" t="s">
        <v>11</v>
      </c>
      <c r="G25" s="12">
        <v>1434</v>
      </c>
      <c r="H25" s="12">
        <v>1927</v>
      </c>
      <c r="I25" s="17" t="s">
        <v>1704</v>
      </c>
      <c r="J25" s="18">
        <v>231</v>
      </c>
      <c r="K25" s="19">
        <f t="shared" ref="K25:K40" si="1">+M25*N25</f>
        <v>2127.5793000000003</v>
      </c>
      <c r="L25" s="54"/>
      <c r="M25" s="3">
        <v>195.37</v>
      </c>
      <c r="N25" s="15">
        <v>10.89</v>
      </c>
    </row>
    <row r="26" spans="1:14" ht="20.25" customHeight="1" x14ac:dyDescent="0.15">
      <c r="A26" s="60"/>
      <c r="B26" s="9"/>
      <c r="C26" s="58" t="s">
        <v>29</v>
      </c>
      <c r="D26" s="11" t="s">
        <v>1698</v>
      </c>
      <c r="E26" s="10">
        <v>22</v>
      </c>
      <c r="F26" s="58" t="s">
        <v>11</v>
      </c>
      <c r="G26" s="12">
        <v>1434</v>
      </c>
      <c r="H26" s="12">
        <v>1927</v>
      </c>
      <c r="I26" s="17" t="s">
        <v>1705</v>
      </c>
      <c r="J26" s="18">
        <v>166</v>
      </c>
      <c r="K26" s="19">
        <f t="shared" si="1"/>
        <v>1928.7279000000003</v>
      </c>
      <c r="L26" s="54"/>
      <c r="M26" s="3">
        <v>177.11</v>
      </c>
      <c r="N26" s="15">
        <v>10.89</v>
      </c>
    </row>
    <row r="27" spans="1:14" ht="20.25" customHeight="1" x14ac:dyDescent="0.15">
      <c r="A27" s="60" t="s">
        <v>1691</v>
      </c>
      <c r="B27" s="9" t="s">
        <v>131</v>
      </c>
      <c r="C27" s="58" t="s">
        <v>29</v>
      </c>
      <c r="D27" s="11" t="s">
        <v>1698</v>
      </c>
      <c r="E27" s="10">
        <v>22</v>
      </c>
      <c r="F27" s="58" t="s">
        <v>11</v>
      </c>
      <c r="G27" s="12">
        <v>1434</v>
      </c>
      <c r="H27" s="12">
        <v>1927</v>
      </c>
      <c r="I27" s="17" t="s">
        <v>1706</v>
      </c>
      <c r="J27" s="18">
        <v>153</v>
      </c>
      <c r="K27" s="19">
        <f t="shared" si="1"/>
        <v>1455.8841</v>
      </c>
      <c r="L27" s="54"/>
      <c r="M27" s="3">
        <v>133.69</v>
      </c>
      <c r="N27" s="15">
        <v>10.89</v>
      </c>
    </row>
    <row r="28" spans="1:14" ht="20.25" customHeight="1" x14ac:dyDescent="0.15">
      <c r="A28" s="61"/>
      <c r="B28" s="9"/>
      <c r="C28" s="58"/>
      <c r="D28" s="11"/>
      <c r="E28" s="10"/>
      <c r="F28" s="58"/>
      <c r="G28" s="12"/>
      <c r="H28" s="12"/>
      <c r="I28" s="17"/>
      <c r="J28" s="18"/>
      <c r="K28" s="19">
        <f t="shared" si="1"/>
        <v>0</v>
      </c>
      <c r="L28" s="54"/>
      <c r="N28" s="15">
        <v>10.89</v>
      </c>
    </row>
    <row r="29" spans="1:14" ht="20.25" customHeight="1" x14ac:dyDescent="0.15">
      <c r="A29" s="61"/>
      <c r="B29" s="9"/>
      <c r="C29" s="58"/>
      <c r="D29" s="11"/>
      <c r="E29" s="10"/>
      <c r="F29" s="58"/>
      <c r="G29" s="12"/>
      <c r="H29" s="12"/>
      <c r="I29" s="17"/>
      <c r="J29" s="18"/>
      <c r="K29" s="19">
        <f t="shared" si="1"/>
        <v>0</v>
      </c>
      <c r="L29" s="54"/>
      <c r="N29" s="15">
        <v>10.89</v>
      </c>
    </row>
    <row r="30" spans="1:14" ht="20.25" customHeight="1" x14ac:dyDescent="0.15">
      <c r="A30" s="61"/>
      <c r="B30" s="9"/>
      <c r="C30" s="58"/>
      <c r="D30" s="11"/>
      <c r="E30" s="10"/>
      <c r="F30" s="58"/>
      <c r="G30" s="12"/>
      <c r="H30" s="12"/>
      <c r="I30" s="51"/>
      <c r="J30" s="52"/>
      <c r="K30" s="53">
        <f t="shared" si="1"/>
        <v>0</v>
      </c>
      <c r="L30" s="54"/>
      <c r="N30" s="15">
        <v>10.89</v>
      </c>
    </row>
    <row r="31" spans="1:14" ht="20.25" customHeight="1" x14ac:dyDescent="0.15">
      <c r="A31" s="61"/>
      <c r="B31" s="9"/>
      <c r="C31" s="58"/>
      <c r="D31" s="11"/>
      <c r="E31" s="10"/>
      <c r="F31" s="58"/>
      <c r="G31" s="12"/>
      <c r="H31" s="12"/>
      <c r="I31" s="51"/>
      <c r="J31" s="52"/>
      <c r="K31" s="53">
        <f t="shared" si="1"/>
        <v>0</v>
      </c>
      <c r="L31" s="54"/>
      <c r="N31" s="15">
        <v>10.89</v>
      </c>
    </row>
    <row r="32" spans="1:14" ht="20.25" customHeight="1" x14ac:dyDescent="0.15">
      <c r="A32" s="60"/>
      <c r="B32" s="9"/>
      <c r="C32" s="58"/>
      <c r="D32" s="11"/>
      <c r="E32" s="10"/>
      <c r="F32" s="58"/>
      <c r="G32" s="12"/>
      <c r="H32" s="12"/>
      <c r="I32" s="17"/>
      <c r="J32" s="18"/>
      <c r="K32" s="19">
        <f t="shared" si="1"/>
        <v>0</v>
      </c>
      <c r="L32" s="27"/>
      <c r="N32" s="15">
        <v>10.89</v>
      </c>
    </row>
    <row r="33" spans="1:17" ht="20.25" customHeight="1" x14ac:dyDescent="0.15">
      <c r="A33" s="60"/>
      <c r="B33" s="9"/>
      <c r="C33" s="58"/>
      <c r="D33" s="11"/>
      <c r="E33" s="10"/>
      <c r="F33" s="58"/>
      <c r="G33" s="12"/>
      <c r="H33" s="12"/>
      <c r="I33" s="17"/>
      <c r="J33" s="18"/>
      <c r="K33" s="19">
        <f t="shared" si="1"/>
        <v>0</v>
      </c>
      <c r="L33" s="27"/>
      <c r="N33" s="15">
        <v>10.89</v>
      </c>
    </row>
    <row r="34" spans="1:17" ht="20.25" customHeight="1" x14ac:dyDescent="0.15">
      <c r="A34" s="60"/>
      <c r="B34" s="9"/>
      <c r="C34" s="58"/>
      <c r="D34" s="11"/>
      <c r="E34" s="10"/>
      <c r="F34" s="58"/>
      <c r="G34" s="12"/>
      <c r="H34" s="12"/>
      <c r="I34" s="17"/>
      <c r="J34" s="18"/>
      <c r="K34" s="19">
        <f t="shared" si="1"/>
        <v>0</v>
      </c>
      <c r="L34" s="27"/>
      <c r="N34" s="15">
        <v>10.89</v>
      </c>
    </row>
    <row r="35" spans="1:17" ht="20.25" customHeight="1" x14ac:dyDescent="0.15">
      <c r="A35" s="60"/>
      <c r="B35" s="9"/>
      <c r="C35" s="58"/>
      <c r="D35" s="11"/>
      <c r="E35" s="10"/>
      <c r="F35" s="58"/>
      <c r="G35" s="12"/>
      <c r="H35" s="12"/>
      <c r="I35" s="17"/>
      <c r="J35" s="18"/>
      <c r="K35" s="19">
        <f t="shared" si="1"/>
        <v>0</v>
      </c>
      <c r="L35" s="27"/>
      <c r="N35" s="15">
        <v>10.89</v>
      </c>
    </row>
    <row r="36" spans="1:17" ht="20.25" customHeight="1" x14ac:dyDescent="0.15">
      <c r="A36" s="60"/>
      <c r="B36" s="9"/>
      <c r="C36" s="58"/>
      <c r="D36" s="11"/>
      <c r="E36" s="10"/>
      <c r="F36" s="58"/>
      <c r="G36" s="12"/>
      <c r="H36" s="12"/>
      <c r="I36" s="17"/>
      <c r="J36" s="18"/>
      <c r="K36" s="19">
        <f t="shared" si="1"/>
        <v>0</v>
      </c>
      <c r="L36" s="27"/>
      <c r="N36" s="15">
        <v>10.89</v>
      </c>
    </row>
    <row r="37" spans="1:17" ht="20.25" customHeight="1" x14ac:dyDescent="0.15">
      <c r="A37" s="60"/>
      <c r="B37" s="9"/>
      <c r="C37" s="58"/>
      <c r="D37" s="11"/>
      <c r="E37" s="10"/>
      <c r="F37" s="58"/>
      <c r="G37" s="12"/>
      <c r="H37" s="12"/>
      <c r="I37" s="17"/>
      <c r="J37" s="18"/>
      <c r="K37" s="19">
        <f t="shared" si="1"/>
        <v>0</v>
      </c>
      <c r="L37" s="27"/>
      <c r="N37" s="15">
        <v>10.89</v>
      </c>
    </row>
    <row r="38" spans="1:17" ht="20.25" customHeight="1" x14ac:dyDescent="0.15">
      <c r="A38" s="60"/>
      <c r="B38" s="9"/>
      <c r="C38" s="58"/>
      <c r="D38" s="11"/>
      <c r="E38" s="10"/>
      <c r="F38" s="58"/>
      <c r="G38" s="12"/>
      <c r="H38" s="12"/>
      <c r="I38" s="17"/>
      <c r="J38" s="18"/>
      <c r="K38" s="19">
        <f t="shared" si="1"/>
        <v>0</v>
      </c>
      <c r="L38" s="27"/>
      <c r="N38" s="15">
        <v>10.89</v>
      </c>
    </row>
    <row r="39" spans="1:17" ht="20.25" customHeight="1" x14ac:dyDescent="0.15">
      <c r="A39" s="60"/>
      <c r="B39" s="9"/>
      <c r="C39" s="58"/>
      <c r="D39" s="11"/>
      <c r="E39" s="10"/>
      <c r="F39" s="58"/>
      <c r="G39" s="12"/>
      <c r="H39" s="12"/>
      <c r="I39" s="17"/>
      <c r="J39" s="18"/>
      <c r="K39" s="19">
        <f t="shared" si="1"/>
        <v>0</v>
      </c>
      <c r="L39" s="27"/>
      <c r="N39" s="15">
        <v>10.89</v>
      </c>
      <c r="Q39" s="65"/>
    </row>
    <row r="40" spans="1:17" ht="20.25" customHeight="1" x14ac:dyDescent="0.15">
      <c r="A40" s="60"/>
      <c r="B40" s="9"/>
      <c r="C40" s="58"/>
      <c r="D40" s="11"/>
      <c r="E40" s="10"/>
      <c r="F40" s="58"/>
      <c r="G40" s="12"/>
      <c r="H40" s="12"/>
      <c r="I40" s="17"/>
      <c r="J40" s="18"/>
      <c r="K40" s="19">
        <f t="shared" si="1"/>
        <v>0</v>
      </c>
      <c r="L40" s="27"/>
      <c r="N40" s="15">
        <v>10.89</v>
      </c>
    </row>
    <row r="41" spans="1:17" ht="20.25" customHeight="1" x14ac:dyDescent="0.15">
      <c r="A41" s="57"/>
      <c r="B41" s="28"/>
      <c r="C41" s="58"/>
      <c r="D41" s="29"/>
      <c r="E41" s="30"/>
      <c r="F41" s="30"/>
      <c r="G41" s="30"/>
      <c r="H41" s="30"/>
      <c r="I41" s="13"/>
      <c r="J41" s="48">
        <f>SUM(J25:J40)</f>
        <v>550</v>
      </c>
      <c r="K41" s="49">
        <f>SUM(K25:K40)</f>
        <v>5512.1913000000004</v>
      </c>
      <c r="L41" s="31"/>
      <c r="N41" s="32"/>
    </row>
    <row r="42" spans="1:17" ht="20.25" customHeight="1" thickBot="1" x14ac:dyDescent="0.2">
      <c r="A42" s="55"/>
      <c r="B42" s="33"/>
      <c r="C42" s="33"/>
      <c r="D42" s="33"/>
      <c r="E42" s="33"/>
      <c r="F42" s="33"/>
      <c r="G42" s="33"/>
      <c r="H42" s="33"/>
      <c r="I42" s="33"/>
      <c r="J42" s="34"/>
      <c r="K42" s="35"/>
      <c r="L42" s="36"/>
    </row>
    <row r="43" spans="1:17" ht="20.25" customHeight="1" thickBot="1" x14ac:dyDescent="0.2">
      <c r="A43" s="37" t="s">
        <v>19</v>
      </c>
      <c r="B43" s="38" t="s">
        <v>20</v>
      </c>
      <c r="C43" s="77" t="s">
        <v>21</v>
      </c>
      <c r="D43" s="79"/>
      <c r="E43" s="77" t="s">
        <v>22</v>
      </c>
      <c r="F43" s="78"/>
      <c r="G43" s="79"/>
      <c r="H43" s="85" t="s">
        <v>23</v>
      </c>
      <c r="I43" s="86"/>
      <c r="J43" s="77" t="s">
        <v>24</v>
      </c>
      <c r="K43" s="79"/>
      <c r="L43" s="39" t="s">
        <v>13</v>
      </c>
    </row>
    <row r="44" spans="1:17" ht="20.25" customHeight="1" thickBot="1" x14ac:dyDescent="0.2">
      <c r="A44" s="40">
        <f>SUMIF($C$8:$C$42,"U1",$J$8:$J$42)</f>
        <v>0</v>
      </c>
      <c r="B44" s="41">
        <f>SUMIF($C$8:$C$42,"U2",$J$8:$J$42)</f>
        <v>0</v>
      </c>
      <c r="C44" s="77">
        <f>SUMIF($C$8:$C$42,"U3-1",$J$8:$J$42)</f>
        <v>0</v>
      </c>
      <c r="D44" s="79"/>
      <c r="E44" s="77">
        <f>SUMIF($C$8:$C$42,"U3",$J$8:$J$42)</f>
        <v>986</v>
      </c>
      <c r="F44" s="78"/>
      <c r="G44" s="79"/>
      <c r="H44" s="77">
        <f>SUMIF($C$8:$C$42,"E5",$J$8:$J$42)</f>
        <v>0</v>
      </c>
      <c r="I44" s="79"/>
      <c r="J44" s="77">
        <f>SUM(A44:I44)</f>
        <v>986</v>
      </c>
      <c r="K44" s="79"/>
      <c r="L44" s="42"/>
    </row>
    <row r="45" spans="1:17" ht="20.25" customHeight="1" thickBot="1" x14ac:dyDescent="0.2">
      <c r="A45" s="43" t="s">
        <v>25</v>
      </c>
      <c r="B45" s="44" t="s">
        <v>26</v>
      </c>
      <c r="C45" s="75">
        <v>13876</v>
      </c>
      <c r="D45" s="76"/>
      <c r="E45" s="77" t="s">
        <v>27</v>
      </c>
      <c r="F45" s="78"/>
      <c r="G45" s="78"/>
      <c r="H45" s="78"/>
      <c r="I45" s="79"/>
      <c r="J45" s="80">
        <v>146744.37</v>
      </c>
      <c r="K45" s="81"/>
      <c r="L45" s="82"/>
    </row>
    <row r="47" spans="1:17" x14ac:dyDescent="0.15">
      <c r="D47" s="45"/>
    </row>
  </sheetData>
  <mergeCells count="26">
    <mergeCell ref="L2:L4"/>
    <mergeCell ref="A1:G3"/>
    <mergeCell ref="H1:H4"/>
    <mergeCell ref="I2:I4"/>
    <mergeCell ref="J2:J4"/>
    <mergeCell ref="K2:K4"/>
    <mergeCell ref="B5:G5"/>
    <mergeCell ref="A6:A7"/>
    <mergeCell ref="B6:B7"/>
    <mergeCell ref="C6:C7"/>
    <mergeCell ref="D6:D7"/>
    <mergeCell ref="E6:E7"/>
    <mergeCell ref="F6:F7"/>
    <mergeCell ref="G6:K6"/>
    <mergeCell ref="C45:D45"/>
    <mergeCell ref="E45:I45"/>
    <mergeCell ref="J45:L45"/>
    <mergeCell ref="L6:L7"/>
    <mergeCell ref="C43:D43"/>
    <mergeCell ref="E43:G43"/>
    <mergeCell ref="H43:I43"/>
    <mergeCell ref="J43:K43"/>
    <mergeCell ref="C44:D44"/>
    <mergeCell ref="E44:G44"/>
    <mergeCell ref="H44:I44"/>
    <mergeCell ref="J44:K44"/>
  </mergeCells>
  <phoneticPr fontId="2" type="noConversion"/>
  <printOptions horizontalCentered="1"/>
  <pageMargins left="0.39370078740157483" right="0.39370078740157483" top="0.74803149606299213" bottom="0.19685039370078741" header="0.31496062992125984" footer="0.15748031496062992"/>
  <pageSetup paperSize="9" scale="84" orientation="portrait" r:id="rId1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6305F2-7170-496F-AE22-11A5792DA90C}">
  <dimension ref="A1:N47"/>
  <sheetViews>
    <sheetView view="pageBreakPreview" topLeftCell="A13" zoomScaleSheetLayoutView="100" workbookViewId="0">
      <selection activeCell="D17" sqref="D17"/>
    </sheetView>
  </sheetViews>
  <sheetFormatPr defaultColWidth="8.88671875" defaultRowHeight="13.5" x14ac:dyDescent="0.15"/>
  <cols>
    <col min="1" max="1" width="8.44140625" style="3" customWidth="1"/>
    <col min="2" max="2" width="14.77734375" style="3" customWidth="1"/>
    <col min="3" max="3" width="4.109375" style="3" customWidth="1"/>
    <col min="4" max="4" width="15.21875" style="3" customWidth="1"/>
    <col min="5" max="5" width="4.44140625" style="3" customWidth="1"/>
    <col min="6" max="6" width="4" style="3" customWidth="1"/>
    <col min="7" max="7" width="5.5546875" style="3" customWidth="1"/>
    <col min="8" max="8" width="5.44140625" style="3" customWidth="1"/>
    <col min="9" max="9" width="7.88671875" style="3" customWidth="1"/>
    <col min="10" max="10" width="7.109375" style="3" customWidth="1"/>
    <col min="11" max="11" width="7.21875" style="3" customWidth="1"/>
    <col min="12" max="12" width="6.77734375" style="3" customWidth="1"/>
    <col min="13" max="16384" width="8.88671875" style="3"/>
  </cols>
  <sheetData>
    <row r="1" spans="1:14" ht="18.75" customHeight="1" x14ac:dyDescent="0.15">
      <c r="A1" s="101" t="s">
        <v>0</v>
      </c>
      <c r="B1" s="102"/>
      <c r="C1" s="102"/>
      <c r="D1" s="102"/>
      <c r="E1" s="102"/>
      <c r="F1" s="102"/>
      <c r="G1" s="103"/>
      <c r="H1" s="107" t="s">
        <v>1</v>
      </c>
      <c r="I1" s="1" t="s">
        <v>2</v>
      </c>
      <c r="J1" s="1" t="s">
        <v>2</v>
      </c>
      <c r="K1" s="1" t="s">
        <v>3</v>
      </c>
      <c r="L1" s="2" t="s">
        <v>4</v>
      </c>
    </row>
    <row r="2" spans="1:14" ht="13.5" customHeight="1" x14ac:dyDescent="0.15">
      <c r="A2" s="104"/>
      <c r="B2" s="105"/>
      <c r="C2" s="105"/>
      <c r="D2" s="105"/>
      <c r="E2" s="105"/>
      <c r="F2" s="105"/>
      <c r="G2" s="106"/>
      <c r="H2" s="108"/>
      <c r="I2" s="110"/>
      <c r="J2" s="110"/>
      <c r="K2" s="110"/>
      <c r="L2" s="98"/>
    </row>
    <row r="3" spans="1:14" ht="13.5" customHeight="1" x14ac:dyDescent="0.15">
      <c r="A3" s="104"/>
      <c r="B3" s="105"/>
      <c r="C3" s="105"/>
      <c r="D3" s="105"/>
      <c r="E3" s="105"/>
      <c r="F3" s="105"/>
      <c r="G3" s="106"/>
      <c r="H3" s="108"/>
      <c r="I3" s="108"/>
      <c r="J3" s="108"/>
      <c r="K3" s="108"/>
      <c r="L3" s="99"/>
    </row>
    <row r="4" spans="1:14" ht="33" customHeight="1" x14ac:dyDescent="0.15">
      <c r="A4" s="4"/>
      <c r="B4" s="5"/>
      <c r="C4" s="5"/>
      <c r="D4" s="5"/>
      <c r="E4" s="5"/>
      <c r="F4" s="5"/>
      <c r="G4" s="5"/>
      <c r="H4" s="109"/>
      <c r="I4" s="109"/>
      <c r="J4" s="109"/>
      <c r="K4" s="109"/>
      <c r="L4" s="100"/>
    </row>
    <row r="5" spans="1:14" ht="17.25" customHeight="1" x14ac:dyDescent="0.15">
      <c r="A5" s="6" t="s">
        <v>5</v>
      </c>
      <c r="B5" s="87">
        <v>46113</v>
      </c>
      <c r="C5" s="88"/>
      <c r="D5" s="88"/>
      <c r="E5" s="88"/>
      <c r="F5" s="88"/>
      <c r="G5" s="88"/>
      <c r="H5" s="5"/>
      <c r="I5" s="5"/>
      <c r="J5" s="5"/>
      <c r="K5" s="5"/>
      <c r="L5" s="7"/>
    </row>
    <row r="6" spans="1:14" ht="13.5" customHeight="1" x14ac:dyDescent="0.15">
      <c r="A6" s="89" t="s">
        <v>6</v>
      </c>
      <c r="B6" s="91" t="s">
        <v>7</v>
      </c>
      <c r="C6" s="91" t="s">
        <v>8</v>
      </c>
      <c r="D6" s="91" t="s">
        <v>9</v>
      </c>
      <c r="E6" s="93" t="s">
        <v>10</v>
      </c>
      <c r="F6" s="93" t="s">
        <v>11</v>
      </c>
      <c r="G6" s="95" t="s">
        <v>12</v>
      </c>
      <c r="H6" s="96"/>
      <c r="I6" s="96"/>
      <c r="J6" s="96"/>
      <c r="K6" s="97"/>
      <c r="L6" s="83" t="s">
        <v>13</v>
      </c>
    </row>
    <row r="7" spans="1:14" x14ac:dyDescent="0.15">
      <c r="A7" s="90"/>
      <c r="B7" s="92"/>
      <c r="C7" s="92"/>
      <c r="D7" s="92"/>
      <c r="E7" s="94"/>
      <c r="F7" s="94"/>
      <c r="G7" s="8" t="s">
        <v>14</v>
      </c>
      <c r="H7" s="8" t="s">
        <v>15</v>
      </c>
      <c r="I7" s="8" t="s">
        <v>16</v>
      </c>
      <c r="J7" s="8" t="s">
        <v>17</v>
      </c>
      <c r="K7" s="8" t="s">
        <v>18</v>
      </c>
      <c r="L7" s="84"/>
    </row>
    <row r="8" spans="1:14" s="15" customFormat="1" ht="20.25" customHeight="1" x14ac:dyDescent="0.15">
      <c r="A8" s="60" t="s">
        <v>1707</v>
      </c>
      <c r="B8" s="9" t="s">
        <v>268</v>
      </c>
      <c r="C8" s="58" t="s">
        <v>273</v>
      </c>
      <c r="D8" s="11" t="s">
        <v>1708</v>
      </c>
      <c r="E8" s="10">
        <v>16</v>
      </c>
      <c r="F8" s="58"/>
      <c r="G8" s="12">
        <v>870</v>
      </c>
      <c r="H8" s="12">
        <v>888</v>
      </c>
      <c r="I8" s="17">
        <v>1</v>
      </c>
      <c r="J8" s="18">
        <v>1</v>
      </c>
      <c r="K8" s="19">
        <f>+M8*N8</f>
        <v>8.3853000000000009</v>
      </c>
      <c r="L8" s="14"/>
      <c r="M8" s="15">
        <v>0.77</v>
      </c>
      <c r="N8" s="15">
        <v>10.89</v>
      </c>
    </row>
    <row r="9" spans="1:14" s="15" customFormat="1" ht="20.25" customHeight="1" x14ac:dyDescent="0.15">
      <c r="A9" s="60" t="s">
        <v>1709</v>
      </c>
      <c r="B9" s="9" t="s">
        <v>1710</v>
      </c>
      <c r="C9" s="58" t="s">
        <v>29</v>
      </c>
      <c r="D9" s="11" t="s">
        <v>345</v>
      </c>
      <c r="E9" s="10">
        <v>24</v>
      </c>
      <c r="F9" s="58" t="s">
        <v>11</v>
      </c>
      <c r="G9" s="12">
        <v>695</v>
      </c>
      <c r="H9" s="12">
        <v>2873</v>
      </c>
      <c r="I9" s="17" t="s">
        <v>1711</v>
      </c>
      <c r="J9" s="18">
        <v>27</v>
      </c>
      <c r="K9" s="19">
        <f t="shared" ref="K9:K23" si="0">+M9*N9</f>
        <v>300.56400000000002</v>
      </c>
      <c r="L9" s="14"/>
      <c r="M9" s="15">
        <v>27.6</v>
      </c>
      <c r="N9" s="15">
        <v>10.89</v>
      </c>
    </row>
    <row r="10" spans="1:14" s="15" customFormat="1" ht="20.25" customHeight="1" x14ac:dyDescent="0.15">
      <c r="A10" s="60"/>
      <c r="B10" s="9"/>
      <c r="C10" s="58" t="s">
        <v>29</v>
      </c>
      <c r="D10" s="11" t="s">
        <v>1712</v>
      </c>
      <c r="E10" s="10">
        <v>24</v>
      </c>
      <c r="F10" s="58" t="s">
        <v>11</v>
      </c>
      <c r="G10" s="12">
        <v>695</v>
      </c>
      <c r="H10" s="12">
        <v>2873</v>
      </c>
      <c r="I10" s="17" t="s">
        <v>167</v>
      </c>
      <c r="J10" s="18">
        <v>40</v>
      </c>
      <c r="K10" s="19">
        <f t="shared" si="0"/>
        <v>186.3279</v>
      </c>
      <c r="L10" s="14"/>
      <c r="M10" s="15">
        <v>17.11</v>
      </c>
      <c r="N10" s="15">
        <v>10.89</v>
      </c>
    </row>
    <row r="11" spans="1:14" s="15" customFormat="1" ht="20.25" customHeight="1" x14ac:dyDescent="0.15">
      <c r="A11" s="60" t="s">
        <v>1649</v>
      </c>
      <c r="B11" s="9" t="s">
        <v>1650</v>
      </c>
      <c r="C11" s="58" t="s">
        <v>29</v>
      </c>
      <c r="D11" s="11" t="s">
        <v>1713</v>
      </c>
      <c r="E11" s="10">
        <v>26</v>
      </c>
      <c r="F11" s="58" t="s">
        <v>11</v>
      </c>
      <c r="G11" s="12">
        <v>1125</v>
      </c>
      <c r="H11" s="12">
        <v>425</v>
      </c>
      <c r="I11" s="17">
        <v>1</v>
      </c>
      <c r="J11" s="18">
        <v>1</v>
      </c>
      <c r="K11" s="19">
        <f t="shared" si="0"/>
        <v>5.2271999999999998</v>
      </c>
      <c r="L11" s="14"/>
      <c r="M11" s="15">
        <v>0.48</v>
      </c>
      <c r="N11" s="15">
        <v>10.89</v>
      </c>
    </row>
    <row r="12" spans="1:14" s="15" customFormat="1" ht="20.25" customHeight="1" x14ac:dyDescent="0.15">
      <c r="A12" s="60" t="s">
        <v>1714</v>
      </c>
      <c r="B12" s="9" t="s">
        <v>1710</v>
      </c>
      <c r="C12" s="58" t="s">
        <v>29</v>
      </c>
      <c r="D12" s="11" t="s">
        <v>345</v>
      </c>
      <c r="E12" s="10">
        <v>24</v>
      </c>
      <c r="F12" s="58" t="s">
        <v>11</v>
      </c>
      <c r="G12" s="12">
        <v>695</v>
      </c>
      <c r="H12" s="12">
        <v>1370</v>
      </c>
      <c r="I12" s="17" t="s">
        <v>1715</v>
      </c>
      <c r="J12" s="18">
        <v>82</v>
      </c>
      <c r="K12" s="19">
        <f t="shared" si="0"/>
        <v>372.32909999999998</v>
      </c>
      <c r="L12" s="14"/>
      <c r="M12" s="15">
        <v>34.19</v>
      </c>
      <c r="N12" s="15">
        <v>10.89</v>
      </c>
    </row>
    <row r="13" spans="1:14" s="15" customFormat="1" ht="20.25" customHeight="1" x14ac:dyDescent="0.15">
      <c r="A13" s="60"/>
      <c r="B13" s="9"/>
      <c r="C13" s="58" t="s">
        <v>29</v>
      </c>
      <c r="D13" s="11" t="s">
        <v>1712</v>
      </c>
      <c r="E13" s="10">
        <v>24</v>
      </c>
      <c r="F13" s="58" t="s">
        <v>11</v>
      </c>
      <c r="G13" s="12">
        <v>695</v>
      </c>
      <c r="H13" s="12">
        <v>510</v>
      </c>
      <c r="I13" s="17">
        <v>1</v>
      </c>
      <c r="J13" s="18">
        <v>1</v>
      </c>
      <c r="K13" s="19">
        <f t="shared" si="0"/>
        <v>3.8115000000000001</v>
      </c>
      <c r="L13" s="14"/>
      <c r="M13" s="15">
        <v>0.35</v>
      </c>
      <c r="N13" s="15">
        <v>10.89</v>
      </c>
    </row>
    <row r="14" spans="1:14" s="15" customFormat="1" ht="20.25" customHeight="1" x14ac:dyDescent="0.15">
      <c r="A14" s="60" t="s">
        <v>1716</v>
      </c>
      <c r="B14" s="9" t="s">
        <v>1710</v>
      </c>
      <c r="C14" s="58" t="s">
        <v>29</v>
      </c>
      <c r="D14" s="11" t="s">
        <v>345</v>
      </c>
      <c r="E14" s="10">
        <v>24</v>
      </c>
      <c r="F14" s="58" t="s">
        <v>11</v>
      </c>
      <c r="G14" s="12">
        <v>695</v>
      </c>
      <c r="H14" s="12">
        <v>2863</v>
      </c>
      <c r="I14" s="17" t="s">
        <v>1421</v>
      </c>
      <c r="J14" s="18">
        <v>34</v>
      </c>
      <c r="K14" s="19">
        <f t="shared" si="0"/>
        <v>371.89350000000002</v>
      </c>
      <c r="L14" s="20"/>
      <c r="M14" s="15">
        <v>34.15</v>
      </c>
      <c r="N14" s="15">
        <v>10.89</v>
      </c>
    </row>
    <row r="15" spans="1:14" s="15" customFormat="1" ht="20.25" customHeight="1" x14ac:dyDescent="0.15">
      <c r="A15" s="60"/>
      <c r="B15" s="9"/>
      <c r="C15" s="58" t="s">
        <v>29</v>
      </c>
      <c r="D15" s="11" t="s">
        <v>1712</v>
      </c>
      <c r="E15" s="10">
        <v>24</v>
      </c>
      <c r="F15" s="58" t="s">
        <v>11</v>
      </c>
      <c r="G15" s="12">
        <v>1045</v>
      </c>
      <c r="H15" s="12">
        <v>1323</v>
      </c>
      <c r="I15" s="17" t="s">
        <v>1717</v>
      </c>
      <c r="J15" s="18">
        <v>22</v>
      </c>
      <c r="K15" s="19">
        <f t="shared" si="0"/>
        <v>99.099000000000004</v>
      </c>
      <c r="L15" s="20"/>
      <c r="M15" s="15">
        <v>9.1</v>
      </c>
      <c r="N15" s="15">
        <v>10.89</v>
      </c>
    </row>
    <row r="16" spans="1:14" s="15" customFormat="1" ht="20.25" customHeight="1" x14ac:dyDescent="0.15">
      <c r="A16" s="60" t="s">
        <v>1701</v>
      </c>
      <c r="B16" s="9" t="s">
        <v>131</v>
      </c>
      <c r="C16" s="58" t="s">
        <v>29</v>
      </c>
      <c r="D16" s="11" t="s">
        <v>1445</v>
      </c>
      <c r="E16" s="10">
        <v>22</v>
      </c>
      <c r="F16" s="58" t="s">
        <v>11</v>
      </c>
      <c r="G16" s="12">
        <v>264</v>
      </c>
      <c r="H16" s="12">
        <v>683</v>
      </c>
      <c r="I16" s="17">
        <v>22</v>
      </c>
      <c r="J16" s="18">
        <v>22</v>
      </c>
      <c r="K16" s="19">
        <f t="shared" si="0"/>
        <v>67.082400000000007</v>
      </c>
      <c r="L16" s="20"/>
      <c r="M16" s="15">
        <v>6.16</v>
      </c>
      <c r="N16" s="15">
        <v>10.89</v>
      </c>
    </row>
    <row r="17" spans="1:14" s="15" customFormat="1" ht="20.25" customHeight="1" x14ac:dyDescent="0.15">
      <c r="A17" s="60"/>
      <c r="B17" s="9"/>
      <c r="C17" s="58" t="s">
        <v>29</v>
      </c>
      <c r="D17" s="11" t="s">
        <v>1698</v>
      </c>
      <c r="E17" s="10">
        <v>22</v>
      </c>
      <c r="F17" s="58" t="s">
        <v>11</v>
      </c>
      <c r="G17" s="12">
        <v>1723</v>
      </c>
      <c r="H17" s="12">
        <v>1763</v>
      </c>
      <c r="I17" s="17" t="s">
        <v>1702</v>
      </c>
      <c r="J17" s="18">
        <v>201</v>
      </c>
      <c r="K17" s="19">
        <f t="shared" si="0"/>
        <v>1716.6995999999999</v>
      </c>
      <c r="L17" s="20"/>
      <c r="M17" s="15">
        <v>157.63999999999999</v>
      </c>
      <c r="N17" s="15">
        <v>10.89</v>
      </c>
    </row>
    <row r="18" spans="1:14" s="15" customFormat="1" ht="20.25" customHeight="1" x14ac:dyDescent="0.15">
      <c r="A18" s="60"/>
      <c r="B18" s="9"/>
      <c r="C18" s="58"/>
      <c r="D18" s="11"/>
      <c r="E18" s="10"/>
      <c r="F18" s="58"/>
      <c r="G18" s="12"/>
      <c r="H18" s="12"/>
      <c r="I18" s="17"/>
      <c r="J18" s="18"/>
      <c r="K18" s="19">
        <f t="shared" si="0"/>
        <v>0</v>
      </c>
      <c r="L18" s="20"/>
      <c r="N18" s="15">
        <v>10.89</v>
      </c>
    </row>
    <row r="19" spans="1:14" s="15" customFormat="1" ht="20.25" customHeight="1" x14ac:dyDescent="0.15">
      <c r="A19" s="60"/>
      <c r="B19" s="9"/>
      <c r="C19" s="58"/>
      <c r="D19" s="11"/>
      <c r="E19" s="10"/>
      <c r="F19" s="58"/>
      <c r="G19" s="12"/>
      <c r="H19" s="12"/>
      <c r="I19" s="17"/>
      <c r="J19" s="18"/>
      <c r="K19" s="19">
        <f t="shared" si="0"/>
        <v>0</v>
      </c>
      <c r="L19" s="20"/>
      <c r="N19" s="15">
        <v>10.89</v>
      </c>
    </row>
    <row r="20" spans="1:14" s="15" customFormat="1" ht="20.25" customHeight="1" x14ac:dyDescent="0.15">
      <c r="A20" s="60"/>
      <c r="B20" s="9"/>
      <c r="C20" s="58"/>
      <c r="D20" s="11"/>
      <c r="E20" s="10"/>
      <c r="F20" s="58"/>
      <c r="G20" s="12"/>
      <c r="H20" s="12"/>
      <c r="I20" s="17"/>
      <c r="J20" s="18"/>
      <c r="K20" s="19">
        <f t="shared" si="0"/>
        <v>0</v>
      </c>
      <c r="L20" s="20"/>
      <c r="N20" s="15">
        <v>10.89</v>
      </c>
    </row>
    <row r="21" spans="1:14" s="15" customFormat="1" ht="20.25" customHeight="1" x14ac:dyDescent="0.15">
      <c r="A21" s="60"/>
      <c r="B21" s="9"/>
      <c r="C21" s="58"/>
      <c r="D21" s="11"/>
      <c r="E21" s="10"/>
      <c r="F21" s="58"/>
      <c r="G21" s="50"/>
      <c r="H21" s="50"/>
      <c r="I21" s="17"/>
      <c r="J21" s="18"/>
      <c r="K21" s="19">
        <f t="shared" si="0"/>
        <v>0</v>
      </c>
      <c r="L21" s="20"/>
      <c r="N21" s="15">
        <v>10.89</v>
      </c>
    </row>
    <row r="22" spans="1:14" s="15" customFormat="1" ht="20.25" customHeight="1" x14ac:dyDescent="0.15">
      <c r="A22" s="60"/>
      <c r="B22" s="9"/>
      <c r="C22" s="58"/>
      <c r="D22" s="11"/>
      <c r="E22" s="10"/>
      <c r="F22" s="58"/>
      <c r="G22" s="50"/>
      <c r="H22" s="50"/>
      <c r="I22" s="17"/>
      <c r="J22" s="18"/>
      <c r="K22" s="19">
        <f t="shared" si="0"/>
        <v>0</v>
      </c>
      <c r="L22" s="20"/>
      <c r="N22" s="15">
        <v>10.89</v>
      </c>
    </row>
    <row r="23" spans="1:14" ht="20.25" customHeight="1" x14ac:dyDescent="0.15">
      <c r="A23" s="60"/>
      <c r="B23" s="9"/>
      <c r="C23" s="58"/>
      <c r="D23" s="11"/>
      <c r="E23" s="10"/>
      <c r="F23" s="58"/>
      <c r="G23" s="16"/>
      <c r="H23" s="16"/>
      <c r="I23" s="17"/>
      <c r="J23" s="18"/>
      <c r="K23" s="19">
        <f t="shared" si="0"/>
        <v>0</v>
      </c>
      <c r="L23" s="20"/>
      <c r="N23" s="15">
        <v>10.89</v>
      </c>
    </row>
    <row r="24" spans="1:14" ht="20.25" customHeight="1" thickBot="1" x14ac:dyDescent="0.2">
      <c r="A24" s="56"/>
      <c r="B24" s="21"/>
      <c r="C24" s="59"/>
      <c r="D24" s="22"/>
      <c r="E24" s="23"/>
      <c r="F24" s="23"/>
      <c r="G24" s="24"/>
      <c r="H24" s="24"/>
      <c r="I24" s="25"/>
      <c r="J24" s="46">
        <f>SUM(J8:J23)</f>
        <v>431</v>
      </c>
      <c r="K24" s="47">
        <f>SUM(K8:K23)</f>
        <v>3131.4195</v>
      </c>
      <c r="L24" s="26"/>
    </row>
    <row r="25" spans="1:14" ht="20.25" customHeight="1" thickTop="1" x14ac:dyDescent="0.15">
      <c r="A25" s="60" t="s">
        <v>1703</v>
      </c>
      <c r="B25" s="9" t="s">
        <v>1718</v>
      </c>
      <c r="C25" s="58" t="s">
        <v>29</v>
      </c>
      <c r="D25" s="11" t="s">
        <v>1719</v>
      </c>
      <c r="E25" s="10">
        <v>22</v>
      </c>
      <c r="F25" s="10" t="s">
        <v>11</v>
      </c>
      <c r="G25" s="12">
        <v>264</v>
      </c>
      <c r="H25" s="12">
        <v>883</v>
      </c>
      <c r="I25" s="17" t="s">
        <v>1720</v>
      </c>
      <c r="J25" s="18">
        <v>65</v>
      </c>
      <c r="K25" s="19">
        <f t="shared" ref="K25:K40" si="1">+M25*N25</f>
        <v>198.19800000000001</v>
      </c>
      <c r="L25" s="54"/>
      <c r="M25" s="3">
        <v>18.2</v>
      </c>
      <c r="N25" s="15">
        <v>10.89</v>
      </c>
    </row>
    <row r="26" spans="1:14" ht="20.25" customHeight="1" x14ac:dyDescent="0.15">
      <c r="A26" s="60" t="s">
        <v>1721</v>
      </c>
      <c r="B26" s="9" t="s">
        <v>1718</v>
      </c>
      <c r="C26" s="58" t="s">
        <v>29</v>
      </c>
      <c r="D26" s="11" t="s">
        <v>1445</v>
      </c>
      <c r="E26" s="10">
        <v>22</v>
      </c>
      <c r="F26" s="10" t="s">
        <v>11</v>
      </c>
      <c r="G26" s="12">
        <v>1421</v>
      </c>
      <c r="H26" s="12">
        <v>1763</v>
      </c>
      <c r="I26" s="17" t="s">
        <v>1722</v>
      </c>
      <c r="J26" s="18">
        <v>84</v>
      </c>
      <c r="K26" s="19">
        <f t="shared" si="1"/>
        <v>751.41000000000008</v>
      </c>
      <c r="L26" s="54"/>
      <c r="M26" s="3">
        <v>69</v>
      </c>
      <c r="N26" s="15">
        <v>10.89</v>
      </c>
    </row>
    <row r="27" spans="1:14" ht="20.25" customHeight="1" x14ac:dyDescent="0.15">
      <c r="A27" s="61"/>
      <c r="B27" s="9"/>
      <c r="C27" s="58" t="s">
        <v>29</v>
      </c>
      <c r="D27" s="11" t="s">
        <v>1698</v>
      </c>
      <c r="E27" s="10">
        <v>22</v>
      </c>
      <c r="F27" s="10" t="s">
        <v>11</v>
      </c>
      <c r="G27" s="12">
        <v>1421</v>
      </c>
      <c r="H27" s="12">
        <v>1763</v>
      </c>
      <c r="I27" s="17" t="s">
        <v>1474</v>
      </c>
      <c r="J27" s="18">
        <v>85</v>
      </c>
      <c r="K27" s="19">
        <f t="shared" si="1"/>
        <v>768.94290000000001</v>
      </c>
      <c r="L27" s="54"/>
      <c r="M27" s="3">
        <v>70.61</v>
      </c>
      <c r="N27" s="15">
        <v>10.89</v>
      </c>
    </row>
    <row r="28" spans="1:14" ht="20.25" customHeight="1" x14ac:dyDescent="0.15">
      <c r="A28" s="61" t="s">
        <v>1723</v>
      </c>
      <c r="B28" s="9" t="s">
        <v>1718</v>
      </c>
      <c r="C28" s="58" t="s">
        <v>29</v>
      </c>
      <c r="D28" s="11" t="s">
        <v>1445</v>
      </c>
      <c r="E28" s="10">
        <v>22</v>
      </c>
      <c r="F28" s="10" t="s">
        <v>11</v>
      </c>
      <c r="G28" s="12">
        <v>1723</v>
      </c>
      <c r="H28" s="12">
        <v>1763</v>
      </c>
      <c r="I28" s="17" t="s">
        <v>473</v>
      </c>
      <c r="J28" s="18">
        <v>275</v>
      </c>
      <c r="K28" s="19">
        <f t="shared" si="1"/>
        <v>2350.0620000000004</v>
      </c>
      <c r="L28" s="54"/>
      <c r="M28" s="3">
        <v>215.8</v>
      </c>
      <c r="N28" s="15">
        <v>10.89</v>
      </c>
    </row>
    <row r="29" spans="1:14" ht="20.25" customHeight="1" x14ac:dyDescent="0.15">
      <c r="A29" s="61"/>
      <c r="B29" s="9"/>
      <c r="C29" s="58" t="s">
        <v>29</v>
      </c>
      <c r="D29" s="11" t="s">
        <v>1698</v>
      </c>
      <c r="E29" s="10">
        <v>22</v>
      </c>
      <c r="F29" s="10" t="s">
        <v>11</v>
      </c>
      <c r="G29" s="12">
        <v>1723</v>
      </c>
      <c r="H29" s="12">
        <v>1763</v>
      </c>
      <c r="I29" s="17" t="s">
        <v>1724</v>
      </c>
      <c r="J29" s="18">
        <v>35</v>
      </c>
      <c r="K29" s="19">
        <f t="shared" si="1"/>
        <v>763.38900000000001</v>
      </c>
      <c r="L29" s="54"/>
      <c r="M29" s="3">
        <v>70.099999999999994</v>
      </c>
      <c r="N29" s="15">
        <v>10.89</v>
      </c>
    </row>
    <row r="30" spans="1:14" ht="20.25" customHeight="1" x14ac:dyDescent="0.15">
      <c r="A30" s="61"/>
      <c r="B30" s="9"/>
      <c r="C30" s="58"/>
      <c r="D30" s="11"/>
      <c r="E30" s="10"/>
      <c r="F30" s="10"/>
      <c r="G30" s="12"/>
      <c r="H30" s="12"/>
      <c r="I30" s="51"/>
      <c r="J30" s="52"/>
      <c r="K30" s="53">
        <f t="shared" si="1"/>
        <v>0</v>
      </c>
      <c r="L30" s="54"/>
      <c r="N30" s="15">
        <v>10.89</v>
      </c>
    </row>
    <row r="31" spans="1:14" ht="20.25" customHeight="1" x14ac:dyDescent="0.15">
      <c r="A31" s="61"/>
      <c r="B31" s="9"/>
      <c r="C31" s="58"/>
      <c r="D31" s="11"/>
      <c r="E31" s="10"/>
      <c r="F31" s="10"/>
      <c r="G31" s="12"/>
      <c r="H31" s="12"/>
      <c r="I31" s="51"/>
      <c r="J31" s="52"/>
      <c r="K31" s="53">
        <f t="shared" si="1"/>
        <v>0</v>
      </c>
      <c r="L31" s="54"/>
      <c r="N31" s="15">
        <v>10.89</v>
      </c>
    </row>
    <row r="32" spans="1:14" ht="20.25" customHeight="1" x14ac:dyDescent="0.15">
      <c r="A32" s="60"/>
      <c r="B32" s="9"/>
      <c r="C32" s="58"/>
      <c r="D32" s="11"/>
      <c r="E32" s="10"/>
      <c r="F32" s="10"/>
      <c r="G32" s="12"/>
      <c r="H32" s="12"/>
      <c r="I32" s="17"/>
      <c r="J32" s="18"/>
      <c r="K32" s="19">
        <f t="shared" si="1"/>
        <v>0</v>
      </c>
      <c r="L32" s="27"/>
      <c r="N32" s="15">
        <v>10.89</v>
      </c>
    </row>
    <row r="33" spans="1:14" ht="20.25" customHeight="1" x14ac:dyDescent="0.15">
      <c r="A33" s="60"/>
      <c r="B33" s="9"/>
      <c r="C33" s="58"/>
      <c r="D33" s="11"/>
      <c r="E33" s="10"/>
      <c r="F33" s="10"/>
      <c r="G33" s="12"/>
      <c r="H33" s="12"/>
      <c r="I33" s="17"/>
      <c r="J33" s="18"/>
      <c r="K33" s="19">
        <f t="shared" si="1"/>
        <v>0</v>
      </c>
      <c r="L33" s="27"/>
      <c r="N33" s="15">
        <v>10.89</v>
      </c>
    </row>
    <row r="34" spans="1:14" ht="20.25" customHeight="1" x14ac:dyDescent="0.15">
      <c r="A34" s="60"/>
      <c r="B34" s="9"/>
      <c r="C34" s="58"/>
      <c r="D34" s="11"/>
      <c r="E34" s="10"/>
      <c r="F34" s="10"/>
      <c r="G34" s="12"/>
      <c r="H34" s="12"/>
      <c r="I34" s="17"/>
      <c r="J34" s="18"/>
      <c r="K34" s="19">
        <f t="shared" si="1"/>
        <v>0</v>
      </c>
      <c r="L34" s="27"/>
      <c r="N34" s="15">
        <v>10.89</v>
      </c>
    </row>
    <row r="35" spans="1:14" ht="20.25" customHeight="1" x14ac:dyDescent="0.15">
      <c r="A35" s="60"/>
      <c r="B35" s="9"/>
      <c r="C35" s="58"/>
      <c r="D35" s="11"/>
      <c r="E35" s="10"/>
      <c r="F35" s="10"/>
      <c r="G35" s="12"/>
      <c r="H35" s="12"/>
      <c r="I35" s="17"/>
      <c r="J35" s="18"/>
      <c r="K35" s="19">
        <f t="shared" si="1"/>
        <v>0</v>
      </c>
      <c r="L35" s="27"/>
      <c r="N35" s="15">
        <v>10.89</v>
      </c>
    </row>
    <row r="36" spans="1:14" ht="20.25" customHeight="1" x14ac:dyDescent="0.15">
      <c r="A36" s="60"/>
      <c r="B36" s="9"/>
      <c r="C36" s="58"/>
      <c r="D36" s="11"/>
      <c r="E36" s="10"/>
      <c r="F36" s="10"/>
      <c r="G36" s="12"/>
      <c r="H36" s="12"/>
      <c r="I36" s="17"/>
      <c r="J36" s="18"/>
      <c r="K36" s="19">
        <f t="shared" si="1"/>
        <v>0</v>
      </c>
      <c r="L36" s="27"/>
      <c r="N36" s="15">
        <v>10.89</v>
      </c>
    </row>
    <row r="37" spans="1:14" ht="20.25" customHeight="1" x14ac:dyDescent="0.15">
      <c r="A37" s="60"/>
      <c r="B37" s="9"/>
      <c r="C37" s="58"/>
      <c r="D37" s="11"/>
      <c r="E37" s="10"/>
      <c r="F37" s="10"/>
      <c r="G37" s="12"/>
      <c r="H37" s="12"/>
      <c r="I37" s="17"/>
      <c r="J37" s="18"/>
      <c r="K37" s="19">
        <f t="shared" si="1"/>
        <v>0</v>
      </c>
      <c r="L37" s="27"/>
      <c r="N37" s="15">
        <v>10.89</v>
      </c>
    </row>
    <row r="38" spans="1:14" ht="20.25" customHeight="1" x14ac:dyDescent="0.15">
      <c r="A38" s="60"/>
      <c r="B38" s="9"/>
      <c r="C38" s="58"/>
      <c r="D38" s="11"/>
      <c r="E38" s="10"/>
      <c r="F38" s="10"/>
      <c r="G38" s="12"/>
      <c r="H38" s="12"/>
      <c r="I38" s="17"/>
      <c r="J38" s="18"/>
      <c r="K38" s="19">
        <f t="shared" si="1"/>
        <v>0</v>
      </c>
      <c r="L38" s="27"/>
      <c r="N38" s="15">
        <v>10.89</v>
      </c>
    </row>
    <row r="39" spans="1:14" ht="20.25" customHeight="1" x14ac:dyDescent="0.15">
      <c r="A39" s="60"/>
      <c r="B39" s="9"/>
      <c r="C39" s="58"/>
      <c r="D39" s="11"/>
      <c r="E39" s="10"/>
      <c r="F39" s="10"/>
      <c r="G39" s="12"/>
      <c r="H39" s="12"/>
      <c r="I39" s="17"/>
      <c r="J39" s="18"/>
      <c r="K39" s="19">
        <f t="shared" si="1"/>
        <v>0</v>
      </c>
      <c r="L39" s="27"/>
      <c r="N39" s="15">
        <v>10.89</v>
      </c>
    </row>
    <row r="40" spans="1:14" ht="20.25" customHeight="1" x14ac:dyDescent="0.15">
      <c r="A40" s="60"/>
      <c r="B40" s="9"/>
      <c r="C40" s="58"/>
      <c r="D40" s="11"/>
      <c r="E40" s="10"/>
      <c r="F40" s="10"/>
      <c r="G40" s="12"/>
      <c r="H40" s="12"/>
      <c r="I40" s="17"/>
      <c r="J40" s="18"/>
      <c r="K40" s="19">
        <f t="shared" si="1"/>
        <v>0</v>
      </c>
      <c r="L40" s="27"/>
      <c r="N40" s="15">
        <v>10.89</v>
      </c>
    </row>
    <row r="41" spans="1:14" ht="20.25" customHeight="1" x14ac:dyDescent="0.15">
      <c r="A41" s="57"/>
      <c r="B41" s="28"/>
      <c r="C41" s="10"/>
      <c r="D41" s="29"/>
      <c r="E41" s="30"/>
      <c r="F41" s="30"/>
      <c r="G41" s="30"/>
      <c r="H41" s="30"/>
      <c r="I41" s="13"/>
      <c r="J41" s="48">
        <f>SUM(J25:J40)</f>
        <v>544</v>
      </c>
      <c r="K41" s="49">
        <f>SUM(K25:K40)</f>
        <v>4832.0019000000002</v>
      </c>
      <c r="L41" s="31"/>
      <c r="N41" s="32"/>
    </row>
    <row r="42" spans="1:14" ht="20.25" customHeight="1" thickBot="1" x14ac:dyDescent="0.2">
      <c r="A42" s="55"/>
      <c r="B42" s="33"/>
      <c r="C42" s="33"/>
      <c r="D42" s="33"/>
      <c r="E42" s="33"/>
      <c r="F42" s="33"/>
      <c r="G42" s="33"/>
      <c r="H42" s="33"/>
      <c r="I42" s="33"/>
      <c r="J42" s="34"/>
      <c r="K42" s="35"/>
      <c r="L42" s="36"/>
    </row>
    <row r="43" spans="1:14" ht="20.25" customHeight="1" thickBot="1" x14ac:dyDescent="0.2">
      <c r="A43" s="37" t="s">
        <v>19</v>
      </c>
      <c r="B43" s="38" t="s">
        <v>20</v>
      </c>
      <c r="C43" s="77" t="s">
        <v>21</v>
      </c>
      <c r="D43" s="79"/>
      <c r="E43" s="77" t="s">
        <v>22</v>
      </c>
      <c r="F43" s="78"/>
      <c r="G43" s="79"/>
      <c r="H43" s="85" t="s">
        <v>23</v>
      </c>
      <c r="I43" s="86"/>
      <c r="J43" s="77" t="s">
        <v>24</v>
      </c>
      <c r="K43" s="79"/>
      <c r="L43" s="39" t="s">
        <v>13</v>
      </c>
    </row>
    <row r="44" spans="1:14" ht="20.25" customHeight="1" thickBot="1" x14ac:dyDescent="0.2">
      <c r="A44" s="40">
        <f>SUMIF($C$8:$C$42,"U1",$J$8:$J$42)</f>
        <v>1</v>
      </c>
      <c r="B44" s="41">
        <f>SUMIF($C$8:$C$42,"U2",$J$8:$J$42)</f>
        <v>0</v>
      </c>
      <c r="C44" s="77">
        <f>SUMIF($C$8:$C$42,"U3-1",$J$8:$J$42)</f>
        <v>0</v>
      </c>
      <c r="D44" s="79"/>
      <c r="E44" s="77">
        <f>SUMIF($C$8:$C$42,"U3",$J$8:$J$42)</f>
        <v>974</v>
      </c>
      <c r="F44" s="78"/>
      <c r="G44" s="79"/>
      <c r="H44" s="77">
        <f>SUMIF($C$8:$C$42,"E5",$J$8:$J$42)</f>
        <v>0</v>
      </c>
      <c r="I44" s="79"/>
      <c r="J44" s="77">
        <f>SUM(A44:I44)</f>
        <v>975</v>
      </c>
      <c r="K44" s="79"/>
      <c r="L44" s="42"/>
    </row>
    <row r="45" spans="1:14" ht="20.25" customHeight="1" thickBot="1" x14ac:dyDescent="0.2">
      <c r="A45" s="43" t="s">
        <v>25</v>
      </c>
      <c r="B45" s="44" t="s">
        <v>26</v>
      </c>
      <c r="C45" s="75">
        <v>13876</v>
      </c>
      <c r="D45" s="76"/>
      <c r="E45" s="77" t="s">
        <v>27</v>
      </c>
      <c r="F45" s="78"/>
      <c r="G45" s="78"/>
      <c r="H45" s="78"/>
      <c r="I45" s="79"/>
      <c r="J45" s="80">
        <v>146744.37</v>
      </c>
      <c r="K45" s="81"/>
      <c r="L45" s="82"/>
    </row>
    <row r="47" spans="1:14" x14ac:dyDescent="0.15">
      <c r="D47" s="45"/>
    </row>
  </sheetData>
  <mergeCells count="26">
    <mergeCell ref="C45:D45"/>
    <mergeCell ref="E45:I45"/>
    <mergeCell ref="J45:L45"/>
    <mergeCell ref="L6:L7"/>
    <mergeCell ref="C43:D43"/>
    <mergeCell ref="E43:G43"/>
    <mergeCell ref="H43:I43"/>
    <mergeCell ref="J43:K43"/>
    <mergeCell ref="C44:D44"/>
    <mergeCell ref="E44:G44"/>
    <mergeCell ref="H44:I44"/>
    <mergeCell ref="J44:K44"/>
    <mergeCell ref="B5:G5"/>
    <mergeCell ref="A6:A7"/>
    <mergeCell ref="B6:B7"/>
    <mergeCell ref="C6:C7"/>
    <mergeCell ref="D6:D7"/>
    <mergeCell ref="E6:E7"/>
    <mergeCell ref="F6:F7"/>
    <mergeCell ref="G6:K6"/>
    <mergeCell ref="L2:L4"/>
    <mergeCell ref="A1:G3"/>
    <mergeCell ref="H1:H4"/>
    <mergeCell ref="I2:I4"/>
    <mergeCell ref="J2:J4"/>
    <mergeCell ref="K2:K4"/>
  </mergeCells>
  <phoneticPr fontId="2" type="noConversion"/>
  <printOptions horizontalCentered="1"/>
  <pageMargins left="0.39370078740157483" right="0.39370078740157483" top="0.74803149606299213" bottom="0.19685039370078741" header="0.31496062992125984" footer="0.15748031496062992"/>
  <pageSetup paperSize="9" scale="84" orientation="portrait" r:id="rId1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1A8C41-4B8D-4113-971A-722A4D65EA37}">
  <dimension ref="A1:N47"/>
  <sheetViews>
    <sheetView view="pageBreakPreview" topLeftCell="A10" zoomScaleSheetLayoutView="100" workbookViewId="0">
      <selection activeCell="C30" sqref="C30:E30"/>
    </sheetView>
  </sheetViews>
  <sheetFormatPr defaultColWidth="8.88671875" defaultRowHeight="13.5" x14ac:dyDescent="0.15"/>
  <cols>
    <col min="1" max="1" width="8.44140625" style="3" customWidth="1"/>
    <col min="2" max="2" width="14.77734375" style="3" customWidth="1"/>
    <col min="3" max="3" width="4.109375" style="3" customWidth="1"/>
    <col min="4" max="4" width="15.21875" style="3" customWidth="1"/>
    <col min="5" max="5" width="4.44140625" style="3" customWidth="1"/>
    <col min="6" max="6" width="4" style="3" customWidth="1"/>
    <col min="7" max="7" width="5.5546875" style="3" customWidth="1"/>
    <col min="8" max="8" width="5.44140625" style="3" customWidth="1"/>
    <col min="9" max="9" width="7.88671875" style="3" customWidth="1"/>
    <col min="10" max="10" width="7.109375" style="3" customWidth="1"/>
    <col min="11" max="11" width="7.21875" style="3" customWidth="1"/>
    <col min="12" max="12" width="6.77734375" style="3" customWidth="1"/>
    <col min="13" max="16384" width="8.88671875" style="3"/>
  </cols>
  <sheetData>
    <row r="1" spans="1:14" ht="18.75" customHeight="1" x14ac:dyDescent="0.15">
      <c r="A1" s="101" t="s">
        <v>0</v>
      </c>
      <c r="B1" s="102"/>
      <c r="C1" s="102"/>
      <c r="D1" s="102"/>
      <c r="E1" s="102"/>
      <c r="F1" s="102"/>
      <c r="G1" s="103"/>
      <c r="H1" s="107" t="s">
        <v>1</v>
      </c>
      <c r="I1" s="1" t="s">
        <v>2</v>
      </c>
      <c r="J1" s="1" t="s">
        <v>2</v>
      </c>
      <c r="K1" s="1" t="s">
        <v>3</v>
      </c>
      <c r="L1" s="2" t="s">
        <v>4</v>
      </c>
    </row>
    <row r="2" spans="1:14" ht="13.5" customHeight="1" x14ac:dyDescent="0.15">
      <c r="A2" s="104"/>
      <c r="B2" s="105"/>
      <c r="C2" s="105"/>
      <c r="D2" s="105"/>
      <c r="E2" s="105"/>
      <c r="F2" s="105"/>
      <c r="G2" s="106"/>
      <c r="H2" s="108"/>
      <c r="I2" s="110"/>
      <c r="J2" s="110"/>
      <c r="K2" s="110"/>
      <c r="L2" s="98"/>
    </row>
    <row r="3" spans="1:14" ht="13.5" customHeight="1" x14ac:dyDescent="0.15">
      <c r="A3" s="104"/>
      <c r="B3" s="105"/>
      <c r="C3" s="105"/>
      <c r="D3" s="105"/>
      <c r="E3" s="105"/>
      <c r="F3" s="105"/>
      <c r="G3" s="106"/>
      <c r="H3" s="108"/>
      <c r="I3" s="108"/>
      <c r="J3" s="108"/>
      <c r="K3" s="108"/>
      <c r="L3" s="99"/>
    </row>
    <row r="4" spans="1:14" ht="33" customHeight="1" x14ac:dyDescent="0.15">
      <c r="A4" s="4"/>
      <c r="B4" s="5"/>
      <c r="C4" s="5"/>
      <c r="D4" s="5"/>
      <c r="E4" s="5"/>
      <c r="F4" s="5"/>
      <c r="G4" s="5"/>
      <c r="H4" s="109"/>
      <c r="I4" s="109"/>
      <c r="J4" s="109"/>
      <c r="K4" s="109"/>
      <c r="L4" s="100"/>
    </row>
    <row r="5" spans="1:14" ht="17.25" customHeight="1" x14ac:dyDescent="0.15">
      <c r="A5" s="6" t="s">
        <v>5</v>
      </c>
      <c r="B5" s="87">
        <v>46114</v>
      </c>
      <c r="C5" s="88"/>
      <c r="D5" s="88"/>
      <c r="E5" s="88"/>
      <c r="F5" s="88"/>
      <c r="G5" s="88"/>
      <c r="H5" s="5"/>
      <c r="I5" s="5"/>
      <c r="J5" s="5"/>
      <c r="K5" s="5"/>
      <c r="L5" s="7"/>
    </row>
    <row r="6" spans="1:14" ht="13.5" customHeight="1" x14ac:dyDescent="0.15">
      <c r="A6" s="89" t="s">
        <v>6</v>
      </c>
      <c r="B6" s="91" t="s">
        <v>7</v>
      </c>
      <c r="C6" s="91" t="s">
        <v>8</v>
      </c>
      <c r="D6" s="91" t="s">
        <v>9</v>
      </c>
      <c r="E6" s="93" t="s">
        <v>10</v>
      </c>
      <c r="F6" s="93" t="s">
        <v>11</v>
      </c>
      <c r="G6" s="95" t="s">
        <v>12</v>
      </c>
      <c r="H6" s="96"/>
      <c r="I6" s="96"/>
      <c r="J6" s="96"/>
      <c r="K6" s="97"/>
      <c r="L6" s="83" t="s">
        <v>13</v>
      </c>
    </row>
    <row r="7" spans="1:14" x14ac:dyDescent="0.15">
      <c r="A7" s="90"/>
      <c r="B7" s="92"/>
      <c r="C7" s="92"/>
      <c r="D7" s="92"/>
      <c r="E7" s="94"/>
      <c r="F7" s="94"/>
      <c r="G7" s="8" t="s">
        <v>14</v>
      </c>
      <c r="H7" s="8" t="s">
        <v>15</v>
      </c>
      <c r="I7" s="8" t="s">
        <v>16</v>
      </c>
      <c r="J7" s="8" t="s">
        <v>17</v>
      </c>
      <c r="K7" s="8" t="s">
        <v>18</v>
      </c>
      <c r="L7" s="84"/>
    </row>
    <row r="8" spans="1:14" s="15" customFormat="1" ht="20.25" customHeight="1" x14ac:dyDescent="0.15">
      <c r="A8" s="60" t="s">
        <v>1730</v>
      </c>
      <c r="B8" s="9" t="s">
        <v>1646</v>
      </c>
      <c r="C8" s="58" t="s">
        <v>29</v>
      </c>
      <c r="D8" s="11" t="s">
        <v>1480</v>
      </c>
      <c r="E8" s="10">
        <v>24</v>
      </c>
      <c r="F8" s="58" t="s">
        <v>11</v>
      </c>
      <c r="G8" s="12">
        <v>823</v>
      </c>
      <c r="H8" s="12">
        <v>563</v>
      </c>
      <c r="I8" s="17">
        <v>1</v>
      </c>
      <c r="J8" s="18">
        <v>1</v>
      </c>
      <c r="K8" s="19">
        <f>+M8*N8</f>
        <v>5.0094000000000003</v>
      </c>
      <c r="L8" s="14"/>
      <c r="M8" s="15">
        <v>0.46</v>
      </c>
      <c r="N8" s="15">
        <v>10.89</v>
      </c>
    </row>
    <row r="9" spans="1:14" s="15" customFormat="1" ht="20.25" customHeight="1" x14ac:dyDescent="0.15">
      <c r="A9" s="60" t="s">
        <v>1731</v>
      </c>
      <c r="B9" s="9" t="s">
        <v>1732</v>
      </c>
      <c r="C9" s="58" t="s">
        <v>29</v>
      </c>
      <c r="D9" s="11" t="s">
        <v>1436</v>
      </c>
      <c r="E9" s="10">
        <v>22</v>
      </c>
      <c r="F9" s="58"/>
      <c r="G9" s="12">
        <v>300</v>
      </c>
      <c r="H9" s="12">
        <v>300</v>
      </c>
      <c r="I9" s="17">
        <v>1</v>
      </c>
      <c r="J9" s="18">
        <v>1</v>
      </c>
      <c r="K9" s="19">
        <f t="shared" ref="K9:K24" si="0">+M9*N9</f>
        <v>3.0492000000000004</v>
      </c>
      <c r="L9" s="14"/>
      <c r="M9" s="15">
        <v>0.28000000000000003</v>
      </c>
      <c r="N9" s="15">
        <v>10.89</v>
      </c>
    </row>
    <row r="10" spans="1:14" s="15" customFormat="1" ht="20.25" customHeight="1" x14ac:dyDescent="0.15">
      <c r="A10" s="60"/>
      <c r="B10" s="9"/>
      <c r="C10" s="58" t="s">
        <v>29</v>
      </c>
      <c r="D10" s="11" t="s">
        <v>1733</v>
      </c>
      <c r="E10" s="10">
        <v>22</v>
      </c>
      <c r="F10" s="58"/>
      <c r="G10" s="12">
        <v>300</v>
      </c>
      <c r="H10" s="12">
        <v>300</v>
      </c>
      <c r="I10" s="17">
        <v>1</v>
      </c>
      <c r="J10" s="18">
        <v>1</v>
      </c>
      <c r="K10" s="19">
        <f t="shared" si="0"/>
        <v>3.0492000000000004</v>
      </c>
      <c r="L10" s="14"/>
      <c r="M10" s="15">
        <v>0.28000000000000003</v>
      </c>
      <c r="N10" s="15">
        <v>10.89</v>
      </c>
    </row>
    <row r="11" spans="1:14" s="15" customFormat="1" ht="20.25" customHeight="1" x14ac:dyDescent="0.15">
      <c r="A11" s="60"/>
      <c r="B11" s="9"/>
      <c r="C11" s="58" t="s">
        <v>273</v>
      </c>
      <c r="D11" s="11" t="s">
        <v>1618</v>
      </c>
      <c r="E11" s="10">
        <v>16</v>
      </c>
      <c r="F11" s="58"/>
      <c r="G11" s="12">
        <v>300</v>
      </c>
      <c r="H11" s="12">
        <v>300</v>
      </c>
      <c r="I11" s="17">
        <v>1</v>
      </c>
      <c r="J11" s="18">
        <v>1</v>
      </c>
      <c r="K11" s="19">
        <f t="shared" si="0"/>
        <v>3.0492000000000004</v>
      </c>
      <c r="L11" s="14"/>
      <c r="M11" s="15">
        <v>0.28000000000000003</v>
      </c>
      <c r="N11" s="15">
        <v>10.89</v>
      </c>
    </row>
    <row r="12" spans="1:14" s="15" customFormat="1" ht="20.25" customHeight="1" x14ac:dyDescent="0.15">
      <c r="A12" s="60" t="s">
        <v>1734</v>
      </c>
      <c r="B12" s="9" t="s">
        <v>1735</v>
      </c>
      <c r="C12" s="58" t="s">
        <v>29</v>
      </c>
      <c r="D12" s="11" t="s">
        <v>345</v>
      </c>
      <c r="E12" s="10">
        <v>24</v>
      </c>
      <c r="F12" s="58" t="s">
        <v>11</v>
      </c>
      <c r="G12" s="12">
        <v>300</v>
      </c>
      <c r="H12" s="12">
        <v>300</v>
      </c>
      <c r="I12" s="17">
        <v>1</v>
      </c>
      <c r="J12" s="18">
        <v>1</v>
      </c>
      <c r="K12" s="19">
        <f t="shared" si="0"/>
        <v>3.0492000000000004</v>
      </c>
      <c r="L12" s="14"/>
      <c r="M12" s="15">
        <v>0.28000000000000003</v>
      </c>
      <c r="N12" s="15">
        <v>10.89</v>
      </c>
    </row>
    <row r="13" spans="1:14" s="15" customFormat="1" ht="20.25" customHeight="1" x14ac:dyDescent="0.15">
      <c r="A13" s="60"/>
      <c r="B13" s="9"/>
      <c r="C13" s="58" t="s">
        <v>29</v>
      </c>
      <c r="D13" s="11" t="s">
        <v>1736</v>
      </c>
      <c r="E13" s="10">
        <v>24</v>
      </c>
      <c r="F13" s="58" t="s">
        <v>11</v>
      </c>
      <c r="G13" s="12">
        <v>300</v>
      </c>
      <c r="H13" s="12">
        <v>300</v>
      </c>
      <c r="I13" s="17">
        <v>1</v>
      </c>
      <c r="J13" s="18">
        <v>1</v>
      </c>
      <c r="K13" s="19">
        <f t="shared" si="0"/>
        <v>3.0492000000000004</v>
      </c>
      <c r="L13" s="14"/>
      <c r="M13" s="15">
        <v>0.28000000000000003</v>
      </c>
      <c r="N13" s="15">
        <v>10.89</v>
      </c>
    </row>
    <row r="14" spans="1:14" s="15" customFormat="1" ht="20.25" customHeight="1" x14ac:dyDescent="0.15">
      <c r="A14" s="60"/>
      <c r="B14" s="9"/>
      <c r="C14" s="58" t="s">
        <v>29</v>
      </c>
      <c r="D14" s="11" t="s">
        <v>1737</v>
      </c>
      <c r="E14" s="10">
        <v>24</v>
      </c>
      <c r="F14" s="58" t="s">
        <v>11</v>
      </c>
      <c r="G14" s="12">
        <v>300</v>
      </c>
      <c r="H14" s="12">
        <v>300</v>
      </c>
      <c r="I14" s="17">
        <v>1</v>
      </c>
      <c r="J14" s="18">
        <v>1</v>
      </c>
      <c r="K14" s="19">
        <f t="shared" si="0"/>
        <v>3.0492000000000004</v>
      </c>
      <c r="L14" s="20"/>
      <c r="M14" s="15">
        <v>0.28000000000000003</v>
      </c>
      <c r="N14" s="15">
        <v>10.89</v>
      </c>
    </row>
    <row r="15" spans="1:14" s="15" customFormat="1" ht="20.25" customHeight="1" x14ac:dyDescent="0.15">
      <c r="A15" s="60"/>
      <c r="B15" s="9"/>
      <c r="C15" s="58" t="s">
        <v>29</v>
      </c>
      <c r="D15" s="11" t="s">
        <v>1738</v>
      </c>
      <c r="E15" s="10">
        <v>24</v>
      </c>
      <c r="F15" s="58" t="s">
        <v>11</v>
      </c>
      <c r="G15" s="12">
        <v>300</v>
      </c>
      <c r="H15" s="12">
        <v>300</v>
      </c>
      <c r="I15" s="17">
        <v>1</v>
      </c>
      <c r="J15" s="18">
        <v>1</v>
      </c>
      <c r="K15" s="19">
        <f t="shared" si="0"/>
        <v>3.0492000000000004</v>
      </c>
      <c r="L15" s="20"/>
      <c r="M15" s="15">
        <v>0.28000000000000003</v>
      </c>
      <c r="N15" s="15">
        <v>10.89</v>
      </c>
    </row>
    <row r="16" spans="1:14" s="15" customFormat="1" ht="20.25" customHeight="1" x14ac:dyDescent="0.15">
      <c r="A16" s="60" t="s">
        <v>1739</v>
      </c>
      <c r="B16" s="9" t="s">
        <v>1477</v>
      </c>
      <c r="C16" s="58" t="s">
        <v>29</v>
      </c>
      <c r="D16" s="11" t="s">
        <v>1462</v>
      </c>
      <c r="E16" s="10">
        <v>22</v>
      </c>
      <c r="F16" s="58" t="s">
        <v>11</v>
      </c>
      <c r="G16" s="12">
        <v>1730</v>
      </c>
      <c r="H16" s="12">
        <v>1870</v>
      </c>
      <c r="I16" s="17" t="s">
        <v>557</v>
      </c>
      <c r="J16" s="18">
        <v>20</v>
      </c>
      <c r="K16" s="19">
        <f t="shared" si="0"/>
        <v>262.66680000000002</v>
      </c>
      <c r="L16" s="20"/>
      <c r="M16" s="15">
        <v>24.12</v>
      </c>
      <c r="N16" s="15">
        <v>10.89</v>
      </c>
    </row>
    <row r="17" spans="1:14" s="15" customFormat="1" ht="20.25" customHeight="1" x14ac:dyDescent="0.15">
      <c r="A17" s="60"/>
      <c r="B17" s="9"/>
      <c r="C17" s="58" t="s">
        <v>29</v>
      </c>
      <c r="D17" s="11" t="s">
        <v>1436</v>
      </c>
      <c r="E17" s="10">
        <v>22</v>
      </c>
      <c r="F17" s="58"/>
      <c r="G17" s="12">
        <v>596</v>
      </c>
      <c r="H17" s="12">
        <v>1855</v>
      </c>
      <c r="I17" s="17">
        <v>1</v>
      </c>
      <c r="J17" s="18">
        <v>1</v>
      </c>
      <c r="K17" s="19">
        <f t="shared" si="0"/>
        <v>12.087900000000001</v>
      </c>
      <c r="L17" s="14"/>
      <c r="M17" s="15">
        <v>1.1100000000000001</v>
      </c>
      <c r="N17" s="15">
        <v>10.89</v>
      </c>
    </row>
    <row r="18" spans="1:14" ht="20.25" customHeight="1" x14ac:dyDescent="0.15">
      <c r="A18" s="60"/>
      <c r="B18" s="9"/>
      <c r="C18" s="58" t="s">
        <v>273</v>
      </c>
      <c r="D18" s="11" t="s">
        <v>675</v>
      </c>
      <c r="E18" s="10">
        <v>16</v>
      </c>
      <c r="F18" s="10"/>
      <c r="G18" s="12">
        <v>775</v>
      </c>
      <c r="H18" s="12">
        <v>2134</v>
      </c>
      <c r="I18" s="17">
        <v>1</v>
      </c>
      <c r="J18" s="18">
        <v>1</v>
      </c>
      <c r="K18" s="19">
        <f>+M18*N18</f>
        <v>17.968499999999999</v>
      </c>
      <c r="L18" s="27"/>
      <c r="M18" s="3">
        <v>1.65</v>
      </c>
      <c r="N18" s="15">
        <v>10.89</v>
      </c>
    </row>
    <row r="19" spans="1:14" s="15" customFormat="1" ht="20.25" customHeight="1" x14ac:dyDescent="0.15">
      <c r="A19" s="60" t="s">
        <v>1740</v>
      </c>
      <c r="B19" s="9" t="s">
        <v>1479</v>
      </c>
      <c r="C19" s="58" t="s">
        <v>29</v>
      </c>
      <c r="D19" s="11" t="s">
        <v>1480</v>
      </c>
      <c r="E19" s="10">
        <v>24</v>
      </c>
      <c r="F19" s="58" t="s">
        <v>11</v>
      </c>
      <c r="G19" s="12">
        <v>845</v>
      </c>
      <c r="H19" s="12">
        <v>830</v>
      </c>
      <c r="I19" s="17" t="s">
        <v>887</v>
      </c>
      <c r="J19" s="18">
        <v>8</v>
      </c>
      <c r="K19" s="19">
        <f t="shared" si="0"/>
        <v>43.56</v>
      </c>
      <c r="L19" s="20"/>
      <c r="M19" s="15">
        <v>4</v>
      </c>
      <c r="N19" s="15">
        <v>10.89</v>
      </c>
    </row>
    <row r="20" spans="1:14" s="15" customFormat="1" ht="20.25" customHeight="1" x14ac:dyDescent="0.15">
      <c r="A20" s="60" t="s">
        <v>1741</v>
      </c>
      <c r="B20" s="9" t="s">
        <v>131</v>
      </c>
      <c r="C20" s="58" t="s">
        <v>29</v>
      </c>
      <c r="D20" s="11" t="s">
        <v>1445</v>
      </c>
      <c r="E20" s="10">
        <v>22</v>
      </c>
      <c r="F20" s="58" t="s">
        <v>11</v>
      </c>
      <c r="G20" s="12">
        <v>1723</v>
      </c>
      <c r="H20" s="12">
        <v>1763</v>
      </c>
      <c r="I20" s="17" t="s">
        <v>1742</v>
      </c>
      <c r="J20" s="18">
        <v>147</v>
      </c>
      <c r="K20" s="19">
        <f t="shared" si="0"/>
        <v>1974.1392000000001</v>
      </c>
      <c r="L20" s="20"/>
      <c r="M20" s="15">
        <v>181.28</v>
      </c>
      <c r="N20" s="15">
        <v>10.89</v>
      </c>
    </row>
    <row r="21" spans="1:14" s="15" customFormat="1" ht="20.25" customHeight="1" x14ac:dyDescent="0.15">
      <c r="A21" s="60" t="s">
        <v>1716</v>
      </c>
      <c r="B21" s="9" t="s">
        <v>1710</v>
      </c>
      <c r="C21" s="58" t="s">
        <v>29</v>
      </c>
      <c r="D21" s="11" t="s">
        <v>345</v>
      </c>
      <c r="E21" s="10">
        <v>24</v>
      </c>
      <c r="F21" s="58" t="s">
        <v>11</v>
      </c>
      <c r="G21" s="12">
        <v>195</v>
      </c>
      <c r="H21" s="12">
        <v>295</v>
      </c>
      <c r="I21" s="17">
        <v>1</v>
      </c>
      <c r="J21" s="18">
        <v>1</v>
      </c>
      <c r="K21" s="19">
        <f t="shared" si="0"/>
        <v>3.0492000000000004</v>
      </c>
      <c r="L21" s="20"/>
      <c r="M21" s="15">
        <v>0.28000000000000003</v>
      </c>
      <c r="N21" s="15">
        <v>10.89</v>
      </c>
    </row>
    <row r="22" spans="1:14" s="15" customFormat="1" ht="20.25" customHeight="1" x14ac:dyDescent="0.15">
      <c r="A22" s="60"/>
      <c r="B22" s="9"/>
      <c r="C22" s="58" t="s">
        <v>29</v>
      </c>
      <c r="D22" s="11" t="s">
        <v>1712</v>
      </c>
      <c r="E22" s="10">
        <v>24</v>
      </c>
      <c r="F22" s="58" t="s">
        <v>11</v>
      </c>
      <c r="G22" s="50">
        <v>695</v>
      </c>
      <c r="H22" s="50">
        <v>295</v>
      </c>
      <c r="I22" s="17" t="s">
        <v>1743</v>
      </c>
      <c r="J22" s="18">
        <v>21</v>
      </c>
      <c r="K22" s="19">
        <f t="shared" si="0"/>
        <v>64.142099999999999</v>
      </c>
      <c r="L22" s="20"/>
      <c r="M22" s="15">
        <v>5.89</v>
      </c>
      <c r="N22" s="15">
        <v>10.89</v>
      </c>
    </row>
    <row r="23" spans="1:14" s="15" customFormat="1" ht="20.25" customHeight="1" x14ac:dyDescent="0.15">
      <c r="A23" s="60" t="s">
        <v>1744</v>
      </c>
      <c r="B23" s="9" t="s">
        <v>1710</v>
      </c>
      <c r="C23" s="58" t="s">
        <v>29</v>
      </c>
      <c r="D23" s="11" t="s">
        <v>345</v>
      </c>
      <c r="E23" s="10">
        <v>24</v>
      </c>
      <c r="F23" s="58" t="s">
        <v>11</v>
      </c>
      <c r="G23" s="50">
        <v>1045</v>
      </c>
      <c r="H23" s="50">
        <v>2873</v>
      </c>
      <c r="I23" s="17" t="s">
        <v>1745</v>
      </c>
      <c r="J23" s="18">
        <v>55</v>
      </c>
      <c r="K23" s="19">
        <f t="shared" si="0"/>
        <v>889.27740000000006</v>
      </c>
      <c r="L23" s="20"/>
      <c r="M23" s="15">
        <v>81.66</v>
      </c>
      <c r="N23" s="15">
        <v>10.89</v>
      </c>
    </row>
    <row r="24" spans="1:14" ht="20.25" customHeight="1" x14ac:dyDescent="0.15">
      <c r="A24" s="60"/>
      <c r="B24" s="9"/>
      <c r="C24" s="58" t="s">
        <v>29</v>
      </c>
      <c r="D24" s="11" t="s">
        <v>1712</v>
      </c>
      <c r="E24" s="10">
        <v>24</v>
      </c>
      <c r="F24" s="58" t="s">
        <v>11</v>
      </c>
      <c r="G24" s="16">
        <v>1285</v>
      </c>
      <c r="H24" s="16">
        <v>2170</v>
      </c>
      <c r="I24" s="17" t="s">
        <v>1746</v>
      </c>
      <c r="J24" s="18">
        <v>68</v>
      </c>
      <c r="K24" s="19">
        <f t="shared" si="0"/>
        <v>330.1848</v>
      </c>
      <c r="L24" s="20"/>
      <c r="M24" s="3">
        <v>30.32</v>
      </c>
      <c r="N24" s="15">
        <v>10.89</v>
      </c>
    </row>
    <row r="25" spans="1:14" ht="20.25" customHeight="1" thickBot="1" x14ac:dyDescent="0.2">
      <c r="A25" s="56"/>
      <c r="B25" s="21"/>
      <c r="C25" s="59"/>
      <c r="D25" s="22"/>
      <c r="E25" s="23"/>
      <c r="F25" s="23"/>
      <c r="G25" s="24"/>
      <c r="H25" s="24"/>
      <c r="I25" s="25"/>
      <c r="J25" s="46">
        <f>SUM(J8:J24)</f>
        <v>330</v>
      </c>
      <c r="K25" s="47">
        <f>SUM(K8:K24)</f>
        <v>3623.4297000000001</v>
      </c>
      <c r="L25" s="26"/>
    </row>
    <row r="26" spans="1:14" ht="20.25" customHeight="1" thickTop="1" x14ac:dyDescent="0.15">
      <c r="A26" s="60" t="s">
        <v>1725</v>
      </c>
      <c r="B26" s="9" t="s">
        <v>1630</v>
      </c>
      <c r="C26" s="58" t="s">
        <v>29</v>
      </c>
      <c r="D26" s="11" t="s">
        <v>1726</v>
      </c>
      <c r="E26" s="10">
        <v>28</v>
      </c>
      <c r="F26" s="10" t="s">
        <v>11</v>
      </c>
      <c r="G26" s="12">
        <v>935</v>
      </c>
      <c r="H26" s="12">
        <v>2330</v>
      </c>
      <c r="I26" s="17">
        <v>4</v>
      </c>
      <c r="J26" s="18">
        <v>4</v>
      </c>
      <c r="K26" s="19">
        <f t="shared" ref="K26:K40" si="1">+M26*N26</f>
        <v>94.960800000000006</v>
      </c>
      <c r="L26" s="54"/>
      <c r="M26" s="15">
        <v>8.7200000000000006</v>
      </c>
      <c r="N26" s="15">
        <v>10.89</v>
      </c>
    </row>
    <row r="27" spans="1:14" ht="20.25" customHeight="1" x14ac:dyDescent="0.15">
      <c r="A27" s="60" t="s">
        <v>1631</v>
      </c>
      <c r="B27" s="9" t="s">
        <v>1496</v>
      </c>
      <c r="C27" s="58" t="s">
        <v>29</v>
      </c>
      <c r="D27" s="11" t="s">
        <v>1494</v>
      </c>
      <c r="E27" s="10">
        <v>28</v>
      </c>
      <c r="F27" s="10" t="s">
        <v>11</v>
      </c>
      <c r="G27" s="12">
        <v>950</v>
      </c>
      <c r="H27" s="12">
        <v>1885</v>
      </c>
      <c r="I27" s="17" t="s">
        <v>577</v>
      </c>
      <c r="J27" s="18">
        <v>3</v>
      </c>
      <c r="K27" s="19">
        <f t="shared" si="1"/>
        <v>52.816499999999998</v>
      </c>
      <c r="L27" s="54"/>
      <c r="M27" s="3">
        <v>4.8499999999999996</v>
      </c>
      <c r="N27" s="15">
        <v>10.89</v>
      </c>
    </row>
    <row r="28" spans="1:14" ht="20.25" customHeight="1" x14ac:dyDescent="0.15">
      <c r="A28" s="61" t="s">
        <v>1727</v>
      </c>
      <c r="B28" s="9" t="s">
        <v>1496</v>
      </c>
      <c r="C28" s="58" t="s">
        <v>29</v>
      </c>
      <c r="D28" s="11" t="s">
        <v>1494</v>
      </c>
      <c r="E28" s="10">
        <v>28</v>
      </c>
      <c r="F28" s="10" t="s">
        <v>11</v>
      </c>
      <c r="G28" s="12">
        <v>950</v>
      </c>
      <c r="H28" s="12">
        <v>1885</v>
      </c>
      <c r="I28" s="17" t="s">
        <v>1632</v>
      </c>
      <c r="J28" s="18">
        <v>187</v>
      </c>
      <c r="K28" s="19">
        <f t="shared" si="1"/>
        <v>2363.4567000000002</v>
      </c>
      <c r="L28" s="54"/>
      <c r="M28" s="3">
        <v>217.03</v>
      </c>
      <c r="N28" s="15">
        <v>10.89</v>
      </c>
    </row>
    <row r="29" spans="1:14" ht="20.25" customHeight="1" x14ac:dyDescent="0.15">
      <c r="A29" s="61"/>
      <c r="B29" s="9"/>
      <c r="C29" s="58" t="s">
        <v>29</v>
      </c>
      <c r="D29" s="11" t="s">
        <v>1728</v>
      </c>
      <c r="E29" s="10">
        <v>26</v>
      </c>
      <c r="F29" s="10" t="s">
        <v>11</v>
      </c>
      <c r="G29" s="12">
        <v>955</v>
      </c>
      <c r="H29" s="12">
        <v>1980</v>
      </c>
      <c r="I29" s="17">
        <v>1</v>
      </c>
      <c r="J29" s="18">
        <v>1</v>
      </c>
      <c r="K29" s="19">
        <f t="shared" si="1"/>
        <v>20.582100000000001</v>
      </c>
      <c r="L29" s="54"/>
      <c r="M29" s="3">
        <v>1.89</v>
      </c>
      <c r="N29" s="15">
        <v>10.89</v>
      </c>
    </row>
    <row r="30" spans="1:14" ht="20.25" customHeight="1" x14ac:dyDescent="0.15">
      <c r="A30" s="61" t="s">
        <v>1723</v>
      </c>
      <c r="B30" s="9" t="s">
        <v>131</v>
      </c>
      <c r="C30" s="58" t="s">
        <v>29</v>
      </c>
      <c r="D30" s="11" t="s">
        <v>1698</v>
      </c>
      <c r="E30" s="10">
        <v>22</v>
      </c>
      <c r="F30" s="10" t="s">
        <v>11</v>
      </c>
      <c r="G30" s="12">
        <v>914</v>
      </c>
      <c r="H30" s="12">
        <v>1763</v>
      </c>
      <c r="I30" s="17" t="s">
        <v>1729</v>
      </c>
      <c r="J30" s="18">
        <v>241</v>
      </c>
      <c r="K30" s="19">
        <f t="shared" si="1"/>
        <v>1601.5923</v>
      </c>
      <c r="L30" s="54"/>
      <c r="M30" s="3">
        <v>147.07</v>
      </c>
      <c r="N30" s="15">
        <v>10.89</v>
      </c>
    </row>
    <row r="31" spans="1:14" ht="20.25" customHeight="1" x14ac:dyDescent="0.15">
      <c r="A31" s="61"/>
      <c r="B31" s="9"/>
      <c r="C31" s="58"/>
      <c r="D31" s="11"/>
      <c r="E31" s="10"/>
      <c r="F31" s="10"/>
      <c r="G31" s="12"/>
      <c r="H31" s="12"/>
      <c r="I31" s="51"/>
      <c r="J31" s="52"/>
      <c r="K31" s="53">
        <f t="shared" si="1"/>
        <v>0</v>
      </c>
      <c r="L31" s="54"/>
      <c r="N31" s="15">
        <v>10.89</v>
      </c>
    </row>
    <row r="32" spans="1:14" ht="20.25" customHeight="1" x14ac:dyDescent="0.15">
      <c r="A32" s="61"/>
      <c r="B32" s="9"/>
      <c r="C32" s="58"/>
      <c r="D32" s="11"/>
      <c r="E32" s="10"/>
      <c r="F32" s="10"/>
      <c r="G32" s="12"/>
      <c r="H32" s="12"/>
      <c r="I32" s="51"/>
      <c r="J32" s="52"/>
      <c r="K32" s="53">
        <f t="shared" si="1"/>
        <v>0</v>
      </c>
      <c r="L32" s="54"/>
      <c r="N32" s="15">
        <v>10.89</v>
      </c>
    </row>
    <row r="33" spans="1:14" ht="20.25" customHeight="1" x14ac:dyDescent="0.15">
      <c r="A33" s="60"/>
      <c r="B33" s="9"/>
      <c r="C33" s="58"/>
      <c r="D33" s="11"/>
      <c r="E33" s="10"/>
      <c r="F33" s="10"/>
      <c r="G33" s="12"/>
      <c r="H33" s="12"/>
      <c r="I33" s="17"/>
      <c r="J33" s="18"/>
      <c r="K33" s="19">
        <f t="shared" si="1"/>
        <v>0</v>
      </c>
      <c r="L33" s="27"/>
      <c r="N33" s="15">
        <v>10.89</v>
      </c>
    </row>
    <row r="34" spans="1:14" ht="20.25" customHeight="1" x14ac:dyDescent="0.15">
      <c r="A34" s="60"/>
      <c r="B34" s="9"/>
      <c r="C34" s="58"/>
      <c r="D34" s="11"/>
      <c r="E34" s="10"/>
      <c r="F34" s="10"/>
      <c r="G34" s="12"/>
      <c r="H34" s="12"/>
      <c r="I34" s="17"/>
      <c r="J34" s="18"/>
      <c r="K34" s="19">
        <f t="shared" si="1"/>
        <v>0</v>
      </c>
      <c r="L34" s="27"/>
      <c r="N34" s="15">
        <v>10.89</v>
      </c>
    </row>
    <row r="35" spans="1:14" ht="20.25" customHeight="1" x14ac:dyDescent="0.15">
      <c r="A35" s="60"/>
      <c r="B35" s="9"/>
      <c r="C35" s="58"/>
      <c r="D35" s="11"/>
      <c r="E35" s="10"/>
      <c r="F35" s="10"/>
      <c r="G35" s="12"/>
      <c r="H35" s="12"/>
      <c r="I35" s="17"/>
      <c r="J35" s="18"/>
      <c r="K35" s="19">
        <f t="shared" si="1"/>
        <v>0</v>
      </c>
      <c r="L35" s="27"/>
      <c r="N35" s="15">
        <v>10.89</v>
      </c>
    </row>
    <row r="36" spans="1:14" ht="20.25" customHeight="1" x14ac:dyDescent="0.15">
      <c r="A36" s="60"/>
      <c r="B36" s="9"/>
      <c r="C36" s="58"/>
      <c r="D36" s="11"/>
      <c r="E36" s="10"/>
      <c r="F36" s="10"/>
      <c r="G36" s="12"/>
      <c r="H36" s="12"/>
      <c r="I36" s="17"/>
      <c r="J36" s="18"/>
      <c r="K36" s="19">
        <f t="shared" si="1"/>
        <v>0</v>
      </c>
      <c r="L36" s="27"/>
      <c r="N36" s="15">
        <v>10.89</v>
      </c>
    </row>
    <row r="37" spans="1:14" ht="20.25" customHeight="1" x14ac:dyDescent="0.15">
      <c r="A37" s="60"/>
      <c r="B37" s="9"/>
      <c r="C37" s="58"/>
      <c r="D37" s="11"/>
      <c r="E37" s="10"/>
      <c r="F37" s="10"/>
      <c r="G37" s="12"/>
      <c r="H37" s="12"/>
      <c r="I37" s="17"/>
      <c r="J37" s="18"/>
      <c r="K37" s="19">
        <f t="shared" si="1"/>
        <v>0</v>
      </c>
      <c r="L37" s="27"/>
      <c r="N37" s="15">
        <v>10.89</v>
      </c>
    </row>
    <row r="38" spans="1:14" ht="20.25" customHeight="1" x14ac:dyDescent="0.15">
      <c r="A38" s="60"/>
      <c r="B38" s="9"/>
      <c r="C38" s="58"/>
      <c r="D38" s="11"/>
      <c r="E38" s="10"/>
      <c r="F38" s="10"/>
      <c r="G38" s="12"/>
      <c r="H38" s="12"/>
      <c r="I38" s="17"/>
      <c r="J38" s="18"/>
      <c r="K38" s="19">
        <f t="shared" si="1"/>
        <v>0</v>
      </c>
      <c r="L38" s="27"/>
      <c r="N38" s="15">
        <v>10.89</v>
      </c>
    </row>
    <row r="39" spans="1:14" ht="20.25" customHeight="1" x14ac:dyDescent="0.15">
      <c r="A39" s="60"/>
      <c r="B39" s="9"/>
      <c r="C39" s="58"/>
      <c r="D39" s="11"/>
      <c r="E39" s="10"/>
      <c r="F39" s="10"/>
      <c r="G39" s="12"/>
      <c r="H39" s="12"/>
      <c r="I39" s="17"/>
      <c r="J39" s="18"/>
      <c r="K39" s="19">
        <f t="shared" si="1"/>
        <v>0</v>
      </c>
      <c r="L39" s="27"/>
      <c r="N39" s="15">
        <v>10.89</v>
      </c>
    </row>
    <row r="40" spans="1:14" ht="20.25" customHeight="1" x14ac:dyDescent="0.15">
      <c r="A40" s="60"/>
      <c r="B40" s="9"/>
      <c r="C40" s="58"/>
      <c r="D40" s="11"/>
      <c r="E40" s="10"/>
      <c r="F40" s="10"/>
      <c r="G40" s="12"/>
      <c r="H40" s="12"/>
      <c r="I40" s="17"/>
      <c r="J40" s="18"/>
      <c r="K40" s="19">
        <f t="shared" si="1"/>
        <v>0</v>
      </c>
      <c r="L40" s="27"/>
      <c r="N40" s="15">
        <v>10.89</v>
      </c>
    </row>
    <row r="41" spans="1:14" ht="20.25" customHeight="1" x14ac:dyDescent="0.15">
      <c r="A41" s="57"/>
      <c r="B41" s="28"/>
      <c r="C41" s="10"/>
      <c r="D41" s="29"/>
      <c r="E41" s="30"/>
      <c r="F41" s="30"/>
      <c r="G41" s="30"/>
      <c r="H41" s="30"/>
      <c r="I41" s="13"/>
      <c r="J41" s="48">
        <f>SUM(J26:J40)</f>
        <v>436</v>
      </c>
      <c r="K41" s="49">
        <f>SUM(K26:K40)</f>
        <v>4133.4084000000003</v>
      </c>
      <c r="L41" s="31"/>
      <c r="N41" s="32"/>
    </row>
    <row r="42" spans="1:14" ht="20.25" customHeight="1" thickBot="1" x14ac:dyDescent="0.2">
      <c r="A42" s="55"/>
      <c r="B42" s="33"/>
      <c r="C42" s="33"/>
      <c r="D42" s="33"/>
      <c r="E42" s="33"/>
      <c r="F42" s="33"/>
      <c r="G42" s="33"/>
      <c r="H42" s="33"/>
      <c r="I42" s="33"/>
      <c r="J42" s="34"/>
      <c r="K42" s="35"/>
      <c r="L42" s="36"/>
    </row>
    <row r="43" spans="1:14" ht="20.25" customHeight="1" thickBot="1" x14ac:dyDescent="0.2">
      <c r="A43" s="37" t="s">
        <v>19</v>
      </c>
      <c r="B43" s="38" t="s">
        <v>20</v>
      </c>
      <c r="C43" s="77" t="s">
        <v>21</v>
      </c>
      <c r="D43" s="79"/>
      <c r="E43" s="77" t="s">
        <v>22</v>
      </c>
      <c r="F43" s="78"/>
      <c r="G43" s="79"/>
      <c r="H43" s="85" t="s">
        <v>23</v>
      </c>
      <c r="I43" s="86"/>
      <c r="J43" s="77" t="s">
        <v>24</v>
      </c>
      <c r="K43" s="79"/>
      <c r="L43" s="39" t="s">
        <v>13</v>
      </c>
    </row>
    <row r="44" spans="1:14" ht="20.25" customHeight="1" thickBot="1" x14ac:dyDescent="0.2">
      <c r="A44" s="40">
        <f>SUMIF($C$8:$C$42,"U1",$J$8:$J$42)</f>
        <v>2</v>
      </c>
      <c r="B44" s="41">
        <f>SUMIF($C$8:$C$42,"U2",$J$8:$J$42)</f>
        <v>0</v>
      </c>
      <c r="C44" s="77">
        <f>SUMIF($C$8:$C$42,"U3-1",$J$8:$J$42)</f>
        <v>0</v>
      </c>
      <c r="D44" s="79"/>
      <c r="E44" s="77">
        <f>SUMIF($C$8:$C$42,"U3",$J$8:$J$42)</f>
        <v>764</v>
      </c>
      <c r="F44" s="78"/>
      <c r="G44" s="79"/>
      <c r="H44" s="77">
        <f>SUMIF($C$8:$C$42,"E5",$J$8:$J$42)</f>
        <v>0</v>
      </c>
      <c r="I44" s="79"/>
      <c r="J44" s="77">
        <f>SUM(A44:I44)</f>
        <v>766</v>
      </c>
      <c r="K44" s="79"/>
      <c r="L44" s="42"/>
    </row>
    <row r="45" spans="1:14" ht="20.25" customHeight="1" thickBot="1" x14ac:dyDescent="0.2">
      <c r="A45" s="43" t="s">
        <v>25</v>
      </c>
      <c r="B45" s="44" t="s">
        <v>26</v>
      </c>
      <c r="C45" s="75">
        <v>13876</v>
      </c>
      <c r="D45" s="76"/>
      <c r="E45" s="77" t="s">
        <v>27</v>
      </c>
      <c r="F45" s="78"/>
      <c r="G45" s="78"/>
      <c r="H45" s="78"/>
      <c r="I45" s="79"/>
      <c r="J45" s="80">
        <v>146744.37</v>
      </c>
      <c r="K45" s="81"/>
      <c r="L45" s="82"/>
    </row>
    <row r="47" spans="1:14" x14ac:dyDescent="0.15">
      <c r="D47" s="45"/>
    </row>
  </sheetData>
  <mergeCells count="26">
    <mergeCell ref="L2:L4"/>
    <mergeCell ref="A1:G3"/>
    <mergeCell ref="H1:H4"/>
    <mergeCell ref="I2:I4"/>
    <mergeCell ref="J2:J4"/>
    <mergeCell ref="K2:K4"/>
    <mergeCell ref="B5:G5"/>
    <mergeCell ref="A6:A7"/>
    <mergeCell ref="B6:B7"/>
    <mergeCell ref="C6:C7"/>
    <mergeCell ref="D6:D7"/>
    <mergeCell ref="E6:E7"/>
    <mergeCell ref="F6:F7"/>
    <mergeCell ref="G6:K6"/>
    <mergeCell ref="C45:D45"/>
    <mergeCell ref="E45:I45"/>
    <mergeCell ref="J45:L45"/>
    <mergeCell ref="L6:L7"/>
    <mergeCell ref="C43:D43"/>
    <mergeCell ref="E43:G43"/>
    <mergeCell ref="H43:I43"/>
    <mergeCell ref="J43:K43"/>
    <mergeCell ref="C44:D44"/>
    <mergeCell ref="E44:G44"/>
    <mergeCell ref="H44:I44"/>
    <mergeCell ref="J44:K44"/>
  </mergeCells>
  <phoneticPr fontId="2" type="noConversion"/>
  <printOptions horizontalCentered="1"/>
  <pageMargins left="0.39370078740157483" right="0.39370078740157483" top="0.74803149606299213" bottom="0.19685039370078741" header="0.31496062992125984" footer="0.15748031496062992"/>
  <pageSetup paperSize="9" scale="84" orientation="portrait" r:id="rId1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dimension ref="A1:N47"/>
  <sheetViews>
    <sheetView view="pageBreakPreview" topLeftCell="A7" zoomScaleSheetLayoutView="100" workbookViewId="0">
      <selection activeCell="B25" sqref="B25:E26"/>
    </sheetView>
  </sheetViews>
  <sheetFormatPr defaultColWidth="8.88671875" defaultRowHeight="13.5" x14ac:dyDescent="0.15"/>
  <cols>
    <col min="1" max="1" width="8.44140625" style="3" customWidth="1"/>
    <col min="2" max="2" width="14.77734375" style="3" customWidth="1"/>
    <col min="3" max="3" width="4.109375" style="3" customWidth="1"/>
    <col min="4" max="4" width="15.21875" style="3" customWidth="1"/>
    <col min="5" max="5" width="4.44140625" style="3" customWidth="1"/>
    <col min="6" max="6" width="4" style="3" customWidth="1"/>
    <col min="7" max="7" width="5.5546875" style="3" customWidth="1"/>
    <col min="8" max="8" width="5.44140625" style="3" customWidth="1"/>
    <col min="9" max="9" width="7.88671875" style="3" customWidth="1"/>
    <col min="10" max="10" width="7.109375" style="3" customWidth="1"/>
    <col min="11" max="11" width="7.21875" style="3" customWidth="1"/>
    <col min="12" max="12" width="6.77734375" style="3" customWidth="1"/>
    <col min="13" max="16384" width="8.88671875" style="3"/>
  </cols>
  <sheetData>
    <row r="1" spans="1:14" ht="18.75" customHeight="1" x14ac:dyDescent="0.15">
      <c r="A1" s="101" t="s">
        <v>0</v>
      </c>
      <c r="B1" s="102"/>
      <c r="C1" s="102"/>
      <c r="D1" s="102"/>
      <c r="E1" s="102"/>
      <c r="F1" s="102"/>
      <c r="G1" s="103"/>
      <c r="H1" s="107" t="s">
        <v>1</v>
      </c>
      <c r="I1" s="1" t="s">
        <v>2</v>
      </c>
      <c r="J1" s="1" t="s">
        <v>2</v>
      </c>
      <c r="K1" s="1" t="s">
        <v>3</v>
      </c>
      <c r="L1" s="2" t="s">
        <v>4</v>
      </c>
    </row>
    <row r="2" spans="1:14" ht="13.5" customHeight="1" x14ac:dyDescent="0.15">
      <c r="A2" s="104"/>
      <c r="B2" s="105"/>
      <c r="C2" s="105"/>
      <c r="D2" s="105"/>
      <c r="E2" s="105"/>
      <c r="F2" s="105"/>
      <c r="G2" s="106"/>
      <c r="H2" s="108"/>
      <c r="I2" s="110"/>
      <c r="J2" s="110"/>
      <c r="K2" s="110"/>
      <c r="L2" s="98"/>
    </row>
    <row r="3" spans="1:14" ht="13.5" customHeight="1" x14ac:dyDescent="0.15">
      <c r="A3" s="104"/>
      <c r="B3" s="105"/>
      <c r="C3" s="105"/>
      <c r="D3" s="105"/>
      <c r="E3" s="105"/>
      <c r="F3" s="105"/>
      <c r="G3" s="106"/>
      <c r="H3" s="108"/>
      <c r="I3" s="108"/>
      <c r="J3" s="108"/>
      <c r="K3" s="108"/>
      <c r="L3" s="99"/>
    </row>
    <row r="4" spans="1:14" ht="33" customHeight="1" x14ac:dyDescent="0.15">
      <c r="A4" s="4"/>
      <c r="B4" s="5"/>
      <c r="C4" s="5"/>
      <c r="D4" s="5"/>
      <c r="E4" s="5"/>
      <c r="F4" s="5"/>
      <c r="G4" s="5"/>
      <c r="H4" s="109"/>
      <c r="I4" s="109"/>
      <c r="J4" s="109"/>
      <c r="K4" s="109"/>
      <c r="L4" s="100"/>
    </row>
    <row r="5" spans="1:14" ht="17.25" customHeight="1" x14ac:dyDescent="0.15">
      <c r="A5" s="6" t="s">
        <v>5</v>
      </c>
      <c r="B5" s="87">
        <v>46115</v>
      </c>
      <c r="C5" s="88"/>
      <c r="D5" s="88"/>
      <c r="E5" s="88"/>
      <c r="F5" s="88"/>
      <c r="G5" s="88"/>
      <c r="H5" s="5"/>
      <c r="I5" s="5"/>
      <c r="J5" s="5"/>
      <c r="K5" s="5"/>
      <c r="L5" s="7"/>
    </row>
    <row r="6" spans="1:14" ht="13.5" customHeight="1" x14ac:dyDescent="0.15">
      <c r="A6" s="89" t="s">
        <v>6</v>
      </c>
      <c r="B6" s="91" t="s">
        <v>7</v>
      </c>
      <c r="C6" s="91" t="s">
        <v>8</v>
      </c>
      <c r="D6" s="91" t="s">
        <v>9</v>
      </c>
      <c r="E6" s="93" t="s">
        <v>10</v>
      </c>
      <c r="F6" s="93" t="s">
        <v>11</v>
      </c>
      <c r="G6" s="95" t="s">
        <v>12</v>
      </c>
      <c r="H6" s="96"/>
      <c r="I6" s="96"/>
      <c r="J6" s="96"/>
      <c r="K6" s="97"/>
      <c r="L6" s="83" t="s">
        <v>13</v>
      </c>
    </row>
    <row r="7" spans="1:14" x14ac:dyDescent="0.15">
      <c r="A7" s="90"/>
      <c r="B7" s="92"/>
      <c r="C7" s="92"/>
      <c r="D7" s="92"/>
      <c r="E7" s="94"/>
      <c r="F7" s="94"/>
      <c r="G7" s="8" t="s">
        <v>14</v>
      </c>
      <c r="H7" s="8" t="s">
        <v>15</v>
      </c>
      <c r="I7" s="8" t="s">
        <v>16</v>
      </c>
      <c r="J7" s="8" t="s">
        <v>17</v>
      </c>
      <c r="K7" s="8" t="s">
        <v>18</v>
      </c>
      <c r="L7" s="84"/>
    </row>
    <row r="8" spans="1:14" s="15" customFormat="1" ht="20.25" customHeight="1" x14ac:dyDescent="0.15">
      <c r="A8" s="60" t="s">
        <v>1751</v>
      </c>
      <c r="B8" s="9" t="s">
        <v>131</v>
      </c>
      <c r="C8" s="58" t="s">
        <v>29</v>
      </c>
      <c r="D8" s="11" t="s">
        <v>1445</v>
      </c>
      <c r="E8" s="10">
        <v>22</v>
      </c>
      <c r="F8" s="58" t="s">
        <v>11</v>
      </c>
      <c r="G8" s="12">
        <v>364</v>
      </c>
      <c r="H8" s="12">
        <v>933</v>
      </c>
      <c r="I8" s="17" t="s">
        <v>1752</v>
      </c>
      <c r="J8" s="18">
        <v>110</v>
      </c>
      <c r="K8" s="19">
        <f>+M8*N8</f>
        <v>368.08199999999999</v>
      </c>
      <c r="L8" s="14"/>
      <c r="M8" s="15">
        <v>33.799999999999997</v>
      </c>
      <c r="N8" s="15">
        <v>10.89</v>
      </c>
    </row>
    <row r="9" spans="1:14" s="15" customFormat="1" ht="20.25" customHeight="1" x14ac:dyDescent="0.15">
      <c r="A9" s="60"/>
      <c r="B9" s="9"/>
      <c r="C9" s="58" t="s">
        <v>29</v>
      </c>
      <c r="D9" s="11" t="s">
        <v>1698</v>
      </c>
      <c r="E9" s="10">
        <v>22</v>
      </c>
      <c r="F9" s="58" t="s">
        <v>11</v>
      </c>
      <c r="G9" s="12">
        <v>1723</v>
      </c>
      <c r="H9" s="12">
        <v>1763</v>
      </c>
      <c r="I9" s="17" t="s">
        <v>1753</v>
      </c>
      <c r="J9" s="18">
        <v>255</v>
      </c>
      <c r="K9" s="19">
        <f t="shared" ref="K9:K23" si="0">+M9*N9</f>
        <v>2276.0100000000002</v>
      </c>
      <c r="L9" s="14"/>
      <c r="M9" s="15">
        <v>209</v>
      </c>
      <c r="N9" s="15">
        <v>10.89</v>
      </c>
    </row>
    <row r="10" spans="1:14" s="15" customFormat="1" ht="20.25" customHeight="1" x14ac:dyDescent="0.15">
      <c r="A10" s="60" t="s">
        <v>1754</v>
      </c>
      <c r="B10" s="9" t="s">
        <v>80</v>
      </c>
      <c r="C10" s="58" t="s">
        <v>29</v>
      </c>
      <c r="D10" s="11" t="s">
        <v>195</v>
      </c>
      <c r="E10" s="10">
        <v>22</v>
      </c>
      <c r="F10" s="58"/>
      <c r="G10" s="12">
        <v>677</v>
      </c>
      <c r="H10" s="12">
        <v>2190</v>
      </c>
      <c r="I10" s="17">
        <v>78</v>
      </c>
      <c r="J10" s="18">
        <v>78</v>
      </c>
      <c r="K10" s="19">
        <f t="shared" si="0"/>
        <v>1257.1416000000002</v>
      </c>
      <c r="L10" s="14"/>
      <c r="M10" s="15">
        <v>115.44</v>
      </c>
      <c r="N10" s="15">
        <v>10.89</v>
      </c>
    </row>
    <row r="11" spans="1:14" s="15" customFormat="1" ht="20.25" customHeight="1" x14ac:dyDescent="0.15">
      <c r="A11" s="60"/>
      <c r="B11" s="9"/>
      <c r="C11" s="58"/>
      <c r="D11" s="11"/>
      <c r="E11" s="10"/>
      <c r="F11" s="58"/>
      <c r="G11" s="12"/>
      <c r="H11" s="12"/>
      <c r="I11" s="17"/>
      <c r="J11" s="18"/>
      <c r="K11" s="19">
        <f t="shared" si="0"/>
        <v>0</v>
      </c>
      <c r="L11" s="14"/>
      <c r="N11" s="15">
        <v>10.89</v>
      </c>
    </row>
    <row r="12" spans="1:14" s="15" customFormat="1" ht="20.25" customHeight="1" x14ac:dyDescent="0.15">
      <c r="A12" s="60"/>
      <c r="B12" s="9"/>
      <c r="C12" s="58"/>
      <c r="D12" s="11"/>
      <c r="E12" s="10"/>
      <c r="F12" s="58"/>
      <c r="G12" s="12"/>
      <c r="H12" s="12"/>
      <c r="I12" s="17"/>
      <c r="J12" s="18"/>
      <c r="K12" s="19">
        <f t="shared" si="0"/>
        <v>0</v>
      </c>
      <c r="L12" s="14"/>
      <c r="N12" s="15">
        <v>10.89</v>
      </c>
    </row>
    <row r="13" spans="1:14" s="15" customFormat="1" ht="20.25" customHeight="1" x14ac:dyDescent="0.15">
      <c r="A13" s="60"/>
      <c r="B13" s="9"/>
      <c r="C13" s="58"/>
      <c r="D13" s="11"/>
      <c r="E13" s="10"/>
      <c r="F13" s="58"/>
      <c r="G13" s="12"/>
      <c r="H13" s="12"/>
      <c r="I13" s="17"/>
      <c r="J13" s="18"/>
      <c r="K13" s="19">
        <f t="shared" si="0"/>
        <v>0</v>
      </c>
      <c r="L13" s="14"/>
      <c r="N13" s="15">
        <v>10.89</v>
      </c>
    </row>
    <row r="14" spans="1:14" s="15" customFormat="1" ht="20.25" customHeight="1" x14ac:dyDescent="0.15">
      <c r="A14" s="60"/>
      <c r="B14" s="9"/>
      <c r="C14" s="58"/>
      <c r="D14" s="11"/>
      <c r="E14" s="10"/>
      <c r="F14" s="58"/>
      <c r="G14" s="12"/>
      <c r="H14" s="12"/>
      <c r="I14" s="17"/>
      <c r="J14" s="18"/>
      <c r="K14" s="19">
        <f t="shared" si="0"/>
        <v>0</v>
      </c>
      <c r="L14" s="20"/>
      <c r="N14" s="15">
        <v>10.89</v>
      </c>
    </row>
    <row r="15" spans="1:14" s="15" customFormat="1" ht="20.25" customHeight="1" x14ac:dyDescent="0.15">
      <c r="A15" s="60"/>
      <c r="B15" s="9"/>
      <c r="C15" s="58"/>
      <c r="D15" s="11"/>
      <c r="E15" s="10"/>
      <c r="F15" s="58"/>
      <c r="G15" s="12"/>
      <c r="H15" s="12"/>
      <c r="I15" s="17"/>
      <c r="J15" s="18"/>
      <c r="K15" s="19">
        <f t="shared" si="0"/>
        <v>0</v>
      </c>
      <c r="L15" s="20"/>
      <c r="N15" s="15">
        <v>10.89</v>
      </c>
    </row>
    <row r="16" spans="1:14" s="15" customFormat="1" ht="20.25" customHeight="1" x14ac:dyDescent="0.15">
      <c r="A16" s="60"/>
      <c r="B16" s="9"/>
      <c r="C16" s="58"/>
      <c r="D16" s="11"/>
      <c r="E16" s="10"/>
      <c r="F16" s="58"/>
      <c r="G16" s="12"/>
      <c r="H16" s="12"/>
      <c r="I16" s="17"/>
      <c r="J16" s="18"/>
      <c r="K16" s="19">
        <f t="shared" si="0"/>
        <v>0</v>
      </c>
      <c r="L16" s="20"/>
      <c r="N16" s="15">
        <v>10.89</v>
      </c>
    </row>
    <row r="17" spans="1:14" s="15" customFormat="1" ht="20.25" customHeight="1" x14ac:dyDescent="0.15">
      <c r="A17" s="60"/>
      <c r="B17" s="9"/>
      <c r="C17" s="58"/>
      <c r="D17" s="11"/>
      <c r="E17" s="10"/>
      <c r="F17" s="58"/>
      <c r="G17" s="12"/>
      <c r="H17" s="12"/>
      <c r="I17" s="17"/>
      <c r="J17" s="18"/>
      <c r="K17" s="19">
        <f t="shared" si="0"/>
        <v>0</v>
      </c>
      <c r="L17" s="20"/>
      <c r="N17" s="15">
        <v>10.89</v>
      </c>
    </row>
    <row r="18" spans="1:14" s="15" customFormat="1" ht="20.25" customHeight="1" x14ac:dyDescent="0.15">
      <c r="A18" s="60"/>
      <c r="B18" s="9"/>
      <c r="C18" s="58"/>
      <c r="D18" s="11"/>
      <c r="E18" s="10"/>
      <c r="F18" s="58"/>
      <c r="G18" s="12"/>
      <c r="H18" s="12"/>
      <c r="I18" s="17"/>
      <c r="J18" s="18"/>
      <c r="K18" s="19">
        <f t="shared" si="0"/>
        <v>0</v>
      </c>
      <c r="L18" s="20"/>
      <c r="N18" s="15">
        <v>10.89</v>
      </c>
    </row>
    <row r="19" spans="1:14" s="15" customFormat="1" ht="20.25" customHeight="1" x14ac:dyDescent="0.15">
      <c r="A19" s="60"/>
      <c r="B19" s="9"/>
      <c r="C19" s="58"/>
      <c r="D19" s="11"/>
      <c r="E19" s="10"/>
      <c r="F19" s="58"/>
      <c r="G19" s="12"/>
      <c r="H19" s="12"/>
      <c r="I19" s="17"/>
      <c r="J19" s="18"/>
      <c r="K19" s="19">
        <f t="shared" si="0"/>
        <v>0</v>
      </c>
      <c r="L19" s="20"/>
      <c r="N19" s="15">
        <v>10.89</v>
      </c>
    </row>
    <row r="20" spans="1:14" s="15" customFormat="1" ht="20.25" customHeight="1" x14ac:dyDescent="0.15">
      <c r="A20" s="60"/>
      <c r="B20" s="9"/>
      <c r="C20" s="58"/>
      <c r="D20" s="11"/>
      <c r="E20" s="10"/>
      <c r="F20" s="58"/>
      <c r="G20" s="12"/>
      <c r="H20" s="12"/>
      <c r="I20" s="17"/>
      <c r="J20" s="18"/>
      <c r="K20" s="19">
        <f t="shared" si="0"/>
        <v>0</v>
      </c>
      <c r="L20" s="20"/>
      <c r="N20" s="15">
        <v>10.89</v>
      </c>
    </row>
    <row r="21" spans="1:14" s="15" customFormat="1" ht="20.25" customHeight="1" x14ac:dyDescent="0.15">
      <c r="A21" s="60"/>
      <c r="B21" s="9"/>
      <c r="C21" s="58"/>
      <c r="D21" s="11"/>
      <c r="E21" s="10"/>
      <c r="F21" s="58"/>
      <c r="G21" s="50"/>
      <c r="H21" s="50"/>
      <c r="I21" s="17"/>
      <c r="J21" s="18"/>
      <c r="K21" s="19">
        <f t="shared" si="0"/>
        <v>0</v>
      </c>
      <c r="L21" s="20"/>
      <c r="N21" s="15">
        <v>10.89</v>
      </c>
    </row>
    <row r="22" spans="1:14" s="15" customFormat="1" ht="20.25" customHeight="1" x14ac:dyDescent="0.15">
      <c r="A22" s="60"/>
      <c r="B22" s="9"/>
      <c r="C22" s="58"/>
      <c r="D22" s="11"/>
      <c r="E22" s="10"/>
      <c r="F22" s="58"/>
      <c r="G22" s="50"/>
      <c r="H22" s="50"/>
      <c r="I22" s="17"/>
      <c r="J22" s="18"/>
      <c r="K22" s="19">
        <f t="shared" si="0"/>
        <v>0</v>
      </c>
      <c r="L22" s="20"/>
      <c r="N22" s="15">
        <v>10.89</v>
      </c>
    </row>
    <row r="23" spans="1:14" ht="20.25" customHeight="1" x14ac:dyDescent="0.15">
      <c r="A23" s="60"/>
      <c r="B23" s="9"/>
      <c r="C23" s="58"/>
      <c r="D23" s="11"/>
      <c r="E23" s="10"/>
      <c r="F23" s="58"/>
      <c r="G23" s="16"/>
      <c r="H23" s="16"/>
      <c r="I23" s="17"/>
      <c r="J23" s="18"/>
      <c r="K23" s="19">
        <f t="shared" si="0"/>
        <v>0</v>
      </c>
      <c r="L23" s="20"/>
      <c r="N23" s="15">
        <v>10.89</v>
      </c>
    </row>
    <row r="24" spans="1:14" ht="20.25" customHeight="1" thickBot="1" x14ac:dyDescent="0.2">
      <c r="A24" s="56"/>
      <c r="B24" s="21"/>
      <c r="C24" s="59"/>
      <c r="D24" s="22"/>
      <c r="E24" s="23"/>
      <c r="F24" s="23"/>
      <c r="G24" s="24"/>
      <c r="H24" s="24"/>
      <c r="I24" s="25"/>
      <c r="J24" s="46">
        <f>SUM(J8:J23)</f>
        <v>443</v>
      </c>
      <c r="K24" s="47">
        <f>SUM(K8:K23)</f>
        <v>3901.2336000000005</v>
      </c>
      <c r="L24" s="26"/>
    </row>
    <row r="25" spans="1:14" ht="20.25" customHeight="1" thickTop="1" x14ac:dyDescent="0.15">
      <c r="A25" s="60" t="s">
        <v>1755</v>
      </c>
      <c r="B25" s="9" t="s">
        <v>131</v>
      </c>
      <c r="C25" s="58" t="s">
        <v>29</v>
      </c>
      <c r="D25" s="11" t="s">
        <v>1445</v>
      </c>
      <c r="E25" s="10">
        <v>22</v>
      </c>
      <c r="F25" s="10" t="s">
        <v>11</v>
      </c>
      <c r="G25" s="12">
        <v>1723</v>
      </c>
      <c r="H25" s="12">
        <v>1763</v>
      </c>
      <c r="I25" s="17" t="s">
        <v>1756</v>
      </c>
      <c r="J25" s="18">
        <f>15+262</f>
        <v>277</v>
      </c>
      <c r="K25" s="19">
        <f t="shared" ref="K25:K40" si="1">+M25*N25</f>
        <v>2357.4672</v>
      </c>
      <c r="L25" s="54"/>
      <c r="M25" s="3">
        <v>216.48</v>
      </c>
      <c r="N25" s="15">
        <v>10.89</v>
      </c>
    </row>
    <row r="26" spans="1:14" ht="20.25" customHeight="1" x14ac:dyDescent="0.15">
      <c r="A26" s="60"/>
      <c r="B26" s="9"/>
      <c r="C26" s="58" t="s">
        <v>29</v>
      </c>
      <c r="D26" s="11" t="s">
        <v>1698</v>
      </c>
      <c r="E26" s="10">
        <v>22</v>
      </c>
      <c r="F26" s="10" t="s">
        <v>11</v>
      </c>
      <c r="G26" s="12">
        <v>1723</v>
      </c>
      <c r="H26" s="12">
        <v>1763</v>
      </c>
      <c r="I26" s="17">
        <v>15</v>
      </c>
      <c r="J26" s="18">
        <v>15</v>
      </c>
      <c r="K26" s="19">
        <f t="shared" si="1"/>
        <v>496.58400000000006</v>
      </c>
      <c r="L26" s="54"/>
      <c r="M26" s="3">
        <v>45.6</v>
      </c>
      <c r="N26" s="15">
        <v>10.89</v>
      </c>
    </row>
    <row r="27" spans="1:14" ht="20.25" customHeight="1" x14ac:dyDescent="0.15">
      <c r="A27" s="61" t="s">
        <v>1757</v>
      </c>
      <c r="B27" s="9" t="s">
        <v>1758</v>
      </c>
      <c r="C27" s="58" t="s">
        <v>29</v>
      </c>
      <c r="D27" s="11" t="s">
        <v>1759</v>
      </c>
      <c r="E27" s="10">
        <v>24</v>
      </c>
      <c r="F27" s="10" t="s">
        <v>11</v>
      </c>
      <c r="G27" s="12">
        <v>900</v>
      </c>
      <c r="H27" s="12">
        <v>447</v>
      </c>
      <c r="I27" s="17" t="s">
        <v>1760</v>
      </c>
      <c r="J27" s="18">
        <v>23</v>
      </c>
      <c r="K27" s="19">
        <f t="shared" si="1"/>
        <v>473.0616</v>
      </c>
      <c r="L27" s="54"/>
      <c r="M27" s="3">
        <v>43.44</v>
      </c>
      <c r="N27" s="15">
        <v>10.89</v>
      </c>
    </row>
    <row r="28" spans="1:14" ht="20.25" customHeight="1" x14ac:dyDescent="0.15">
      <c r="A28" s="61" t="s">
        <v>1762</v>
      </c>
      <c r="B28" s="9" t="s">
        <v>1761</v>
      </c>
      <c r="C28" s="58" t="s">
        <v>29</v>
      </c>
      <c r="D28" s="11" t="s">
        <v>1763</v>
      </c>
      <c r="E28" s="10">
        <v>43</v>
      </c>
      <c r="F28" s="10" t="s">
        <v>11</v>
      </c>
      <c r="G28" s="12">
        <v>1112</v>
      </c>
      <c r="H28" s="12">
        <v>1300</v>
      </c>
      <c r="I28" s="17" t="s">
        <v>1764</v>
      </c>
      <c r="J28" s="18">
        <v>70</v>
      </c>
      <c r="K28" s="19">
        <f t="shared" si="1"/>
        <v>877.73400000000004</v>
      </c>
      <c r="L28" s="54"/>
      <c r="M28" s="3">
        <v>80.599999999999994</v>
      </c>
      <c r="N28" s="15">
        <v>10.89</v>
      </c>
    </row>
    <row r="29" spans="1:14" ht="20.25" customHeight="1" x14ac:dyDescent="0.15">
      <c r="A29" s="61"/>
      <c r="B29" s="9"/>
      <c r="C29" s="58"/>
      <c r="D29" s="11"/>
      <c r="E29" s="10"/>
      <c r="F29" s="10"/>
      <c r="G29" s="12"/>
      <c r="H29" s="12"/>
      <c r="I29" s="17"/>
      <c r="J29" s="18"/>
      <c r="K29" s="19">
        <f t="shared" si="1"/>
        <v>0</v>
      </c>
      <c r="L29" s="54"/>
      <c r="N29" s="15">
        <v>10.89</v>
      </c>
    </row>
    <row r="30" spans="1:14" ht="20.25" customHeight="1" x14ac:dyDescent="0.15">
      <c r="A30" s="61"/>
      <c r="B30" s="9"/>
      <c r="C30" s="58"/>
      <c r="D30" s="11"/>
      <c r="E30" s="10"/>
      <c r="F30" s="10"/>
      <c r="G30" s="12"/>
      <c r="H30" s="12"/>
      <c r="I30" s="51"/>
      <c r="J30" s="52"/>
      <c r="K30" s="53">
        <f t="shared" si="1"/>
        <v>0</v>
      </c>
      <c r="L30" s="54"/>
      <c r="N30" s="15">
        <v>10.89</v>
      </c>
    </row>
    <row r="31" spans="1:14" ht="20.25" customHeight="1" x14ac:dyDescent="0.15">
      <c r="A31" s="61"/>
      <c r="B31" s="9"/>
      <c r="C31" s="58"/>
      <c r="D31" s="11"/>
      <c r="E31" s="10"/>
      <c r="F31" s="10"/>
      <c r="G31" s="12"/>
      <c r="H31" s="12"/>
      <c r="I31" s="51"/>
      <c r="J31" s="52"/>
      <c r="K31" s="53">
        <f t="shared" si="1"/>
        <v>0</v>
      </c>
      <c r="L31" s="54"/>
      <c r="N31" s="15">
        <v>10.89</v>
      </c>
    </row>
    <row r="32" spans="1:14" ht="20.25" customHeight="1" x14ac:dyDescent="0.15">
      <c r="A32" s="60"/>
      <c r="B32" s="9"/>
      <c r="C32" s="58"/>
      <c r="D32" s="11"/>
      <c r="E32" s="10"/>
      <c r="F32" s="10"/>
      <c r="G32" s="12"/>
      <c r="H32" s="12"/>
      <c r="I32" s="17"/>
      <c r="J32" s="18"/>
      <c r="K32" s="19">
        <f t="shared" si="1"/>
        <v>0</v>
      </c>
      <c r="L32" s="27"/>
      <c r="N32" s="15">
        <v>10.89</v>
      </c>
    </row>
    <row r="33" spans="1:14" ht="20.25" customHeight="1" x14ac:dyDescent="0.15">
      <c r="A33" s="60"/>
      <c r="B33" s="9"/>
      <c r="C33" s="58"/>
      <c r="D33" s="11"/>
      <c r="E33" s="10"/>
      <c r="F33" s="10"/>
      <c r="G33" s="12"/>
      <c r="H33" s="12"/>
      <c r="I33" s="17"/>
      <c r="J33" s="18"/>
      <c r="K33" s="19">
        <f t="shared" si="1"/>
        <v>0</v>
      </c>
      <c r="L33" s="27"/>
      <c r="N33" s="15">
        <v>10.89</v>
      </c>
    </row>
    <row r="34" spans="1:14" ht="20.25" customHeight="1" x14ac:dyDescent="0.15">
      <c r="A34" s="60"/>
      <c r="B34" s="9"/>
      <c r="C34" s="58"/>
      <c r="D34" s="11"/>
      <c r="E34" s="10"/>
      <c r="F34" s="10"/>
      <c r="G34" s="12"/>
      <c r="H34" s="12"/>
      <c r="I34" s="17"/>
      <c r="J34" s="18"/>
      <c r="K34" s="19">
        <f t="shared" si="1"/>
        <v>0</v>
      </c>
      <c r="L34" s="27"/>
      <c r="N34" s="15">
        <v>10.89</v>
      </c>
    </row>
    <row r="35" spans="1:14" ht="20.25" customHeight="1" x14ac:dyDescent="0.15">
      <c r="A35" s="60"/>
      <c r="B35" s="9"/>
      <c r="C35" s="58"/>
      <c r="D35" s="11"/>
      <c r="E35" s="10"/>
      <c r="F35" s="10"/>
      <c r="G35" s="12"/>
      <c r="H35" s="12"/>
      <c r="I35" s="17"/>
      <c r="J35" s="18"/>
      <c r="K35" s="19">
        <f t="shared" si="1"/>
        <v>0</v>
      </c>
      <c r="L35" s="27"/>
      <c r="N35" s="15">
        <v>10.89</v>
      </c>
    </row>
    <row r="36" spans="1:14" ht="20.25" customHeight="1" x14ac:dyDescent="0.15">
      <c r="A36" s="60"/>
      <c r="B36" s="9"/>
      <c r="C36" s="58"/>
      <c r="D36" s="11"/>
      <c r="E36" s="10"/>
      <c r="F36" s="10"/>
      <c r="G36" s="12"/>
      <c r="H36" s="12"/>
      <c r="I36" s="17"/>
      <c r="J36" s="18"/>
      <c r="K36" s="19">
        <f t="shared" si="1"/>
        <v>0</v>
      </c>
      <c r="L36" s="27"/>
      <c r="N36" s="15">
        <v>10.89</v>
      </c>
    </row>
    <row r="37" spans="1:14" ht="20.25" customHeight="1" x14ac:dyDescent="0.15">
      <c r="A37" s="60"/>
      <c r="B37" s="9"/>
      <c r="C37" s="58"/>
      <c r="D37" s="11"/>
      <c r="E37" s="10"/>
      <c r="F37" s="10"/>
      <c r="G37" s="12"/>
      <c r="H37" s="12"/>
      <c r="I37" s="17"/>
      <c r="J37" s="18"/>
      <c r="K37" s="19">
        <f t="shared" si="1"/>
        <v>0</v>
      </c>
      <c r="L37" s="27"/>
      <c r="N37" s="15">
        <v>10.89</v>
      </c>
    </row>
    <row r="38" spans="1:14" ht="20.25" customHeight="1" x14ac:dyDescent="0.15">
      <c r="A38" s="60"/>
      <c r="B38" s="9"/>
      <c r="C38" s="58"/>
      <c r="D38" s="11"/>
      <c r="E38" s="10"/>
      <c r="F38" s="10"/>
      <c r="G38" s="12"/>
      <c r="H38" s="12"/>
      <c r="I38" s="17"/>
      <c r="J38" s="18"/>
      <c r="K38" s="19">
        <f t="shared" si="1"/>
        <v>0</v>
      </c>
      <c r="L38" s="27"/>
      <c r="N38" s="15">
        <v>10.89</v>
      </c>
    </row>
    <row r="39" spans="1:14" ht="20.25" customHeight="1" x14ac:dyDescent="0.15">
      <c r="A39" s="60"/>
      <c r="B39" s="9"/>
      <c r="C39" s="58"/>
      <c r="D39" s="11"/>
      <c r="E39" s="10"/>
      <c r="F39" s="10"/>
      <c r="G39" s="12"/>
      <c r="H39" s="12"/>
      <c r="I39" s="17"/>
      <c r="J39" s="18"/>
      <c r="K39" s="19">
        <f t="shared" si="1"/>
        <v>0</v>
      </c>
      <c r="L39" s="27"/>
      <c r="N39" s="15">
        <v>10.89</v>
      </c>
    </row>
    <row r="40" spans="1:14" ht="20.25" customHeight="1" x14ac:dyDescent="0.15">
      <c r="A40" s="60"/>
      <c r="B40" s="9"/>
      <c r="C40" s="58"/>
      <c r="D40" s="11"/>
      <c r="E40" s="10"/>
      <c r="F40" s="10"/>
      <c r="G40" s="12"/>
      <c r="H40" s="12"/>
      <c r="I40" s="17"/>
      <c r="J40" s="18"/>
      <c r="K40" s="19">
        <f t="shared" si="1"/>
        <v>0</v>
      </c>
      <c r="L40" s="27"/>
      <c r="N40" s="15">
        <v>10.89</v>
      </c>
    </row>
    <row r="41" spans="1:14" ht="20.25" customHeight="1" x14ac:dyDescent="0.15">
      <c r="A41" s="57"/>
      <c r="B41" s="28"/>
      <c r="C41" s="10"/>
      <c r="D41" s="29"/>
      <c r="E41" s="30"/>
      <c r="F41" s="30"/>
      <c r="G41" s="30"/>
      <c r="H41" s="30"/>
      <c r="I41" s="13"/>
      <c r="J41" s="48">
        <f>SUM(J25:J40)</f>
        <v>385</v>
      </c>
      <c r="K41" s="49">
        <f>SUM(K25:K40)</f>
        <v>4204.8468000000003</v>
      </c>
      <c r="L41" s="31"/>
      <c r="N41" s="32"/>
    </row>
    <row r="42" spans="1:14" ht="20.25" customHeight="1" thickBot="1" x14ac:dyDescent="0.2">
      <c r="A42" s="55"/>
      <c r="B42" s="33"/>
      <c r="C42" s="33"/>
      <c r="D42" s="33"/>
      <c r="E42" s="33"/>
      <c r="F42" s="33"/>
      <c r="G42" s="33"/>
      <c r="H42" s="33"/>
      <c r="I42" s="33"/>
      <c r="J42" s="34"/>
      <c r="K42" s="35"/>
      <c r="L42" s="36"/>
    </row>
    <row r="43" spans="1:14" ht="20.25" customHeight="1" thickBot="1" x14ac:dyDescent="0.2">
      <c r="A43" s="37" t="s">
        <v>19</v>
      </c>
      <c r="B43" s="38" t="s">
        <v>20</v>
      </c>
      <c r="C43" s="77" t="s">
        <v>21</v>
      </c>
      <c r="D43" s="79"/>
      <c r="E43" s="77" t="s">
        <v>22</v>
      </c>
      <c r="F43" s="78"/>
      <c r="G43" s="79"/>
      <c r="H43" s="85" t="s">
        <v>23</v>
      </c>
      <c r="I43" s="86"/>
      <c r="J43" s="77" t="s">
        <v>24</v>
      </c>
      <c r="K43" s="79"/>
      <c r="L43" s="39" t="s">
        <v>13</v>
      </c>
    </row>
    <row r="44" spans="1:14" ht="20.25" customHeight="1" thickBot="1" x14ac:dyDescent="0.2">
      <c r="A44" s="40">
        <f>SUMIF($C$8:$C$42,"U1",$J$8:$J$42)</f>
        <v>0</v>
      </c>
      <c r="B44" s="41">
        <f>SUMIF($C$8:$C$42,"U2",$J$8:$J$42)</f>
        <v>0</v>
      </c>
      <c r="C44" s="77">
        <f>SUMIF($C$8:$C$42,"U3-1",$J$8:$J$42)</f>
        <v>0</v>
      </c>
      <c r="D44" s="79"/>
      <c r="E44" s="77">
        <f>SUMIF($C$8:$C$42,"U3",$J$8:$J$42)</f>
        <v>828</v>
      </c>
      <c r="F44" s="78"/>
      <c r="G44" s="79"/>
      <c r="H44" s="77">
        <f>SUMIF($C$8:$C$42,"E5",$J$8:$J$42)</f>
        <v>0</v>
      </c>
      <c r="I44" s="79"/>
      <c r="J44" s="77">
        <f>SUM(A44:I44)</f>
        <v>828</v>
      </c>
      <c r="K44" s="79"/>
      <c r="L44" s="42"/>
    </row>
    <row r="45" spans="1:14" ht="20.25" customHeight="1" thickBot="1" x14ac:dyDescent="0.2">
      <c r="A45" s="43" t="s">
        <v>25</v>
      </c>
      <c r="B45" s="44" t="s">
        <v>26</v>
      </c>
      <c r="C45" s="75">
        <v>13876</v>
      </c>
      <c r="D45" s="76"/>
      <c r="E45" s="77" t="s">
        <v>27</v>
      </c>
      <c r="F45" s="78"/>
      <c r="G45" s="78"/>
      <c r="H45" s="78"/>
      <c r="I45" s="79"/>
      <c r="J45" s="80">
        <v>146744.37</v>
      </c>
      <c r="K45" s="81"/>
      <c r="L45" s="82"/>
    </row>
    <row r="47" spans="1:14" x14ac:dyDescent="0.15">
      <c r="D47" s="45"/>
    </row>
  </sheetData>
  <mergeCells count="26">
    <mergeCell ref="C45:D45"/>
    <mergeCell ref="E45:I45"/>
    <mergeCell ref="J45:L45"/>
    <mergeCell ref="L6:L7"/>
    <mergeCell ref="C43:D43"/>
    <mergeCell ref="E43:G43"/>
    <mergeCell ref="H43:I43"/>
    <mergeCell ref="J43:K43"/>
    <mergeCell ref="C44:D44"/>
    <mergeCell ref="E44:G44"/>
    <mergeCell ref="H44:I44"/>
    <mergeCell ref="J44:K44"/>
    <mergeCell ref="B5:G5"/>
    <mergeCell ref="A6:A7"/>
    <mergeCell ref="B6:B7"/>
    <mergeCell ref="C6:C7"/>
    <mergeCell ref="D6:D7"/>
    <mergeCell ref="E6:E7"/>
    <mergeCell ref="F6:F7"/>
    <mergeCell ref="G6:K6"/>
    <mergeCell ref="L2:L4"/>
    <mergeCell ref="A1:G3"/>
    <mergeCell ref="H1:H4"/>
    <mergeCell ref="I2:I4"/>
    <mergeCell ref="J2:J4"/>
    <mergeCell ref="K2:K4"/>
  </mergeCells>
  <phoneticPr fontId="2" type="noConversion"/>
  <printOptions horizontalCentered="1"/>
  <pageMargins left="0.39370078740157483" right="0.39370078740157483" top="0.74803149606299213" bottom="0.19685039370078741" header="0.31496062992125984" footer="0.15748031496062992"/>
  <pageSetup paperSize="9" scale="84" orientation="portrait" r:id="rId1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86DA3D-893C-4115-8B41-6145B2914F32}">
  <dimension ref="A1:N47"/>
  <sheetViews>
    <sheetView view="pageBreakPreview" topLeftCell="A19" zoomScaleSheetLayoutView="100" workbookViewId="0">
      <selection activeCell="M34" sqref="M34"/>
    </sheetView>
  </sheetViews>
  <sheetFormatPr defaultColWidth="8.88671875" defaultRowHeight="13.5" x14ac:dyDescent="0.15"/>
  <cols>
    <col min="1" max="1" width="8.44140625" style="3" customWidth="1"/>
    <col min="2" max="2" width="14.77734375" style="3" customWidth="1"/>
    <col min="3" max="3" width="4.109375" style="3" customWidth="1"/>
    <col min="4" max="4" width="15.21875" style="3" customWidth="1"/>
    <col min="5" max="5" width="4.44140625" style="3" customWidth="1"/>
    <col min="6" max="6" width="4" style="3" customWidth="1"/>
    <col min="7" max="7" width="5.5546875" style="3" customWidth="1"/>
    <col min="8" max="8" width="5.44140625" style="3" customWidth="1"/>
    <col min="9" max="9" width="7.88671875" style="3" customWidth="1"/>
    <col min="10" max="10" width="7.109375" style="3" customWidth="1"/>
    <col min="11" max="11" width="7.21875" style="3" customWidth="1"/>
    <col min="12" max="12" width="6.77734375" style="3" customWidth="1"/>
    <col min="13" max="16384" width="8.88671875" style="3"/>
  </cols>
  <sheetData>
    <row r="1" spans="1:14" ht="18.75" customHeight="1" x14ac:dyDescent="0.15">
      <c r="A1" s="101" t="s">
        <v>0</v>
      </c>
      <c r="B1" s="102"/>
      <c r="C1" s="102"/>
      <c r="D1" s="102"/>
      <c r="E1" s="102"/>
      <c r="F1" s="102"/>
      <c r="G1" s="103"/>
      <c r="H1" s="107" t="s">
        <v>1</v>
      </c>
      <c r="I1" s="1" t="s">
        <v>2</v>
      </c>
      <c r="J1" s="1" t="s">
        <v>2</v>
      </c>
      <c r="K1" s="1" t="s">
        <v>3</v>
      </c>
      <c r="L1" s="2" t="s">
        <v>4</v>
      </c>
    </row>
    <row r="2" spans="1:14" ht="13.5" customHeight="1" x14ac:dyDescent="0.15">
      <c r="A2" s="104"/>
      <c r="B2" s="105"/>
      <c r="C2" s="105"/>
      <c r="D2" s="105"/>
      <c r="E2" s="105"/>
      <c r="F2" s="105"/>
      <c r="G2" s="106"/>
      <c r="H2" s="108"/>
      <c r="I2" s="110"/>
      <c r="J2" s="110"/>
      <c r="K2" s="110"/>
      <c r="L2" s="98"/>
    </row>
    <row r="3" spans="1:14" ht="13.5" customHeight="1" x14ac:dyDescent="0.15">
      <c r="A3" s="104"/>
      <c r="B3" s="105"/>
      <c r="C3" s="105"/>
      <c r="D3" s="105"/>
      <c r="E3" s="105"/>
      <c r="F3" s="105"/>
      <c r="G3" s="106"/>
      <c r="H3" s="108"/>
      <c r="I3" s="108"/>
      <c r="J3" s="108"/>
      <c r="K3" s="108"/>
      <c r="L3" s="99"/>
    </row>
    <row r="4" spans="1:14" ht="33" customHeight="1" x14ac:dyDescent="0.15">
      <c r="A4" s="4"/>
      <c r="B4" s="5"/>
      <c r="C4" s="5"/>
      <c r="D4" s="5"/>
      <c r="E4" s="5"/>
      <c r="F4" s="5"/>
      <c r="G4" s="5"/>
      <c r="H4" s="109"/>
      <c r="I4" s="109"/>
      <c r="J4" s="109"/>
      <c r="K4" s="109"/>
      <c r="L4" s="100"/>
    </row>
    <row r="5" spans="1:14" ht="17.25" customHeight="1" x14ac:dyDescent="0.15">
      <c r="A5" s="6" t="s">
        <v>5</v>
      </c>
      <c r="B5" s="87">
        <v>46118</v>
      </c>
      <c r="C5" s="88"/>
      <c r="D5" s="88"/>
      <c r="E5" s="88"/>
      <c r="F5" s="88"/>
      <c r="G5" s="88"/>
      <c r="H5" s="5"/>
      <c r="I5" s="5"/>
      <c r="J5" s="5"/>
      <c r="K5" s="5"/>
      <c r="L5" s="7"/>
    </row>
    <row r="6" spans="1:14" ht="13.5" customHeight="1" x14ac:dyDescent="0.15">
      <c r="A6" s="89" t="s">
        <v>6</v>
      </c>
      <c r="B6" s="91" t="s">
        <v>7</v>
      </c>
      <c r="C6" s="91" t="s">
        <v>8</v>
      </c>
      <c r="D6" s="91" t="s">
        <v>9</v>
      </c>
      <c r="E6" s="93" t="s">
        <v>10</v>
      </c>
      <c r="F6" s="93" t="s">
        <v>11</v>
      </c>
      <c r="G6" s="95" t="s">
        <v>12</v>
      </c>
      <c r="H6" s="96"/>
      <c r="I6" s="96"/>
      <c r="J6" s="96"/>
      <c r="K6" s="97"/>
      <c r="L6" s="83" t="s">
        <v>13</v>
      </c>
    </row>
    <row r="7" spans="1:14" x14ac:dyDescent="0.15">
      <c r="A7" s="90"/>
      <c r="B7" s="92"/>
      <c r="C7" s="92"/>
      <c r="D7" s="92"/>
      <c r="E7" s="94"/>
      <c r="F7" s="94"/>
      <c r="G7" s="8" t="s">
        <v>14</v>
      </c>
      <c r="H7" s="8" t="s">
        <v>15</v>
      </c>
      <c r="I7" s="8" t="s">
        <v>16</v>
      </c>
      <c r="J7" s="8" t="s">
        <v>17</v>
      </c>
      <c r="K7" s="8" t="s">
        <v>18</v>
      </c>
      <c r="L7" s="84"/>
    </row>
    <row r="8" spans="1:14" s="15" customFormat="1" ht="20.25" customHeight="1" x14ac:dyDescent="0.15">
      <c r="A8" s="60" t="s">
        <v>1765</v>
      </c>
      <c r="B8" s="9" t="s">
        <v>131</v>
      </c>
      <c r="C8" s="58" t="s">
        <v>29</v>
      </c>
      <c r="D8" s="11" t="s">
        <v>1445</v>
      </c>
      <c r="E8" s="10">
        <v>22</v>
      </c>
      <c r="F8" s="58" t="s">
        <v>11</v>
      </c>
      <c r="G8" s="12">
        <v>1421</v>
      </c>
      <c r="H8" s="12">
        <v>1763</v>
      </c>
      <c r="I8" s="17" t="s">
        <v>1766</v>
      </c>
      <c r="J8" s="18">
        <v>65</v>
      </c>
      <c r="K8" s="19">
        <f>+M8*N8</f>
        <v>1074.2985000000001</v>
      </c>
      <c r="L8" s="14"/>
      <c r="M8" s="15">
        <v>98.65</v>
      </c>
      <c r="N8" s="15">
        <v>10.89</v>
      </c>
    </row>
    <row r="9" spans="1:14" s="15" customFormat="1" ht="20.25" customHeight="1" x14ac:dyDescent="0.15">
      <c r="A9" s="60" t="s">
        <v>1754</v>
      </c>
      <c r="B9" s="9" t="s">
        <v>80</v>
      </c>
      <c r="C9" s="58" t="s">
        <v>29</v>
      </c>
      <c r="D9" s="11" t="s">
        <v>195</v>
      </c>
      <c r="E9" s="10">
        <v>22</v>
      </c>
      <c r="F9" s="58"/>
      <c r="G9" s="12">
        <v>677</v>
      </c>
      <c r="H9" s="12">
        <v>2190</v>
      </c>
      <c r="I9" s="17">
        <v>274</v>
      </c>
      <c r="J9" s="18">
        <v>274</v>
      </c>
      <c r="K9" s="19">
        <f t="shared" ref="K9:K23" si="0">+M9*N9</f>
        <v>4416.1127999999999</v>
      </c>
      <c r="L9" s="14"/>
      <c r="M9" s="15">
        <v>405.52</v>
      </c>
      <c r="N9" s="15">
        <v>10.89</v>
      </c>
    </row>
    <row r="10" spans="1:14" s="15" customFormat="1" ht="20.25" customHeight="1" x14ac:dyDescent="0.15">
      <c r="A10" s="60" t="s">
        <v>1767</v>
      </c>
      <c r="B10" s="9" t="s">
        <v>31</v>
      </c>
      <c r="C10" s="58" t="s">
        <v>29</v>
      </c>
      <c r="D10" s="11" t="s">
        <v>247</v>
      </c>
      <c r="E10" s="10">
        <v>24</v>
      </c>
      <c r="F10" s="58" t="s">
        <v>11</v>
      </c>
      <c r="G10" s="12">
        <v>1695</v>
      </c>
      <c r="H10" s="12">
        <v>1730</v>
      </c>
      <c r="I10" s="17" t="s">
        <v>1768</v>
      </c>
      <c r="J10" s="18">
        <v>9</v>
      </c>
      <c r="K10" s="19">
        <f t="shared" si="0"/>
        <v>142.44120000000001</v>
      </c>
      <c r="L10" s="14"/>
      <c r="M10" s="15">
        <v>13.08</v>
      </c>
      <c r="N10" s="15">
        <v>10.89</v>
      </c>
    </row>
    <row r="11" spans="1:14" s="15" customFormat="1" ht="20.25" customHeight="1" x14ac:dyDescent="0.15">
      <c r="A11" s="60" t="s">
        <v>1769</v>
      </c>
      <c r="B11" s="9" t="s">
        <v>1770</v>
      </c>
      <c r="C11" s="58" t="s">
        <v>29</v>
      </c>
      <c r="D11" s="11" t="s">
        <v>217</v>
      </c>
      <c r="E11" s="10">
        <v>22</v>
      </c>
      <c r="F11" s="58" t="s">
        <v>11</v>
      </c>
      <c r="G11" s="12">
        <v>755</v>
      </c>
      <c r="H11" s="12">
        <v>1861</v>
      </c>
      <c r="I11" s="17">
        <v>1</v>
      </c>
      <c r="J11" s="18">
        <v>1</v>
      </c>
      <c r="K11" s="19">
        <f t="shared" si="0"/>
        <v>15.354900000000001</v>
      </c>
      <c r="L11" s="14"/>
      <c r="M11" s="15">
        <v>1.41</v>
      </c>
      <c r="N11" s="15">
        <v>10.89</v>
      </c>
    </row>
    <row r="12" spans="1:14" s="15" customFormat="1" ht="20.25" customHeight="1" x14ac:dyDescent="0.15">
      <c r="A12" s="60" t="s">
        <v>1771</v>
      </c>
      <c r="B12" s="9" t="s">
        <v>28</v>
      </c>
      <c r="C12" s="58" t="s">
        <v>29</v>
      </c>
      <c r="D12" s="11" t="s">
        <v>217</v>
      </c>
      <c r="E12" s="10">
        <v>22</v>
      </c>
      <c r="F12" s="58" t="s">
        <v>11</v>
      </c>
      <c r="G12" s="12">
        <v>762</v>
      </c>
      <c r="H12" s="12">
        <v>1870</v>
      </c>
      <c r="I12" s="17">
        <v>1</v>
      </c>
      <c r="J12" s="18">
        <v>1</v>
      </c>
      <c r="K12" s="19">
        <f t="shared" si="0"/>
        <v>15.463800000000001</v>
      </c>
      <c r="L12" s="14"/>
      <c r="M12" s="15">
        <v>1.42</v>
      </c>
      <c r="N12" s="15">
        <v>10.89</v>
      </c>
    </row>
    <row r="13" spans="1:14" s="15" customFormat="1" ht="20.25" customHeight="1" x14ac:dyDescent="0.15">
      <c r="A13" s="60" t="s">
        <v>1773</v>
      </c>
      <c r="B13" s="9" t="s">
        <v>37</v>
      </c>
      <c r="C13" s="58" t="s">
        <v>29</v>
      </c>
      <c r="D13" s="11" t="s">
        <v>684</v>
      </c>
      <c r="E13" s="10">
        <v>22</v>
      </c>
      <c r="F13" s="58"/>
      <c r="G13" s="12">
        <v>582</v>
      </c>
      <c r="H13" s="12">
        <v>327</v>
      </c>
      <c r="I13" s="17">
        <v>2</v>
      </c>
      <c r="J13" s="18">
        <v>2</v>
      </c>
      <c r="K13" s="19">
        <f t="shared" si="0"/>
        <v>6.0984000000000007</v>
      </c>
      <c r="L13" s="14"/>
      <c r="M13" s="15">
        <v>0.56000000000000005</v>
      </c>
      <c r="N13" s="15">
        <v>10.89</v>
      </c>
    </row>
    <row r="14" spans="1:14" s="15" customFormat="1" ht="20.25" customHeight="1" x14ac:dyDescent="0.15">
      <c r="A14" s="60"/>
      <c r="B14" s="9"/>
      <c r="C14" s="58" t="s">
        <v>29</v>
      </c>
      <c r="D14" s="11" t="s">
        <v>1774</v>
      </c>
      <c r="E14" s="10">
        <v>26</v>
      </c>
      <c r="F14" s="58" t="s">
        <v>11</v>
      </c>
      <c r="G14" s="12">
        <v>670</v>
      </c>
      <c r="H14" s="12">
        <v>2134</v>
      </c>
      <c r="I14" s="17">
        <v>1</v>
      </c>
      <c r="J14" s="18">
        <v>1</v>
      </c>
      <c r="K14" s="19">
        <f t="shared" si="0"/>
        <v>15.572699999999999</v>
      </c>
      <c r="L14" s="20"/>
      <c r="M14" s="15">
        <v>1.43</v>
      </c>
      <c r="N14" s="15">
        <v>10.89</v>
      </c>
    </row>
    <row r="15" spans="1:14" s="15" customFormat="1" ht="20.25" customHeight="1" x14ac:dyDescent="0.15">
      <c r="A15" s="60" t="s">
        <v>1772</v>
      </c>
      <c r="B15" s="9" t="s">
        <v>1775</v>
      </c>
      <c r="C15" s="58" t="s">
        <v>29</v>
      </c>
      <c r="D15" s="11" t="s">
        <v>1776</v>
      </c>
      <c r="E15" s="10">
        <v>24</v>
      </c>
      <c r="F15" s="58" t="s">
        <v>11</v>
      </c>
      <c r="G15" s="12">
        <v>300</v>
      </c>
      <c r="H15" s="12">
        <v>300</v>
      </c>
      <c r="I15" s="17">
        <v>1</v>
      </c>
      <c r="J15" s="18">
        <v>1</v>
      </c>
      <c r="K15" s="19">
        <f t="shared" si="0"/>
        <v>3.0492000000000004</v>
      </c>
      <c r="L15" s="20"/>
      <c r="M15" s="15">
        <v>0.28000000000000003</v>
      </c>
      <c r="N15" s="15">
        <v>10.89</v>
      </c>
    </row>
    <row r="16" spans="1:14" s="15" customFormat="1" ht="20.25" customHeight="1" x14ac:dyDescent="0.15">
      <c r="A16" s="60"/>
      <c r="B16" s="9"/>
      <c r="C16" s="58"/>
      <c r="D16" s="11"/>
      <c r="E16" s="10"/>
      <c r="F16" s="58"/>
      <c r="G16" s="12"/>
      <c r="H16" s="12"/>
      <c r="I16" s="17"/>
      <c r="J16" s="18"/>
      <c r="K16" s="19">
        <f t="shared" si="0"/>
        <v>0</v>
      </c>
      <c r="L16" s="20"/>
      <c r="N16" s="15">
        <v>10.89</v>
      </c>
    </row>
    <row r="17" spans="1:14" s="15" customFormat="1" ht="20.25" customHeight="1" x14ac:dyDescent="0.15">
      <c r="A17" s="60"/>
      <c r="B17" s="9"/>
      <c r="C17" s="58"/>
      <c r="D17" s="11"/>
      <c r="E17" s="10"/>
      <c r="F17" s="58"/>
      <c r="G17" s="12"/>
      <c r="H17" s="12"/>
      <c r="I17" s="17"/>
      <c r="J17" s="18"/>
      <c r="K17" s="19">
        <f t="shared" si="0"/>
        <v>0</v>
      </c>
      <c r="L17" s="20"/>
      <c r="N17" s="15">
        <v>10.89</v>
      </c>
    </row>
    <row r="18" spans="1:14" s="15" customFormat="1" ht="20.25" customHeight="1" x14ac:dyDescent="0.15">
      <c r="A18" s="60"/>
      <c r="B18" s="9"/>
      <c r="C18" s="58"/>
      <c r="D18" s="11"/>
      <c r="E18" s="10"/>
      <c r="F18" s="58"/>
      <c r="G18" s="12"/>
      <c r="H18" s="12"/>
      <c r="I18" s="17"/>
      <c r="J18" s="18"/>
      <c r="K18" s="19">
        <f t="shared" si="0"/>
        <v>0</v>
      </c>
      <c r="L18" s="20"/>
      <c r="N18" s="15">
        <v>10.89</v>
      </c>
    </row>
    <row r="19" spans="1:14" s="15" customFormat="1" ht="20.25" customHeight="1" x14ac:dyDescent="0.15">
      <c r="A19" s="60"/>
      <c r="B19" s="9"/>
      <c r="C19" s="58"/>
      <c r="D19" s="11"/>
      <c r="E19" s="10"/>
      <c r="F19" s="58"/>
      <c r="G19" s="12"/>
      <c r="H19" s="12"/>
      <c r="I19" s="17"/>
      <c r="J19" s="18"/>
      <c r="K19" s="19">
        <f t="shared" si="0"/>
        <v>0</v>
      </c>
      <c r="L19" s="20"/>
      <c r="N19" s="15">
        <v>10.89</v>
      </c>
    </row>
    <row r="20" spans="1:14" s="15" customFormat="1" ht="20.25" customHeight="1" x14ac:dyDescent="0.15">
      <c r="A20" s="60"/>
      <c r="B20" s="9"/>
      <c r="C20" s="58"/>
      <c r="D20" s="11"/>
      <c r="E20" s="10"/>
      <c r="F20" s="58"/>
      <c r="G20" s="12"/>
      <c r="H20" s="12"/>
      <c r="I20" s="17"/>
      <c r="J20" s="18"/>
      <c r="K20" s="19">
        <f t="shared" si="0"/>
        <v>0</v>
      </c>
      <c r="L20" s="20"/>
      <c r="N20" s="15">
        <v>10.89</v>
      </c>
    </row>
    <row r="21" spans="1:14" s="15" customFormat="1" ht="20.25" customHeight="1" x14ac:dyDescent="0.15">
      <c r="A21" s="60"/>
      <c r="B21" s="9"/>
      <c r="C21" s="58"/>
      <c r="D21" s="11"/>
      <c r="E21" s="10"/>
      <c r="F21" s="58"/>
      <c r="G21" s="50"/>
      <c r="H21" s="50"/>
      <c r="I21" s="17"/>
      <c r="J21" s="18"/>
      <c r="K21" s="19">
        <f t="shared" si="0"/>
        <v>0</v>
      </c>
      <c r="L21" s="20"/>
      <c r="N21" s="15">
        <v>10.89</v>
      </c>
    </row>
    <row r="22" spans="1:14" s="15" customFormat="1" ht="20.25" customHeight="1" x14ac:dyDescent="0.15">
      <c r="A22" s="60"/>
      <c r="B22" s="9"/>
      <c r="C22" s="58"/>
      <c r="D22" s="11"/>
      <c r="E22" s="10"/>
      <c r="F22" s="58"/>
      <c r="G22" s="50"/>
      <c r="H22" s="50"/>
      <c r="I22" s="17"/>
      <c r="J22" s="18"/>
      <c r="K22" s="19">
        <f t="shared" si="0"/>
        <v>0</v>
      </c>
      <c r="L22" s="20"/>
      <c r="N22" s="15">
        <v>10.89</v>
      </c>
    </row>
    <row r="23" spans="1:14" ht="20.25" customHeight="1" x14ac:dyDescent="0.15">
      <c r="A23" s="60"/>
      <c r="B23" s="9"/>
      <c r="C23" s="58"/>
      <c r="D23" s="11"/>
      <c r="E23" s="10"/>
      <c r="F23" s="58"/>
      <c r="G23" s="16"/>
      <c r="H23" s="16"/>
      <c r="I23" s="17"/>
      <c r="J23" s="18"/>
      <c r="K23" s="19">
        <f t="shared" si="0"/>
        <v>0</v>
      </c>
      <c r="L23" s="20"/>
      <c r="N23" s="15">
        <v>10.89</v>
      </c>
    </row>
    <row r="24" spans="1:14" ht="20.25" customHeight="1" thickBot="1" x14ac:dyDescent="0.2">
      <c r="A24" s="56"/>
      <c r="B24" s="21"/>
      <c r="C24" s="59"/>
      <c r="D24" s="22"/>
      <c r="E24" s="23"/>
      <c r="F24" s="23"/>
      <c r="G24" s="24"/>
      <c r="H24" s="24"/>
      <c r="I24" s="25"/>
      <c r="J24" s="46">
        <f>SUM(J8:J23)</f>
        <v>354</v>
      </c>
      <c r="K24" s="47">
        <f>SUM(K8:K23)</f>
        <v>5688.3915000000006</v>
      </c>
      <c r="L24" s="26"/>
    </row>
    <row r="25" spans="1:14" ht="20.25" customHeight="1" thickTop="1" x14ac:dyDescent="0.15">
      <c r="A25" s="60" t="s">
        <v>1755</v>
      </c>
      <c r="B25" s="9" t="s">
        <v>131</v>
      </c>
      <c r="C25" s="58" t="s">
        <v>29</v>
      </c>
      <c r="D25" s="11" t="s">
        <v>1698</v>
      </c>
      <c r="E25" s="10">
        <v>22</v>
      </c>
      <c r="F25" s="10" t="s">
        <v>11</v>
      </c>
      <c r="G25" s="12">
        <v>914</v>
      </c>
      <c r="H25" s="12">
        <v>1763</v>
      </c>
      <c r="I25" s="17" t="s">
        <v>1777</v>
      </c>
      <c r="J25" s="18">
        <v>80</v>
      </c>
      <c r="K25" s="19">
        <f t="shared" ref="K25:K40" si="1">+M25*N25</f>
        <v>1070.4870000000001</v>
      </c>
      <c r="L25" s="54"/>
      <c r="M25" s="3">
        <v>98.3</v>
      </c>
      <c r="N25" s="15">
        <v>10.89</v>
      </c>
    </row>
    <row r="26" spans="1:14" ht="20.25" customHeight="1" x14ac:dyDescent="0.15">
      <c r="A26" s="60" t="s">
        <v>1778</v>
      </c>
      <c r="B26" s="9" t="s">
        <v>44</v>
      </c>
      <c r="C26" s="58" t="s">
        <v>29</v>
      </c>
      <c r="D26" s="11" t="s">
        <v>1779</v>
      </c>
      <c r="E26" s="10">
        <v>43</v>
      </c>
      <c r="F26" s="10" t="s">
        <v>11</v>
      </c>
      <c r="G26" s="12">
        <v>895</v>
      </c>
      <c r="H26" s="12">
        <v>1834</v>
      </c>
      <c r="I26" s="17">
        <v>1</v>
      </c>
      <c r="J26" s="18">
        <v>1</v>
      </c>
      <c r="K26" s="19">
        <f t="shared" si="1"/>
        <v>17.8596</v>
      </c>
      <c r="L26" s="54"/>
      <c r="M26" s="3">
        <v>1.64</v>
      </c>
      <c r="N26" s="15">
        <v>10.89</v>
      </c>
    </row>
    <row r="27" spans="1:14" ht="20.25" customHeight="1" x14ac:dyDescent="0.15">
      <c r="A27" s="61" t="s">
        <v>1780</v>
      </c>
      <c r="B27" s="9" t="s">
        <v>127</v>
      </c>
      <c r="C27" s="58" t="s">
        <v>29</v>
      </c>
      <c r="D27" s="11" t="s">
        <v>554</v>
      </c>
      <c r="E27" s="10">
        <v>28</v>
      </c>
      <c r="F27" s="10" t="s">
        <v>11</v>
      </c>
      <c r="G27" s="12">
        <v>915</v>
      </c>
      <c r="H27" s="12">
        <v>1485</v>
      </c>
      <c r="I27" s="17">
        <v>1</v>
      </c>
      <c r="J27" s="18">
        <v>1</v>
      </c>
      <c r="K27" s="19">
        <f t="shared" si="1"/>
        <v>14.810400000000001</v>
      </c>
      <c r="L27" s="54"/>
      <c r="M27" s="3">
        <v>1.36</v>
      </c>
      <c r="N27" s="15">
        <v>10.89</v>
      </c>
    </row>
    <row r="28" spans="1:14" ht="20.25" customHeight="1" x14ac:dyDescent="0.15">
      <c r="A28" s="61" t="s">
        <v>1762</v>
      </c>
      <c r="B28" s="9" t="s">
        <v>1761</v>
      </c>
      <c r="C28" s="58" t="s">
        <v>29</v>
      </c>
      <c r="D28" s="11" t="s">
        <v>1763</v>
      </c>
      <c r="E28" s="10">
        <v>43</v>
      </c>
      <c r="F28" s="10" t="s">
        <v>11</v>
      </c>
      <c r="G28" s="12">
        <v>432</v>
      </c>
      <c r="H28" s="12">
        <v>1157</v>
      </c>
      <c r="I28" s="17" t="s">
        <v>1781</v>
      </c>
      <c r="J28" s="18">
        <v>208</v>
      </c>
      <c r="K28" s="19">
        <f t="shared" si="1"/>
        <v>814.572</v>
      </c>
      <c r="L28" s="54"/>
      <c r="M28" s="3">
        <v>74.8</v>
      </c>
      <c r="N28" s="15">
        <v>10.89</v>
      </c>
    </row>
    <row r="29" spans="1:14" ht="20.25" customHeight="1" x14ac:dyDescent="0.15">
      <c r="A29" s="61" t="s">
        <v>1782</v>
      </c>
      <c r="B29" s="9" t="s">
        <v>127</v>
      </c>
      <c r="C29" s="58" t="s">
        <v>29</v>
      </c>
      <c r="D29" s="11" t="s">
        <v>1783</v>
      </c>
      <c r="E29" s="10">
        <v>28</v>
      </c>
      <c r="F29" s="10" t="s">
        <v>11</v>
      </c>
      <c r="G29" s="12">
        <v>1420</v>
      </c>
      <c r="H29" s="12">
        <v>990</v>
      </c>
      <c r="I29" s="17">
        <v>2</v>
      </c>
      <c r="J29" s="18">
        <v>2</v>
      </c>
      <c r="K29" s="19">
        <f t="shared" si="1"/>
        <v>30.709800000000001</v>
      </c>
      <c r="L29" s="54"/>
      <c r="M29" s="3">
        <v>2.82</v>
      </c>
      <c r="N29" s="15">
        <v>10.89</v>
      </c>
    </row>
    <row r="30" spans="1:14" ht="20.25" customHeight="1" x14ac:dyDescent="0.15">
      <c r="A30" s="61" t="s">
        <v>1784</v>
      </c>
      <c r="B30" s="9" t="s">
        <v>127</v>
      </c>
      <c r="C30" s="58" t="s">
        <v>29</v>
      </c>
      <c r="D30" s="11" t="s">
        <v>554</v>
      </c>
      <c r="E30" s="10">
        <v>28</v>
      </c>
      <c r="F30" s="10" t="s">
        <v>11</v>
      </c>
      <c r="G30" s="12">
        <v>915</v>
      </c>
      <c r="H30" s="12">
        <v>3905</v>
      </c>
      <c r="I30" s="51" t="s">
        <v>1785</v>
      </c>
      <c r="J30" s="52">
        <v>3</v>
      </c>
      <c r="K30" s="53">
        <f t="shared" si="1"/>
        <v>91.040400000000005</v>
      </c>
      <c r="L30" s="54"/>
      <c r="M30" s="3">
        <v>8.36</v>
      </c>
      <c r="N30" s="15">
        <v>10.89</v>
      </c>
    </row>
    <row r="31" spans="1:14" ht="20.25" customHeight="1" x14ac:dyDescent="0.15">
      <c r="A31" s="61"/>
      <c r="B31" s="9"/>
      <c r="C31" s="58" t="s">
        <v>29</v>
      </c>
      <c r="D31" s="11" t="s">
        <v>798</v>
      </c>
      <c r="E31" s="10">
        <v>28</v>
      </c>
      <c r="F31" s="10" t="s">
        <v>11</v>
      </c>
      <c r="G31" s="12">
        <v>985</v>
      </c>
      <c r="H31" s="12">
        <v>1282</v>
      </c>
      <c r="I31" s="51">
        <v>1</v>
      </c>
      <c r="J31" s="52">
        <v>1</v>
      </c>
      <c r="K31" s="53">
        <f t="shared" si="1"/>
        <v>13.721400000000001</v>
      </c>
      <c r="L31" s="54"/>
      <c r="M31" s="3">
        <v>1.26</v>
      </c>
      <c r="N31" s="15">
        <v>10.89</v>
      </c>
    </row>
    <row r="32" spans="1:14" ht="20.25" customHeight="1" x14ac:dyDescent="0.15">
      <c r="A32" s="60"/>
      <c r="B32" s="9"/>
      <c r="C32" s="58" t="s">
        <v>29</v>
      </c>
      <c r="D32" s="11" t="s">
        <v>378</v>
      </c>
      <c r="E32" s="10">
        <v>28</v>
      </c>
      <c r="F32" s="10" t="s">
        <v>11</v>
      </c>
      <c r="G32" s="12">
        <v>773</v>
      </c>
      <c r="H32" s="12">
        <v>2060</v>
      </c>
      <c r="I32" s="17">
        <v>8</v>
      </c>
      <c r="J32" s="18">
        <v>8</v>
      </c>
      <c r="K32" s="19">
        <f t="shared" si="1"/>
        <v>138.52080000000001</v>
      </c>
      <c r="L32" s="27"/>
      <c r="M32" s="3">
        <v>12.72</v>
      </c>
      <c r="N32" s="15">
        <v>10.89</v>
      </c>
    </row>
    <row r="33" spans="1:14" ht="20.25" customHeight="1" x14ac:dyDescent="0.15">
      <c r="A33" s="60" t="s">
        <v>1786</v>
      </c>
      <c r="B33" s="9" t="s">
        <v>45</v>
      </c>
      <c r="C33" s="58" t="s">
        <v>29</v>
      </c>
      <c r="D33" s="11" t="s">
        <v>222</v>
      </c>
      <c r="E33" s="10">
        <v>28</v>
      </c>
      <c r="F33" s="10" t="s">
        <v>11</v>
      </c>
      <c r="G33" s="12">
        <v>1940</v>
      </c>
      <c r="H33" s="12">
        <v>2065</v>
      </c>
      <c r="I33" s="17">
        <v>1</v>
      </c>
      <c r="J33" s="18">
        <v>1</v>
      </c>
      <c r="K33" s="19">
        <f t="shared" si="1"/>
        <v>43.668900000000001</v>
      </c>
      <c r="L33" s="27"/>
      <c r="M33" s="3">
        <v>4.01</v>
      </c>
      <c r="N33" s="15">
        <v>10.89</v>
      </c>
    </row>
    <row r="34" spans="1:14" ht="20.25" customHeight="1" x14ac:dyDescent="0.15">
      <c r="A34" s="60"/>
      <c r="B34" s="9"/>
      <c r="C34" s="58" t="s">
        <v>29</v>
      </c>
      <c r="D34" s="11"/>
      <c r="E34" s="10"/>
      <c r="F34" s="10" t="s">
        <v>11</v>
      </c>
      <c r="G34" s="12"/>
      <c r="H34" s="12"/>
      <c r="I34" s="17"/>
      <c r="J34" s="18"/>
      <c r="K34" s="19">
        <f t="shared" si="1"/>
        <v>0</v>
      </c>
      <c r="L34" s="27"/>
      <c r="N34" s="15">
        <v>10.89</v>
      </c>
    </row>
    <row r="35" spans="1:14" ht="20.25" customHeight="1" x14ac:dyDescent="0.15">
      <c r="A35" s="60"/>
      <c r="B35" s="9"/>
      <c r="C35" s="58" t="s">
        <v>29</v>
      </c>
      <c r="D35" s="11"/>
      <c r="E35" s="10"/>
      <c r="F35" s="10" t="s">
        <v>11</v>
      </c>
      <c r="G35" s="12"/>
      <c r="H35" s="12"/>
      <c r="I35" s="17"/>
      <c r="J35" s="18"/>
      <c r="K35" s="19">
        <f t="shared" si="1"/>
        <v>0</v>
      </c>
      <c r="L35" s="27"/>
      <c r="N35" s="15">
        <v>10.89</v>
      </c>
    </row>
    <row r="36" spans="1:14" ht="20.25" customHeight="1" x14ac:dyDescent="0.15">
      <c r="A36" s="60"/>
      <c r="B36" s="9"/>
      <c r="C36" s="58" t="s">
        <v>29</v>
      </c>
      <c r="D36" s="11"/>
      <c r="E36" s="10"/>
      <c r="F36" s="10" t="s">
        <v>11</v>
      </c>
      <c r="G36" s="12"/>
      <c r="H36" s="12"/>
      <c r="I36" s="17"/>
      <c r="J36" s="18"/>
      <c r="K36" s="19">
        <f t="shared" si="1"/>
        <v>0</v>
      </c>
      <c r="L36" s="27"/>
      <c r="N36" s="15">
        <v>10.89</v>
      </c>
    </row>
    <row r="37" spans="1:14" ht="20.25" customHeight="1" x14ac:dyDescent="0.15">
      <c r="A37" s="60"/>
      <c r="B37" s="9"/>
      <c r="C37" s="58" t="s">
        <v>29</v>
      </c>
      <c r="D37" s="11"/>
      <c r="E37" s="10"/>
      <c r="F37" s="10" t="s">
        <v>11</v>
      </c>
      <c r="G37" s="12"/>
      <c r="H37" s="12"/>
      <c r="I37" s="17"/>
      <c r="J37" s="18"/>
      <c r="K37" s="19">
        <f t="shared" si="1"/>
        <v>0</v>
      </c>
      <c r="L37" s="27"/>
      <c r="N37" s="15">
        <v>10.89</v>
      </c>
    </row>
    <row r="38" spans="1:14" ht="20.25" customHeight="1" x14ac:dyDescent="0.15">
      <c r="A38" s="60"/>
      <c r="B38" s="9"/>
      <c r="C38" s="58" t="s">
        <v>29</v>
      </c>
      <c r="D38" s="11"/>
      <c r="E38" s="10"/>
      <c r="F38" s="10" t="s">
        <v>11</v>
      </c>
      <c r="G38" s="12"/>
      <c r="H38" s="12"/>
      <c r="I38" s="17"/>
      <c r="J38" s="18"/>
      <c r="K38" s="19">
        <f t="shared" si="1"/>
        <v>0</v>
      </c>
      <c r="L38" s="27"/>
      <c r="N38" s="15">
        <v>10.89</v>
      </c>
    </row>
    <row r="39" spans="1:14" ht="20.25" customHeight="1" x14ac:dyDescent="0.15">
      <c r="A39" s="60"/>
      <c r="B39" s="9"/>
      <c r="C39" s="58" t="s">
        <v>29</v>
      </c>
      <c r="D39" s="11"/>
      <c r="E39" s="10"/>
      <c r="F39" s="10" t="s">
        <v>11</v>
      </c>
      <c r="G39" s="12"/>
      <c r="H39" s="12"/>
      <c r="I39" s="17"/>
      <c r="J39" s="18"/>
      <c r="K39" s="19">
        <f t="shared" si="1"/>
        <v>0</v>
      </c>
      <c r="L39" s="27"/>
      <c r="N39" s="15">
        <v>10.89</v>
      </c>
    </row>
    <row r="40" spans="1:14" ht="20.25" customHeight="1" x14ac:dyDescent="0.15">
      <c r="A40" s="60"/>
      <c r="B40" s="9"/>
      <c r="C40" s="58" t="s">
        <v>29</v>
      </c>
      <c r="D40" s="11"/>
      <c r="E40" s="10"/>
      <c r="F40" s="10" t="s">
        <v>11</v>
      </c>
      <c r="G40" s="12"/>
      <c r="H40" s="12"/>
      <c r="I40" s="17"/>
      <c r="J40" s="18"/>
      <c r="K40" s="19">
        <f t="shared" si="1"/>
        <v>0</v>
      </c>
      <c r="L40" s="27"/>
      <c r="N40" s="15">
        <v>10.89</v>
      </c>
    </row>
    <row r="41" spans="1:14" ht="20.25" customHeight="1" x14ac:dyDescent="0.15">
      <c r="A41" s="57"/>
      <c r="B41" s="28"/>
      <c r="C41" s="10"/>
      <c r="D41" s="29"/>
      <c r="E41" s="30"/>
      <c r="F41" s="30"/>
      <c r="G41" s="30"/>
      <c r="H41" s="30"/>
      <c r="I41" s="13"/>
      <c r="J41" s="48">
        <f>SUM(J25:J40)</f>
        <v>305</v>
      </c>
      <c r="K41" s="49">
        <f>SUM(K25:K40)</f>
        <v>2235.3903000000005</v>
      </c>
      <c r="L41" s="31"/>
      <c r="N41" s="32"/>
    </row>
    <row r="42" spans="1:14" ht="20.25" customHeight="1" thickBot="1" x14ac:dyDescent="0.2">
      <c r="A42" s="55"/>
      <c r="B42" s="33"/>
      <c r="C42" s="33"/>
      <c r="D42" s="33"/>
      <c r="E42" s="33"/>
      <c r="F42" s="33"/>
      <c r="G42" s="33"/>
      <c r="H42" s="33"/>
      <c r="I42" s="33"/>
      <c r="J42" s="34"/>
      <c r="K42" s="35"/>
      <c r="L42" s="36"/>
    </row>
    <row r="43" spans="1:14" ht="20.25" customHeight="1" thickBot="1" x14ac:dyDescent="0.2">
      <c r="A43" s="37" t="s">
        <v>19</v>
      </c>
      <c r="B43" s="38" t="s">
        <v>20</v>
      </c>
      <c r="C43" s="77" t="s">
        <v>21</v>
      </c>
      <c r="D43" s="79"/>
      <c r="E43" s="77" t="s">
        <v>22</v>
      </c>
      <c r="F43" s="78"/>
      <c r="G43" s="79"/>
      <c r="H43" s="85" t="s">
        <v>23</v>
      </c>
      <c r="I43" s="86"/>
      <c r="J43" s="77" t="s">
        <v>24</v>
      </c>
      <c r="K43" s="79"/>
      <c r="L43" s="39" t="s">
        <v>13</v>
      </c>
    </row>
    <row r="44" spans="1:14" ht="20.25" customHeight="1" thickBot="1" x14ac:dyDescent="0.2">
      <c r="A44" s="40">
        <f>SUMIF($C$8:$C$42,"U1",$J$8:$J$42)</f>
        <v>0</v>
      </c>
      <c r="B44" s="41">
        <f>SUMIF($C$8:$C$42,"U2",$J$8:$J$42)</f>
        <v>0</v>
      </c>
      <c r="C44" s="77">
        <f>SUMIF($C$8:$C$42,"U3-1",$J$8:$J$42)</f>
        <v>0</v>
      </c>
      <c r="D44" s="79"/>
      <c r="E44" s="77">
        <f>SUMIF($C$8:$C$42,"U3",$J$8:$J$42)</f>
        <v>659</v>
      </c>
      <c r="F44" s="78"/>
      <c r="G44" s="79"/>
      <c r="H44" s="77">
        <f>SUMIF($C$8:$C$42,"E5",$J$8:$J$42)</f>
        <v>0</v>
      </c>
      <c r="I44" s="79"/>
      <c r="J44" s="77">
        <f>SUM(A44:I44)</f>
        <v>659</v>
      </c>
      <c r="K44" s="79"/>
      <c r="L44" s="42"/>
    </row>
    <row r="45" spans="1:14" ht="20.25" customHeight="1" thickBot="1" x14ac:dyDescent="0.2">
      <c r="A45" s="43" t="s">
        <v>25</v>
      </c>
      <c r="B45" s="44" t="s">
        <v>26</v>
      </c>
      <c r="C45" s="75">
        <v>13876</v>
      </c>
      <c r="D45" s="76"/>
      <c r="E45" s="77" t="s">
        <v>27</v>
      </c>
      <c r="F45" s="78"/>
      <c r="G45" s="78"/>
      <c r="H45" s="78"/>
      <c r="I45" s="79"/>
      <c r="J45" s="80">
        <v>146744.37</v>
      </c>
      <c r="K45" s="81"/>
      <c r="L45" s="82"/>
    </row>
    <row r="47" spans="1:14" x14ac:dyDescent="0.15">
      <c r="D47" s="45"/>
    </row>
  </sheetData>
  <mergeCells count="26">
    <mergeCell ref="L2:L4"/>
    <mergeCell ref="A1:G3"/>
    <mergeCell ref="H1:H4"/>
    <mergeCell ref="I2:I4"/>
    <mergeCell ref="J2:J4"/>
    <mergeCell ref="K2:K4"/>
    <mergeCell ref="B5:G5"/>
    <mergeCell ref="A6:A7"/>
    <mergeCell ref="B6:B7"/>
    <mergeCell ref="C6:C7"/>
    <mergeCell ref="D6:D7"/>
    <mergeCell ref="E6:E7"/>
    <mergeCell ref="F6:F7"/>
    <mergeCell ref="G6:K6"/>
    <mergeCell ref="C45:D45"/>
    <mergeCell ref="E45:I45"/>
    <mergeCell ref="J45:L45"/>
    <mergeCell ref="L6:L7"/>
    <mergeCell ref="C43:D43"/>
    <mergeCell ref="E43:G43"/>
    <mergeCell ref="H43:I43"/>
    <mergeCell ref="J43:K43"/>
    <mergeCell ref="C44:D44"/>
    <mergeCell ref="E44:G44"/>
    <mergeCell ref="H44:I44"/>
    <mergeCell ref="J44:K44"/>
  </mergeCells>
  <phoneticPr fontId="2" type="noConversion"/>
  <printOptions horizontalCentered="1"/>
  <pageMargins left="0.39370078740157483" right="0.39370078740157483" top="0.74803149606299213" bottom="0.19685039370078741" header="0.31496062992125984" footer="0.15748031496062992"/>
  <pageSetup paperSize="9" scale="84" orientation="portrait" r:id="rId1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81A4C5-8168-4E22-AD71-DF2862944667}">
  <dimension ref="A1:N47"/>
  <sheetViews>
    <sheetView view="pageBreakPreview" topLeftCell="A10" zoomScaleSheetLayoutView="100" workbookViewId="0">
      <selection activeCell="C14" sqref="C14:F14"/>
    </sheetView>
  </sheetViews>
  <sheetFormatPr defaultColWidth="8.88671875" defaultRowHeight="13.5" x14ac:dyDescent="0.15"/>
  <cols>
    <col min="1" max="1" width="8.44140625" style="3" customWidth="1"/>
    <col min="2" max="2" width="14.77734375" style="3" customWidth="1"/>
    <col min="3" max="3" width="4.109375" style="3" customWidth="1"/>
    <col min="4" max="4" width="15.21875" style="3" customWidth="1"/>
    <col min="5" max="5" width="4.44140625" style="3" customWidth="1"/>
    <col min="6" max="6" width="4" style="3" customWidth="1"/>
    <col min="7" max="7" width="5.5546875" style="3" customWidth="1"/>
    <col min="8" max="8" width="5.44140625" style="3" customWidth="1"/>
    <col min="9" max="9" width="7.88671875" style="3" customWidth="1"/>
    <col min="10" max="10" width="7.109375" style="3" customWidth="1"/>
    <col min="11" max="11" width="7.21875" style="3" customWidth="1"/>
    <col min="12" max="12" width="6.77734375" style="3" customWidth="1"/>
    <col min="13" max="16384" width="8.88671875" style="3"/>
  </cols>
  <sheetData>
    <row r="1" spans="1:14" ht="18.75" customHeight="1" x14ac:dyDescent="0.15">
      <c r="A1" s="101" t="s">
        <v>0</v>
      </c>
      <c r="B1" s="102"/>
      <c r="C1" s="102"/>
      <c r="D1" s="102"/>
      <c r="E1" s="102"/>
      <c r="F1" s="102"/>
      <c r="G1" s="103"/>
      <c r="H1" s="107" t="s">
        <v>1</v>
      </c>
      <c r="I1" s="1" t="s">
        <v>2</v>
      </c>
      <c r="J1" s="1" t="s">
        <v>2</v>
      </c>
      <c r="K1" s="1" t="s">
        <v>3</v>
      </c>
      <c r="L1" s="2" t="s">
        <v>4</v>
      </c>
    </row>
    <row r="2" spans="1:14" ht="13.5" customHeight="1" x14ac:dyDescent="0.15">
      <c r="A2" s="104"/>
      <c r="B2" s="105"/>
      <c r="C2" s="105"/>
      <c r="D2" s="105"/>
      <c r="E2" s="105"/>
      <c r="F2" s="105"/>
      <c r="G2" s="106"/>
      <c r="H2" s="108"/>
      <c r="I2" s="110"/>
      <c r="J2" s="110"/>
      <c r="K2" s="110"/>
      <c r="L2" s="98"/>
    </row>
    <row r="3" spans="1:14" ht="13.5" customHeight="1" x14ac:dyDescent="0.15">
      <c r="A3" s="104"/>
      <c r="B3" s="105"/>
      <c r="C3" s="105"/>
      <c r="D3" s="105"/>
      <c r="E3" s="105"/>
      <c r="F3" s="105"/>
      <c r="G3" s="106"/>
      <c r="H3" s="108"/>
      <c r="I3" s="108"/>
      <c r="J3" s="108"/>
      <c r="K3" s="108"/>
      <c r="L3" s="99"/>
    </row>
    <row r="4" spans="1:14" ht="33" customHeight="1" x14ac:dyDescent="0.15">
      <c r="A4" s="4"/>
      <c r="B4" s="5"/>
      <c r="C4" s="5"/>
      <c r="D4" s="5"/>
      <c r="E4" s="5"/>
      <c r="F4" s="5"/>
      <c r="G4" s="5"/>
      <c r="H4" s="109"/>
      <c r="I4" s="109"/>
      <c r="J4" s="109"/>
      <c r="K4" s="109"/>
      <c r="L4" s="100"/>
    </row>
    <row r="5" spans="1:14" ht="17.25" customHeight="1" x14ac:dyDescent="0.15">
      <c r="A5" s="6" t="s">
        <v>5</v>
      </c>
      <c r="B5" s="87">
        <v>46119</v>
      </c>
      <c r="C5" s="88"/>
      <c r="D5" s="88"/>
      <c r="E5" s="88"/>
      <c r="F5" s="88"/>
      <c r="G5" s="88"/>
      <c r="H5" s="5"/>
      <c r="I5" s="5"/>
      <c r="J5" s="5"/>
      <c r="K5" s="5"/>
      <c r="L5" s="7"/>
    </row>
    <row r="6" spans="1:14" ht="13.5" customHeight="1" x14ac:dyDescent="0.15">
      <c r="A6" s="89" t="s">
        <v>6</v>
      </c>
      <c r="B6" s="91" t="s">
        <v>7</v>
      </c>
      <c r="C6" s="91" t="s">
        <v>8</v>
      </c>
      <c r="D6" s="91" t="s">
        <v>9</v>
      </c>
      <c r="E6" s="93" t="s">
        <v>10</v>
      </c>
      <c r="F6" s="93" t="s">
        <v>11</v>
      </c>
      <c r="G6" s="95" t="s">
        <v>12</v>
      </c>
      <c r="H6" s="96"/>
      <c r="I6" s="96"/>
      <c r="J6" s="96"/>
      <c r="K6" s="97"/>
      <c r="L6" s="83" t="s">
        <v>13</v>
      </c>
    </row>
    <row r="7" spans="1:14" x14ac:dyDescent="0.15">
      <c r="A7" s="90"/>
      <c r="B7" s="92"/>
      <c r="C7" s="92"/>
      <c r="D7" s="92"/>
      <c r="E7" s="94"/>
      <c r="F7" s="94"/>
      <c r="G7" s="8" t="s">
        <v>14</v>
      </c>
      <c r="H7" s="8" t="s">
        <v>15</v>
      </c>
      <c r="I7" s="8" t="s">
        <v>16</v>
      </c>
      <c r="J7" s="8" t="s">
        <v>17</v>
      </c>
      <c r="K7" s="8" t="s">
        <v>18</v>
      </c>
      <c r="L7" s="84"/>
    </row>
    <row r="8" spans="1:14" s="15" customFormat="1" ht="20.25" customHeight="1" x14ac:dyDescent="0.15">
      <c r="A8" s="60" t="s">
        <v>1787</v>
      </c>
      <c r="B8" s="9" t="s">
        <v>148</v>
      </c>
      <c r="C8" s="58" t="s">
        <v>29</v>
      </c>
      <c r="D8" s="11" t="s">
        <v>195</v>
      </c>
      <c r="E8" s="10">
        <v>22</v>
      </c>
      <c r="F8" s="58"/>
      <c r="G8" s="12">
        <v>766</v>
      </c>
      <c r="H8" s="12">
        <v>1890</v>
      </c>
      <c r="I8" s="17" t="s">
        <v>1788</v>
      </c>
      <c r="J8" s="18">
        <f>50+64</f>
        <v>114</v>
      </c>
      <c r="K8" s="19">
        <f>+M8*N8</f>
        <v>1800.1170000000002</v>
      </c>
      <c r="L8" s="14"/>
      <c r="M8" s="15">
        <v>165.3</v>
      </c>
      <c r="N8" s="15">
        <v>10.89</v>
      </c>
    </row>
    <row r="9" spans="1:14" s="15" customFormat="1" ht="20.25" customHeight="1" x14ac:dyDescent="0.15">
      <c r="A9" s="60" t="s">
        <v>1789</v>
      </c>
      <c r="B9" s="9" t="s">
        <v>131</v>
      </c>
      <c r="C9" s="58" t="s">
        <v>29</v>
      </c>
      <c r="D9" s="11" t="s">
        <v>1445</v>
      </c>
      <c r="E9" s="10">
        <v>22</v>
      </c>
      <c r="F9" s="58" t="s">
        <v>11</v>
      </c>
      <c r="G9" s="12">
        <v>764</v>
      </c>
      <c r="H9" s="12">
        <v>933</v>
      </c>
      <c r="I9" s="17" t="s">
        <v>1790</v>
      </c>
      <c r="J9" s="18">
        <v>101</v>
      </c>
      <c r="K9" s="19">
        <f t="shared" ref="K9:K14" si="0">+M9*N9</f>
        <v>487.00080000000003</v>
      </c>
      <c r="L9" s="14"/>
      <c r="M9" s="15">
        <v>44.72</v>
      </c>
      <c r="N9" s="15">
        <v>10.89</v>
      </c>
    </row>
    <row r="10" spans="1:14" s="15" customFormat="1" ht="20.25" customHeight="1" x14ac:dyDescent="0.15">
      <c r="A10" s="60"/>
      <c r="B10" s="9"/>
      <c r="C10" s="58" t="s">
        <v>29</v>
      </c>
      <c r="D10" s="11" t="s">
        <v>1698</v>
      </c>
      <c r="E10" s="10">
        <v>22</v>
      </c>
      <c r="F10" s="58" t="s">
        <v>11</v>
      </c>
      <c r="G10" s="12">
        <v>1421</v>
      </c>
      <c r="H10" s="12">
        <v>1763</v>
      </c>
      <c r="I10" s="17" t="s">
        <v>1791</v>
      </c>
      <c r="J10" s="18">
        <v>167</v>
      </c>
      <c r="K10" s="19">
        <f t="shared" si="0"/>
        <v>1576.8720000000003</v>
      </c>
      <c r="L10" s="14"/>
      <c r="M10" s="15">
        <v>144.80000000000001</v>
      </c>
      <c r="N10" s="15">
        <v>10.89</v>
      </c>
    </row>
    <row r="11" spans="1:14" s="15" customFormat="1" ht="20.25" customHeight="1" x14ac:dyDescent="0.15">
      <c r="A11" s="60" t="s">
        <v>1792</v>
      </c>
      <c r="B11" s="9" t="s">
        <v>131</v>
      </c>
      <c r="C11" s="58" t="s">
        <v>29</v>
      </c>
      <c r="D11" s="11" t="s">
        <v>1445</v>
      </c>
      <c r="E11" s="10">
        <v>22</v>
      </c>
      <c r="F11" s="58" t="s">
        <v>11</v>
      </c>
      <c r="G11" s="12">
        <v>1723</v>
      </c>
      <c r="H11" s="12">
        <v>1763</v>
      </c>
      <c r="I11" s="17" t="s">
        <v>1793</v>
      </c>
      <c r="J11" s="18">
        <v>108</v>
      </c>
      <c r="K11" s="19">
        <f t="shared" si="0"/>
        <v>919.98720000000014</v>
      </c>
      <c r="L11" s="14"/>
      <c r="M11" s="15">
        <v>84.48</v>
      </c>
      <c r="N11" s="15">
        <v>10.89</v>
      </c>
    </row>
    <row r="12" spans="1:14" s="15" customFormat="1" ht="20.25" customHeight="1" x14ac:dyDescent="0.15">
      <c r="A12" s="60"/>
      <c r="B12" s="9"/>
      <c r="C12" s="58" t="s">
        <v>29</v>
      </c>
      <c r="D12" s="11" t="s">
        <v>1698</v>
      </c>
      <c r="E12" s="10">
        <v>22</v>
      </c>
      <c r="F12" s="58" t="s">
        <v>11</v>
      </c>
      <c r="G12" s="12">
        <v>1723</v>
      </c>
      <c r="H12" s="12">
        <v>1763</v>
      </c>
      <c r="I12" s="17" t="s">
        <v>1793</v>
      </c>
      <c r="J12" s="18">
        <v>108</v>
      </c>
      <c r="K12" s="19">
        <f t="shared" si="0"/>
        <v>919.98720000000014</v>
      </c>
      <c r="L12" s="14"/>
      <c r="M12" s="15">
        <v>84.48</v>
      </c>
      <c r="N12" s="15">
        <v>10.89</v>
      </c>
    </row>
    <row r="13" spans="1:14" s="15" customFormat="1" ht="20.25" customHeight="1" x14ac:dyDescent="0.15">
      <c r="A13" s="60" t="s">
        <v>1794</v>
      </c>
      <c r="B13" s="9" t="s">
        <v>145</v>
      </c>
      <c r="C13" s="58" t="s">
        <v>29</v>
      </c>
      <c r="D13" s="11" t="s">
        <v>1795</v>
      </c>
      <c r="E13" s="10">
        <v>22</v>
      </c>
      <c r="F13" s="58" t="s">
        <v>11</v>
      </c>
      <c r="G13" s="12">
        <v>625</v>
      </c>
      <c r="H13" s="12">
        <v>1300</v>
      </c>
      <c r="I13" s="17">
        <v>1</v>
      </c>
      <c r="J13" s="18">
        <v>1</v>
      </c>
      <c r="K13" s="19">
        <f t="shared" si="0"/>
        <v>8.8209000000000017</v>
      </c>
      <c r="L13" s="14"/>
      <c r="M13" s="15">
        <v>0.81</v>
      </c>
      <c r="N13" s="15">
        <v>10.89</v>
      </c>
    </row>
    <row r="14" spans="1:14" ht="20.25" customHeight="1" x14ac:dyDescent="0.15">
      <c r="A14" s="60"/>
      <c r="B14" s="9"/>
      <c r="C14" s="58"/>
      <c r="D14" s="11"/>
      <c r="E14" s="10"/>
      <c r="F14" s="58"/>
      <c r="G14" s="16"/>
      <c r="H14" s="16"/>
      <c r="I14" s="17"/>
      <c r="J14" s="18"/>
      <c r="K14" s="19">
        <f t="shared" si="0"/>
        <v>0</v>
      </c>
      <c r="L14" s="20"/>
      <c r="N14" s="15">
        <v>10.89</v>
      </c>
    </row>
    <row r="15" spans="1:14" ht="20.25" customHeight="1" thickBot="1" x14ac:dyDescent="0.2">
      <c r="A15" s="56"/>
      <c r="B15" s="21"/>
      <c r="C15" s="59"/>
      <c r="D15" s="22"/>
      <c r="E15" s="23"/>
      <c r="F15" s="23"/>
      <c r="G15" s="24"/>
      <c r="H15" s="24"/>
      <c r="I15" s="25"/>
      <c r="J15" s="46">
        <f>SUM(J8:J14)</f>
        <v>599</v>
      </c>
      <c r="K15" s="47">
        <f>SUM(K8:K14)</f>
        <v>5712.785100000001</v>
      </c>
      <c r="L15" s="26"/>
    </row>
    <row r="16" spans="1:14" ht="20.25" customHeight="1" thickTop="1" x14ac:dyDescent="0.15">
      <c r="A16" s="60" t="s">
        <v>1575</v>
      </c>
      <c r="B16" s="9" t="s">
        <v>173</v>
      </c>
      <c r="C16" s="58" t="s">
        <v>29</v>
      </c>
      <c r="D16" s="11" t="s">
        <v>364</v>
      </c>
      <c r="E16" s="10">
        <v>22</v>
      </c>
      <c r="F16" s="10"/>
      <c r="G16" s="12">
        <v>1967</v>
      </c>
      <c r="H16" s="12">
        <v>1238</v>
      </c>
      <c r="I16" s="17" t="s">
        <v>1188</v>
      </c>
      <c r="J16" s="18">
        <v>12</v>
      </c>
      <c r="K16" s="19">
        <f t="shared" ref="K16:K40" si="1">+M16*N16</f>
        <v>209.08799999999999</v>
      </c>
      <c r="L16" s="54"/>
      <c r="M16" s="3">
        <v>19.2</v>
      </c>
      <c r="N16" s="15">
        <v>10.89</v>
      </c>
    </row>
    <row r="17" spans="1:14" s="15" customFormat="1" ht="20.25" customHeight="1" x14ac:dyDescent="0.15">
      <c r="A17" s="60"/>
      <c r="B17" s="9"/>
      <c r="C17" s="58" t="s">
        <v>29</v>
      </c>
      <c r="D17" s="11" t="s">
        <v>280</v>
      </c>
      <c r="E17" s="10">
        <v>46.76</v>
      </c>
      <c r="F17" s="58" t="s">
        <v>11</v>
      </c>
      <c r="G17" s="12">
        <v>786</v>
      </c>
      <c r="H17" s="12">
        <v>508</v>
      </c>
      <c r="I17" s="17">
        <v>6</v>
      </c>
      <c r="J17" s="18">
        <v>6</v>
      </c>
      <c r="K17" s="19">
        <f t="shared" ref="K17:K25" si="2">+M17*N17</f>
        <v>26.135999999999999</v>
      </c>
      <c r="L17" s="20"/>
      <c r="M17" s="15">
        <v>2.4</v>
      </c>
      <c r="N17" s="15">
        <v>10.89</v>
      </c>
    </row>
    <row r="18" spans="1:14" s="15" customFormat="1" ht="20.25" customHeight="1" x14ac:dyDescent="0.15">
      <c r="A18" s="60" t="s">
        <v>1576</v>
      </c>
      <c r="B18" s="9" t="s">
        <v>173</v>
      </c>
      <c r="C18" s="58" t="s">
        <v>29</v>
      </c>
      <c r="D18" s="11" t="s">
        <v>364</v>
      </c>
      <c r="E18" s="10">
        <v>22</v>
      </c>
      <c r="F18" s="10"/>
      <c r="G18" s="12">
        <v>1665</v>
      </c>
      <c r="H18" s="12">
        <v>1238</v>
      </c>
      <c r="I18" s="17" t="s">
        <v>1188</v>
      </c>
      <c r="J18" s="18">
        <v>12</v>
      </c>
      <c r="K18" s="19">
        <f t="shared" si="2"/>
        <v>184.25880000000004</v>
      </c>
      <c r="L18" s="20"/>
      <c r="M18" s="15">
        <v>16.920000000000002</v>
      </c>
      <c r="N18" s="15">
        <v>10.89</v>
      </c>
    </row>
    <row r="19" spans="1:14" s="15" customFormat="1" ht="20.25" customHeight="1" x14ac:dyDescent="0.15">
      <c r="A19" s="60"/>
      <c r="B19" s="9"/>
      <c r="C19" s="58" t="s">
        <v>29</v>
      </c>
      <c r="D19" s="11" t="s">
        <v>280</v>
      </c>
      <c r="E19" s="10">
        <v>46.76</v>
      </c>
      <c r="F19" s="58" t="s">
        <v>11</v>
      </c>
      <c r="G19" s="12">
        <v>886</v>
      </c>
      <c r="H19" s="12">
        <v>508</v>
      </c>
      <c r="I19" s="17">
        <v>6</v>
      </c>
      <c r="J19" s="18">
        <v>6</v>
      </c>
      <c r="K19" s="19">
        <f t="shared" si="2"/>
        <v>29.403000000000002</v>
      </c>
      <c r="L19" s="20"/>
      <c r="M19" s="15">
        <v>2.7</v>
      </c>
      <c r="N19" s="15">
        <v>10.89</v>
      </c>
    </row>
    <row r="20" spans="1:14" s="15" customFormat="1" ht="20.25" customHeight="1" x14ac:dyDescent="0.15">
      <c r="A20" s="60" t="s">
        <v>1573</v>
      </c>
      <c r="B20" s="9" t="s">
        <v>173</v>
      </c>
      <c r="C20" s="58" t="s">
        <v>29</v>
      </c>
      <c r="D20" s="11" t="s">
        <v>280</v>
      </c>
      <c r="E20" s="10">
        <v>46.76</v>
      </c>
      <c r="F20" s="58" t="s">
        <v>11</v>
      </c>
      <c r="G20" s="12">
        <v>886</v>
      </c>
      <c r="H20" s="12">
        <v>508</v>
      </c>
      <c r="I20" s="17">
        <v>6</v>
      </c>
      <c r="J20" s="18">
        <v>6</v>
      </c>
      <c r="K20" s="19">
        <f t="shared" si="2"/>
        <v>29.403000000000002</v>
      </c>
      <c r="L20" s="20"/>
      <c r="M20" s="15">
        <v>2.7</v>
      </c>
      <c r="N20" s="15">
        <v>10.89</v>
      </c>
    </row>
    <row r="21" spans="1:14" s="15" customFormat="1" ht="20.25" customHeight="1" x14ac:dyDescent="0.15">
      <c r="A21" s="60" t="s">
        <v>1796</v>
      </c>
      <c r="B21" s="9" t="s">
        <v>173</v>
      </c>
      <c r="C21" s="58" t="s">
        <v>29</v>
      </c>
      <c r="D21" s="11" t="s">
        <v>364</v>
      </c>
      <c r="E21" s="10">
        <v>22</v>
      </c>
      <c r="F21" s="10"/>
      <c r="G21" s="12">
        <v>1949</v>
      </c>
      <c r="H21" s="12">
        <v>1957</v>
      </c>
      <c r="I21" s="17" t="s">
        <v>1188</v>
      </c>
      <c r="J21" s="18">
        <v>12</v>
      </c>
      <c r="K21" s="19">
        <f t="shared" si="2"/>
        <v>346.30200000000002</v>
      </c>
      <c r="L21" s="20"/>
      <c r="M21" s="15">
        <v>31.8</v>
      </c>
      <c r="N21" s="15">
        <v>10.89</v>
      </c>
    </row>
    <row r="22" spans="1:14" s="15" customFormat="1" ht="20.25" customHeight="1" x14ac:dyDescent="0.15">
      <c r="A22" s="60" t="s">
        <v>1797</v>
      </c>
      <c r="B22" s="9" t="s">
        <v>173</v>
      </c>
      <c r="C22" s="58" t="s">
        <v>29</v>
      </c>
      <c r="D22" s="11" t="s">
        <v>364</v>
      </c>
      <c r="E22" s="10">
        <v>22</v>
      </c>
      <c r="F22" s="10"/>
      <c r="G22" s="12">
        <v>1949</v>
      </c>
      <c r="H22" s="12">
        <v>1957</v>
      </c>
      <c r="I22" s="17" t="s">
        <v>1188</v>
      </c>
      <c r="J22" s="18">
        <v>12</v>
      </c>
      <c r="K22" s="19">
        <f t="shared" si="2"/>
        <v>346.30200000000002</v>
      </c>
      <c r="L22" s="20"/>
      <c r="M22" s="15">
        <v>31.8</v>
      </c>
      <c r="N22" s="15">
        <v>10.89</v>
      </c>
    </row>
    <row r="23" spans="1:14" s="15" customFormat="1" ht="20.25" customHeight="1" x14ac:dyDescent="0.15">
      <c r="A23" s="60" t="s">
        <v>1587</v>
      </c>
      <c r="B23" s="9" t="s">
        <v>173</v>
      </c>
      <c r="C23" s="58" t="s">
        <v>29</v>
      </c>
      <c r="D23" s="11" t="s">
        <v>364</v>
      </c>
      <c r="E23" s="10">
        <v>22</v>
      </c>
      <c r="F23" s="10"/>
      <c r="G23" s="12">
        <v>1649</v>
      </c>
      <c r="H23" s="12">
        <v>1957</v>
      </c>
      <c r="I23" s="17" t="s">
        <v>1798</v>
      </c>
      <c r="J23" s="18">
        <v>11</v>
      </c>
      <c r="K23" s="19">
        <f t="shared" si="2"/>
        <v>292.17869999999999</v>
      </c>
      <c r="L23" s="20"/>
      <c r="M23" s="15">
        <v>26.83</v>
      </c>
      <c r="N23" s="15">
        <v>10.89</v>
      </c>
    </row>
    <row r="24" spans="1:14" s="15" customFormat="1" ht="20.25" customHeight="1" x14ac:dyDescent="0.15">
      <c r="A24" s="60"/>
      <c r="B24" s="9"/>
      <c r="C24" s="58" t="s">
        <v>29</v>
      </c>
      <c r="D24" s="11" t="s">
        <v>280</v>
      </c>
      <c r="E24" s="10">
        <v>46.76</v>
      </c>
      <c r="F24" s="58" t="s">
        <v>11</v>
      </c>
      <c r="G24" s="12">
        <v>886</v>
      </c>
      <c r="H24" s="12">
        <v>508</v>
      </c>
      <c r="I24" s="17">
        <v>6</v>
      </c>
      <c r="J24" s="18">
        <v>6</v>
      </c>
      <c r="K24" s="19">
        <f t="shared" si="2"/>
        <v>29.403000000000002</v>
      </c>
      <c r="L24" s="20"/>
      <c r="M24" s="15">
        <v>2.7</v>
      </c>
      <c r="N24" s="15">
        <v>10.89</v>
      </c>
    </row>
    <row r="25" spans="1:14" s="15" customFormat="1" ht="20.25" customHeight="1" x14ac:dyDescent="0.15">
      <c r="A25" s="60" t="s">
        <v>1799</v>
      </c>
      <c r="B25" s="9" t="s">
        <v>173</v>
      </c>
      <c r="C25" s="58" t="s">
        <v>29</v>
      </c>
      <c r="D25" s="11" t="s">
        <v>188</v>
      </c>
      <c r="E25" s="10">
        <v>22</v>
      </c>
      <c r="F25" s="58"/>
      <c r="G25" s="50">
        <v>1440</v>
      </c>
      <c r="H25" s="50">
        <v>1238</v>
      </c>
      <c r="I25" s="17" t="s">
        <v>1800</v>
      </c>
      <c r="J25" s="18">
        <v>12</v>
      </c>
      <c r="K25" s="19">
        <f t="shared" si="2"/>
        <v>143.74799999999999</v>
      </c>
      <c r="L25" s="14"/>
      <c r="M25" s="15">
        <v>13.2</v>
      </c>
      <c r="N25" s="15">
        <v>10.89</v>
      </c>
    </row>
    <row r="26" spans="1:14" ht="20.25" customHeight="1" x14ac:dyDescent="0.15">
      <c r="A26" s="60" t="s">
        <v>1801</v>
      </c>
      <c r="B26" s="9" t="s">
        <v>173</v>
      </c>
      <c r="C26" s="58" t="s">
        <v>29</v>
      </c>
      <c r="D26" s="11" t="s">
        <v>188</v>
      </c>
      <c r="E26" s="10">
        <v>22</v>
      </c>
      <c r="F26" s="58"/>
      <c r="G26" s="12">
        <v>1967</v>
      </c>
      <c r="H26" s="12">
        <v>1238</v>
      </c>
      <c r="I26" s="17" t="s">
        <v>1802</v>
      </c>
      <c r="J26" s="18">
        <v>8</v>
      </c>
      <c r="K26" s="19">
        <f t="shared" si="1"/>
        <v>139.39200000000002</v>
      </c>
      <c r="L26" s="54"/>
      <c r="M26" s="3">
        <v>12.8</v>
      </c>
      <c r="N26" s="15">
        <v>10.89</v>
      </c>
    </row>
    <row r="27" spans="1:14" ht="20.25" customHeight="1" x14ac:dyDescent="0.15">
      <c r="A27" s="61" t="s">
        <v>1803</v>
      </c>
      <c r="B27" s="9" t="s">
        <v>173</v>
      </c>
      <c r="C27" s="58" t="s">
        <v>29</v>
      </c>
      <c r="D27" s="11" t="s">
        <v>188</v>
      </c>
      <c r="E27" s="10">
        <v>22</v>
      </c>
      <c r="F27" s="58"/>
      <c r="G27" s="12">
        <v>1665</v>
      </c>
      <c r="H27" s="12">
        <v>1238</v>
      </c>
      <c r="I27" s="17" t="s">
        <v>1802</v>
      </c>
      <c r="J27" s="18">
        <v>8</v>
      </c>
      <c r="K27" s="19">
        <f t="shared" si="1"/>
        <v>122.83920000000001</v>
      </c>
      <c r="L27" s="54"/>
      <c r="M27" s="3">
        <v>11.28</v>
      </c>
      <c r="N27" s="15">
        <v>10.89</v>
      </c>
    </row>
    <row r="28" spans="1:14" ht="20.25" customHeight="1" x14ac:dyDescent="0.15">
      <c r="A28" s="61" t="s">
        <v>1804</v>
      </c>
      <c r="B28" s="9" t="s">
        <v>131</v>
      </c>
      <c r="C28" s="58" t="s">
        <v>29</v>
      </c>
      <c r="D28" s="11" t="s">
        <v>1698</v>
      </c>
      <c r="E28" s="10">
        <v>22</v>
      </c>
      <c r="F28" s="10" t="s">
        <v>11</v>
      </c>
      <c r="G28" s="12">
        <v>764</v>
      </c>
      <c r="H28" s="12">
        <v>933</v>
      </c>
      <c r="I28" s="17" t="s">
        <v>1805</v>
      </c>
      <c r="J28" s="18">
        <v>180</v>
      </c>
      <c r="K28" s="19">
        <f t="shared" si="1"/>
        <v>782.9910000000001</v>
      </c>
      <c r="L28" s="54"/>
      <c r="M28" s="3">
        <v>71.900000000000006</v>
      </c>
      <c r="N28" s="15">
        <v>10.89</v>
      </c>
    </row>
    <row r="29" spans="1:14" ht="20.25" customHeight="1" x14ac:dyDescent="0.15">
      <c r="A29" s="61" t="s">
        <v>1806</v>
      </c>
      <c r="B29" s="9" t="s">
        <v>131</v>
      </c>
      <c r="C29" s="58" t="s">
        <v>29</v>
      </c>
      <c r="D29" s="11" t="s">
        <v>1445</v>
      </c>
      <c r="E29" s="10">
        <v>22</v>
      </c>
      <c r="F29" s="10" t="s">
        <v>11</v>
      </c>
      <c r="G29" s="12">
        <v>1421</v>
      </c>
      <c r="H29" s="12">
        <v>1763</v>
      </c>
      <c r="I29" s="17" t="s">
        <v>1807</v>
      </c>
      <c r="J29" s="18">
        <v>102</v>
      </c>
      <c r="K29" s="19">
        <f t="shared" si="1"/>
        <v>934.36199999999997</v>
      </c>
      <c r="L29" s="54"/>
      <c r="M29" s="3">
        <v>85.8</v>
      </c>
      <c r="N29" s="15">
        <v>10.89</v>
      </c>
    </row>
    <row r="30" spans="1:14" ht="20.25" customHeight="1" x14ac:dyDescent="0.15">
      <c r="A30" s="61"/>
      <c r="B30" s="9"/>
      <c r="C30" s="58" t="s">
        <v>29</v>
      </c>
      <c r="D30" s="11" t="s">
        <v>1698</v>
      </c>
      <c r="E30" s="10">
        <v>22</v>
      </c>
      <c r="F30" s="10" t="s">
        <v>11</v>
      </c>
      <c r="G30" s="12">
        <v>1421</v>
      </c>
      <c r="H30" s="12">
        <v>1763</v>
      </c>
      <c r="I30" s="51" t="s">
        <v>1808</v>
      </c>
      <c r="J30" s="52">
        <v>111</v>
      </c>
      <c r="K30" s="53">
        <f t="shared" si="1"/>
        <v>986.96069999999997</v>
      </c>
      <c r="L30" s="54"/>
      <c r="M30" s="3">
        <v>90.63</v>
      </c>
      <c r="N30" s="15">
        <v>10.89</v>
      </c>
    </row>
    <row r="31" spans="1:14" ht="20.25" customHeight="1" x14ac:dyDescent="0.15">
      <c r="A31" s="61" t="s">
        <v>1809</v>
      </c>
      <c r="B31" s="9" t="s">
        <v>131</v>
      </c>
      <c r="C31" s="58" t="s">
        <v>29</v>
      </c>
      <c r="D31" s="11" t="s">
        <v>1445</v>
      </c>
      <c r="E31" s="10">
        <v>22</v>
      </c>
      <c r="F31" s="10" t="s">
        <v>11</v>
      </c>
      <c r="G31" s="12">
        <v>1421</v>
      </c>
      <c r="H31" s="12">
        <v>1763</v>
      </c>
      <c r="I31" s="51" t="s">
        <v>1810</v>
      </c>
      <c r="J31" s="52">
        <v>96</v>
      </c>
      <c r="K31" s="53">
        <f t="shared" si="1"/>
        <v>795.84120000000007</v>
      </c>
      <c r="L31" s="54"/>
      <c r="M31" s="3">
        <v>73.08</v>
      </c>
      <c r="N31" s="15">
        <v>10.89</v>
      </c>
    </row>
    <row r="32" spans="1:14" ht="20.25" customHeight="1" x14ac:dyDescent="0.15">
      <c r="A32" s="60"/>
      <c r="B32" s="9"/>
      <c r="C32" s="58" t="s">
        <v>29</v>
      </c>
      <c r="D32" s="11" t="s">
        <v>1698</v>
      </c>
      <c r="E32" s="10">
        <v>22</v>
      </c>
      <c r="F32" s="10" t="s">
        <v>11</v>
      </c>
      <c r="G32" s="12">
        <v>1421</v>
      </c>
      <c r="H32" s="12">
        <v>1763</v>
      </c>
      <c r="I32" s="51" t="s">
        <v>1810</v>
      </c>
      <c r="J32" s="52">
        <v>96</v>
      </c>
      <c r="K32" s="19">
        <f t="shared" si="1"/>
        <v>795.84120000000007</v>
      </c>
      <c r="L32" s="27"/>
      <c r="M32" s="3">
        <v>73.08</v>
      </c>
      <c r="N32" s="15">
        <v>10.89</v>
      </c>
    </row>
    <row r="33" spans="1:14" ht="20.25" customHeight="1" x14ac:dyDescent="0.15">
      <c r="A33" s="60" t="s">
        <v>1811</v>
      </c>
      <c r="B33" s="9" t="s">
        <v>44</v>
      </c>
      <c r="C33" s="58" t="s">
        <v>29</v>
      </c>
      <c r="D33" s="11" t="s">
        <v>1779</v>
      </c>
      <c r="E33" s="10">
        <v>43</v>
      </c>
      <c r="F33" s="10" t="s">
        <v>11</v>
      </c>
      <c r="G33" s="12">
        <v>895</v>
      </c>
      <c r="H33" s="12">
        <v>1593</v>
      </c>
      <c r="I33" s="17">
        <v>1</v>
      </c>
      <c r="J33" s="18">
        <v>1</v>
      </c>
      <c r="K33" s="19">
        <f t="shared" si="1"/>
        <v>15.572699999999999</v>
      </c>
      <c r="L33" s="27"/>
      <c r="M33" s="3">
        <v>1.43</v>
      </c>
      <c r="N33" s="15">
        <v>10.89</v>
      </c>
    </row>
    <row r="34" spans="1:14" ht="20.25" customHeight="1" x14ac:dyDescent="0.15">
      <c r="A34" s="60" t="s">
        <v>1812</v>
      </c>
      <c r="B34" s="9" t="s">
        <v>127</v>
      </c>
      <c r="C34" s="58" t="s">
        <v>29</v>
      </c>
      <c r="D34" s="11" t="s">
        <v>1067</v>
      </c>
      <c r="E34" s="10">
        <v>26</v>
      </c>
      <c r="F34" s="10" t="s">
        <v>11</v>
      </c>
      <c r="G34" s="12">
        <v>985</v>
      </c>
      <c r="H34" s="12">
        <v>1385</v>
      </c>
      <c r="I34" s="17">
        <v>1</v>
      </c>
      <c r="J34" s="18">
        <v>1</v>
      </c>
      <c r="K34" s="19">
        <f t="shared" si="1"/>
        <v>14.810400000000001</v>
      </c>
      <c r="L34" s="27"/>
      <c r="M34" s="3">
        <v>1.36</v>
      </c>
      <c r="N34" s="15">
        <v>10.89</v>
      </c>
    </row>
    <row r="35" spans="1:14" ht="20.25" customHeight="1" x14ac:dyDescent="0.15">
      <c r="A35" s="60" t="s">
        <v>1813</v>
      </c>
      <c r="B35" s="9" t="s">
        <v>127</v>
      </c>
      <c r="C35" s="58" t="s">
        <v>29</v>
      </c>
      <c r="D35" s="11" t="s">
        <v>1814</v>
      </c>
      <c r="E35" s="10">
        <v>35.520000000000003</v>
      </c>
      <c r="F35" s="10" t="s">
        <v>11</v>
      </c>
      <c r="G35" s="12">
        <v>1420</v>
      </c>
      <c r="H35" s="12">
        <v>992</v>
      </c>
      <c r="I35" s="17" t="s">
        <v>1815</v>
      </c>
      <c r="J35" s="18">
        <v>3</v>
      </c>
      <c r="K35" s="19">
        <f t="shared" si="1"/>
        <v>41.164200000000001</v>
      </c>
      <c r="L35" s="27"/>
      <c r="M35" s="3">
        <v>3.78</v>
      </c>
      <c r="N35" s="15">
        <v>10.89</v>
      </c>
    </row>
    <row r="36" spans="1:14" ht="20.25" customHeight="1" x14ac:dyDescent="0.15">
      <c r="A36" s="60"/>
      <c r="B36" s="9"/>
      <c r="C36" s="58"/>
      <c r="D36" s="11"/>
      <c r="E36" s="10"/>
      <c r="F36" s="10"/>
      <c r="G36" s="12"/>
      <c r="H36" s="12"/>
      <c r="I36" s="17"/>
      <c r="J36" s="18"/>
      <c r="K36" s="19">
        <f t="shared" si="1"/>
        <v>0</v>
      </c>
      <c r="L36" s="27"/>
      <c r="N36" s="15">
        <v>10.89</v>
      </c>
    </row>
    <row r="37" spans="1:14" ht="20.25" customHeight="1" x14ac:dyDescent="0.15">
      <c r="A37" s="60"/>
      <c r="B37" s="9"/>
      <c r="C37" s="58"/>
      <c r="D37" s="11"/>
      <c r="E37" s="10"/>
      <c r="F37" s="10"/>
      <c r="G37" s="12"/>
      <c r="H37" s="12"/>
      <c r="I37" s="17"/>
      <c r="J37" s="18"/>
      <c r="K37" s="19">
        <f t="shared" si="1"/>
        <v>0</v>
      </c>
      <c r="L37" s="27"/>
      <c r="N37" s="15">
        <v>10.89</v>
      </c>
    </row>
    <row r="38" spans="1:14" ht="20.25" customHeight="1" x14ac:dyDescent="0.15">
      <c r="A38" s="60"/>
      <c r="B38" s="9"/>
      <c r="C38" s="58"/>
      <c r="D38" s="11"/>
      <c r="E38" s="10"/>
      <c r="F38" s="10"/>
      <c r="G38" s="12"/>
      <c r="H38" s="12"/>
      <c r="I38" s="17"/>
      <c r="J38" s="18"/>
      <c r="K38" s="19">
        <f t="shared" si="1"/>
        <v>0</v>
      </c>
      <c r="L38" s="27"/>
      <c r="N38" s="15">
        <v>10.89</v>
      </c>
    </row>
    <row r="39" spans="1:14" ht="20.25" customHeight="1" x14ac:dyDescent="0.15">
      <c r="A39" s="60"/>
      <c r="B39" s="9"/>
      <c r="C39" s="58"/>
      <c r="D39" s="11"/>
      <c r="E39" s="10"/>
      <c r="F39" s="10"/>
      <c r="G39" s="12"/>
      <c r="H39" s="12"/>
      <c r="I39" s="17"/>
      <c r="J39" s="18"/>
      <c r="K39" s="19">
        <f t="shared" si="1"/>
        <v>0</v>
      </c>
      <c r="L39" s="27"/>
      <c r="N39" s="15">
        <v>10.89</v>
      </c>
    </row>
    <row r="40" spans="1:14" ht="20.25" customHeight="1" x14ac:dyDescent="0.15">
      <c r="A40" s="60"/>
      <c r="B40" s="9"/>
      <c r="C40" s="58"/>
      <c r="D40" s="11"/>
      <c r="E40" s="10"/>
      <c r="F40" s="10"/>
      <c r="G40" s="12"/>
      <c r="H40" s="12"/>
      <c r="I40" s="17"/>
      <c r="J40" s="18"/>
      <c r="K40" s="19">
        <f t="shared" si="1"/>
        <v>0</v>
      </c>
      <c r="L40" s="27"/>
      <c r="N40" s="15">
        <v>10.89</v>
      </c>
    </row>
    <row r="41" spans="1:14" ht="20.25" customHeight="1" x14ac:dyDescent="0.15">
      <c r="A41" s="57"/>
      <c r="B41" s="28"/>
      <c r="C41" s="10"/>
      <c r="D41" s="29"/>
      <c r="E41" s="30"/>
      <c r="F41" s="30"/>
      <c r="G41" s="30"/>
      <c r="H41" s="30"/>
      <c r="I41" s="13"/>
      <c r="J41" s="48">
        <f>SUM(J16:J40)</f>
        <v>701</v>
      </c>
      <c r="K41" s="49">
        <f>SUM(K16:K40)</f>
        <v>6265.9970999999996</v>
      </c>
      <c r="L41" s="31"/>
      <c r="N41" s="32"/>
    </row>
    <row r="42" spans="1:14" ht="20.25" customHeight="1" thickBot="1" x14ac:dyDescent="0.2">
      <c r="A42" s="55"/>
      <c r="B42" s="33"/>
      <c r="C42" s="33"/>
      <c r="D42" s="33"/>
      <c r="E42" s="33"/>
      <c r="F42" s="33"/>
      <c r="G42" s="33"/>
      <c r="H42" s="33"/>
      <c r="I42" s="33"/>
      <c r="J42" s="34"/>
      <c r="K42" s="35"/>
      <c r="L42" s="36"/>
    </row>
    <row r="43" spans="1:14" ht="20.25" customHeight="1" thickBot="1" x14ac:dyDescent="0.2">
      <c r="A43" s="37" t="s">
        <v>19</v>
      </c>
      <c r="B43" s="38" t="s">
        <v>20</v>
      </c>
      <c r="C43" s="77" t="s">
        <v>21</v>
      </c>
      <c r="D43" s="79"/>
      <c r="E43" s="77" t="s">
        <v>22</v>
      </c>
      <c r="F43" s="78"/>
      <c r="G43" s="79"/>
      <c r="H43" s="85" t="s">
        <v>23</v>
      </c>
      <c r="I43" s="86"/>
      <c r="J43" s="77" t="s">
        <v>24</v>
      </c>
      <c r="K43" s="79"/>
      <c r="L43" s="39" t="s">
        <v>13</v>
      </c>
    </row>
    <row r="44" spans="1:14" ht="20.25" customHeight="1" thickBot="1" x14ac:dyDescent="0.2">
      <c r="A44" s="40">
        <f>SUMIF($C$8:$C$42,"U1",$J$8:$J$42)</f>
        <v>0</v>
      </c>
      <c r="B44" s="41">
        <f>SUMIF($C$8:$C$42,"U2",$J$8:$J$42)</f>
        <v>0</v>
      </c>
      <c r="C44" s="77">
        <f>SUMIF($C$8:$C$42,"U3-1",$J$8:$J$42)</f>
        <v>0</v>
      </c>
      <c r="D44" s="79"/>
      <c r="E44" s="77">
        <f>SUMIF($C$8:$C$42,"U3",$J$8:$J$42)</f>
        <v>1300</v>
      </c>
      <c r="F44" s="78"/>
      <c r="G44" s="79"/>
      <c r="H44" s="77">
        <f>SUMIF($C$8:$C$42,"E5",$J$8:$J$42)</f>
        <v>0</v>
      </c>
      <c r="I44" s="79"/>
      <c r="J44" s="77">
        <f>SUM(A44:I44)</f>
        <v>1300</v>
      </c>
      <c r="K44" s="79"/>
      <c r="L44" s="42"/>
    </row>
    <row r="45" spans="1:14" ht="20.25" customHeight="1" thickBot="1" x14ac:dyDescent="0.2">
      <c r="A45" s="43" t="s">
        <v>25</v>
      </c>
      <c r="B45" s="44" t="s">
        <v>26</v>
      </c>
      <c r="C45" s="75">
        <v>13876</v>
      </c>
      <c r="D45" s="76"/>
      <c r="E45" s="77" t="s">
        <v>27</v>
      </c>
      <c r="F45" s="78"/>
      <c r="G45" s="78"/>
      <c r="H45" s="78"/>
      <c r="I45" s="79"/>
      <c r="J45" s="80">
        <v>146744.37</v>
      </c>
      <c r="K45" s="81"/>
      <c r="L45" s="82"/>
    </row>
    <row r="47" spans="1:14" x14ac:dyDescent="0.15">
      <c r="D47" s="45"/>
    </row>
  </sheetData>
  <mergeCells count="26">
    <mergeCell ref="C45:D45"/>
    <mergeCell ref="E45:I45"/>
    <mergeCell ref="J45:L45"/>
    <mergeCell ref="L6:L7"/>
    <mergeCell ref="C43:D43"/>
    <mergeCell ref="E43:G43"/>
    <mergeCell ref="H43:I43"/>
    <mergeCell ref="J43:K43"/>
    <mergeCell ref="C44:D44"/>
    <mergeCell ref="E44:G44"/>
    <mergeCell ref="H44:I44"/>
    <mergeCell ref="J44:K44"/>
    <mergeCell ref="B5:G5"/>
    <mergeCell ref="A6:A7"/>
    <mergeCell ref="B6:B7"/>
    <mergeCell ref="C6:C7"/>
    <mergeCell ref="D6:D7"/>
    <mergeCell ref="E6:E7"/>
    <mergeCell ref="F6:F7"/>
    <mergeCell ref="G6:K6"/>
    <mergeCell ref="L2:L4"/>
    <mergeCell ref="A1:G3"/>
    <mergeCell ref="H1:H4"/>
    <mergeCell ref="I2:I4"/>
    <mergeCell ref="J2:J4"/>
    <mergeCell ref="K2:K4"/>
  </mergeCells>
  <phoneticPr fontId="2" type="noConversion"/>
  <printOptions horizontalCentered="1"/>
  <pageMargins left="0.39370078740157483" right="0.39370078740157483" top="0.74803149606299213" bottom="0.19685039370078741" header="0.31496062992125984" footer="0.15748031496062992"/>
  <pageSetup paperSize="9" scale="84" orientation="portrait" r:id="rId1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01939E-76C1-4E6E-9C0C-318C20FE549D}">
  <dimension ref="A1:N47"/>
  <sheetViews>
    <sheetView view="pageBreakPreview" topLeftCell="B10" zoomScaleSheetLayoutView="100" workbookViewId="0">
      <selection activeCell="F29" sqref="F29"/>
    </sheetView>
  </sheetViews>
  <sheetFormatPr defaultColWidth="8.88671875" defaultRowHeight="13.5" x14ac:dyDescent="0.15"/>
  <cols>
    <col min="1" max="1" width="8.44140625" style="3" customWidth="1"/>
    <col min="2" max="2" width="14.77734375" style="3" customWidth="1"/>
    <col min="3" max="3" width="4.109375" style="3" customWidth="1"/>
    <col min="4" max="4" width="15.21875" style="3" customWidth="1"/>
    <col min="5" max="5" width="4.44140625" style="3" customWidth="1"/>
    <col min="6" max="6" width="4" style="3" customWidth="1"/>
    <col min="7" max="7" width="5.5546875" style="3" customWidth="1"/>
    <col min="8" max="8" width="5.44140625" style="3" customWidth="1"/>
    <col min="9" max="9" width="7.88671875" style="3" customWidth="1"/>
    <col min="10" max="10" width="7.109375" style="3" customWidth="1"/>
    <col min="11" max="11" width="7.21875" style="3" customWidth="1"/>
    <col min="12" max="12" width="6.77734375" style="3" customWidth="1"/>
    <col min="13" max="16384" width="8.88671875" style="3"/>
  </cols>
  <sheetData>
    <row r="1" spans="1:14" ht="18.75" customHeight="1" x14ac:dyDescent="0.15">
      <c r="A1" s="101" t="s">
        <v>0</v>
      </c>
      <c r="B1" s="102"/>
      <c r="C1" s="102"/>
      <c r="D1" s="102"/>
      <c r="E1" s="102"/>
      <c r="F1" s="102"/>
      <c r="G1" s="103"/>
      <c r="H1" s="107" t="s">
        <v>1</v>
      </c>
      <c r="I1" s="1" t="s">
        <v>2</v>
      </c>
      <c r="J1" s="1" t="s">
        <v>2</v>
      </c>
      <c r="K1" s="1" t="s">
        <v>3</v>
      </c>
      <c r="L1" s="2" t="s">
        <v>4</v>
      </c>
    </row>
    <row r="2" spans="1:14" ht="13.5" customHeight="1" x14ac:dyDescent="0.15">
      <c r="A2" s="104"/>
      <c r="B2" s="105"/>
      <c r="C2" s="105"/>
      <c r="D2" s="105"/>
      <c r="E2" s="105"/>
      <c r="F2" s="105"/>
      <c r="G2" s="106"/>
      <c r="H2" s="108"/>
      <c r="I2" s="110"/>
      <c r="J2" s="110"/>
      <c r="K2" s="110"/>
      <c r="L2" s="98"/>
    </row>
    <row r="3" spans="1:14" ht="13.5" customHeight="1" x14ac:dyDescent="0.15">
      <c r="A3" s="104"/>
      <c r="B3" s="105"/>
      <c r="C3" s="105"/>
      <c r="D3" s="105"/>
      <c r="E3" s="105"/>
      <c r="F3" s="105"/>
      <c r="G3" s="106"/>
      <c r="H3" s="108"/>
      <c r="I3" s="108"/>
      <c r="J3" s="108"/>
      <c r="K3" s="108"/>
      <c r="L3" s="99"/>
    </row>
    <row r="4" spans="1:14" ht="33" customHeight="1" x14ac:dyDescent="0.15">
      <c r="A4" s="4"/>
      <c r="B4" s="5"/>
      <c r="C4" s="5"/>
      <c r="D4" s="5"/>
      <c r="E4" s="5"/>
      <c r="F4" s="5"/>
      <c r="G4" s="5"/>
      <c r="H4" s="109"/>
      <c r="I4" s="109"/>
      <c r="J4" s="109"/>
      <c r="K4" s="109"/>
      <c r="L4" s="100"/>
    </row>
    <row r="5" spans="1:14" ht="17.25" customHeight="1" x14ac:dyDescent="0.15">
      <c r="A5" s="6" t="s">
        <v>5</v>
      </c>
      <c r="B5" s="87">
        <v>46120</v>
      </c>
      <c r="C5" s="88"/>
      <c r="D5" s="88"/>
      <c r="E5" s="88"/>
      <c r="F5" s="88"/>
      <c r="G5" s="88"/>
      <c r="H5" s="5"/>
      <c r="I5" s="5"/>
      <c r="J5" s="5"/>
      <c r="K5" s="5"/>
      <c r="L5" s="7"/>
    </row>
    <row r="6" spans="1:14" ht="13.5" customHeight="1" x14ac:dyDescent="0.15">
      <c r="A6" s="89" t="s">
        <v>6</v>
      </c>
      <c r="B6" s="91" t="s">
        <v>7</v>
      </c>
      <c r="C6" s="91" t="s">
        <v>8</v>
      </c>
      <c r="D6" s="91" t="s">
        <v>9</v>
      </c>
      <c r="E6" s="93" t="s">
        <v>10</v>
      </c>
      <c r="F6" s="93" t="s">
        <v>11</v>
      </c>
      <c r="G6" s="95" t="s">
        <v>12</v>
      </c>
      <c r="H6" s="96"/>
      <c r="I6" s="96"/>
      <c r="J6" s="96"/>
      <c r="K6" s="97"/>
      <c r="L6" s="83" t="s">
        <v>13</v>
      </c>
    </row>
    <row r="7" spans="1:14" x14ac:dyDescent="0.15">
      <c r="A7" s="90"/>
      <c r="B7" s="92"/>
      <c r="C7" s="92"/>
      <c r="D7" s="92"/>
      <c r="E7" s="94"/>
      <c r="F7" s="94"/>
      <c r="G7" s="8" t="s">
        <v>14</v>
      </c>
      <c r="H7" s="8" t="s">
        <v>15</v>
      </c>
      <c r="I7" s="8" t="s">
        <v>16</v>
      </c>
      <c r="J7" s="8" t="s">
        <v>17</v>
      </c>
      <c r="K7" s="8" t="s">
        <v>18</v>
      </c>
      <c r="L7" s="84"/>
    </row>
    <row r="8" spans="1:14" s="15" customFormat="1" ht="20.25" customHeight="1" x14ac:dyDescent="0.15">
      <c r="A8" s="60" t="s">
        <v>1816</v>
      </c>
      <c r="B8" s="9" t="s">
        <v>148</v>
      </c>
      <c r="C8" s="58" t="s">
        <v>29</v>
      </c>
      <c r="D8" s="11" t="s">
        <v>195</v>
      </c>
      <c r="E8" s="10">
        <v>22</v>
      </c>
      <c r="F8" s="58"/>
      <c r="G8" s="12">
        <v>666</v>
      </c>
      <c r="H8" s="12">
        <v>1890</v>
      </c>
      <c r="I8" s="17" t="s">
        <v>1817</v>
      </c>
      <c r="J8" s="18">
        <v>98</v>
      </c>
      <c r="K8" s="19">
        <f>+M8*N8</f>
        <v>1264.1112000000001</v>
      </c>
      <c r="L8" s="14"/>
      <c r="M8" s="15">
        <v>116.08</v>
      </c>
      <c r="N8" s="15">
        <v>10.89</v>
      </c>
    </row>
    <row r="9" spans="1:14" s="15" customFormat="1" ht="20.25" customHeight="1" x14ac:dyDescent="0.15">
      <c r="A9" s="60" t="s">
        <v>1818</v>
      </c>
      <c r="B9" s="9" t="s">
        <v>183</v>
      </c>
      <c r="C9" s="58" t="s">
        <v>29</v>
      </c>
      <c r="D9" s="11" t="s">
        <v>304</v>
      </c>
      <c r="E9" s="10">
        <v>28</v>
      </c>
      <c r="F9" s="58" t="s">
        <v>11</v>
      </c>
      <c r="G9" s="12">
        <v>1865</v>
      </c>
      <c r="H9" s="12">
        <v>3305</v>
      </c>
      <c r="I9" s="17" t="s">
        <v>1819</v>
      </c>
      <c r="J9" s="18">
        <v>11</v>
      </c>
      <c r="K9" s="19">
        <f t="shared" ref="K9:K23" si="0">+M9*N9</f>
        <v>0</v>
      </c>
      <c r="L9" s="14"/>
      <c r="N9" s="15">
        <v>10.89</v>
      </c>
    </row>
    <row r="10" spans="1:14" s="15" customFormat="1" ht="20.25" customHeight="1" x14ac:dyDescent="0.15">
      <c r="A10" s="60" t="s">
        <v>1820</v>
      </c>
      <c r="B10" s="9" t="s">
        <v>138</v>
      </c>
      <c r="C10" s="58" t="s">
        <v>29</v>
      </c>
      <c r="D10" s="11" t="s">
        <v>372</v>
      </c>
      <c r="E10" s="10">
        <v>24</v>
      </c>
      <c r="F10" s="58"/>
      <c r="G10" s="12">
        <v>775</v>
      </c>
      <c r="H10" s="12">
        <v>1890</v>
      </c>
      <c r="I10" s="17" t="s">
        <v>1822</v>
      </c>
      <c r="J10" s="18">
        <v>80</v>
      </c>
      <c r="K10" s="19">
        <f t="shared" si="0"/>
        <v>887.53500000000008</v>
      </c>
      <c r="L10" s="14"/>
      <c r="M10" s="15">
        <v>81.5</v>
      </c>
      <c r="N10" s="15">
        <v>10.89</v>
      </c>
    </row>
    <row r="11" spans="1:14" s="15" customFormat="1" ht="20.25" customHeight="1" x14ac:dyDescent="0.15">
      <c r="A11" s="60"/>
      <c r="B11" s="9"/>
      <c r="C11" s="58" t="s">
        <v>29</v>
      </c>
      <c r="D11" s="11" t="s">
        <v>1821</v>
      </c>
      <c r="E11" s="10">
        <v>24</v>
      </c>
      <c r="F11" s="58"/>
      <c r="G11" s="12">
        <v>1762</v>
      </c>
      <c r="H11" s="12">
        <v>1890</v>
      </c>
      <c r="I11" s="17" t="s">
        <v>1823</v>
      </c>
      <c r="J11" s="18">
        <v>90</v>
      </c>
      <c r="K11" s="19">
        <f t="shared" si="0"/>
        <v>1250.172</v>
      </c>
      <c r="L11" s="14"/>
      <c r="M11" s="15">
        <v>114.8</v>
      </c>
      <c r="N11" s="15">
        <v>10.89</v>
      </c>
    </row>
    <row r="12" spans="1:14" s="15" customFormat="1" ht="20.25" customHeight="1" x14ac:dyDescent="0.15">
      <c r="A12" s="60"/>
      <c r="B12" s="9"/>
      <c r="C12" s="58" t="s">
        <v>29</v>
      </c>
      <c r="D12" s="11" t="s">
        <v>224</v>
      </c>
      <c r="E12" s="10">
        <v>22</v>
      </c>
      <c r="F12" s="58" t="s">
        <v>11</v>
      </c>
      <c r="G12" s="12">
        <v>618</v>
      </c>
      <c r="H12" s="12">
        <v>1890</v>
      </c>
      <c r="I12" s="17">
        <v>10</v>
      </c>
      <c r="J12" s="18">
        <v>10</v>
      </c>
      <c r="K12" s="19">
        <f t="shared" si="0"/>
        <v>127.413</v>
      </c>
      <c r="L12" s="14"/>
      <c r="M12" s="15">
        <v>11.7</v>
      </c>
      <c r="N12" s="15">
        <v>10.89</v>
      </c>
    </row>
    <row r="13" spans="1:14" s="15" customFormat="1" ht="20.25" customHeight="1" x14ac:dyDescent="0.15">
      <c r="A13" s="60" t="s">
        <v>1824</v>
      </c>
      <c r="B13" s="9" t="s">
        <v>1377</v>
      </c>
      <c r="C13" s="58" t="s">
        <v>29</v>
      </c>
      <c r="D13" s="11" t="s">
        <v>1825</v>
      </c>
      <c r="E13" s="10">
        <v>24</v>
      </c>
      <c r="F13" s="58" t="s">
        <v>11</v>
      </c>
      <c r="G13" s="12">
        <v>820</v>
      </c>
      <c r="H13" s="12">
        <v>1975</v>
      </c>
      <c r="I13" s="17" t="s">
        <v>1827</v>
      </c>
      <c r="J13" s="18">
        <v>33</v>
      </c>
      <c r="K13" s="19">
        <f t="shared" si="0"/>
        <v>247.85640000000004</v>
      </c>
      <c r="L13" s="14"/>
      <c r="M13" s="15">
        <v>22.76</v>
      </c>
      <c r="N13" s="15">
        <v>10.89</v>
      </c>
    </row>
    <row r="14" spans="1:14" s="15" customFormat="1" ht="20.25" customHeight="1" x14ac:dyDescent="0.15">
      <c r="A14" s="60"/>
      <c r="B14" s="9"/>
      <c r="C14" s="58" t="s">
        <v>29</v>
      </c>
      <c r="D14" s="11" t="s">
        <v>1826</v>
      </c>
      <c r="E14" s="10">
        <v>24</v>
      </c>
      <c r="F14" s="58" t="s">
        <v>11</v>
      </c>
      <c r="G14" s="12">
        <v>794</v>
      </c>
      <c r="H14" s="12">
        <v>1324</v>
      </c>
      <c r="I14" s="17" t="s">
        <v>1828</v>
      </c>
      <c r="J14" s="18">
        <v>30</v>
      </c>
      <c r="K14" s="19">
        <f t="shared" si="0"/>
        <v>199.50480000000002</v>
      </c>
      <c r="L14" s="20"/>
      <c r="M14" s="15">
        <v>18.32</v>
      </c>
      <c r="N14" s="15">
        <v>10.89</v>
      </c>
    </row>
    <row r="15" spans="1:14" s="15" customFormat="1" ht="20.25" customHeight="1" x14ac:dyDescent="0.15">
      <c r="A15" s="60" t="s">
        <v>1829</v>
      </c>
      <c r="B15" s="9" t="s">
        <v>104</v>
      </c>
      <c r="C15" s="58" t="s">
        <v>29</v>
      </c>
      <c r="D15" s="11" t="s">
        <v>224</v>
      </c>
      <c r="E15" s="10">
        <v>22</v>
      </c>
      <c r="F15" s="58" t="s">
        <v>11</v>
      </c>
      <c r="G15" s="12">
        <v>1532</v>
      </c>
      <c r="H15" s="12">
        <v>1770</v>
      </c>
      <c r="I15" s="17" t="s">
        <v>1830</v>
      </c>
      <c r="J15" s="18">
        <v>3</v>
      </c>
      <c r="K15" s="19">
        <f t="shared" si="0"/>
        <v>45.193500000000007</v>
      </c>
      <c r="L15" s="20"/>
      <c r="M15" s="15">
        <v>4.1500000000000004</v>
      </c>
      <c r="N15" s="15">
        <v>10.89</v>
      </c>
    </row>
    <row r="16" spans="1:14" s="15" customFormat="1" ht="20.25" customHeight="1" x14ac:dyDescent="0.15">
      <c r="A16" s="60"/>
      <c r="B16" s="9"/>
      <c r="C16" s="58" t="s">
        <v>29</v>
      </c>
      <c r="D16" s="11" t="s">
        <v>217</v>
      </c>
      <c r="E16" s="10">
        <v>22</v>
      </c>
      <c r="F16" s="58" t="s">
        <v>11</v>
      </c>
      <c r="G16" s="12">
        <v>1532</v>
      </c>
      <c r="H16" s="12">
        <v>1770</v>
      </c>
      <c r="I16" s="17" t="s">
        <v>1831</v>
      </c>
      <c r="J16" s="18">
        <v>6</v>
      </c>
      <c r="K16" s="19">
        <f t="shared" si="0"/>
        <v>74.596500000000006</v>
      </c>
      <c r="L16" s="20"/>
      <c r="M16" s="15">
        <v>6.85</v>
      </c>
      <c r="N16" s="15">
        <v>10.89</v>
      </c>
    </row>
    <row r="17" spans="1:14" s="15" customFormat="1" ht="20.25" customHeight="1" x14ac:dyDescent="0.15">
      <c r="A17" s="60" t="s">
        <v>1832</v>
      </c>
      <c r="B17" s="9" t="s">
        <v>1144</v>
      </c>
      <c r="C17" s="58" t="s">
        <v>29</v>
      </c>
      <c r="D17" s="11" t="s">
        <v>1145</v>
      </c>
      <c r="E17" s="10">
        <v>26</v>
      </c>
      <c r="F17" s="58" t="s">
        <v>11</v>
      </c>
      <c r="G17" s="12">
        <v>400</v>
      </c>
      <c r="H17" s="12">
        <v>2605</v>
      </c>
      <c r="I17" s="17" t="s">
        <v>1833</v>
      </c>
      <c r="J17" s="18">
        <v>14</v>
      </c>
      <c r="K17" s="19">
        <f t="shared" si="0"/>
        <v>153.65790000000001</v>
      </c>
      <c r="L17" s="20"/>
      <c r="M17" s="15">
        <v>14.11</v>
      </c>
      <c r="N17" s="15">
        <v>10.89</v>
      </c>
    </row>
    <row r="18" spans="1:14" s="15" customFormat="1" ht="20.25" customHeight="1" x14ac:dyDescent="0.15">
      <c r="A18" s="60"/>
      <c r="B18" s="9"/>
      <c r="C18" s="58"/>
      <c r="D18" s="11"/>
      <c r="E18" s="10"/>
      <c r="F18" s="58"/>
      <c r="G18" s="12"/>
      <c r="H18" s="12"/>
      <c r="I18" s="17"/>
      <c r="J18" s="18"/>
      <c r="K18" s="19">
        <f t="shared" si="0"/>
        <v>0</v>
      </c>
      <c r="L18" s="20"/>
      <c r="N18" s="15">
        <v>10.89</v>
      </c>
    </row>
    <row r="19" spans="1:14" s="15" customFormat="1" ht="20.25" customHeight="1" x14ac:dyDescent="0.15">
      <c r="A19" s="60"/>
      <c r="B19" s="9"/>
      <c r="C19" s="58"/>
      <c r="D19" s="11"/>
      <c r="E19" s="10"/>
      <c r="F19" s="58"/>
      <c r="G19" s="12"/>
      <c r="H19" s="12"/>
      <c r="I19" s="17"/>
      <c r="J19" s="18"/>
      <c r="K19" s="19">
        <f t="shared" si="0"/>
        <v>0</v>
      </c>
      <c r="L19" s="20"/>
      <c r="N19" s="15">
        <v>10.89</v>
      </c>
    </row>
    <row r="20" spans="1:14" s="15" customFormat="1" ht="20.25" customHeight="1" x14ac:dyDescent="0.15">
      <c r="A20" s="60"/>
      <c r="B20" s="9"/>
      <c r="C20" s="58"/>
      <c r="D20" s="11"/>
      <c r="E20" s="10"/>
      <c r="F20" s="58"/>
      <c r="G20" s="12"/>
      <c r="H20" s="12"/>
      <c r="I20" s="17"/>
      <c r="J20" s="18"/>
      <c r="K20" s="19">
        <f t="shared" si="0"/>
        <v>0</v>
      </c>
      <c r="L20" s="20"/>
      <c r="N20" s="15">
        <v>10.89</v>
      </c>
    </row>
    <row r="21" spans="1:14" s="15" customFormat="1" ht="20.25" customHeight="1" x14ac:dyDescent="0.15">
      <c r="A21" s="60"/>
      <c r="B21" s="9"/>
      <c r="C21" s="58"/>
      <c r="D21" s="11"/>
      <c r="E21" s="10"/>
      <c r="F21" s="58"/>
      <c r="G21" s="50"/>
      <c r="H21" s="50"/>
      <c r="I21" s="17"/>
      <c r="J21" s="18"/>
      <c r="K21" s="19">
        <f t="shared" si="0"/>
        <v>0</v>
      </c>
      <c r="L21" s="20"/>
      <c r="N21" s="15">
        <v>10.89</v>
      </c>
    </row>
    <row r="22" spans="1:14" s="15" customFormat="1" ht="20.25" customHeight="1" x14ac:dyDescent="0.15">
      <c r="A22" s="60"/>
      <c r="B22" s="9"/>
      <c r="C22" s="58"/>
      <c r="D22" s="11"/>
      <c r="E22" s="10"/>
      <c r="F22" s="58"/>
      <c r="G22" s="50"/>
      <c r="H22" s="50"/>
      <c r="I22" s="17"/>
      <c r="J22" s="18"/>
      <c r="K22" s="19">
        <f t="shared" si="0"/>
        <v>0</v>
      </c>
      <c r="L22" s="20"/>
      <c r="N22" s="15">
        <v>10.89</v>
      </c>
    </row>
    <row r="23" spans="1:14" ht="20.25" customHeight="1" x14ac:dyDescent="0.15">
      <c r="A23" s="60"/>
      <c r="B23" s="9"/>
      <c r="C23" s="58"/>
      <c r="D23" s="11"/>
      <c r="E23" s="10"/>
      <c r="F23" s="58"/>
      <c r="G23" s="16"/>
      <c r="H23" s="16"/>
      <c r="I23" s="17"/>
      <c r="J23" s="18"/>
      <c r="K23" s="19">
        <f t="shared" si="0"/>
        <v>0</v>
      </c>
      <c r="L23" s="20"/>
      <c r="N23" s="15">
        <v>10.89</v>
      </c>
    </row>
    <row r="24" spans="1:14" ht="20.25" customHeight="1" thickBot="1" x14ac:dyDescent="0.2">
      <c r="A24" s="56"/>
      <c r="B24" s="21"/>
      <c r="C24" s="59"/>
      <c r="D24" s="22"/>
      <c r="E24" s="23"/>
      <c r="F24" s="23"/>
      <c r="G24" s="24"/>
      <c r="H24" s="24"/>
      <c r="I24" s="25"/>
      <c r="J24" s="46">
        <f>SUM(J8:J23)</f>
        <v>375</v>
      </c>
      <c r="K24" s="47">
        <f>SUM(K8:K23)</f>
        <v>4250.0403000000006</v>
      </c>
      <c r="L24" s="26"/>
    </row>
    <row r="25" spans="1:14" ht="20.25" customHeight="1" thickTop="1" x14ac:dyDescent="0.15">
      <c r="A25" s="60" t="s">
        <v>1834</v>
      </c>
      <c r="B25" s="9" t="s">
        <v>173</v>
      </c>
      <c r="C25" s="58" t="s">
        <v>29</v>
      </c>
      <c r="D25" s="11" t="s">
        <v>279</v>
      </c>
      <c r="E25" s="10">
        <v>25.76</v>
      </c>
      <c r="F25" s="10"/>
      <c r="G25" s="12">
        <v>1445</v>
      </c>
      <c r="H25" s="12">
        <v>690</v>
      </c>
      <c r="I25" s="17" t="s">
        <v>1835</v>
      </c>
      <c r="J25" s="18">
        <v>36</v>
      </c>
      <c r="K25" s="19">
        <f t="shared" ref="K25:K40" si="1">+M25*N25</f>
        <v>227.38319999999999</v>
      </c>
      <c r="L25" s="54"/>
      <c r="M25" s="3">
        <v>20.88</v>
      </c>
      <c r="N25" s="15">
        <v>10.89</v>
      </c>
    </row>
    <row r="26" spans="1:14" ht="20.25" customHeight="1" x14ac:dyDescent="0.15">
      <c r="A26" s="60" t="s">
        <v>1836</v>
      </c>
      <c r="B26" s="9" t="s">
        <v>173</v>
      </c>
      <c r="C26" s="58" t="s">
        <v>29</v>
      </c>
      <c r="D26" s="11" t="s">
        <v>188</v>
      </c>
      <c r="E26" s="10">
        <v>22</v>
      </c>
      <c r="F26" s="10"/>
      <c r="G26" s="12">
        <v>1440</v>
      </c>
      <c r="H26" s="12">
        <v>1238</v>
      </c>
      <c r="I26" s="17" t="s">
        <v>1837</v>
      </c>
      <c r="J26" s="18">
        <v>21</v>
      </c>
      <c r="K26" s="19">
        <f t="shared" si="1"/>
        <v>262.66680000000002</v>
      </c>
      <c r="L26" s="54"/>
      <c r="M26" s="3">
        <v>24.12</v>
      </c>
      <c r="N26" s="15">
        <v>10.89</v>
      </c>
    </row>
    <row r="27" spans="1:14" ht="20.25" customHeight="1" x14ac:dyDescent="0.15">
      <c r="A27" s="61" t="s">
        <v>1838</v>
      </c>
      <c r="B27" s="9" t="s">
        <v>1259</v>
      </c>
      <c r="C27" s="58" t="s">
        <v>29</v>
      </c>
      <c r="D27" s="11" t="s">
        <v>684</v>
      </c>
      <c r="E27" s="10">
        <v>22</v>
      </c>
      <c r="F27" s="10"/>
      <c r="G27" s="12">
        <v>1545</v>
      </c>
      <c r="H27" s="12">
        <v>1973</v>
      </c>
      <c r="I27" s="17" t="s">
        <v>1839</v>
      </c>
      <c r="J27" s="18">
        <v>264</v>
      </c>
      <c r="K27" s="19">
        <f t="shared" si="1"/>
        <v>6334.0596000000005</v>
      </c>
      <c r="L27" s="54"/>
      <c r="M27" s="3">
        <v>581.64</v>
      </c>
      <c r="N27" s="15">
        <v>10.89</v>
      </c>
    </row>
    <row r="28" spans="1:14" ht="20.25" customHeight="1" x14ac:dyDescent="0.15">
      <c r="A28" s="61" t="s">
        <v>1840</v>
      </c>
      <c r="B28" s="9" t="s">
        <v>684</v>
      </c>
      <c r="C28" s="58" t="s">
        <v>29</v>
      </c>
      <c r="D28" s="11" t="s">
        <v>1759</v>
      </c>
      <c r="E28" s="10">
        <v>24</v>
      </c>
      <c r="F28" s="10" t="s">
        <v>11</v>
      </c>
      <c r="G28" s="12">
        <v>1992</v>
      </c>
      <c r="H28" s="12">
        <v>447</v>
      </c>
      <c r="I28" s="17" t="s">
        <v>1841</v>
      </c>
      <c r="J28" s="18">
        <v>3</v>
      </c>
      <c r="K28" s="19">
        <f t="shared" si="1"/>
        <v>34.085700000000003</v>
      </c>
      <c r="L28" s="54"/>
      <c r="M28" s="3">
        <v>3.13</v>
      </c>
      <c r="N28" s="15">
        <v>10.89</v>
      </c>
    </row>
    <row r="29" spans="1:14" ht="20.25" customHeight="1" x14ac:dyDescent="0.15">
      <c r="A29" s="61" t="s">
        <v>1842</v>
      </c>
      <c r="B29" s="9" t="s">
        <v>1844</v>
      </c>
      <c r="C29" s="58" t="s">
        <v>273</v>
      </c>
      <c r="D29" s="11" t="s">
        <v>1845</v>
      </c>
      <c r="E29" s="10">
        <v>18</v>
      </c>
      <c r="F29" s="10"/>
      <c r="G29" s="12">
        <v>920</v>
      </c>
      <c r="H29" s="12">
        <v>1380</v>
      </c>
      <c r="I29" s="17" t="s">
        <v>1846</v>
      </c>
      <c r="J29" s="18">
        <v>2</v>
      </c>
      <c r="K29" s="19">
        <f t="shared" si="1"/>
        <v>23.6313</v>
      </c>
      <c r="L29" s="54"/>
      <c r="M29" s="3">
        <v>2.17</v>
      </c>
      <c r="N29" s="15">
        <v>10.89</v>
      </c>
    </row>
    <row r="30" spans="1:14" ht="20.25" customHeight="1" x14ac:dyDescent="0.15">
      <c r="A30" s="61"/>
      <c r="B30" s="9"/>
      <c r="C30" s="58"/>
      <c r="D30" s="11"/>
      <c r="E30" s="10"/>
      <c r="F30" s="10"/>
      <c r="G30" s="12"/>
      <c r="H30" s="12"/>
      <c r="I30" s="51"/>
      <c r="J30" s="52"/>
      <c r="K30" s="53">
        <f t="shared" si="1"/>
        <v>0</v>
      </c>
      <c r="L30" s="54"/>
      <c r="N30" s="15">
        <v>10.89</v>
      </c>
    </row>
    <row r="31" spans="1:14" ht="20.25" customHeight="1" x14ac:dyDescent="0.15">
      <c r="A31" s="61"/>
      <c r="B31" s="9"/>
      <c r="C31" s="58"/>
      <c r="D31" s="11"/>
      <c r="E31" s="10"/>
      <c r="F31" s="10"/>
      <c r="G31" s="12"/>
      <c r="H31" s="12"/>
      <c r="I31" s="51"/>
      <c r="J31" s="52"/>
      <c r="K31" s="53">
        <f t="shared" si="1"/>
        <v>0</v>
      </c>
      <c r="L31" s="54"/>
      <c r="N31" s="15">
        <v>10.89</v>
      </c>
    </row>
    <row r="32" spans="1:14" ht="20.25" customHeight="1" x14ac:dyDescent="0.15">
      <c r="A32" s="60"/>
      <c r="B32" s="9"/>
      <c r="C32" s="58"/>
      <c r="D32" s="11"/>
      <c r="E32" s="10"/>
      <c r="F32" s="10"/>
      <c r="G32" s="12"/>
      <c r="H32" s="12"/>
      <c r="I32" s="17"/>
      <c r="J32" s="18"/>
      <c r="K32" s="19">
        <f t="shared" si="1"/>
        <v>0</v>
      </c>
      <c r="L32" s="27"/>
      <c r="N32" s="15">
        <v>10.89</v>
      </c>
    </row>
    <row r="33" spans="1:14" ht="20.25" customHeight="1" x14ac:dyDescent="0.15">
      <c r="A33" s="60"/>
      <c r="B33" s="9"/>
      <c r="C33" s="58"/>
      <c r="D33" s="11"/>
      <c r="E33" s="10"/>
      <c r="F33" s="10"/>
      <c r="G33" s="12"/>
      <c r="H33" s="12"/>
      <c r="I33" s="17"/>
      <c r="J33" s="18"/>
      <c r="K33" s="19">
        <f t="shared" si="1"/>
        <v>0</v>
      </c>
      <c r="L33" s="27"/>
      <c r="N33" s="15">
        <v>10.89</v>
      </c>
    </row>
    <row r="34" spans="1:14" ht="20.25" customHeight="1" x14ac:dyDescent="0.15">
      <c r="A34" s="60"/>
      <c r="B34" s="9"/>
      <c r="C34" s="58"/>
      <c r="D34" s="11"/>
      <c r="E34" s="10"/>
      <c r="F34" s="10"/>
      <c r="G34" s="12"/>
      <c r="H34" s="12"/>
      <c r="I34" s="17"/>
      <c r="J34" s="18"/>
      <c r="K34" s="19">
        <f t="shared" si="1"/>
        <v>0</v>
      </c>
      <c r="L34" s="27"/>
      <c r="N34" s="15">
        <v>10.89</v>
      </c>
    </row>
    <row r="35" spans="1:14" ht="20.25" customHeight="1" x14ac:dyDescent="0.15">
      <c r="A35" s="60"/>
      <c r="B35" s="9"/>
      <c r="C35" s="58"/>
      <c r="D35" s="11"/>
      <c r="E35" s="10"/>
      <c r="F35" s="10"/>
      <c r="G35" s="12"/>
      <c r="H35" s="12"/>
      <c r="I35" s="17"/>
      <c r="J35" s="18"/>
      <c r="K35" s="19">
        <f t="shared" si="1"/>
        <v>0</v>
      </c>
      <c r="L35" s="27"/>
      <c r="N35" s="15">
        <v>10.89</v>
      </c>
    </row>
    <row r="36" spans="1:14" ht="20.25" customHeight="1" x14ac:dyDescent="0.15">
      <c r="A36" s="60"/>
      <c r="B36" s="9"/>
      <c r="C36" s="58"/>
      <c r="D36" s="11"/>
      <c r="E36" s="10"/>
      <c r="F36" s="10"/>
      <c r="G36" s="12"/>
      <c r="H36" s="12"/>
      <c r="I36" s="17"/>
      <c r="J36" s="18"/>
      <c r="K36" s="19">
        <f t="shared" si="1"/>
        <v>0</v>
      </c>
      <c r="L36" s="27"/>
      <c r="N36" s="15">
        <v>10.89</v>
      </c>
    </row>
    <row r="37" spans="1:14" ht="20.25" customHeight="1" x14ac:dyDescent="0.15">
      <c r="A37" s="60"/>
      <c r="B37" s="9"/>
      <c r="C37" s="58"/>
      <c r="D37" s="11"/>
      <c r="E37" s="10"/>
      <c r="F37" s="10"/>
      <c r="G37" s="12"/>
      <c r="H37" s="12"/>
      <c r="I37" s="17"/>
      <c r="J37" s="18"/>
      <c r="K37" s="19">
        <f t="shared" si="1"/>
        <v>0</v>
      </c>
      <c r="L37" s="27"/>
      <c r="N37" s="15">
        <v>10.89</v>
      </c>
    </row>
    <row r="38" spans="1:14" ht="20.25" customHeight="1" x14ac:dyDescent="0.15">
      <c r="A38" s="60"/>
      <c r="B38" s="9"/>
      <c r="C38" s="58"/>
      <c r="D38" s="11"/>
      <c r="E38" s="10"/>
      <c r="F38" s="10"/>
      <c r="G38" s="12"/>
      <c r="H38" s="12"/>
      <c r="I38" s="17"/>
      <c r="J38" s="18"/>
      <c r="K38" s="19">
        <f t="shared" si="1"/>
        <v>0</v>
      </c>
      <c r="L38" s="27"/>
      <c r="N38" s="15">
        <v>10.89</v>
      </c>
    </row>
    <row r="39" spans="1:14" ht="20.25" customHeight="1" x14ac:dyDescent="0.15">
      <c r="A39" s="60"/>
      <c r="B39" s="9"/>
      <c r="C39" s="58"/>
      <c r="D39" s="11"/>
      <c r="E39" s="10"/>
      <c r="F39" s="10"/>
      <c r="G39" s="12"/>
      <c r="H39" s="12"/>
      <c r="I39" s="17"/>
      <c r="J39" s="18"/>
      <c r="K39" s="19">
        <f t="shared" si="1"/>
        <v>0</v>
      </c>
      <c r="L39" s="27"/>
      <c r="N39" s="15">
        <v>10.89</v>
      </c>
    </row>
    <row r="40" spans="1:14" ht="20.25" customHeight="1" x14ac:dyDescent="0.15">
      <c r="A40" s="60"/>
      <c r="B40" s="9"/>
      <c r="C40" s="58"/>
      <c r="D40" s="11"/>
      <c r="E40" s="10"/>
      <c r="F40" s="10"/>
      <c r="G40" s="12"/>
      <c r="H40" s="12"/>
      <c r="I40" s="17"/>
      <c r="J40" s="18"/>
      <c r="K40" s="19">
        <f t="shared" si="1"/>
        <v>0</v>
      </c>
      <c r="L40" s="27"/>
      <c r="N40" s="15">
        <v>10.89</v>
      </c>
    </row>
    <row r="41" spans="1:14" ht="20.25" customHeight="1" x14ac:dyDescent="0.15">
      <c r="A41" s="57"/>
      <c r="B41" s="28"/>
      <c r="C41" s="10"/>
      <c r="D41" s="29"/>
      <c r="E41" s="30"/>
      <c r="F41" s="30"/>
      <c r="G41" s="30"/>
      <c r="H41" s="30"/>
      <c r="I41" s="13"/>
      <c r="J41" s="48">
        <f>SUM(J25:J40)</f>
        <v>326</v>
      </c>
      <c r="K41" s="49">
        <f>SUM(K25:K40)</f>
        <v>6881.8266000000003</v>
      </c>
      <c r="L41" s="31"/>
      <c r="N41" s="32"/>
    </row>
    <row r="42" spans="1:14" ht="20.25" customHeight="1" thickBot="1" x14ac:dyDescent="0.2">
      <c r="A42" s="55"/>
      <c r="B42" s="33"/>
      <c r="C42" s="33"/>
      <c r="D42" s="33"/>
      <c r="E42" s="33"/>
      <c r="F42" s="33"/>
      <c r="G42" s="33"/>
      <c r="H42" s="33"/>
      <c r="I42" s="33"/>
      <c r="J42" s="34"/>
      <c r="K42" s="35"/>
      <c r="L42" s="36"/>
    </row>
    <row r="43" spans="1:14" ht="20.25" customHeight="1" thickBot="1" x14ac:dyDescent="0.2">
      <c r="A43" s="37" t="s">
        <v>19</v>
      </c>
      <c r="B43" s="38" t="s">
        <v>20</v>
      </c>
      <c r="C43" s="77" t="s">
        <v>21</v>
      </c>
      <c r="D43" s="79"/>
      <c r="E43" s="77" t="s">
        <v>22</v>
      </c>
      <c r="F43" s="78"/>
      <c r="G43" s="79"/>
      <c r="H43" s="85" t="s">
        <v>23</v>
      </c>
      <c r="I43" s="86"/>
      <c r="J43" s="77" t="s">
        <v>24</v>
      </c>
      <c r="K43" s="79"/>
      <c r="L43" s="39" t="s">
        <v>13</v>
      </c>
    </row>
    <row r="44" spans="1:14" ht="20.25" customHeight="1" thickBot="1" x14ac:dyDescent="0.2">
      <c r="A44" s="40">
        <f>SUMIF($C$8:$C$42,"U1",$J$8:$J$42)</f>
        <v>2</v>
      </c>
      <c r="B44" s="41">
        <f>SUMIF($C$8:$C$42,"U2",$J$8:$J$42)</f>
        <v>0</v>
      </c>
      <c r="C44" s="77">
        <f>SUMIF($C$8:$C$42,"U3-1",$J$8:$J$42)</f>
        <v>0</v>
      </c>
      <c r="D44" s="79"/>
      <c r="E44" s="77">
        <f>SUMIF($C$8:$C$42,"U3",$J$8:$J$42)</f>
        <v>699</v>
      </c>
      <c r="F44" s="78"/>
      <c r="G44" s="79"/>
      <c r="H44" s="77">
        <f>SUMIF($C$8:$C$42,"E5",$J$8:$J$42)</f>
        <v>0</v>
      </c>
      <c r="I44" s="79"/>
      <c r="J44" s="77">
        <f>SUM(A44:I44)</f>
        <v>701</v>
      </c>
      <c r="K44" s="79"/>
      <c r="L44" s="42"/>
    </row>
    <row r="45" spans="1:14" ht="20.25" customHeight="1" thickBot="1" x14ac:dyDescent="0.2">
      <c r="A45" s="43" t="s">
        <v>25</v>
      </c>
      <c r="B45" s="44" t="s">
        <v>26</v>
      </c>
      <c r="C45" s="75">
        <v>13876</v>
      </c>
      <c r="D45" s="76"/>
      <c r="E45" s="77" t="s">
        <v>27</v>
      </c>
      <c r="F45" s="78"/>
      <c r="G45" s="78"/>
      <c r="H45" s="78"/>
      <c r="I45" s="79"/>
      <c r="J45" s="80">
        <v>146744.37</v>
      </c>
      <c r="K45" s="81"/>
      <c r="L45" s="82"/>
    </row>
    <row r="47" spans="1:14" x14ac:dyDescent="0.15">
      <c r="D47" s="45"/>
    </row>
  </sheetData>
  <mergeCells count="26">
    <mergeCell ref="C45:D45"/>
    <mergeCell ref="E45:I45"/>
    <mergeCell ref="J45:L45"/>
    <mergeCell ref="L6:L7"/>
    <mergeCell ref="C43:D43"/>
    <mergeCell ref="E43:G43"/>
    <mergeCell ref="H43:I43"/>
    <mergeCell ref="J43:K43"/>
    <mergeCell ref="C44:D44"/>
    <mergeCell ref="E44:G44"/>
    <mergeCell ref="H44:I44"/>
    <mergeCell ref="J44:K44"/>
    <mergeCell ref="B5:G5"/>
    <mergeCell ref="A6:A7"/>
    <mergeCell ref="B6:B7"/>
    <mergeCell ref="C6:C7"/>
    <mergeCell ref="D6:D7"/>
    <mergeCell ref="E6:E7"/>
    <mergeCell ref="F6:F7"/>
    <mergeCell ref="G6:K6"/>
    <mergeCell ref="L2:L4"/>
    <mergeCell ref="A1:G3"/>
    <mergeCell ref="H1:H4"/>
    <mergeCell ref="I2:I4"/>
    <mergeCell ref="J2:J4"/>
    <mergeCell ref="K2:K4"/>
  </mergeCells>
  <phoneticPr fontId="2" type="noConversion"/>
  <printOptions horizontalCentered="1"/>
  <pageMargins left="0.39370078740157483" right="0.39370078740157483" top="0.74803149606299213" bottom="0.19685039370078741" header="0.31496062992125984" footer="0.15748031496062992"/>
  <pageSetup paperSize="9" scale="84" orientation="portrait" r:id="rId1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F8D7E4-D59E-45AE-8066-2CABFF6A83C7}">
  <dimension ref="A1:N47"/>
  <sheetViews>
    <sheetView view="pageBreakPreview" zoomScaleSheetLayoutView="100" workbookViewId="0">
      <selection activeCell="B12" sqref="B12:F14"/>
    </sheetView>
  </sheetViews>
  <sheetFormatPr defaultColWidth="8.88671875" defaultRowHeight="13.5" x14ac:dyDescent="0.15"/>
  <cols>
    <col min="1" max="1" width="8.44140625" style="3" customWidth="1"/>
    <col min="2" max="2" width="14.77734375" style="3" customWidth="1"/>
    <col min="3" max="3" width="4.109375" style="3" customWidth="1"/>
    <col min="4" max="4" width="15.21875" style="3" customWidth="1"/>
    <col min="5" max="5" width="4.44140625" style="3" customWidth="1"/>
    <col min="6" max="6" width="4" style="3" customWidth="1"/>
    <col min="7" max="7" width="5.5546875" style="3" customWidth="1"/>
    <col min="8" max="8" width="5.44140625" style="3" customWidth="1"/>
    <col min="9" max="9" width="7.88671875" style="3" customWidth="1"/>
    <col min="10" max="10" width="7.109375" style="3" customWidth="1"/>
    <col min="11" max="11" width="7.21875" style="3" customWidth="1"/>
    <col min="12" max="12" width="6.77734375" style="3" customWidth="1"/>
    <col min="13" max="16384" width="8.88671875" style="3"/>
  </cols>
  <sheetData>
    <row r="1" spans="1:14" ht="18.75" customHeight="1" x14ac:dyDescent="0.15">
      <c r="A1" s="101" t="s">
        <v>0</v>
      </c>
      <c r="B1" s="102"/>
      <c r="C1" s="102"/>
      <c r="D1" s="102"/>
      <c r="E1" s="102"/>
      <c r="F1" s="102"/>
      <c r="G1" s="103"/>
      <c r="H1" s="107" t="s">
        <v>1</v>
      </c>
      <c r="I1" s="1" t="s">
        <v>2</v>
      </c>
      <c r="J1" s="1" t="s">
        <v>2</v>
      </c>
      <c r="K1" s="1" t="s">
        <v>3</v>
      </c>
      <c r="L1" s="2" t="s">
        <v>4</v>
      </c>
    </row>
    <row r="2" spans="1:14" ht="13.5" customHeight="1" x14ac:dyDescent="0.15">
      <c r="A2" s="104"/>
      <c r="B2" s="105"/>
      <c r="C2" s="105"/>
      <c r="D2" s="105"/>
      <c r="E2" s="105"/>
      <c r="F2" s="105"/>
      <c r="G2" s="106"/>
      <c r="H2" s="108"/>
      <c r="I2" s="110"/>
      <c r="J2" s="110"/>
      <c r="K2" s="110"/>
      <c r="L2" s="98"/>
    </row>
    <row r="3" spans="1:14" ht="13.5" customHeight="1" x14ac:dyDescent="0.15">
      <c r="A3" s="104"/>
      <c r="B3" s="105"/>
      <c r="C3" s="105"/>
      <c r="D3" s="105"/>
      <c r="E3" s="105"/>
      <c r="F3" s="105"/>
      <c r="G3" s="106"/>
      <c r="H3" s="108"/>
      <c r="I3" s="108"/>
      <c r="J3" s="108"/>
      <c r="K3" s="108"/>
      <c r="L3" s="99"/>
    </row>
    <row r="4" spans="1:14" ht="33" customHeight="1" x14ac:dyDescent="0.15">
      <c r="A4" s="4"/>
      <c r="B4" s="5"/>
      <c r="C4" s="5"/>
      <c r="D4" s="5"/>
      <c r="E4" s="5"/>
      <c r="F4" s="5"/>
      <c r="G4" s="5"/>
      <c r="H4" s="109"/>
      <c r="I4" s="109"/>
      <c r="J4" s="109"/>
      <c r="K4" s="109"/>
      <c r="L4" s="100"/>
    </row>
    <row r="5" spans="1:14" ht="17.25" customHeight="1" x14ac:dyDescent="0.15">
      <c r="A5" s="6" t="s">
        <v>5</v>
      </c>
      <c r="B5" s="87">
        <v>46121</v>
      </c>
      <c r="C5" s="88"/>
      <c r="D5" s="88"/>
      <c r="E5" s="88"/>
      <c r="F5" s="88"/>
      <c r="G5" s="88"/>
      <c r="H5" s="5"/>
      <c r="I5" s="5"/>
      <c r="J5" s="5"/>
      <c r="K5" s="5"/>
      <c r="L5" s="7"/>
    </row>
    <row r="6" spans="1:14" ht="13.5" customHeight="1" x14ac:dyDescent="0.15">
      <c r="A6" s="89" t="s">
        <v>6</v>
      </c>
      <c r="B6" s="91" t="s">
        <v>7</v>
      </c>
      <c r="C6" s="91" t="s">
        <v>8</v>
      </c>
      <c r="D6" s="91" t="s">
        <v>9</v>
      </c>
      <c r="E6" s="93" t="s">
        <v>10</v>
      </c>
      <c r="F6" s="93" t="s">
        <v>11</v>
      </c>
      <c r="G6" s="95" t="s">
        <v>12</v>
      </c>
      <c r="H6" s="96"/>
      <c r="I6" s="96"/>
      <c r="J6" s="96"/>
      <c r="K6" s="97"/>
      <c r="L6" s="83" t="s">
        <v>13</v>
      </c>
    </row>
    <row r="7" spans="1:14" x14ac:dyDescent="0.15">
      <c r="A7" s="90"/>
      <c r="B7" s="92"/>
      <c r="C7" s="92"/>
      <c r="D7" s="92"/>
      <c r="E7" s="94"/>
      <c r="F7" s="94"/>
      <c r="G7" s="8" t="s">
        <v>14</v>
      </c>
      <c r="H7" s="8" t="s">
        <v>15</v>
      </c>
      <c r="I7" s="8" t="s">
        <v>16</v>
      </c>
      <c r="J7" s="8" t="s">
        <v>17</v>
      </c>
      <c r="K7" s="8" t="s">
        <v>18</v>
      </c>
      <c r="L7" s="84"/>
    </row>
    <row r="8" spans="1:14" s="15" customFormat="1" ht="20.25" customHeight="1" x14ac:dyDescent="0.15">
      <c r="A8" s="60" t="s">
        <v>1847</v>
      </c>
      <c r="B8" s="9" t="s">
        <v>1259</v>
      </c>
      <c r="C8" s="58" t="s">
        <v>29</v>
      </c>
      <c r="D8" s="11" t="s">
        <v>684</v>
      </c>
      <c r="E8" s="10">
        <v>22</v>
      </c>
      <c r="F8" s="58"/>
      <c r="G8" s="12">
        <v>1545</v>
      </c>
      <c r="H8" s="12">
        <v>1973</v>
      </c>
      <c r="I8" s="17" t="s">
        <v>1848</v>
      </c>
      <c r="J8" s="18">
        <v>127</v>
      </c>
      <c r="K8" s="19">
        <f>+M8*N8</f>
        <v>3931.2900000000004</v>
      </c>
      <c r="L8" s="14"/>
      <c r="M8" s="15">
        <v>361</v>
      </c>
      <c r="N8" s="15">
        <v>10.89</v>
      </c>
    </row>
    <row r="9" spans="1:14" s="15" customFormat="1" ht="20.25" customHeight="1" x14ac:dyDescent="0.15">
      <c r="A9" s="60" t="s">
        <v>1849</v>
      </c>
      <c r="B9" s="9" t="s">
        <v>138</v>
      </c>
      <c r="C9" s="58" t="s">
        <v>29</v>
      </c>
      <c r="D9" s="11" t="s">
        <v>372</v>
      </c>
      <c r="E9" s="10">
        <v>24</v>
      </c>
      <c r="F9" s="58"/>
      <c r="G9" s="12">
        <v>1331</v>
      </c>
      <c r="H9" s="12">
        <v>1890</v>
      </c>
      <c r="I9" s="17" t="s">
        <v>1850</v>
      </c>
      <c r="J9" s="18">
        <v>100</v>
      </c>
      <c r="K9" s="19">
        <f t="shared" ref="K9:K22" si="0">+M9*N9</f>
        <v>1100.979</v>
      </c>
      <c r="L9" s="14"/>
      <c r="M9" s="15">
        <v>101.1</v>
      </c>
      <c r="N9" s="15">
        <v>10.89</v>
      </c>
    </row>
    <row r="10" spans="1:14" s="15" customFormat="1" ht="20.25" customHeight="1" x14ac:dyDescent="0.15">
      <c r="A10" s="60"/>
      <c r="B10" s="9"/>
      <c r="C10" s="58" t="s">
        <v>29</v>
      </c>
      <c r="D10" s="11" t="s">
        <v>336</v>
      </c>
      <c r="E10" s="10">
        <v>24</v>
      </c>
      <c r="F10" s="58"/>
      <c r="G10" s="12">
        <v>1762</v>
      </c>
      <c r="H10" s="12">
        <v>1890</v>
      </c>
      <c r="I10" s="17" t="s">
        <v>1851</v>
      </c>
      <c r="J10" s="18">
        <v>105</v>
      </c>
      <c r="K10" s="19">
        <f t="shared" si="0"/>
        <v>1282.2975000000001</v>
      </c>
      <c r="L10" s="14"/>
      <c r="M10" s="15">
        <v>117.75</v>
      </c>
      <c r="N10" s="15">
        <v>10.89</v>
      </c>
    </row>
    <row r="11" spans="1:14" s="15" customFormat="1" ht="20.25" customHeight="1" x14ac:dyDescent="0.15">
      <c r="A11" s="60"/>
      <c r="B11" s="9"/>
      <c r="C11" s="58" t="s">
        <v>29</v>
      </c>
      <c r="D11" s="11" t="s">
        <v>224</v>
      </c>
      <c r="E11" s="10">
        <v>22</v>
      </c>
      <c r="F11" s="58" t="s">
        <v>11</v>
      </c>
      <c r="G11" s="12">
        <v>618</v>
      </c>
      <c r="H11" s="12">
        <v>1890</v>
      </c>
      <c r="I11" s="17" t="s">
        <v>1852</v>
      </c>
      <c r="J11" s="18">
        <v>10</v>
      </c>
      <c r="K11" s="19">
        <f t="shared" si="0"/>
        <v>123.05700000000002</v>
      </c>
      <c r="L11" s="14"/>
      <c r="M11" s="15">
        <v>11.3</v>
      </c>
      <c r="N11" s="15">
        <v>10.89</v>
      </c>
    </row>
    <row r="12" spans="1:14" s="15" customFormat="1" ht="20.25" customHeight="1" x14ac:dyDescent="0.15">
      <c r="A12" s="60" t="s">
        <v>1853</v>
      </c>
      <c r="B12" s="9" t="s">
        <v>138</v>
      </c>
      <c r="C12" s="58" t="s">
        <v>29</v>
      </c>
      <c r="D12" s="11" t="s">
        <v>372</v>
      </c>
      <c r="E12" s="10">
        <v>24</v>
      </c>
      <c r="F12" s="58"/>
      <c r="G12" s="12">
        <v>775</v>
      </c>
      <c r="H12" s="12">
        <v>1890</v>
      </c>
      <c r="I12" s="17" t="s">
        <v>1822</v>
      </c>
      <c r="J12" s="18">
        <v>80</v>
      </c>
      <c r="K12" s="19">
        <f t="shared" si="0"/>
        <v>887.53500000000008</v>
      </c>
      <c r="L12" s="14"/>
      <c r="M12" s="15">
        <v>81.5</v>
      </c>
      <c r="N12" s="15">
        <v>10.89</v>
      </c>
    </row>
    <row r="13" spans="1:14" s="15" customFormat="1" ht="20.25" customHeight="1" x14ac:dyDescent="0.15">
      <c r="A13" s="60"/>
      <c r="B13" s="9"/>
      <c r="C13" s="58" t="s">
        <v>29</v>
      </c>
      <c r="D13" s="11" t="s">
        <v>336</v>
      </c>
      <c r="E13" s="10">
        <v>24</v>
      </c>
      <c r="F13" s="58"/>
      <c r="G13" s="12">
        <v>1762</v>
      </c>
      <c r="H13" s="12">
        <v>1890</v>
      </c>
      <c r="I13" s="17" t="s">
        <v>1823</v>
      </c>
      <c r="J13" s="18">
        <v>90</v>
      </c>
      <c r="K13" s="19">
        <f t="shared" si="0"/>
        <v>1250.172</v>
      </c>
      <c r="L13" s="14"/>
      <c r="M13" s="15">
        <v>114.8</v>
      </c>
      <c r="N13" s="15">
        <v>10.89</v>
      </c>
    </row>
    <row r="14" spans="1:14" s="15" customFormat="1" ht="20.25" customHeight="1" x14ac:dyDescent="0.15">
      <c r="A14" s="60"/>
      <c r="B14" s="9"/>
      <c r="C14" s="58" t="s">
        <v>29</v>
      </c>
      <c r="D14" s="11" t="s">
        <v>224</v>
      </c>
      <c r="E14" s="10">
        <v>22</v>
      </c>
      <c r="F14" s="58" t="s">
        <v>11</v>
      </c>
      <c r="G14" s="12">
        <v>618</v>
      </c>
      <c r="H14" s="12">
        <v>1890</v>
      </c>
      <c r="I14" s="17">
        <v>10</v>
      </c>
      <c r="J14" s="18">
        <v>10</v>
      </c>
      <c r="K14" s="19">
        <f t="shared" si="0"/>
        <v>127.413</v>
      </c>
      <c r="L14" s="20"/>
      <c r="M14" s="15">
        <v>11.7</v>
      </c>
      <c r="N14" s="15">
        <v>10.89</v>
      </c>
    </row>
    <row r="15" spans="1:14" s="15" customFormat="1" ht="20.25" customHeight="1" x14ac:dyDescent="0.15">
      <c r="A15" s="60"/>
      <c r="B15" s="9"/>
      <c r="C15" s="58"/>
      <c r="D15" s="11"/>
      <c r="E15" s="10"/>
      <c r="F15" s="58"/>
      <c r="G15" s="12"/>
      <c r="H15" s="12"/>
      <c r="I15" s="17"/>
      <c r="J15" s="18"/>
      <c r="K15" s="19">
        <f t="shared" si="0"/>
        <v>0</v>
      </c>
      <c r="L15" s="20"/>
      <c r="N15" s="15">
        <v>10.89</v>
      </c>
    </row>
    <row r="16" spans="1:14" s="15" customFormat="1" ht="20.25" customHeight="1" x14ac:dyDescent="0.15">
      <c r="A16" s="60"/>
      <c r="B16" s="9"/>
      <c r="C16" s="58"/>
      <c r="D16" s="11"/>
      <c r="E16" s="10"/>
      <c r="F16" s="58"/>
      <c r="G16" s="12"/>
      <c r="H16" s="12"/>
      <c r="I16" s="17"/>
      <c r="J16" s="18"/>
      <c r="K16" s="19">
        <f t="shared" si="0"/>
        <v>0</v>
      </c>
      <c r="L16" s="20"/>
      <c r="N16" s="15">
        <v>10.89</v>
      </c>
    </row>
    <row r="17" spans="1:14" s="15" customFormat="1" ht="20.25" customHeight="1" x14ac:dyDescent="0.15">
      <c r="A17" s="60"/>
      <c r="B17" s="9"/>
      <c r="C17" s="58"/>
      <c r="D17" s="11"/>
      <c r="E17" s="10"/>
      <c r="F17" s="58"/>
      <c r="G17" s="12"/>
      <c r="H17" s="12"/>
      <c r="I17" s="17"/>
      <c r="J17" s="18"/>
      <c r="K17" s="19">
        <f t="shared" si="0"/>
        <v>0</v>
      </c>
      <c r="L17" s="20"/>
      <c r="N17" s="15">
        <v>10.89</v>
      </c>
    </row>
    <row r="18" spans="1:14" s="15" customFormat="1" ht="20.25" customHeight="1" x14ac:dyDescent="0.15">
      <c r="A18" s="60"/>
      <c r="B18" s="9"/>
      <c r="C18" s="58"/>
      <c r="D18" s="11"/>
      <c r="E18" s="10"/>
      <c r="F18" s="58"/>
      <c r="G18" s="12"/>
      <c r="H18" s="12"/>
      <c r="I18" s="17"/>
      <c r="J18" s="18"/>
      <c r="K18" s="19">
        <f t="shared" si="0"/>
        <v>0</v>
      </c>
      <c r="L18" s="20"/>
      <c r="N18" s="15">
        <v>10.89</v>
      </c>
    </row>
    <row r="19" spans="1:14" s="15" customFormat="1" ht="20.25" customHeight="1" x14ac:dyDescent="0.15">
      <c r="A19" s="60"/>
      <c r="B19" s="9"/>
      <c r="C19" s="58"/>
      <c r="D19" s="11"/>
      <c r="E19" s="10"/>
      <c r="F19" s="58"/>
      <c r="G19" s="12"/>
      <c r="H19" s="12"/>
      <c r="I19" s="17"/>
      <c r="J19" s="18"/>
      <c r="K19" s="19">
        <f t="shared" si="0"/>
        <v>0</v>
      </c>
      <c r="L19" s="20"/>
      <c r="N19" s="15">
        <v>10.89</v>
      </c>
    </row>
    <row r="20" spans="1:14" s="15" customFormat="1" ht="20.25" customHeight="1" x14ac:dyDescent="0.15">
      <c r="A20" s="60"/>
      <c r="B20" s="9"/>
      <c r="C20" s="58"/>
      <c r="D20" s="11"/>
      <c r="E20" s="10"/>
      <c r="F20" s="58"/>
      <c r="G20" s="50"/>
      <c r="H20" s="50"/>
      <c r="I20" s="17"/>
      <c r="J20" s="18"/>
      <c r="K20" s="19">
        <f t="shared" si="0"/>
        <v>0</v>
      </c>
      <c r="L20" s="20"/>
      <c r="N20" s="15">
        <v>10.89</v>
      </c>
    </row>
    <row r="21" spans="1:14" s="15" customFormat="1" ht="20.25" customHeight="1" x14ac:dyDescent="0.15">
      <c r="A21" s="60"/>
      <c r="B21" s="9"/>
      <c r="C21" s="58"/>
      <c r="D21" s="11"/>
      <c r="E21" s="10"/>
      <c r="F21" s="58"/>
      <c r="G21" s="50"/>
      <c r="H21" s="50"/>
      <c r="I21" s="17"/>
      <c r="J21" s="18"/>
      <c r="K21" s="19">
        <f t="shared" si="0"/>
        <v>0</v>
      </c>
      <c r="L21" s="20"/>
      <c r="N21" s="15">
        <v>10.89</v>
      </c>
    </row>
    <row r="22" spans="1:14" ht="20.25" customHeight="1" x14ac:dyDescent="0.15">
      <c r="A22" s="60"/>
      <c r="B22" s="9"/>
      <c r="C22" s="58"/>
      <c r="D22" s="11"/>
      <c r="E22" s="10"/>
      <c r="F22" s="58"/>
      <c r="G22" s="16"/>
      <c r="H22" s="16"/>
      <c r="I22" s="17"/>
      <c r="J22" s="18"/>
      <c r="K22" s="19">
        <f t="shared" si="0"/>
        <v>0</v>
      </c>
      <c r="L22" s="20"/>
      <c r="N22" s="15">
        <v>10.89</v>
      </c>
    </row>
    <row r="23" spans="1:14" ht="20.25" customHeight="1" thickBot="1" x14ac:dyDescent="0.2">
      <c r="A23" s="56"/>
      <c r="B23" s="21"/>
      <c r="C23" s="59"/>
      <c r="D23" s="22"/>
      <c r="E23" s="23"/>
      <c r="F23" s="23"/>
      <c r="G23" s="24"/>
      <c r="H23" s="24"/>
      <c r="I23" s="25"/>
      <c r="J23" s="46">
        <f>SUM(J8:J22)</f>
        <v>522</v>
      </c>
      <c r="K23" s="47">
        <f>SUM(K8:K22)</f>
        <v>8702.7435000000005</v>
      </c>
      <c r="L23" s="26"/>
    </row>
    <row r="24" spans="1:14" ht="20.25" customHeight="1" thickTop="1" x14ac:dyDescent="0.15">
      <c r="A24" s="60" t="s">
        <v>1834</v>
      </c>
      <c r="B24" s="9" t="s">
        <v>173</v>
      </c>
      <c r="C24" s="58" t="s">
        <v>29</v>
      </c>
      <c r="D24" s="11" t="s">
        <v>280</v>
      </c>
      <c r="E24" s="10">
        <v>46.76</v>
      </c>
      <c r="F24" s="10" t="s">
        <v>11</v>
      </c>
      <c r="G24" s="12">
        <v>886</v>
      </c>
      <c r="H24" s="12">
        <v>508</v>
      </c>
      <c r="I24" s="17">
        <v>4</v>
      </c>
      <c r="J24" s="18">
        <v>4</v>
      </c>
      <c r="K24" s="19">
        <f t="shared" ref="K24:K39" si="1">+M24*N24</f>
        <v>19.602</v>
      </c>
      <c r="L24" s="54"/>
      <c r="M24" s="3">
        <v>1.8</v>
      </c>
      <c r="N24" s="15">
        <v>10.89</v>
      </c>
    </row>
    <row r="25" spans="1:14" ht="20.25" customHeight="1" x14ac:dyDescent="0.15">
      <c r="A25" s="60" t="s">
        <v>1854</v>
      </c>
      <c r="B25" s="9" t="s">
        <v>173</v>
      </c>
      <c r="C25" s="58" t="s">
        <v>29</v>
      </c>
      <c r="D25" s="11" t="s">
        <v>279</v>
      </c>
      <c r="E25" s="10">
        <v>25.76</v>
      </c>
      <c r="F25" s="10"/>
      <c r="G25" s="12">
        <v>952</v>
      </c>
      <c r="H25" s="12">
        <v>690</v>
      </c>
      <c r="I25" s="17" t="s">
        <v>1855</v>
      </c>
      <c r="J25" s="18">
        <v>36</v>
      </c>
      <c r="K25" s="19">
        <f t="shared" si="1"/>
        <v>201.24720000000002</v>
      </c>
      <c r="L25" s="54"/>
      <c r="M25" s="3">
        <v>18.48</v>
      </c>
      <c r="N25" s="15">
        <v>10.89</v>
      </c>
    </row>
    <row r="26" spans="1:14" ht="20.25" customHeight="1" x14ac:dyDescent="0.15">
      <c r="A26" s="61"/>
      <c r="B26" s="9"/>
      <c r="C26" s="58" t="s">
        <v>29</v>
      </c>
      <c r="D26" s="11" t="s">
        <v>280</v>
      </c>
      <c r="E26" s="10">
        <v>46.76</v>
      </c>
      <c r="F26" s="10" t="s">
        <v>11</v>
      </c>
      <c r="G26" s="12">
        <v>786</v>
      </c>
      <c r="H26" s="12">
        <v>508</v>
      </c>
      <c r="I26" s="17">
        <v>4</v>
      </c>
      <c r="J26" s="18">
        <v>4</v>
      </c>
      <c r="K26" s="19">
        <f t="shared" si="1"/>
        <v>17.424000000000003</v>
      </c>
      <c r="L26" s="54"/>
      <c r="M26" s="3">
        <v>1.6</v>
      </c>
      <c r="N26" s="15">
        <v>10.89</v>
      </c>
    </row>
    <row r="27" spans="1:14" ht="20.25" customHeight="1" x14ac:dyDescent="0.15">
      <c r="A27" s="61" t="s">
        <v>1856</v>
      </c>
      <c r="B27" s="9" t="s">
        <v>173</v>
      </c>
      <c r="C27" s="58" t="s">
        <v>29</v>
      </c>
      <c r="D27" s="11" t="s">
        <v>279</v>
      </c>
      <c r="E27" s="10">
        <v>25.76</v>
      </c>
      <c r="F27" s="10"/>
      <c r="G27" s="12">
        <v>800</v>
      </c>
      <c r="H27" s="12">
        <v>690</v>
      </c>
      <c r="I27" s="17" t="s">
        <v>1857</v>
      </c>
      <c r="J27" s="18">
        <v>28</v>
      </c>
      <c r="K27" s="19">
        <f t="shared" si="1"/>
        <v>145.49039999999999</v>
      </c>
      <c r="L27" s="54"/>
      <c r="M27" s="3">
        <v>13.36</v>
      </c>
      <c r="N27" s="15">
        <v>10.89</v>
      </c>
    </row>
    <row r="28" spans="1:14" ht="20.25" customHeight="1" x14ac:dyDescent="0.15">
      <c r="A28" s="61"/>
      <c r="B28" s="9"/>
      <c r="C28" s="58" t="s">
        <v>29</v>
      </c>
      <c r="D28" s="11" t="s">
        <v>280</v>
      </c>
      <c r="E28" s="10">
        <v>46.76</v>
      </c>
      <c r="F28" s="10" t="s">
        <v>11</v>
      </c>
      <c r="G28" s="12">
        <v>786</v>
      </c>
      <c r="H28" s="12">
        <v>508</v>
      </c>
      <c r="I28" s="17">
        <v>4</v>
      </c>
      <c r="J28" s="18">
        <v>4</v>
      </c>
      <c r="K28" s="19">
        <f t="shared" si="1"/>
        <v>17.424000000000003</v>
      </c>
      <c r="L28" s="54"/>
      <c r="M28" s="3">
        <v>1.6</v>
      </c>
      <c r="N28" s="15">
        <v>10.89</v>
      </c>
    </row>
    <row r="29" spans="1:14" ht="20.25" customHeight="1" x14ac:dyDescent="0.15">
      <c r="A29" s="61" t="s">
        <v>1836</v>
      </c>
      <c r="B29" s="9" t="s">
        <v>173</v>
      </c>
      <c r="C29" s="58" t="s">
        <v>29</v>
      </c>
      <c r="D29" s="11" t="s">
        <v>279</v>
      </c>
      <c r="E29" s="10">
        <v>25.76</v>
      </c>
      <c r="F29" s="10"/>
      <c r="G29" s="12">
        <v>1445</v>
      </c>
      <c r="H29" s="12">
        <v>690</v>
      </c>
      <c r="I29" s="51" t="s">
        <v>1858</v>
      </c>
      <c r="J29" s="52">
        <v>56</v>
      </c>
      <c r="K29" s="53">
        <f t="shared" si="1"/>
        <v>362.41920000000005</v>
      </c>
      <c r="L29" s="54"/>
      <c r="M29" s="3">
        <v>33.28</v>
      </c>
      <c r="N29" s="15">
        <v>10.89</v>
      </c>
    </row>
    <row r="30" spans="1:14" ht="20.25" customHeight="1" x14ac:dyDescent="0.15">
      <c r="A30" s="61"/>
      <c r="B30" s="9"/>
      <c r="C30" s="58" t="s">
        <v>29</v>
      </c>
      <c r="D30" s="11" t="s">
        <v>280</v>
      </c>
      <c r="E30" s="10">
        <v>46.76</v>
      </c>
      <c r="F30" s="10" t="s">
        <v>11</v>
      </c>
      <c r="G30" s="12">
        <v>886</v>
      </c>
      <c r="H30" s="12">
        <v>508</v>
      </c>
      <c r="I30" s="51">
        <v>8</v>
      </c>
      <c r="J30" s="52">
        <v>8</v>
      </c>
      <c r="K30" s="53">
        <f t="shared" si="1"/>
        <v>39.204000000000001</v>
      </c>
      <c r="L30" s="54"/>
      <c r="M30" s="3">
        <v>3.6</v>
      </c>
      <c r="N30" s="15">
        <v>10.89</v>
      </c>
    </row>
    <row r="31" spans="1:14" ht="20.25" customHeight="1" x14ac:dyDescent="0.15">
      <c r="A31" s="60" t="s">
        <v>1838</v>
      </c>
      <c r="B31" s="9" t="s">
        <v>1259</v>
      </c>
      <c r="C31" s="58" t="s">
        <v>29</v>
      </c>
      <c r="D31" s="11" t="s">
        <v>684</v>
      </c>
      <c r="E31" s="10">
        <v>22</v>
      </c>
      <c r="F31" s="58"/>
      <c r="G31" s="12">
        <v>872</v>
      </c>
      <c r="H31" s="12">
        <v>1849</v>
      </c>
      <c r="I31" s="17" t="s">
        <v>1839</v>
      </c>
      <c r="J31" s="18">
        <f>120+144</f>
        <v>264</v>
      </c>
      <c r="K31" s="19">
        <f t="shared" si="1"/>
        <v>4295.4516000000003</v>
      </c>
      <c r="L31" s="27"/>
      <c r="M31" s="3">
        <v>394.44</v>
      </c>
      <c r="N31" s="15">
        <v>10.89</v>
      </c>
    </row>
    <row r="32" spans="1:14" ht="20.25" customHeight="1" x14ac:dyDescent="0.15">
      <c r="A32" s="60" t="s">
        <v>1859</v>
      </c>
      <c r="B32" s="9" t="s">
        <v>85</v>
      </c>
      <c r="C32" s="58" t="s">
        <v>29</v>
      </c>
      <c r="D32" s="11" t="s">
        <v>1860</v>
      </c>
      <c r="E32" s="10">
        <v>46.76</v>
      </c>
      <c r="F32" s="10" t="s">
        <v>11</v>
      </c>
      <c r="G32" s="12">
        <v>2199</v>
      </c>
      <c r="H32" s="12">
        <v>1993</v>
      </c>
      <c r="I32" s="17" t="s">
        <v>1863</v>
      </c>
      <c r="J32" s="18">
        <v>7</v>
      </c>
      <c r="K32" s="19">
        <f t="shared" si="1"/>
        <v>323.10630000000003</v>
      </c>
      <c r="L32" s="27"/>
      <c r="M32" s="3">
        <v>29.67</v>
      </c>
      <c r="N32" s="15">
        <v>10.89</v>
      </c>
    </row>
    <row r="33" spans="1:14" ht="20.25" customHeight="1" x14ac:dyDescent="0.15">
      <c r="A33" s="60"/>
      <c r="B33" s="9"/>
      <c r="C33" s="58" t="s">
        <v>29</v>
      </c>
      <c r="D33" s="11" t="s">
        <v>1861</v>
      </c>
      <c r="E33" s="10">
        <v>43</v>
      </c>
      <c r="F33" s="10" t="s">
        <v>11</v>
      </c>
      <c r="G33" s="12">
        <v>798</v>
      </c>
      <c r="H33" s="12">
        <v>1813</v>
      </c>
      <c r="I33" s="17">
        <v>1</v>
      </c>
      <c r="J33" s="18">
        <v>1</v>
      </c>
      <c r="K33" s="19">
        <f t="shared" si="1"/>
        <v>15.7905</v>
      </c>
      <c r="L33" s="27"/>
      <c r="M33" s="3">
        <v>1.45</v>
      </c>
      <c r="N33" s="15">
        <v>10.89</v>
      </c>
    </row>
    <row r="34" spans="1:14" ht="20.25" customHeight="1" x14ac:dyDescent="0.15">
      <c r="A34" s="60"/>
      <c r="B34" s="9"/>
      <c r="C34" s="58" t="s">
        <v>29</v>
      </c>
      <c r="D34" s="11" t="s">
        <v>1862</v>
      </c>
      <c r="E34" s="10">
        <v>22</v>
      </c>
      <c r="F34" s="10" t="s">
        <v>11</v>
      </c>
      <c r="G34" s="12">
        <v>473</v>
      </c>
      <c r="H34" s="12">
        <v>2094</v>
      </c>
      <c r="I34" s="17" t="s">
        <v>1830</v>
      </c>
      <c r="J34" s="18">
        <v>3</v>
      </c>
      <c r="K34" s="19">
        <f t="shared" si="1"/>
        <v>16.8795</v>
      </c>
      <c r="L34" s="27"/>
      <c r="M34" s="3">
        <v>1.55</v>
      </c>
      <c r="N34" s="15">
        <v>10.89</v>
      </c>
    </row>
    <row r="35" spans="1:14" ht="20.25" customHeight="1" x14ac:dyDescent="0.15">
      <c r="A35" s="60" t="s">
        <v>1864</v>
      </c>
      <c r="B35" s="9" t="s">
        <v>138</v>
      </c>
      <c r="C35" s="58" t="s">
        <v>29</v>
      </c>
      <c r="D35" s="11" t="s">
        <v>372</v>
      </c>
      <c r="E35" s="10">
        <v>24</v>
      </c>
      <c r="F35" s="58"/>
      <c r="G35" s="12">
        <v>775</v>
      </c>
      <c r="H35" s="12">
        <v>1890</v>
      </c>
      <c r="I35" s="17" t="s">
        <v>1865</v>
      </c>
      <c r="J35" s="18">
        <v>40</v>
      </c>
      <c r="K35" s="19">
        <f t="shared" si="1"/>
        <v>541.23300000000006</v>
      </c>
      <c r="L35" s="27"/>
      <c r="M35" s="3">
        <v>49.7</v>
      </c>
      <c r="N35" s="15">
        <v>10.89</v>
      </c>
    </row>
    <row r="36" spans="1:14" ht="20.25" customHeight="1" x14ac:dyDescent="0.15">
      <c r="A36" s="60" t="s">
        <v>1866</v>
      </c>
      <c r="B36" s="9" t="s">
        <v>178</v>
      </c>
      <c r="C36" s="58" t="s">
        <v>29</v>
      </c>
      <c r="D36" s="11" t="s">
        <v>1867</v>
      </c>
      <c r="E36" s="10">
        <v>42</v>
      </c>
      <c r="F36" s="10" t="s">
        <v>11</v>
      </c>
      <c r="G36" s="12">
        <v>410</v>
      </c>
      <c r="H36" s="12">
        <v>310</v>
      </c>
      <c r="I36" s="17" t="s">
        <v>1868</v>
      </c>
      <c r="J36" s="18">
        <v>8</v>
      </c>
      <c r="K36" s="19">
        <f t="shared" si="1"/>
        <v>24.393600000000003</v>
      </c>
      <c r="L36" s="27"/>
      <c r="M36" s="3">
        <v>2.2400000000000002</v>
      </c>
      <c r="N36" s="15">
        <v>10.89</v>
      </c>
    </row>
    <row r="37" spans="1:14" ht="20.25" customHeight="1" x14ac:dyDescent="0.15">
      <c r="A37" s="60"/>
      <c r="B37" s="9"/>
      <c r="C37" s="58" t="s">
        <v>29</v>
      </c>
      <c r="D37" s="11" t="s">
        <v>247</v>
      </c>
      <c r="E37" s="10">
        <v>24</v>
      </c>
      <c r="F37" s="10" t="s">
        <v>11</v>
      </c>
      <c r="G37" s="12">
        <v>915</v>
      </c>
      <c r="H37" s="12">
        <v>430</v>
      </c>
      <c r="I37" s="17" t="s">
        <v>1869</v>
      </c>
      <c r="J37" s="18">
        <v>6</v>
      </c>
      <c r="K37" s="19">
        <f t="shared" si="1"/>
        <v>24.502500000000001</v>
      </c>
      <c r="L37" s="27"/>
      <c r="M37" s="3">
        <v>2.25</v>
      </c>
      <c r="N37" s="15">
        <v>10.89</v>
      </c>
    </row>
    <row r="38" spans="1:14" ht="20.25" customHeight="1" x14ac:dyDescent="0.15">
      <c r="A38" s="60" t="s">
        <v>1870</v>
      </c>
      <c r="B38" s="9" t="s">
        <v>136</v>
      </c>
      <c r="C38" s="58" t="s">
        <v>29</v>
      </c>
      <c r="D38" s="11" t="s">
        <v>1776</v>
      </c>
      <c r="E38" s="10">
        <v>24</v>
      </c>
      <c r="F38" s="10" t="s">
        <v>11</v>
      </c>
      <c r="G38" s="12">
        <v>775</v>
      </c>
      <c r="H38" s="12">
        <v>2520</v>
      </c>
      <c r="I38" s="17">
        <v>1</v>
      </c>
      <c r="J38" s="18">
        <v>1</v>
      </c>
      <c r="K38" s="19">
        <f t="shared" si="1"/>
        <v>21.235500000000002</v>
      </c>
      <c r="L38" s="27"/>
      <c r="M38" s="3">
        <v>1.95</v>
      </c>
      <c r="N38" s="15">
        <v>10.89</v>
      </c>
    </row>
    <row r="39" spans="1:14" ht="20.25" customHeight="1" x14ac:dyDescent="0.15">
      <c r="A39" s="60" t="s">
        <v>1871</v>
      </c>
      <c r="B39" s="9" t="s">
        <v>177</v>
      </c>
      <c r="C39" s="58" t="s">
        <v>273</v>
      </c>
      <c r="D39" s="11" t="s">
        <v>1872</v>
      </c>
      <c r="E39" s="10">
        <v>16</v>
      </c>
      <c r="F39" s="10"/>
      <c r="G39" s="12">
        <v>830</v>
      </c>
      <c r="H39" s="12">
        <v>422</v>
      </c>
      <c r="I39" s="17" t="s">
        <v>1830</v>
      </c>
      <c r="J39" s="18">
        <v>3</v>
      </c>
      <c r="K39" s="19">
        <f t="shared" si="1"/>
        <v>24.284700000000001</v>
      </c>
      <c r="L39" s="27"/>
      <c r="M39" s="3">
        <v>2.23</v>
      </c>
      <c r="N39" s="15">
        <v>10.89</v>
      </c>
    </row>
    <row r="40" spans="1:14" s="15" customFormat="1" ht="20.25" customHeight="1" x14ac:dyDescent="0.15">
      <c r="A40" s="60"/>
      <c r="B40" s="9"/>
      <c r="C40" s="58"/>
      <c r="D40" s="11"/>
      <c r="E40" s="10"/>
      <c r="F40" s="58"/>
      <c r="G40" s="12"/>
      <c r="H40" s="12"/>
      <c r="I40" s="17"/>
      <c r="J40" s="18"/>
      <c r="K40" s="19">
        <f>+M40*N40</f>
        <v>0</v>
      </c>
      <c r="L40" s="20"/>
      <c r="N40" s="15">
        <v>10.89</v>
      </c>
    </row>
    <row r="41" spans="1:14" ht="20.25" customHeight="1" x14ac:dyDescent="0.15">
      <c r="A41" s="57"/>
      <c r="B41" s="28"/>
      <c r="C41" s="10"/>
      <c r="D41" s="29"/>
      <c r="E41" s="30"/>
      <c r="F41" s="30"/>
      <c r="G41" s="30"/>
      <c r="H41" s="30"/>
      <c r="I41" s="13"/>
      <c r="J41" s="48">
        <f>SUM(J24:J39)</f>
        <v>473</v>
      </c>
      <c r="K41" s="49">
        <f>SUM(K24:K39)</f>
        <v>6089.688000000001</v>
      </c>
      <c r="L41" s="31"/>
      <c r="N41" s="32"/>
    </row>
    <row r="42" spans="1:14" ht="20.25" customHeight="1" thickBot="1" x14ac:dyDescent="0.2">
      <c r="A42" s="55"/>
      <c r="B42" s="33"/>
      <c r="C42" s="33"/>
      <c r="D42" s="33"/>
      <c r="E42" s="33"/>
      <c r="F42" s="33"/>
      <c r="G42" s="33"/>
      <c r="H42" s="33"/>
      <c r="I42" s="33"/>
      <c r="J42" s="34"/>
      <c r="K42" s="35"/>
      <c r="L42" s="36"/>
    </row>
    <row r="43" spans="1:14" ht="20.25" customHeight="1" thickBot="1" x14ac:dyDescent="0.2">
      <c r="A43" s="37" t="s">
        <v>19</v>
      </c>
      <c r="B43" s="38" t="s">
        <v>20</v>
      </c>
      <c r="C43" s="77" t="s">
        <v>21</v>
      </c>
      <c r="D43" s="79"/>
      <c r="E43" s="77" t="s">
        <v>22</v>
      </c>
      <c r="F43" s="78"/>
      <c r="G43" s="79"/>
      <c r="H43" s="85" t="s">
        <v>23</v>
      </c>
      <c r="I43" s="86"/>
      <c r="J43" s="77" t="s">
        <v>24</v>
      </c>
      <c r="K43" s="79"/>
      <c r="L43" s="39" t="s">
        <v>13</v>
      </c>
    </row>
    <row r="44" spans="1:14" ht="20.25" customHeight="1" thickBot="1" x14ac:dyDescent="0.2">
      <c r="A44" s="40">
        <f>SUMIF($C$8:$C$42,"U1",$J$8:$J$42)</f>
        <v>3</v>
      </c>
      <c r="B44" s="41">
        <f>SUMIF($C$8:$C$42,"U2",$J$8:$J$42)</f>
        <v>0</v>
      </c>
      <c r="C44" s="77">
        <f>SUMIF($C$8:$C$42,"U3-1",$J$8:$J$42)</f>
        <v>0</v>
      </c>
      <c r="D44" s="79"/>
      <c r="E44" s="77">
        <f>SUMIF($C$8:$C$42,"U3",$J$8:$J$42)</f>
        <v>992</v>
      </c>
      <c r="F44" s="78"/>
      <c r="G44" s="79"/>
      <c r="H44" s="77">
        <f>SUMIF($C$8:$C$42,"E5",$J$8:$J$42)</f>
        <v>0</v>
      </c>
      <c r="I44" s="79"/>
      <c r="J44" s="77">
        <f>SUM(A44:I44)</f>
        <v>995</v>
      </c>
      <c r="K44" s="79"/>
      <c r="L44" s="42"/>
    </row>
    <row r="45" spans="1:14" ht="20.25" customHeight="1" thickBot="1" x14ac:dyDescent="0.2">
      <c r="A45" s="43" t="s">
        <v>25</v>
      </c>
      <c r="B45" s="44" t="s">
        <v>26</v>
      </c>
      <c r="C45" s="75">
        <v>13876</v>
      </c>
      <c r="D45" s="76"/>
      <c r="E45" s="77" t="s">
        <v>27</v>
      </c>
      <c r="F45" s="78"/>
      <c r="G45" s="78"/>
      <c r="H45" s="78"/>
      <c r="I45" s="79"/>
      <c r="J45" s="80">
        <v>146744.37</v>
      </c>
      <c r="K45" s="81"/>
      <c r="L45" s="82"/>
    </row>
    <row r="47" spans="1:14" x14ac:dyDescent="0.15">
      <c r="D47" s="45"/>
    </row>
  </sheetData>
  <mergeCells count="26">
    <mergeCell ref="L2:L4"/>
    <mergeCell ref="A1:G3"/>
    <mergeCell ref="H1:H4"/>
    <mergeCell ref="I2:I4"/>
    <mergeCell ref="J2:J4"/>
    <mergeCell ref="K2:K4"/>
    <mergeCell ref="B5:G5"/>
    <mergeCell ref="A6:A7"/>
    <mergeCell ref="B6:B7"/>
    <mergeCell ref="C6:C7"/>
    <mergeCell ref="D6:D7"/>
    <mergeCell ref="E6:E7"/>
    <mergeCell ref="F6:F7"/>
    <mergeCell ref="G6:K6"/>
    <mergeCell ref="C45:D45"/>
    <mergeCell ref="E45:I45"/>
    <mergeCell ref="J45:L45"/>
    <mergeCell ref="L6:L7"/>
    <mergeCell ref="C43:D43"/>
    <mergeCell ref="E43:G43"/>
    <mergeCell ref="H43:I43"/>
    <mergeCell ref="J43:K43"/>
    <mergeCell ref="C44:D44"/>
    <mergeCell ref="E44:G44"/>
    <mergeCell ref="H44:I44"/>
    <mergeCell ref="J44:K44"/>
  </mergeCells>
  <phoneticPr fontId="2" type="noConversion"/>
  <printOptions horizontalCentered="1"/>
  <pageMargins left="0.39370078740157483" right="0.39370078740157483" top="0.74803149606299213" bottom="0.19685039370078741" header="0.31496062992125984" footer="0.15748031496062992"/>
  <pageSetup paperSize="9" scale="84" orientation="portrait" r:id="rId1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C780D-63EA-4BC9-9054-CE3B01D05FEE}">
  <dimension ref="A1:N47"/>
  <sheetViews>
    <sheetView view="pageBreakPreview" zoomScaleSheetLayoutView="100" workbookViewId="0">
      <selection activeCell="B8" sqref="B8:F8"/>
    </sheetView>
  </sheetViews>
  <sheetFormatPr defaultColWidth="8.88671875" defaultRowHeight="13.5" x14ac:dyDescent="0.15"/>
  <cols>
    <col min="1" max="1" width="8.44140625" style="3" customWidth="1"/>
    <col min="2" max="2" width="14.77734375" style="3" customWidth="1"/>
    <col min="3" max="3" width="4.109375" style="3" customWidth="1"/>
    <col min="4" max="4" width="15.21875" style="3" customWidth="1"/>
    <col min="5" max="5" width="4.44140625" style="3" customWidth="1"/>
    <col min="6" max="6" width="4" style="3" customWidth="1"/>
    <col min="7" max="7" width="5.5546875" style="3" customWidth="1"/>
    <col min="8" max="8" width="5.44140625" style="3" customWidth="1"/>
    <col min="9" max="9" width="7.88671875" style="3" customWidth="1"/>
    <col min="10" max="10" width="7.109375" style="3" customWidth="1"/>
    <col min="11" max="11" width="7.21875" style="3" customWidth="1"/>
    <col min="12" max="12" width="6.77734375" style="3" customWidth="1"/>
    <col min="13" max="16384" width="8.88671875" style="3"/>
  </cols>
  <sheetData>
    <row r="1" spans="1:14" ht="18.75" customHeight="1" x14ac:dyDescent="0.15">
      <c r="A1" s="101" t="s">
        <v>0</v>
      </c>
      <c r="B1" s="102"/>
      <c r="C1" s="102"/>
      <c r="D1" s="102"/>
      <c r="E1" s="102"/>
      <c r="F1" s="102"/>
      <c r="G1" s="103"/>
      <c r="H1" s="107" t="s">
        <v>1</v>
      </c>
      <c r="I1" s="1" t="s">
        <v>2</v>
      </c>
      <c r="J1" s="1" t="s">
        <v>2</v>
      </c>
      <c r="K1" s="1" t="s">
        <v>3</v>
      </c>
      <c r="L1" s="2" t="s">
        <v>4</v>
      </c>
    </row>
    <row r="2" spans="1:14" ht="13.5" customHeight="1" x14ac:dyDescent="0.15">
      <c r="A2" s="104"/>
      <c r="B2" s="105"/>
      <c r="C2" s="105"/>
      <c r="D2" s="105"/>
      <c r="E2" s="105"/>
      <c r="F2" s="105"/>
      <c r="G2" s="106"/>
      <c r="H2" s="108"/>
      <c r="I2" s="110"/>
      <c r="J2" s="110"/>
      <c r="K2" s="110"/>
      <c r="L2" s="98"/>
    </row>
    <row r="3" spans="1:14" ht="13.5" customHeight="1" x14ac:dyDescent="0.15">
      <c r="A3" s="104"/>
      <c r="B3" s="105"/>
      <c r="C3" s="105"/>
      <c r="D3" s="105"/>
      <c r="E3" s="105"/>
      <c r="F3" s="105"/>
      <c r="G3" s="106"/>
      <c r="H3" s="108"/>
      <c r="I3" s="108"/>
      <c r="J3" s="108"/>
      <c r="K3" s="108"/>
      <c r="L3" s="99"/>
    </row>
    <row r="4" spans="1:14" ht="33" customHeight="1" x14ac:dyDescent="0.15">
      <c r="A4" s="4"/>
      <c r="B4" s="5"/>
      <c r="C4" s="5"/>
      <c r="D4" s="5"/>
      <c r="E4" s="5"/>
      <c r="F4" s="5"/>
      <c r="G4" s="5"/>
      <c r="H4" s="109"/>
      <c r="I4" s="109"/>
      <c r="J4" s="109"/>
      <c r="K4" s="109"/>
      <c r="L4" s="100"/>
    </row>
    <row r="5" spans="1:14" ht="17.25" customHeight="1" x14ac:dyDescent="0.15">
      <c r="A5" s="6" t="s">
        <v>5</v>
      </c>
      <c r="B5" s="87">
        <v>46122</v>
      </c>
      <c r="C5" s="88"/>
      <c r="D5" s="88"/>
      <c r="E5" s="88"/>
      <c r="F5" s="88"/>
      <c r="G5" s="88"/>
      <c r="H5" s="5"/>
      <c r="I5" s="5"/>
      <c r="J5" s="5"/>
      <c r="K5" s="5"/>
      <c r="L5" s="7"/>
    </row>
    <row r="6" spans="1:14" ht="13.5" customHeight="1" x14ac:dyDescent="0.15">
      <c r="A6" s="89" t="s">
        <v>6</v>
      </c>
      <c r="B6" s="91" t="s">
        <v>7</v>
      </c>
      <c r="C6" s="91" t="s">
        <v>8</v>
      </c>
      <c r="D6" s="91" t="s">
        <v>9</v>
      </c>
      <c r="E6" s="93" t="s">
        <v>10</v>
      </c>
      <c r="F6" s="93" t="s">
        <v>11</v>
      </c>
      <c r="G6" s="95" t="s">
        <v>12</v>
      </c>
      <c r="H6" s="96"/>
      <c r="I6" s="96"/>
      <c r="J6" s="96"/>
      <c r="K6" s="97"/>
      <c r="L6" s="83" t="s">
        <v>13</v>
      </c>
    </row>
    <row r="7" spans="1:14" x14ac:dyDescent="0.15">
      <c r="A7" s="90"/>
      <c r="B7" s="92"/>
      <c r="C7" s="92"/>
      <c r="D7" s="92"/>
      <c r="E7" s="94"/>
      <c r="F7" s="94"/>
      <c r="G7" s="8" t="s">
        <v>14</v>
      </c>
      <c r="H7" s="8" t="s">
        <v>15</v>
      </c>
      <c r="I7" s="8" t="s">
        <v>16</v>
      </c>
      <c r="J7" s="8" t="s">
        <v>17</v>
      </c>
      <c r="K7" s="8" t="s">
        <v>18</v>
      </c>
      <c r="L7" s="84"/>
    </row>
    <row r="8" spans="1:14" s="15" customFormat="1" ht="20.25" customHeight="1" x14ac:dyDescent="0.15">
      <c r="A8" s="60" t="s">
        <v>1873</v>
      </c>
      <c r="B8" s="9" t="s">
        <v>1259</v>
      </c>
      <c r="C8" s="58" t="s">
        <v>29</v>
      </c>
      <c r="D8" s="11" t="s">
        <v>684</v>
      </c>
      <c r="E8" s="10">
        <v>22</v>
      </c>
      <c r="F8" s="58"/>
      <c r="G8" s="12">
        <v>759</v>
      </c>
      <c r="H8" s="12">
        <v>1973</v>
      </c>
      <c r="I8" s="17" t="s">
        <v>1874</v>
      </c>
      <c r="J8" s="18">
        <v>333</v>
      </c>
      <c r="K8" s="19">
        <f>+M8*N8</f>
        <v>5440.6440000000002</v>
      </c>
      <c r="L8" s="14"/>
      <c r="M8" s="15">
        <v>499.6</v>
      </c>
      <c r="N8" s="15">
        <v>10.89</v>
      </c>
    </row>
    <row r="9" spans="1:14" s="15" customFormat="1" ht="20.25" customHeight="1" x14ac:dyDescent="0.15">
      <c r="A9" s="60" t="s">
        <v>1875</v>
      </c>
      <c r="B9" s="9" t="s">
        <v>138</v>
      </c>
      <c r="C9" s="58" t="s">
        <v>29</v>
      </c>
      <c r="D9" s="11" t="s">
        <v>372</v>
      </c>
      <c r="E9" s="10">
        <v>24</v>
      </c>
      <c r="F9" s="58"/>
      <c r="G9" s="12">
        <v>775</v>
      </c>
      <c r="H9" s="12">
        <v>1890</v>
      </c>
      <c r="I9" s="17" t="s">
        <v>480</v>
      </c>
      <c r="J9" s="18">
        <v>80</v>
      </c>
      <c r="K9" s="19">
        <f t="shared" ref="K9:K23" si="0">+M9*N9</f>
        <v>667.55700000000002</v>
      </c>
      <c r="L9" s="14"/>
      <c r="M9" s="15">
        <v>61.3</v>
      </c>
      <c r="N9" s="15">
        <v>10.89</v>
      </c>
    </row>
    <row r="10" spans="1:14" s="15" customFormat="1" ht="20.25" customHeight="1" x14ac:dyDescent="0.15">
      <c r="A10" s="60"/>
      <c r="B10" s="9"/>
      <c r="C10" s="58" t="s">
        <v>29</v>
      </c>
      <c r="D10" s="11" t="s">
        <v>224</v>
      </c>
      <c r="E10" s="10">
        <v>22</v>
      </c>
      <c r="F10" s="58" t="s">
        <v>11</v>
      </c>
      <c r="G10" s="12">
        <v>618</v>
      </c>
      <c r="H10" s="12">
        <v>1890</v>
      </c>
      <c r="I10" s="17">
        <v>10</v>
      </c>
      <c r="J10" s="18">
        <v>10</v>
      </c>
      <c r="K10" s="19">
        <f t="shared" si="0"/>
        <v>127.413</v>
      </c>
      <c r="L10" s="14"/>
      <c r="M10" s="15">
        <v>11.7</v>
      </c>
      <c r="N10" s="15">
        <v>10.89</v>
      </c>
    </row>
    <row r="11" spans="1:14" s="15" customFormat="1" ht="20.25" customHeight="1" x14ac:dyDescent="0.15">
      <c r="A11" s="60"/>
      <c r="B11" s="9"/>
      <c r="C11" s="58"/>
      <c r="D11" s="11"/>
      <c r="E11" s="10"/>
      <c r="F11" s="58"/>
      <c r="G11" s="12"/>
      <c r="H11" s="12"/>
      <c r="I11" s="17"/>
      <c r="J11" s="18"/>
      <c r="K11" s="19">
        <f t="shared" si="0"/>
        <v>43.124400000000001</v>
      </c>
      <c r="L11" s="14"/>
      <c r="M11" s="15">
        <v>3.96</v>
      </c>
      <c r="N11" s="15">
        <v>10.89</v>
      </c>
    </row>
    <row r="12" spans="1:14" s="15" customFormat="1" ht="20.25" customHeight="1" x14ac:dyDescent="0.15">
      <c r="A12" s="60"/>
      <c r="B12" s="9"/>
      <c r="C12" s="58"/>
      <c r="D12" s="11"/>
      <c r="E12" s="10"/>
      <c r="F12" s="58"/>
      <c r="G12" s="12"/>
      <c r="H12" s="12"/>
      <c r="I12" s="17"/>
      <c r="J12" s="18"/>
      <c r="K12" s="19">
        <f t="shared" si="0"/>
        <v>0</v>
      </c>
      <c r="L12" s="14"/>
      <c r="N12" s="15">
        <v>10.89</v>
      </c>
    </row>
    <row r="13" spans="1:14" s="15" customFormat="1" ht="20.25" customHeight="1" x14ac:dyDescent="0.15">
      <c r="A13" s="60"/>
      <c r="B13" s="9"/>
      <c r="C13" s="58"/>
      <c r="D13" s="11"/>
      <c r="E13" s="10"/>
      <c r="F13" s="58"/>
      <c r="G13" s="12"/>
      <c r="H13" s="12"/>
      <c r="I13" s="17"/>
      <c r="J13" s="18"/>
      <c r="K13" s="19">
        <f t="shared" si="0"/>
        <v>0</v>
      </c>
      <c r="L13" s="14"/>
      <c r="N13" s="15">
        <v>10.89</v>
      </c>
    </row>
    <row r="14" spans="1:14" s="15" customFormat="1" ht="20.25" customHeight="1" x14ac:dyDescent="0.15">
      <c r="A14" s="60"/>
      <c r="B14" s="9"/>
      <c r="C14" s="58"/>
      <c r="D14" s="11"/>
      <c r="E14" s="10"/>
      <c r="F14" s="58"/>
      <c r="G14" s="12"/>
      <c r="H14" s="12"/>
      <c r="I14" s="17"/>
      <c r="J14" s="18"/>
      <c r="K14" s="19">
        <f t="shared" si="0"/>
        <v>0</v>
      </c>
      <c r="L14" s="20"/>
      <c r="N14" s="15">
        <v>10.89</v>
      </c>
    </row>
    <row r="15" spans="1:14" s="15" customFormat="1" ht="20.25" customHeight="1" x14ac:dyDescent="0.15">
      <c r="A15" s="60"/>
      <c r="B15" s="9"/>
      <c r="C15" s="58"/>
      <c r="D15" s="11"/>
      <c r="E15" s="10"/>
      <c r="F15" s="58"/>
      <c r="G15" s="12"/>
      <c r="H15" s="12"/>
      <c r="I15" s="17"/>
      <c r="J15" s="18"/>
      <c r="K15" s="19">
        <f t="shared" si="0"/>
        <v>0</v>
      </c>
      <c r="L15" s="20"/>
      <c r="N15" s="15">
        <v>10.89</v>
      </c>
    </row>
    <row r="16" spans="1:14" s="15" customFormat="1" ht="20.25" customHeight="1" x14ac:dyDescent="0.15">
      <c r="A16" s="60"/>
      <c r="B16" s="9"/>
      <c r="C16" s="58"/>
      <c r="D16" s="11"/>
      <c r="E16" s="10"/>
      <c r="F16" s="58"/>
      <c r="G16" s="12"/>
      <c r="H16" s="12"/>
      <c r="I16" s="17"/>
      <c r="J16" s="18"/>
      <c r="K16" s="19">
        <f t="shared" si="0"/>
        <v>0</v>
      </c>
      <c r="L16" s="20"/>
      <c r="N16" s="15">
        <v>10.89</v>
      </c>
    </row>
    <row r="17" spans="1:14" s="15" customFormat="1" ht="20.25" customHeight="1" x14ac:dyDescent="0.15">
      <c r="A17" s="60"/>
      <c r="B17" s="9"/>
      <c r="C17" s="58"/>
      <c r="D17" s="11"/>
      <c r="E17" s="10"/>
      <c r="F17" s="58"/>
      <c r="G17" s="12"/>
      <c r="H17" s="12"/>
      <c r="I17" s="17"/>
      <c r="J17" s="18"/>
      <c r="K17" s="19">
        <f t="shared" si="0"/>
        <v>0</v>
      </c>
      <c r="L17" s="20"/>
      <c r="N17" s="15">
        <v>10.89</v>
      </c>
    </row>
    <row r="18" spans="1:14" s="15" customFormat="1" ht="20.25" customHeight="1" x14ac:dyDescent="0.15">
      <c r="A18" s="60"/>
      <c r="B18" s="9"/>
      <c r="C18" s="58"/>
      <c r="D18" s="11"/>
      <c r="E18" s="10"/>
      <c r="F18" s="58"/>
      <c r="G18" s="12"/>
      <c r="H18" s="12"/>
      <c r="I18" s="17"/>
      <c r="J18" s="18"/>
      <c r="K18" s="19">
        <f t="shared" si="0"/>
        <v>0</v>
      </c>
      <c r="L18" s="20"/>
      <c r="N18" s="15">
        <v>10.89</v>
      </c>
    </row>
    <row r="19" spans="1:14" s="15" customFormat="1" ht="20.25" customHeight="1" x14ac:dyDescent="0.15">
      <c r="A19" s="60"/>
      <c r="B19" s="9"/>
      <c r="C19" s="58"/>
      <c r="D19" s="11"/>
      <c r="E19" s="10"/>
      <c r="F19" s="58"/>
      <c r="G19" s="12"/>
      <c r="H19" s="12"/>
      <c r="I19" s="17"/>
      <c r="J19" s="18"/>
      <c r="K19" s="19">
        <f t="shared" si="0"/>
        <v>0</v>
      </c>
      <c r="L19" s="20"/>
      <c r="N19" s="15">
        <v>10.89</v>
      </c>
    </row>
    <row r="20" spans="1:14" s="15" customFormat="1" ht="20.25" customHeight="1" x14ac:dyDescent="0.15">
      <c r="A20" s="60"/>
      <c r="B20" s="9"/>
      <c r="C20" s="58"/>
      <c r="D20" s="11"/>
      <c r="E20" s="10"/>
      <c r="F20" s="58"/>
      <c r="G20" s="12"/>
      <c r="H20" s="12"/>
      <c r="I20" s="17"/>
      <c r="J20" s="18"/>
      <c r="K20" s="19">
        <f t="shared" si="0"/>
        <v>0</v>
      </c>
      <c r="L20" s="20"/>
      <c r="N20" s="15">
        <v>10.89</v>
      </c>
    </row>
    <row r="21" spans="1:14" s="15" customFormat="1" ht="20.25" customHeight="1" x14ac:dyDescent="0.15">
      <c r="A21" s="60"/>
      <c r="B21" s="9"/>
      <c r="C21" s="58"/>
      <c r="D21" s="11"/>
      <c r="E21" s="10"/>
      <c r="F21" s="58"/>
      <c r="G21" s="50"/>
      <c r="H21" s="50"/>
      <c r="I21" s="17"/>
      <c r="J21" s="18"/>
      <c r="K21" s="19">
        <f t="shared" si="0"/>
        <v>0</v>
      </c>
      <c r="L21" s="20"/>
      <c r="N21" s="15">
        <v>10.89</v>
      </c>
    </row>
    <row r="22" spans="1:14" s="15" customFormat="1" ht="20.25" customHeight="1" x14ac:dyDescent="0.15">
      <c r="A22" s="60"/>
      <c r="B22" s="9"/>
      <c r="C22" s="58"/>
      <c r="D22" s="11"/>
      <c r="E22" s="10"/>
      <c r="F22" s="58"/>
      <c r="G22" s="50"/>
      <c r="H22" s="50"/>
      <c r="I22" s="17"/>
      <c r="J22" s="18"/>
      <c r="K22" s="19">
        <f t="shared" si="0"/>
        <v>0</v>
      </c>
      <c r="L22" s="20"/>
      <c r="N22" s="15">
        <v>10.89</v>
      </c>
    </row>
    <row r="23" spans="1:14" ht="20.25" customHeight="1" x14ac:dyDescent="0.15">
      <c r="A23" s="60"/>
      <c r="B23" s="9"/>
      <c r="C23" s="58"/>
      <c r="D23" s="11"/>
      <c r="E23" s="10"/>
      <c r="F23" s="58"/>
      <c r="G23" s="16"/>
      <c r="H23" s="16"/>
      <c r="I23" s="17"/>
      <c r="J23" s="18"/>
      <c r="K23" s="19">
        <f t="shared" si="0"/>
        <v>0</v>
      </c>
      <c r="L23" s="20"/>
      <c r="N23" s="15">
        <v>10.89</v>
      </c>
    </row>
    <row r="24" spans="1:14" ht="20.25" customHeight="1" thickBot="1" x14ac:dyDescent="0.2">
      <c r="A24" s="56"/>
      <c r="B24" s="21"/>
      <c r="C24" s="59"/>
      <c r="D24" s="22"/>
      <c r="E24" s="23"/>
      <c r="F24" s="23"/>
      <c r="G24" s="24"/>
      <c r="H24" s="24"/>
      <c r="I24" s="25"/>
      <c r="J24" s="46">
        <f>SUM(J8:J23)</f>
        <v>423</v>
      </c>
      <c r="K24" s="47">
        <f>SUM(K8:K23)</f>
        <v>6278.7383999999993</v>
      </c>
      <c r="L24" s="26"/>
    </row>
    <row r="25" spans="1:14" ht="20.25" customHeight="1" thickTop="1" x14ac:dyDescent="0.15">
      <c r="A25" s="60" t="s">
        <v>1762</v>
      </c>
      <c r="B25" s="9" t="s">
        <v>1761</v>
      </c>
      <c r="C25" s="58" t="s">
        <v>29</v>
      </c>
      <c r="D25" s="11" t="s">
        <v>1763</v>
      </c>
      <c r="E25" s="10">
        <v>43</v>
      </c>
      <c r="F25" s="58" t="s">
        <v>11</v>
      </c>
      <c r="G25" s="12">
        <v>432</v>
      </c>
      <c r="H25" s="12">
        <v>1157</v>
      </c>
      <c r="I25" s="17" t="s">
        <v>191</v>
      </c>
      <c r="J25" s="18">
        <v>10</v>
      </c>
      <c r="K25" s="19">
        <f t="shared" ref="K25:K40" si="1">+M25*N25</f>
        <v>43.124400000000001</v>
      </c>
      <c r="L25" s="54"/>
      <c r="M25" s="3">
        <v>3.96</v>
      </c>
      <c r="N25" s="15">
        <v>10.89</v>
      </c>
    </row>
    <row r="26" spans="1:14" ht="20.25" customHeight="1" x14ac:dyDescent="0.15">
      <c r="A26" s="60" t="s">
        <v>1784</v>
      </c>
      <c r="B26" s="9" t="s">
        <v>127</v>
      </c>
      <c r="C26" s="58" t="s">
        <v>29</v>
      </c>
      <c r="D26" s="11" t="s">
        <v>378</v>
      </c>
      <c r="E26" s="10">
        <v>28</v>
      </c>
      <c r="F26" s="10" t="s">
        <v>11</v>
      </c>
      <c r="G26" s="12">
        <v>615</v>
      </c>
      <c r="H26" s="12">
        <v>2353</v>
      </c>
      <c r="I26" s="17">
        <v>1</v>
      </c>
      <c r="J26" s="18">
        <v>1</v>
      </c>
      <c r="K26" s="19">
        <f t="shared" si="1"/>
        <v>15.7905</v>
      </c>
      <c r="L26" s="54"/>
      <c r="M26" s="3">
        <v>1.45</v>
      </c>
      <c r="N26" s="15">
        <v>10.89</v>
      </c>
    </row>
    <row r="27" spans="1:14" ht="20.25" customHeight="1" x14ac:dyDescent="0.15">
      <c r="A27" s="61"/>
      <c r="B27" s="9"/>
      <c r="C27" s="58" t="s">
        <v>29</v>
      </c>
      <c r="D27" s="11" t="s">
        <v>1876</v>
      </c>
      <c r="E27" s="10">
        <v>44</v>
      </c>
      <c r="F27" s="10" t="s">
        <v>11</v>
      </c>
      <c r="G27" s="12">
        <v>725</v>
      </c>
      <c r="H27" s="12">
        <v>2325</v>
      </c>
      <c r="I27" s="17">
        <v>2</v>
      </c>
      <c r="J27" s="18">
        <v>2</v>
      </c>
      <c r="K27" s="19">
        <f t="shared" si="1"/>
        <v>36.808199999999999</v>
      </c>
      <c r="L27" s="54"/>
      <c r="M27" s="3">
        <v>3.38</v>
      </c>
      <c r="N27" s="15">
        <v>10.89</v>
      </c>
    </row>
    <row r="28" spans="1:14" ht="20.25" customHeight="1" x14ac:dyDescent="0.15">
      <c r="A28" s="61" t="s">
        <v>1877</v>
      </c>
      <c r="B28" s="9" t="s">
        <v>138</v>
      </c>
      <c r="C28" s="58" t="s">
        <v>29</v>
      </c>
      <c r="D28" s="11" t="s">
        <v>372</v>
      </c>
      <c r="E28" s="10">
        <v>24</v>
      </c>
      <c r="F28" s="58"/>
      <c r="G28" s="12">
        <v>618</v>
      </c>
      <c r="H28" s="12">
        <v>1890</v>
      </c>
      <c r="I28" s="17" t="s">
        <v>544</v>
      </c>
      <c r="J28" s="18">
        <v>60</v>
      </c>
      <c r="K28" s="19">
        <f t="shared" si="1"/>
        <v>284.22900000000004</v>
      </c>
      <c r="L28" s="54"/>
      <c r="M28" s="3">
        <v>26.1</v>
      </c>
      <c r="N28" s="15">
        <v>10.89</v>
      </c>
    </row>
    <row r="29" spans="1:14" ht="20.25" customHeight="1" x14ac:dyDescent="0.15">
      <c r="A29" s="61"/>
      <c r="B29" s="9"/>
      <c r="C29" s="58" t="s">
        <v>29</v>
      </c>
      <c r="D29" s="11" t="s">
        <v>336</v>
      </c>
      <c r="E29" s="10">
        <v>24</v>
      </c>
      <c r="F29" s="58"/>
      <c r="G29" s="12">
        <v>1662</v>
      </c>
      <c r="H29" s="12">
        <v>1890</v>
      </c>
      <c r="I29" s="17" t="s">
        <v>492</v>
      </c>
      <c r="J29" s="18">
        <v>110</v>
      </c>
      <c r="K29" s="19">
        <f t="shared" si="1"/>
        <v>1167.4080000000001</v>
      </c>
      <c r="L29" s="54"/>
      <c r="M29" s="3">
        <v>107.2</v>
      </c>
      <c r="N29" s="15">
        <v>10.89</v>
      </c>
    </row>
    <row r="30" spans="1:14" ht="20.25" customHeight="1" x14ac:dyDescent="0.15">
      <c r="A30" s="61"/>
      <c r="B30" s="9"/>
      <c r="C30" s="58" t="s">
        <v>29</v>
      </c>
      <c r="D30" s="11" t="s">
        <v>224</v>
      </c>
      <c r="E30" s="10">
        <v>22</v>
      </c>
      <c r="F30" s="58" t="s">
        <v>11</v>
      </c>
      <c r="G30" s="12">
        <v>618</v>
      </c>
      <c r="H30" s="12">
        <v>1890</v>
      </c>
      <c r="I30" s="51">
        <v>10</v>
      </c>
      <c r="J30" s="52">
        <v>10</v>
      </c>
      <c r="K30" s="53">
        <f t="shared" si="1"/>
        <v>127.413</v>
      </c>
      <c r="L30" s="54"/>
      <c r="M30" s="3">
        <v>11.7</v>
      </c>
      <c r="N30" s="15">
        <v>10.89</v>
      </c>
    </row>
    <row r="31" spans="1:14" ht="20.25" customHeight="1" x14ac:dyDescent="0.15">
      <c r="A31" s="61" t="s">
        <v>1878</v>
      </c>
      <c r="B31" s="9" t="s">
        <v>138</v>
      </c>
      <c r="C31" s="58" t="s">
        <v>29</v>
      </c>
      <c r="D31" s="11" t="s">
        <v>372</v>
      </c>
      <c r="E31" s="10">
        <v>24</v>
      </c>
      <c r="F31" s="58"/>
      <c r="G31" s="12">
        <v>468</v>
      </c>
      <c r="H31" s="12">
        <v>390</v>
      </c>
      <c r="I31" s="51" t="s">
        <v>356</v>
      </c>
      <c r="J31" s="52">
        <v>80</v>
      </c>
      <c r="K31" s="53">
        <f t="shared" si="1"/>
        <v>887.53500000000008</v>
      </c>
      <c r="L31" s="54"/>
      <c r="M31" s="3">
        <v>81.5</v>
      </c>
      <c r="N31" s="15">
        <v>10.89</v>
      </c>
    </row>
    <row r="32" spans="1:14" ht="20.25" customHeight="1" x14ac:dyDescent="0.15">
      <c r="A32" s="60"/>
      <c r="B32" s="9"/>
      <c r="C32" s="58" t="s">
        <v>29</v>
      </c>
      <c r="D32" s="11" t="s">
        <v>336</v>
      </c>
      <c r="E32" s="10">
        <v>24</v>
      </c>
      <c r="F32" s="58"/>
      <c r="G32" s="12">
        <v>1762</v>
      </c>
      <c r="H32" s="12">
        <v>1890</v>
      </c>
      <c r="I32" s="17" t="s">
        <v>480</v>
      </c>
      <c r="J32" s="18">
        <v>80</v>
      </c>
      <c r="K32" s="19">
        <f t="shared" si="1"/>
        <v>1219.68</v>
      </c>
      <c r="L32" s="27"/>
      <c r="M32" s="3">
        <v>112</v>
      </c>
      <c r="N32" s="15">
        <v>10.89</v>
      </c>
    </row>
    <row r="33" spans="1:14" ht="20.25" customHeight="1" x14ac:dyDescent="0.15">
      <c r="A33" s="60"/>
      <c r="B33" s="9"/>
      <c r="C33" s="58" t="s">
        <v>29</v>
      </c>
      <c r="D33" s="11" t="s">
        <v>224</v>
      </c>
      <c r="E33" s="10">
        <v>22</v>
      </c>
      <c r="F33" s="58" t="s">
        <v>11</v>
      </c>
      <c r="G33" s="12">
        <v>618</v>
      </c>
      <c r="H33" s="12">
        <v>1890</v>
      </c>
      <c r="I33" s="17" t="s">
        <v>205</v>
      </c>
      <c r="J33" s="18">
        <v>20</v>
      </c>
      <c r="K33" s="19">
        <f t="shared" si="1"/>
        <v>250.47000000000003</v>
      </c>
      <c r="L33" s="27"/>
      <c r="M33" s="3">
        <v>23</v>
      </c>
      <c r="N33" s="15">
        <v>10.89</v>
      </c>
    </row>
    <row r="34" spans="1:14" ht="20.25" customHeight="1" x14ac:dyDescent="0.15">
      <c r="A34" s="60" t="s">
        <v>1786</v>
      </c>
      <c r="B34" s="9" t="s">
        <v>45</v>
      </c>
      <c r="C34" s="58" t="s">
        <v>29</v>
      </c>
      <c r="D34" s="11" t="s">
        <v>1879</v>
      </c>
      <c r="E34" s="10">
        <v>29.76</v>
      </c>
      <c r="F34" s="10" t="s">
        <v>11</v>
      </c>
      <c r="G34" s="12">
        <v>1080</v>
      </c>
      <c r="H34" s="12">
        <v>1005</v>
      </c>
      <c r="I34" s="17">
        <v>1</v>
      </c>
      <c r="J34" s="18">
        <v>1</v>
      </c>
      <c r="K34" s="19">
        <f t="shared" si="1"/>
        <v>11.870100000000001</v>
      </c>
      <c r="L34" s="27"/>
      <c r="M34" s="3">
        <v>1.0900000000000001</v>
      </c>
      <c r="N34" s="15">
        <v>10.89</v>
      </c>
    </row>
    <row r="35" spans="1:14" ht="20.25" customHeight="1" x14ac:dyDescent="0.15">
      <c r="A35" s="60" t="s">
        <v>1880</v>
      </c>
      <c r="B35" s="9" t="s">
        <v>1080</v>
      </c>
      <c r="C35" s="58" t="s">
        <v>29</v>
      </c>
      <c r="D35" s="11" t="s">
        <v>276</v>
      </c>
      <c r="E35" s="10">
        <v>24</v>
      </c>
      <c r="F35" s="10" t="s">
        <v>11</v>
      </c>
      <c r="G35" s="12">
        <v>730</v>
      </c>
      <c r="H35" s="12">
        <v>600</v>
      </c>
      <c r="I35" s="17" t="s">
        <v>337</v>
      </c>
      <c r="J35" s="18">
        <v>2</v>
      </c>
      <c r="K35" s="19">
        <f t="shared" si="1"/>
        <v>27.660600000000002</v>
      </c>
      <c r="L35" s="27"/>
      <c r="M35" s="3">
        <v>2.54</v>
      </c>
      <c r="N35" s="15">
        <v>10.89</v>
      </c>
    </row>
    <row r="36" spans="1:14" ht="20.25" customHeight="1" x14ac:dyDescent="0.15">
      <c r="A36" s="60"/>
      <c r="B36" s="9"/>
      <c r="C36" s="58" t="s">
        <v>29</v>
      </c>
      <c r="D36" s="11" t="s">
        <v>1881</v>
      </c>
      <c r="E36" s="10">
        <v>24</v>
      </c>
      <c r="F36" s="10" t="s">
        <v>11</v>
      </c>
      <c r="G36" s="12">
        <v>730</v>
      </c>
      <c r="H36" s="12">
        <v>1323</v>
      </c>
      <c r="I36" s="17">
        <v>1</v>
      </c>
      <c r="J36" s="18">
        <v>1</v>
      </c>
      <c r="K36" s="19">
        <f t="shared" si="1"/>
        <v>10.5633</v>
      </c>
      <c r="L36" s="27"/>
      <c r="M36" s="3">
        <v>0.97</v>
      </c>
      <c r="N36" s="15">
        <v>10.89</v>
      </c>
    </row>
    <row r="37" spans="1:14" ht="20.25" customHeight="1" x14ac:dyDescent="0.15">
      <c r="A37" s="60" t="s">
        <v>1882</v>
      </c>
      <c r="B37" s="9" t="s">
        <v>127</v>
      </c>
      <c r="C37" s="58" t="s">
        <v>29</v>
      </c>
      <c r="D37" s="11" t="s">
        <v>378</v>
      </c>
      <c r="E37" s="10">
        <v>28</v>
      </c>
      <c r="F37" s="10" t="s">
        <v>11</v>
      </c>
      <c r="G37" s="12">
        <v>733</v>
      </c>
      <c r="H37" s="12">
        <v>2060</v>
      </c>
      <c r="I37" s="17">
        <v>12</v>
      </c>
      <c r="J37" s="18">
        <v>12</v>
      </c>
      <c r="K37" s="19">
        <f t="shared" si="1"/>
        <v>197.32680000000002</v>
      </c>
      <c r="L37" s="27"/>
      <c r="M37" s="3">
        <v>18.12</v>
      </c>
      <c r="N37" s="15">
        <v>10.89</v>
      </c>
    </row>
    <row r="38" spans="1:14" ht="20.25" customHeight="1" x14ac:dyDescent="0.15">
      <c r="A38" s="60"/>
      <c r="B38" s="9"/>
      <c r="C38" s="58"/>
      <c r="D38" s="11"/>
      <c r="E38" s="10"/>
      <c r="F38" s="10"/>
      <c r="G38" s="12"/>
      <c r="H38" s="12"/>
      <c r="I38" s="17"/>
      <c r="J38" s="18"/>
      <c r="K38" s="19">
        <f t="shared" si="1"/>
        <v>0</v>
      </c>
      <c r="L38" s="27"/>
      <c r="N38" s="15">
        <v>10.89</v>
      </c>
    </row>
    <row r="39" spans="1:14" ht="20.25" customHeight="1" x14ac:dyDescent="0.15">
      <c r="A39" s="60"/>
      <c r="B39" s="9"/>
      <c r="C39" s="58"/>
      <c r="D39" s="11"/>
      <c r="E39" s="10"/>
      <c r="F39" s="10"/>
      <c r="G39" s="12"/>
      <c r="H39" s="12"/>
      <c r="I39" s="17"/>
      <c r="J39" s="18"/>
      <c r="K39" s="19">
        <f t="shared" si="1"/>
        <v>0</v>
      </c>
      <c r="L39" s="27"/>
      <c r="N39" s="15">
        <v>10.89</v>
      </c>
    </row>
    <row r="40" spans="1:14" ht="20.25" customHeight="1" x14ac:dyDescent="0.15">
      <c r="A40" s="60"/>
      <c r="B40" s="9"/>
      <c r="C40" s="58"/>
      <c r="D40" s="11"/>
      <c r="E40" s="10"/>
      <c r="F40" s="10"/>
      <c r="G40" s="12"/>
      <c r="H40" s="12"/>
      <c r="I40" s="17"/>
      <c r="J40" s="18"/>
      <c r="K40" s="19">
        <f t="shared" si="1"/>
        <v>0</v>
      </c>
      <c r="L40" s="27"/>
      <c r="N40" s="15">
        <v>10.89</v>
      </c>
    </row>
    <row r="41" spans="1:14" ht="20.25" customHeight="1" x14ac:dyDescent="0.15">
      <c r="A41" s="57"/>
      <c r="B41" s="28"/>
      <c r="C41" s="10"/>
      <c r="D41" s="29"/>
      <c r="E41" s="30"/>
      <c r="F41" s="30"/>
      <c r="G41" s="30"/>
      <c r="H41" s="30"/>
      <c r="I41" s="13"/>
      <c r="J41" s="48">
        <f>SUM(J25:J40)</f>
        <v>389</v>
      </c>
      <c r="K41" s="49">
        <f>SUM(K25:K40)</f>
        <v>4279.8789000000006</v>
      </c>
      <c r="L41" s="31"/>
      <c r="N41" s="32"/>
    </row>
    <row r="42" spans="1:14" ht="20.25" customHeight="1" thickBot="1" x14ac:dyDescent="0.2">
      <c r="A42" s="55"/>
      <c r="B42" s="33"/>
      <c r="C42" s="33"/>
      <c r="D42" s="33"/>
      <c r="E42" s="33"/>
      <c r="F42" s="33"/>
      <c r="G42" s="33"/>
      <c r="H42" s="33"/>
      <c r="I42" s="33"/>
      <c r="J42" s="34"/>
      <c r="K42" s="35"/>
      <c r="L42" s="36"/>
    </row>
    <row r="43" spans="1:14" ht="20.25" customHeight="1" thickBot="1" x14ac:dyDescent="0.2">
      <c r="A43" s="37" t="s">
        <v>19</v>
      </c>
      <c r="B43" s="38" t="s">
        <v>20</v>
      </c>
      <c r="C43" s="77" t="s">
        <v>21</v>
      </c>
      <c r="D43" s="79"/>
      <c r="E43" s="77" t="s">
        <v>22</v>
      </c>
      <c r="F43" s="78"/>
      <c r="G43" s="79"/>
      <c r="H43" s="85" t="s">
        <v>23</v>
      </c>
      <c r="I43" s="86"/>
      <c r="J43" s="77" t="s">
        <v>24</v>
      </c>
      <c r="K43" s="79"/>
      <c r="L43" s="39" t="s">
        <v>13</v>
      </c>
    </row>
    <row r="44" spans="1:14" ht="20.25" customHeight="1" thickBot="1" x14ac:dyDescent="0.2">
      <c r="A44" s="40">
        <f>SUMIF($C$8:$C$42,"U1",$J$8:$J$42)</f>
        <v>0</v>
      </c>
      <c r="B44" s="41">
        <f>SUMIF($C$8:$C$42,"U2",$J$8:$J$42)</f>
        <v>0</v>
      </c>
      <c r="C44" s="77">
        <f>SUMIF($C$8:$C$42,"U3-1",$J$8:$J$42)</f>
        <v>0</v>
      </c>
      <c r="D44" s="79"/>
      <c r="E44" s="77">
        <f>SUMIF($C$8:$C$42,"U3",$J$8:$J$42)</f>
        <v>812</v>
      </c>
      <c r="F44" s="78"/>
      <c r="G44" s="79"/>
      <c r="H44" s="77">
        <f>SUMIF($C$8:$C$42,"E5",$J$8:$J$42)</f>
        <v>0</v>
      </c>
      <c r="I44" s="79"/>
      <c r="J44" s="77">
        <f>SUM(A44:I44)</f>
        <v>812</v>
      </c>
      <c r="K44" s="79"/>
      <c r="L44" s="42"/>
    </row>
    <row r="45" spans="1:14" ht="20.25" customHeight="1" thickBot="1" x14ac:dyDescent="0.2">
      <c r="A45" s="43" t="s">
        <v>25</v>
      </c>
      <c r="B45" s="44" t="s">
        <v>26</v>
      </c>
      <c r="C45" s="75">
        <v>13876</v>
      </c>
      <c r="D45" s="76"/>
      <c r="E45" s="77" t="s">
        <v>27</v>
      </c>
      <c r="F45" s="78"/>
      <c r="G45" s="78"/>
      <c r="H45" s="78"/>
      <c r="I45" s="79"/>
      <c r="J45" s="80">
        <v>146744.37</v>
      </c>
      <c r="K45" s="81"/>
      <c r="L45" s="82"/>
    </row>
    <row r="47" spans="1:14" x14ac:dyDescent="0.15">
      <c r="D47" s="45"/>
    </row>
  </sheetData>
  <mergeCells count="26">
    <mergeCell ref="C45:D45"/>
    <mergeCell ref="E45:I45"/>
    <mergeCell ref="J45:L45"/>
    <mergeCell ref="L6:L7"/>
    <mergeCell ref="C43:D43"/>
    <mergeCell ref="E43:G43"/>
    <mergeCell ref="H43:I43"/>
    <mergeCell ref="J43:K43"/>
    <mergeCell ref="C44:D44"/>
    <mergeCell ref="E44:G44"/>
    <mergeCell ref="H44:I44"/>
    <mergeCell ref="J44:K44"/>
    <mergeCell ref="B5:G5"/>
    <mergeCell ref="A6:A7"/>
    <mergeCell ref="B6:B7"/>
    <mergeCell ref="C6:C7"/>
    <mergeCell ref="D6:D7"/>
    <mergeCell ref="E6:E7"/>
    <mergeCell ref="F6:F7"/>
    <mergeCell ref="G6:K6"/>
    <mergeCell ref="L2:L4"/>
    <mergeCell ref="A1:G3"/>
    <mergeCell ref="H1:H4"/>
    <mergeCell ref="I2:I4"/>
    <mergeCell ref="J2:J4"/>
    <mergeCell ref="K2:K4"/>
  </mergeCells>
  <phoneticPr fontId="2" type="noConversion"/>
  <printOptions horizontalCentered="1"/>
  <pageMargins left="0.39370078740157483" right="0.39370078740157483" top="0.74803149606299213" bottom="0.19685039370078741" header="0.31496062992125984" footer="0.15748031496062992"/>
  <pageSetup paperSize="9" scale="84" orientation="portrait" r:id="rId1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98B032-AF99-44AE-B5B1-E6616EE73C08}">
  <dimension ref="A1:N47"/>
  <sheetViews>
    <sheetView view="pageBreakPreview" topLeftCell="A7" zoomScaleSheetLayoutView="100" workbookViewId="0">
      <selection activeCell="B25" sqref="B25:F25"/>
    </sheetView>
  </sheetViews>
  <sheetFormatPr defaultColWidth="8.88671875" defaultRowHeight="13.5" x14ac:dyDescent="0.15"/>
  <cols>
    <col min="1" max="1" width="8.44140625" style="3" customWidth="1"/>
    <col min="2" max="2" width="14.77734375" style="3" customWidth="1"/>
    <col min="3" max="3" width="4.109375" style="3" customWidth="1"/>
    <col min="4" max="4" width="15.21875" style="3" customWidth="1"/>
    <col min="5" max="5" width="4.44140625" style="3" customWidth="1"/>
    <col min="6" max="6" width="4" style="3" customWidth="1"/>
    <col min="7" max="7" width="5.5546875" style="3" customWidth="1"/>
    <col min="8" max="8" width="5.44140625" style="3" customWidth="1"/>
    <col min="9" max="9" width="7.88671875" style="3" customWidth="1"/>
    <col min="10" max="10" width="7.109375" style="3" customWidth="1"/>
    <col min="11" max="11" width="7.21875" style="3" customWidth="1"/>
    <col min="12" max="12" width="6.77734375" style="3" customWidth="1"/>
    <col min="13" max="16384" width="8.88671875" style="3"/>
  </cols>
  <sheetData>
    <row r="1" spans="1:14" ht="18.75" customHeight="1" x14ac:dyDescent="0.15">
      <c r="A1" s="101" t="s">
        <v>0</v>
      </c>
      <c r="B1" s="102"/>
      <c r="C1" s="102"/>
      <c r="D1" s="102"/>
      <c r="E1" s="102"/>
      <c r="F1" s="102"/>
      <c r="G1" s="103"/>
      <c r="H1" s="107" t="s">
        <v>1</v>
      </c>
      <c r="I1" s="1" t="s">
        <v>2</v>
      </c>
      <c r="J1" s="1" t="s">
        <v>2</v>
      </c>
      <c r="K1" s="1" t="s">
        <v>3</v>
      </c>
      <c r="L1" s="2" t="s">
        <v>4</v>
      </c>
    </row>
    <row r="2" spans="1:14" ht="13.5" customHeight="1" x14ac:dyDescent="0.15">
      <c r="A2" s="104"/>
      <c r="B2" s="105"/>
      <c r="C2" s="105"/>
      <c r="D2" s="105"/>
      <c r="E2" s="105"/>
      <c r="F2" s="105"/>
      <c r="G2" s="106"/>
      <c r="H2" s="108"/>
      <c r="I2" s="110"/>
      <c r="J2" s="110"/>
      <c r="K2" s="110"/>
      <c r="L2" s="98"/>
    </row>
    <row r="3" spans="1:14" ht="13.5" customHeight="1" x14ac:dyDescent="0.15">
      <c r="A3" s="104"/>
      <c r="B3" s="105"/>
      <c r="C3" s="105"/>
      <c r="D3" s="105"/>
      <c r="E3" s="105"/>
      <c r="F3" s="105"/>
      <c r="G3" s="106"/>
      <c r="H3" s="108"/>
      <c r="I3" s="108"/>
      <c r="J3" s="108"/>
      <c r="K3" s="108"/>
      <c r="L3" s="99"/>
    </row>
    <row r="4" spans="1:14" ht="33" customHeight="1" x14ac:dyDescent="0.15">
      <c r="A4" s="4"/>
      <c r="B4" s="5"/>
      <c r="C4" s="5"/>
      <c r="D4" s="5"/>
      <c r="E4" s="5"/>
      <c r="F4" s="5"/>
      <c r="G4" s="5"/>
      <c r="H4" s="109"/>
      <c r="I4" s="109"/>
      <c r="J4" s="109"/>
      <c r="K4" s="109"/>
      <c r="L4" s="100"/>
    </row>
    <row r="5" spans="1:14" ht="17.25" customHeight="1" x14ac:dyDescent="0.15">
      <c r="A5" s="6" t="s">
        <v>5</v>
      </c>
      <c r="B5" s="87">
        <v>46123</v>
      </c>
      <c r="C5" s="88"/>
      <c r="D5" s="88"/>
      <c r="E5" s="88"/>
      <c r="F5" s="88"/>
      <c r="G5" s="88"/>
      <c r="H5" s="5"/>
      <c r="I5" s="5"/>
      <c r="J5" s="5"/>
      <c r="K5" s="5"/>
      <c r="L5" s="7"/>
    </row>
    <row r="6" spans="1:14" ht="13.5" customHeight="1" x14ac:dyDescent="0.15">
      <c r="A6" s="89" t="s">
        <v>6</v>
      </c>
      <c r="B6" s="91" t="s">
        <v>7</v>
      </c>
      <c r="C6" s="91" t="s">
        <v>8</v>
      </c>
      <c r="D6" s="91" t="s">
        <v>9</v>
      </c>
      <c r="E6" s="93" t="s">
        <v>10</v>
      </c>
      <c r="F6" s="93" t="s">
        <v>11</v>
      </c>
      <c r="G6" s="95" t="s">
        <v>12</v>
      </c>
      <c r="H6" s="96"/>
      <c r="I6" s="96"/>
      <c r="J6" s="96"/>
      <c r="K6" s="97"/>
      <c r="L6" s="83" t="s">
        <v>13</v>
      </c>
    </row>
    <row r="7" spans="1:14" x14ac:dyDescent="0.15">
      <c r="A7" s="90"/>
      <c r="B7" s="92"/>
      <c r="C7" s="92"/>
      <c r="D7" s="92"/>
      <c r="E7" s="94"/>
      <c r="F7" s="94"/>
      <c r="G7" s="8" t="s">
        <v>14</v>
      </c>
      <c r="H7" s="8" t="s">
        <v>15</v>
      </c>
      <c r="I7" s="8" t="s">
        <v>16</v>
      </c>
      <c r="J7" s="8" t="s">
        <v>17</v>
      </c>
      <c r="K7" s="8" t="s">
        <v>18</v>
      </c>
      <c r="L7" s="84"/>
    </row>
    <row r="8" spans="1:14" s="15" customFormat="1" ht="20.25" customHeight="1" x14ac:dyDescent="0.15">
      <c r="A8" s="60" t="s">
        <v>1883</v>
      </c>
      <c r="B8" s="9" t="s">
        <v>173</v>
      </c>
      <c r="C8" s="58" t="s">
        <v>29</v>
      </c>
      <c r="D8" s="11" t="s">
        <v>195</v>
      </c>
      <c r="E8" s="10">
        <v>22</v>
      </c>
      <c r="F8" s="58"/>
      <c r="G8" s="12">
        <v>954</v>
      </c>
      <c r="H8" s="12">
        <v>1967</v>
      </c>
      <c r="I8" s="17" t="s">
        <v>1884</v>
      </c>
      <c r="J8" s="18">
        <v>84</v>
      </c>
      <c r="K8" s="19">
        <f>+M8*N8</f>
        <v>829.38239999999996</v>
      </c>
      <c r="L8" s="14"/>
      <c r="M8" s="15">
        <v>76.16</v>
      </c>
      <c r="N8" s="15">
        <v>10.89</v>
      </c>
    </row>
    <row r="9" spans="1:14" s="15" customFormat="1" ht="20.25" customHeight="1" x14ac:dyDescent="0.15">
      <c r="A9" s="60" t="s">
        <v>1885</v>
      </c>
      <c r="B9" s="9" t="s">
        <v>173</v>
      </c>
      <c r="C9" s="58" t="s">
        <v>29</v>
      </c>
      <c r="D9" s="11" t="s">
        <v>195</v>
      </c>
      <c r="E9" s="10">
        <v>22</v>
      </c>
      <c r="F9" s="58"/>
      <c r="G9" s="12">
        <v>1620</v>
      </c>
      <c r="H9" s="12">
        <v>1885</v>
      </c>
      <c r="I9" s="17">
        <v>4</v>
      </c>
      <c r="J9" s="18">
        <v>4</v>
      </c>
      <c r="K9" s="19">
        <f t="shared" ref="K9:K23" si="0">+M9*N9</f>
        <v>132.858</v>
      </c>
      <c r="L9" s="14"/>
      <c r="M9" s="15">
        <v>12.2</v>
      </c>
      <c r="N9" s="15">
        <v>10.89</v>
      </c>
    </row>
    <row r="10" spans="1:14" s="15" customFormat="1" ht="20.25" customHeight="1" x14ac:dyDescent="0.15">
      <c r="A10" s="60" t="s">
        <v>1886</v>
      </c>
      <c r="B10" s="9" t="s">
        <v>173</v>
      </c>
      <c r="C10" s="58" t="s">
        <v>29</v>
      </c>
      <c r="D10" s="11" t="s">
        <v>195</v>
      </c>
      <c r="E10" s="10">
        <v>22</v>
      </c>
      <c r="F10" s="58"/>
      <c r="G10" s="12">
        <v>754</v>
      </c>
      <c r="H10" s="12">
        <v>1967</v>
      </c>
      <c r="I10" s="17" t="s">
        <v>1887</v>
      </c>
      <c r="J10" s="18">
        <v>208</v>
      </c>
      <c r="K10" s="19">
        <f t="shared" si="0"/>
        <v>1852.6068000000002</v>
      </c>
      <c r="L10" s="14"/>
      <c r="M10" s="15">
        <v>170.12</v>
      </c>
      <c r="N10" s="15">
        <v>10.89</v>
      </c>
    </row>
    <row r="11" spans="1:14" s="15" customFormat="1" ht="20.25" customHeight="1" x14ac:dyDescent="0.15">
      <c r="A11" s="60" t="s">
        <v>1875</v>
      </c>
      <c r="B11" s="9" t="s">
        <v>138</v>
      </c>
      <c r="C11" s="58" t="s">
        <v>29</v>
      </c>
      <c r="D11" s="11" t="s">
        <v>372</v>
      </c>
      <c r="E11" s="10">
        <v>24</v>
      </c>
      <c r="F11" s="58"/>
      <c r="G11" s="12">
        <v>318</v>
      </c>
      <c r="H11" s="12">
        <v>340</v>
      </c>
      <c r="I11" s="17">
        <v>10</v>
      </c>
      <c r="J11" s="18">
        <v>10</v>
      </c>
      <c r="K11" s="19">
        <f t="shared" si="0"/>
        <v>30.492000000000001</v>
      </c>
      <c r="L11" s="14"/>
      <c r="M11" s="15">
        <v>2.8</v>
      </c>
      <c r="N11" s="15">
        <v>10.89</v>
      </c>
    </row>
    <row r="12" spans="1:14" s="15" customFormat="1" ht="20.25" customHeight="1" x14ac:dyDescent="0.15">
      <c r="A12" s="60"/>
      <c r="B12" s="9"/>
      <c r="C12" s="58" t="s">
        <v>29</v>
      </c>
      <c r="D12" s="11" t="s">
        <v>336</v>
      </c>
      <c r="E12" s="10">
        <v>24</v>
      </c>
      <c r="F12" s="58"/>
      <c r="G12" s="12">
        <v>1662</v>
      </c>
      <c r="H12" s="12">
        <v>1890</v>
      </c>
      <c r="I12" s="17" t="s">
        <v>443</v>
      </c>
      <c r="J12" s="18">
        <v>100</v>
      </c>
      <c r="K12" s="19">
        <f t="shared" si="0"/>
        <v>1039.9950000000001</v>
      </c>
      <c r="L12" s="14"/>
      <c r="M12" s="15">
        <v>95.5</v>
      </c>
      <c r="N12" s="15">
        <v>10.89</v>
      </c>
    </row>
    <row r="13" spans="1:14" s="15" customFormat="1" ht="20.25" customHeight="1" x14ac:dyDescent="0.15">
      <c r="A13" s="60" t="s">
        <v>1888</v>
      </c>
      <c r="B13" s="9" t="s">
        <v>80</v>
      </c>
      <c r="C13" s="58" t="s">
        <v>29</v>
      </c>
      <c r="D13" s="11" t="s">
        <v>243</v>
      </c>
      <c r="E13" s="10">
        <v>24</v>
      </c>
      <c r="F13" s="58" t="s">
        <v>11</v>
      </c>
      <c r="G13" s="12">
        <v>2000</v>
      </c>
      <c r="H13" s="12">
        <v>1090</v>
      </c>
      <c r="I13" s="17">
        <v>1</v>
      </c>
      <c r="J13" s="18">
        <v>1</v>
      </c>
      <c r="K13" s="19">
        <f t="shared" si="0"/>
        <v>23.740200000000002</v>
      </c>
      <c r="L13" s="14"/>
      <c r="M13" s="15">
        <v>2.1800000000000002</v>
      </c>
      <c r="N13" s="15">
        <v>10.89</v>
      </c>
    </row>
    <row r="14" spans="1:14" s="15" customFormat="1" ht="20.25" customHeight="1" x14ac:dyDescent="0.15">
      <c r="A14" s="60"/>
      <c r="B14" s="9"/>
      <c r="C14" s="58"/>
      <c r="D14" s="11"/>
      <c r="E14" s="10"/>
      <c r="F14" s="58"/>
      <c r="G14" s="12"/>
      <c r="H14" s="12"/>
      <c r="I14" s="17"/>
      <c r="J14" s="18"/>
      <c r="K14" s="19">
        <f t="shared" si="0"/>
        <v>0</v>
      </c>
      <c r="L14" s="20"/>
      <c r="N14" s="15">
        <v>10.89</v>
      </c>
    </row>
    <row r="15" spans="1:14" s="15" customFormat="1" ht="20.25" customHeight="1" x14ac:dyDescent="0.15">
      <c r="A15" s="60"/>
      <c r="B15" s="9"/>
      <c r="C15" s="58"/>
      <c r="D15" s="11"/>
      <c r="E15" s="10"/>
      <c r="F15" s="58"/>
      <c r="G15" s="12"/>
      <c r="H15" s="12"/>
      <c r="I15" s="17"/>
      <c r="J15" s="18"/>
      <c r="K15" s="19">
        <f t="shared" si="0"/>
        <v>0</v>
      </c>
      <c r="L15" s="20"/>
      <c r="N15" s="15">
        <v>10.89</v>
      </c>
    </row>
    <row r="16" spans="1:14" s="15" customFormat="1" ht="20.25" customHeight="1" x14ac:dyDescent="0.15">
      <c r="A16" s="60"/>
      <c r="B16" s="9"/>
      <c r="C16" s="58"/>
      <c r="D16" s="11"/>
      <c r="E16" s="10"/>
      <c r="F16" s="58"/>
      <c r="G16" s="12"/>
      <c r="H16" s="12"/>
      <c r="I16" s="17"/>
      <c r="J16" s="18"/>
      <c r="K16" s="19">
        <f t="shared" si="0"/>
        <v>0</v>
      </c>
      <c r="L16" s="20"/>
      <c r="N16" s="15">
        <v>10.89</v>
      </c>
    </row>
    <row r="17" spans="1:14" s="15" customFormat="1" ht="20.25" customHeight="1" x14ac:dyDescent="0.15">
      <c r="A17" s="60"/>
      <c r="B17" s="9"/>
      <c r="C17" s="58"/>
      <c r="D17" s="11"/>
      <c r="E17" s="10"/>
      <c r="F17" s="58"/>
      <c r="G17" s="12"/>
      <c r="H17" s="12"/>
      <c r="I17" s="17"/>
      <c r="J17" s="18"/>
      <c r="K17" s="19">
        <f t="shared" si="0"/>
        <v>0</v>
      </c>
      <c r="L17" s="20"/>
      <c r="N17" s="15">
        <v>10.89</v>
      </c>
    </row>
    <row r="18" spans="1:14" s="15" customFormat="1" ht="20.25" customHeight="1" x14ac:dyDescent="0.15">
      <c r="A18" s="60"/>
      <c r="B18" s="9"/>
      <c r="C18" s="58"/>
      <c r="D18" s="11"/>
      <c r="E18" s="10"/>
      <c r="F18" s="58"/>
      <c r="G18" s="12"/>
      <c r="H18" s="12"/>
      <c r="I18" s="17"/>
      <c r="J18" s="18"/>
      <c r="K18" s="19">
        <f t="shared" si="0"/>
        <v>0</v>
      </c>
      <c r="L18" s="20"/>
      <c r="N18" s="15">
        <v>10.89</v>
      </c>
    </row>
    <row r="19" spans="1:14" s="15" customFormat="1" ht="20.25" customHeight="1" x14ac:dyDescent="0.15">
      <c r="A19" s="60"/>
      <c r="B19" s="9"/>
      <c r="C19" s="58"/>
      <c r="D19" s="11"/>
      <c r="E19" s="10"/>
      <c r="F19" s="58"/>
      <c r="G19" s="12"/>
      <c r="H19" s="12"/>
      <c r="I19" s="17"/>
      <c r="J19" s="18"/>
      <c r="K19" s="19">
        <f t="shared" si="0"/>
        <v>0</v>
      </c>
      <c r="L19" s="20"/>
      <c r="N19" s="15">
        <v>10.89</v>
      </c>
    </row>
    <row r="20" spans="1:14" s="15" customFormat="1" ht="20.25" customHeight="1" x14ac:dyDescent="0.15">
      <c r="A20" s="60"/>
      <c r="B20" s="9"/>
      <c r="C20" s="58"/>
      <c r="D20" s="11"/>
      <c r="E20" s="10"/>
      <c r="F20" s="58"/>
      <c r="G20" s="12"/>
      <c r="H20" s="12"/>
      <c r="I20" s="17"/>
      <c r="J20" s="18"/>
      <c r="K20" s="19">
        <f t="shared" si="0"/>
        <v>0</v>
      </c>
      <c r="L20" s="20"/>
      <c r="N20" s="15">
        <v>10.89</v>
      </c>
    </row>
    <row r="21" spans="1:14" s="15" customFormat="1" ht="20.25" customHeight="1" x14ac:dyDescent="0.15">
      <c r="A21" s="60"/>
      <c r="B21" s="9"/>
      <c r="C21" s="58"/>
      <c r="D21" s="11"/>
      <c r="E21" s="10"/>
      <c r="F21" s="58"/>
      <c r="G21" s="50"/>
      <c r="H21" s="50"/>
      <c r="I21" s="17"/>
      <c r="J21" s="18"/>
      <c r="K21" s="19">
        <f t="shared" si="0"/>
        <v>0</v>
      </c>
      <c r="L21" s="20"/>
      <c r="N21" s="15">
        <v>10.89</v>
      </c>
    </row>
    <row r="22" spans="1:14" s="15" customFormat="1" ht="20.25" customHeight="1" x14ac:dyDescent="0.15">
      <c r="A22" s="60"/>
      <c r="B22" s="9"/>
      <c r="C22" s="58"/>
      <c r="D22" s="11"/>
      <c r="E22" s="10"/>
      <c r="F22" s="58"/>
      <c r="G22" s="50"/>
      <c r="H22" s="50"/>
      <c r="I22" s="17"/>
      <c r="J22" s="18"/>
      <c r="K22" s="19">
        <f t="shared" si="0"/>
        <v>0</v>
      </c>
      <c r="L22" s="20"/>
      <c r="N22" s="15">
        <v>10.89</v>
      </c>
    </row>
    <row r="23" spans="1:14" ht="20.25" customHeight="1" x14ac:dyDescent="0.15">
      <c r="A23" s="60"/>
      <c r="B23" s="9"/>
      <c r="C23" s="58"/>
      <c r="D23" s="11"/>
      <c r="E23" s="10"/>
      <c r="F23" s="58"/>
      <c r="G23" s="16"/>
      <c r="H23" s="16"/>
      <c r="I23" s="17"/>
      <c r="J23" s="18"/>
      <c r="K23" s="19">
        <f t="shared" si="0"/>
        <v>0</v>
      </c>
      <c r="L23" s="20"/>
      <c r="N23" s="15">
        <v>10.89</v>
      </c>
    </row>
    <row r="24" spans="1:14" ht="20.25" customHeight="1" thickBot="1" x14ac:dyDescent="0.2">
      <c r="A24" s="56"/>
      <c r="B24" s="21"/>
      <c r="C24" s="59"/>
      <c r="D24" s="22"/>
      <c r="E24" s="23"/>
      <c r="F24" s="23"/>
      <c r="G24" s="24"/>
      <c r="H24" s="24"/>
      <c r="I24" s="25"/>
      <c r="J24" s="46">
        <f>SUM(J8:J23)</f>
        <v>407</v>
      </c>
      <c r="K24" s="47">
        <f>SUM(K8:K23)</f>
        <v>3909.0744000000004</v>
      </c>
      <c r="L24" s="26"/>
    </row>
    <row r="25" spans="1:14" ht="20.25" customHeight="1" thickTop="1" x14ac:dyDescent="0.15">
      <c r="A25" s="60" t="s">
        <v>1889</v>
      </c>
      <c r="B25" s="9" t="s">
        <v>123</v>
      </c>
      <c r="C25" s="58" t="s">
        <v>29</v>
      </c>
      <c r="D25" s="11" t="s">
        <v>1890</v>
      </c>
      <c r="E25" s="10">
        <v>43</v>
      </c>
      <c r="F25" s="10" t="s">
        <v>11</v>
      </c>
      <c r="G25" s="12">
        <v>1888</v>
      </c>
      <c r="H25" s="12">
        <v>2166</v>
      </c>
      <c r="I25" s="17">
        <v>53</v>
      </c>
      <c r="J25" s="18">
        <v>53</v>
      </c>
      <c r="K25" s="19">
        <f t="shared" ref="K25:K40" si="1">+M25*N25</f>
        <v>2360.6253000000002</v>
      </c>
      <c r="L25" s="54"/>
      <c r="M25" s="3">
        <v>216.77</v>
      </c>
      <c r="N25" s="15">
        <v>10.89</v>
      </c>
    </row>
    <row r="26" spans="1:14" ht="20.25" customHeight="1" x14ac:dyDescent="0.15">
      <c r="A26" s="60" t="s">
        <v>1878</v>
      </c>
      <c r="B26" s="9" t="s">
        <v>138</v>
      </c>
      <c r="C26" s="58" t="s">
        <v>29</v>
      </c>
      <c r="D26" s="11" t="s">
        <v>336</v>
      </c>
      <c r="E26" s="10">
        <v>24</v>
      </c>
      <c r="F26" s="58"/>
      <c r="G26" s="12">
        <v>468</v>
      </c>
      <c r="H26" s="12">
        <v>390</v>
      </c>
      <c r="I26" s="17">
        <v>10</v>
      </c>
      <c r="J26" s="18">
        <v>10</v>
      </c>
      <c r="K26" s="19">
        <f t="shared" si="1"/>
        <v>30.492000000000001</v>
      </c>
      <c r="L26" s="54"/>
      <c r="M26" s="3">
        <v>2.8</v>
      </c>
      <c r="N26" s="15">
        <v>10.89</v>
      </c>
    </row>
    <row r="27" spans="1:14" ht="20.25" customHeight="1" x14ac:dyDescent="0.15">
      <c r="A27" s="61" t="s">
        <v>1891</v>
      </c>
      <c r="B27" s="9" t="s">
        <v>1377</v>
      </c>
      <c r="C27" s="58" t="s">
        <v>29</v>
      </c>
      <c r="D27" s="11" t="s">
        <v>1825</v>
      </c>
      <c r="E27" s="10">
        <v>24</v>
      </c>
      <c r="F27" s="10" t="s">
        <v>11</v>
      </c>
      <c r="G27" s="12">
        <v>1041</v>
      </c>
      <c r="H27" s="12">
        <v>1482</v>
      </c>
      <c r="I27" s="17" t="s">
        <v>1892</v>
      </c>
      <c r="J27" s="18">
        <v>160</v>
      </c>
      <c r="K27" s="19">
        <f t="shared" si="1"/>
        <v>1474.9416000000001</v>
      </c>
      <c r="L27" s="54"/>
      <c r="M27" s="3">
        <v>135.44</v>
      </c>
      <c r="N27" s="15">
        <v>10.89</v>
      </c>
    </row>
    <row r="28" spans="1:14" ht="20.25" customHeight="1" x14ac:dyDescent="0.15">
      <c r="A28" s="61" t="s">
        <v>1893</v>
      </c>
      <c r="B28" s="9" t="s">
        <v>172</v>
      </c>
      <c r="C28" s="58" t="s">
        <v>29</v>
      </c>
      <c r="D28" s="11" t="s">
        <v>1894</v>
      </c>
      <c r="E28" s="10">
        <v>24</v>
      </c>
      <c r="F28" s="10" t="s">
        <v>11</v>
      </c>
      <c r="G28" s="12">
        <v>1900</v>
      </c>
      <c r="H28" s="12">
        <v>893</v>
      </c>
      <c r="I28" s="17" t="s">
        <v>348</v>
      </c>
      <c r="J28" s="18">
        <v>7</v>
      </c>
      <c r="K28" s="19">
        <f t="shared" si="1"/>
        <v>75.685500000000005</v>
      </c>
      <c r="L28" s="54"/>
      <c r="M28" s="3">
        <v>6.95</v>
      </c>
      <c r="N28" s="15">
        <v>10.89</v>
      </c>
    </row>
    <row r="29" spans="1:14" ht="20.25" customHeight="1" x14ac:dyDescent="0.15">
      <c r="A29" s="61"/>
      <c r="B29" s="9"/>
      <c r="C29" s="58"/>
      <c r="D29" s="11"/>
      <c r="E29" s="10"/>
      <c r="F29" s="10"/>
      <c r="G29" s="12"/>
      <c r="H29" s="12"/>
      <c r="I29" s="17"/>
      <c r="J29" s="18"/>
      <c r="K29" s="19">
        <f t="shared" si="1"/>
        <v>0</v>
      </c>
      <c r="L29" s="54"/>
      <c r="N29" s="15">
        <v>10.89</v>
      </c>
    </row>
    <row r="30" spans="1:14" ht="20.25" customHeight="1" x14ac:dyDescent="0.15">
      <c r="A30" s="61"/>
      <c r="B30" s="9"/>
      <c r="C30" s="58"/>
      <c r="D30" s="11"/>
      <c r="E30" s="10"/>
      <c r="F30" s="10"/>
      <c r="G30" s="12"/>
      <c r="H30" s="12"/>
      <c r="I30" s="51"/>
      <c r="J30" s="52"/>
      <c r="K30" s="53">
        <f t="shared" si="1"/>
        <v>0</v>
      </c>
      <c r="L30" s="54"/>
      <c r="N30" s="15">
        <v>10.89</v>
      </c>
    </row>
    <row r="31" spans="1:14" ht="20.25" customHeight="1" x14ac:dyDescent="0.15">
      <c r="A31" s="61"/>
      <c r="B31" s="9"/>
      <c r="C31" s="58"/>
      <c r="D31" s="11"/>
      <c r="E31" s="10"/>
      <c r="F31" s="10"/>
      <c r="G31" s="12"/>
      <c r="H31" s="12"/>
      <c r="I31" s="51"/>
      <c r="J31" s="52"/>
      <c r="K31" s="53">
        <f t="shared" si="1"/>
        <v>0</v>
      </c>
      <c r="L31" s="54"/>
      <c r="N31" s="15">
        <v>10.89</v>
      </c>
    </row>
    <row r="32" spans="1:14" ht="20.25" customHeight="1" x14ac:dyDescent="0.15">
      <c r="A32" s="60"/>
      <c r="B32" s="9"/>
      <c r="C32" s="58"/>
      <c r="D32" s="11"/>
      <c r="E32" s="10"/>
      <c r="F32" s="10"/>
      <c r="G32" s="12"/>
      <c r="H32" s="12"/>
      <c r="I32" s="17"/>
      <c r="J32" s="18"/>
      <c r="K32" s="19">
        <f t="shared" si="1"/>
        <v>0</v>
      </c>
      <c r="L32" s="27"/>
      <c r="N32" s="15">
        <v>10.89</v>
      </c>
    </row>
    <row r="33" spans="1:14" ht="20.25" customHeight="1" x14ac:dyDescent="0.15">
      <c r="A33" s="60"/>
      <c r="B33" s="9"/>
      <c r="C33" s="58"/>
      <c r="D33" s="11"/>
      <c r="E33" s="10"/>
      <c r="F33" s="10"/>
      <c r="G33" s="12"/>
      <c r="H33" s="12"/>
      <c r="I33" s="17"/>
      <c r="J33" s="18"/>
      <c r="K33" s="19">
        <f t="shared" si="1"/>
        <v>0</v>
      </c>
      <c r="L33" s="27"/>
      <c r="N33" s="15">
        <v>10.89</v>
      </c>
    </row>
    <row r="34" spans="1:14" ht="20.25" customHeight="1" x14ac:dyDescent="0.15">
      <c r="A34" s="60"/>
      <c r="B34" s="9"/>
      <c r="C34" s="58"/>
      <c r="D34" s="11"/>
      <c r="E34" s="10"/>
      <c r="F34" s="10"/>
      <c r="G34" s="12"/>
      <c r="H34" s="12"/>
      <c r="I34" s="17"/>
      <c r="J34" s="18"/>
      <c r="K34" s="19">
        <f t="shared" si="1"/>
        <v>0</v>
      </c>
      <c r="L34" s="27"/>
      <c r="N34" s="15">
        <v>10.89</v>
      </c>
    </row>
    <row r="35" spans="1:14" ht="20.25" customHeight="1" x14ac:dyDescent="0.15">
      <c r="A35" s="60"/>
      <c r="B35" s="9"/>
      <c r="C35" s="58"/>
      <c r="D35" s="11"/>
      <c r="E35" s="10"/>
      <c r="F35" s="10"/>
      <c r="G35" s="12"/>
      <c r="H35" s="12"/>
      <c r="I35" s="17"/>
      <c r="J35" s="18"/>
      <c r="K35" s="19">
        <f t="shared" si="1"/>
        <v>0</v>
      </c>
      <c r="L35" s="27"/>
      <c r="N35" s="15">
        <v>10.89</v>
      </c>
    </row>
    <row r="36" spans="1:14" ht="20.25" customHeight="1" x14ac:dyDescent="0.15">
      <c r="A36" s="60"/>
      <c r="B36" s="9"/>
      <c r="C36" s="58"/>
      <c r="D36" s="11"/>
      <c r="E36" s="10"/>
      <c r="F36" s="10"/>
      <c r="G36" s="12"/>
      <c r="H36" s="12"/>
      <c r="I36" s="17"/>
      <c r="J36" s="18"/>
      <c r="K36" s="19">
        <f t="shared" si="1"/>
        <v>0</v>
      </c>
      <c r="L36" s="27"/>
      <c r="N36" s="15">
        <v>10.89</v>
      </c>
    </row>
    <row r="37" spans="1:14" ht="20.25" customHeight="1" x14ac:dyDescent="0.15">
      <c r="A37" s="60"/>
      <c r="B37" s="9"/>
      <c r="C37" s="58"/>
      <c r="D37" s="11"/>
      <c r="E37" s="10"/>
      <c r="F37" s="10"/>
      <c r="G37" s="12"/>
      <c r="H37" s="12"/>
      <c r="I37" s="17"/>
      <c r="J37" s="18"/>
      <c r="K37" s="19">
        <f t="shared" si="1"/>
        <v>0</v>
      </c>
      <c r="L37" s="27"/>
      <c r="N37" s="15">
        <v>10.89</v>
      </c>
    </row>
    <row r="38" spans="1:14" ht="20.25" customHeight="1" x14ac:dyDescent="0.15">
      <c r="A38" s="60"/>
      <c r="B38" s="9"/>
      <c r="C38" s="58"/>
      <c r="D38" s="11"/>
      <c r="E38" s="10"/>
      <c r="F38" s="10"/>
      <c r="G38" s="12"/>
      <c r="H38" s="12"/>
      <c r="I38" s="17"/>
      <c r="J38" s="18"/>
      <c r="K38" s="19">
        <f t="shared" si="1"/>
        <v>0</v>
      </c>
      <c r="L38" s="27"/>
      <c r="N38" s="15">
        <v>10.89</v>
      </c>
    </row>
    <row r="39" spans="1:14" ht="20.25" customHeight="1" x14ac:dyDescent="0.15">
      <c r="A39" s="60"/>
      <c r="B39" s="9"/>
      <c r="C39" s="58"/>
      <c r="D39" s="11"/>
      <c r="E39" s="10"/>
      <c r="F39" s="10"/>
      <c r="G39" s="12"/>
      <c r="H39" s="12"/>
      <c r="I39" s="17"/>
      <c r="J39" s="18"/>
      <c r="K39" s="19">
        <f t="shared" si="1"/>
        <v>0</v>
      </c>
      <c r="L39" s="27"/>
      <c r="N39" s="15">
        <v>10.89</v>
      </c>
    </row>
    <row r="40" spans="1:14" ht="20.25" customHeight="1" x14ac:dyDescent="0.15">
      <c r="A40" s="60"/>
      <c r="B40" s="9"/>
      <c r="C40" s="58"/>
      <c r="D40" s="11"/>
      <c r="E40" s="10"/>
      <c r="F40" s="10"/>
      <c r="G40" s="12"/>
      <c r="H40" s="12"/>
      <c r="I40" s="17"/>
      <c r="J40" s="18"/>
      <c r="K40" s="19">
        <f t="shared" si="1"/>
        <v>0</v>
      </c>
      <c r="L40" s="27"/>
      <c r="N40" s="15">
        <v>10.89</v>
      </c>
    </row>
    <row r="41" spans="1:14" ht="20.25" customHeight="1" x14ac:dyDescent="0.15">
      <c r="A41" s="57"/>
      <c r="B41" s="28"/>
      <c r="C41" s="10"/>
      <c r="D41" s="29"/>
      <c r="E41" s="30"/>
      <c r="F41" s="30"/>
      <c r="G41" s="30"/>
      <c r="H41" s="30"/>
      <c r="I41" s="13"/>
      <c r="J41" s="48">
        <f>SUM(J25:J40)</f>
        <v>230</v>
      </c>
      <c r="K41" s="49">
        <f>SUM(K25:K40)</f>
        <v>3941.7444000000005</v>
      </c>
      <c r="L41" s="31"/>
      <c r="N41" s="32"/>
    </row>
    <row r="42" spans="1:14" ht="20.25" customHeight="1" thickBot="1" x14ac:dyDescent="0.2">
      <c r="A42" s="55"/>
      <c r="B42" s="33"/>
      <c r="C42" s="33"/>
      <c r="D42" s="33"/>
      <c r="E42" s="33"/>
      <c r="F42" s="33"/>
      <c r="G42" s="33"/>
      <c r="H42" s="33"/>
      <c r="I42" s="33"/>
      <c r="J42" s="34"/>
      <c r="K42" s="35"/>
      <c r="L42" s="36"/>
    </row>
    <row r="43" spans="1:14" ht="20.25" customHeight="1" thickBot="1" x14ac:dyDescent="0.2">
      <c r="A43" s="37" t="s">
        <v>19</v>
      </c>
      <c r="B43" s="38" t="s">
        <v>20</v>
      </c>
      <c r="C43" s="77" t="s">
        <v>21</v>
      </c>
      <c r="D43" s="79"/>
      <c r="E43" s="77" t="s">
        <v>22</v>
      </c>
      <c r="F43" s="78"/>
      <c r="G43" s="79"/>
      <c r="H43" s="85" t="s">
        <v>23</v>
      </c>
      <c r="I43" s="86"/>
      <c r="J43" s="77" t="s">
        <v>24</v>
      </c>
      <c r="K43" s="79"/>
      <c r="L43" s="39" t="s">
        <v>13</v>
      </c>
    </row>
    <row r="44" spans="1:14" ht="20.25" customHeight="1" thickBot="1" x14ac:dyDescent="0.2">
      <c r="A44" s="40">
        <f>SUMIF($C$8:$C$42,"U1",$J$8:$J$42)</f>
        <v>0</v>
      </c>
      <c r="B44" s="41">
        <f>SUMIF($C$8:$C$42,"U2",$J$8:$J$42)</f>
        <v>0</v>
      </c>
      <c r="C44" s="77">
        <f>SUMIF($C$8:$C$42,"U3-1",$J$8:$J$42)</f>
        <v>0</v>
      </c>
      <c r="D44" s="79"/>
      <c r="E44" s="77">
        <f>SUMIF($C$8:$C$42,"U3",$J$8:$J$42)</f>
        <v>637</v>
      </c>
      <c r="F44" s="78"/>
      <c r="G44" s="79"/>
      <c r="H44" s="77">
        <f>SUMIF($C$8:$C$42,"E5",$J$8:$J$42)</f>
        <v>0</v>
      </c>
      <c r="I44" s="79"/>
      <c r="J44" s="77">
        <f>SUM(A44:I44)</f>
        <v>637</v>
      </c>
      <c r="K44" s="79"/>
      <c r="L44" s="42"/>
    </row>
    <row r="45" spans="1:14" ht="20.25" customHeight="1" thickBot="1" x14ac:dyDescent="0.2">
      <c r="A45" s="43" t="s">
        <v>25</v>
      </c>
      <c r="B45" s="44" t="s">
        <v>26</v>
      </c>
      <c r="C45" s="75">
        <v>13876</v>
      </c>
      <c r="D45" s="76"/>
      <c r="E45" s="77" t="s">
        <v>27</v>
      </c>
      <c r="F45" s="78"/>
      <c r="G45" s="78"/>
      <c r="H45" s="78"/>
      <c r="I45" s="79"/>
      <c r="J45" s="80">
        <v>146744.37</v>
      </c>
      <c r="K45" s="81"/>
      <c r="L45" s="82"/>
    </row>
    <row r="47" spans="1:14" x14ac:dyDescent="0.15">
      <c r="D47" s="45"/>
    </row>
  </sheetData>
  <mergeCells count="26">
    <mergeCell ref="C45:D45"/>
    <mergeCell ref="E45:I45"/>
    <mergeCell ref="J45:L45"/>
    <mergeCell ref="L6:L7"/>
    <mergeCell ref="C43:D43"/>
    <mergeCell ref="E43:G43"/>
    <mergeCell ref="H43:I43"/>
    <mergeCell ref="J43:K43"/>
    <mergeCell ref="C44:D44"/>
    <mergeCell ref="E44:G44"/>
    <mergeCell ref="H44:I44"/>
    <mergeCell ref="J44:K44"/>
    <mergeCell ref="B5:G5"/>
    <mergeCell ref="A6:A7"/>
    <mergeCell ref="B6:B7"/>
    <mergeCell ref="C6:C7"/>
    <mergeCell ref="D6:D7"/>
    <mergeCell ref="E6:E7"/>
    <mergeCell ref="F6:F7"/>
    <mergeCell ref="G6:K6"/>
    <mergeCell ref="L2:L4"/>
    <mergeCell ref="A1:G3"/>
    <mergeCell ref="H1:H4"/>
    <mergeCell ref="I2:I4"/>
    <mergeCell ref="J2:J4"/>
    <mergeCell ref="K2:K4"/>
  </mergeCells>
  <phoneticPr fontId="2" type="noConversion"/>
  <printOptions horizontalCentered="1"/>
  <pageMargins left="0.39370078740157483" right="0.39370078740157483" top="0.74803149606299213" bottom="0.19685039370078741" header="0.31496062992125984" footer="0.15748031496062992"/>
  <pageSetup paperSize="9" scale="84" orientation="portrait" r:id="rId1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B47593-E1A6-4FC6-9E4A-0085D496A4B3}">
  <dimension ref="A1:N47"/>
  <sheetViews>
    <sheetView view="pageBreakPreview" topLeftCell="A19" zoomScaleSheetLayoutView="100" workbookViewId="0">
      <selection activeCell="B34" sqref="B34:F35"/>
    </sheetView>
  </sheetViews>
  <sheetFormatPr defaultColWidth="8.88671875" defaultRowHeight="13.5" x14ac:dyDescent="0.15"/>
  <cols>
    <col min="1" max="1" width="8.44140625" style="3" customWidth="1"/>
    <col min="2" max="2" width="14.77734375" style="3" customWidth="1"/>
    <col min="3" max="3" width="4.109375" style="3" customWidth="1"/>
    <col min="4" max="4" width="15.21875" style="3" customWidth="1"/>
    <col min="5" max="5" width="4.44140625" style="3" customWidth="1"/>
    <col min="6" max="6" width="4" style="3" customWidth="1"/>
    <col min="7" max="7" width="5.5546875" style="3" customWidth="1"/>
    <col min="8" max="8" width="5.44140625" style="3" customWidth="1"/>
    <col min="9" max="9" width="7.88671875" style="3" customWidth="1"/>
    <col min="10" max="10" width="7.109375" style="3" customWidth="1"/>
    <col min="11" max="11" width="7.21875" style="3" customWidth="1"/>
    <col min="12" max="12" width="6.77734375" style="3" customWidth="1"/>
    <col min="13" max="16384" width="8.88671875" style="3"/>
  </cols>
  <sheetData>
    <row r="1" spans="1:14" ht="18.75" customHeight="1" x14ac:dyDescent="0.15">
      <c r="A1" s="101" t="s">
        <v>0</v>
      </c>
      <c r="B1" s="102"/>
      <c r="C1" s="102"/>
      <c r="D1" s="102"/>
      <c r="E1" s="102"/>
      <c r="F1" s="102"/>
      <c r="G1" s="103"/>
      <c r="H1" s="107" t="s">
        <v>1</v>
      </c>
      <c r="I1" s="1" t="s">
        <v>2</v>
      </c>
      <c r="J1" s="1" t="s">
        <v>2</v>
      </c>
      <c r="K1" s="1" t="s">
        <v>3</v>
      </c>
      <c r="L1" s="2" t="s">
        <v>4</v>
      </c>
    </row>
    <row r="2" spans="1:14" ht="13.5" customHeight="1" x14ac:dyDescent="0.15">
      <c r="A2" s="104"/>
      <c r="B2" s="105"/>
      <c r="C2" s="105"/>
      <c r="D2" s="105"/>
      <c r="E2" s="105"/>
      <c r="F2" s="105"/>
      <c r="G2" s="106"/>
      <c r="H2" s="108"/>
      <c r="I2" s="110"/>
      <c r="J2" s="110"/>
      <c r="K2" s="110"/>
      <c r="L2" s="98"/>
    </row>
    <row r="3" spans="1:14" ht="13.5" customHeight="1" x14ac:dyDescent="0.15">
      <c r="A3" s="104"/>
      <c r="B3" s="105"/>
      <c r="C3" s="105"/>
      <c r="D3" s="105"/>
      <c r="E3" s="105"/>
      <c r="F3" s="105"/>
      <c r="G3" s="106"/>
      <c r="H3" s="108"/>
      <c r="I3" s="108"/>
      <c r="J3" s="108"/>
      <c r="K3" s="108"/>
      <c r="L3" s="99"/>
    </row>
    <row r="4" spans="1:14" ht="33" customHeight="1" x14ac:dyDescent="0.15">
      <c r="A4" s="4"/>
      <c r="B4" s="5"/>
      <c r="C4" s="5"/>
      <c r="D4" s="5"/>
      <c r="E4" s="5"/>
      <c r="F4" s="5"/>
      <c r="G4" s="5"/>
      <c r="H4" s="109"/>
      <c r="I4" s="109"/>
      <c r="J4" s="109"/>
      <c r="K4" s="109"/>
      <c r="L4" s="100"/>
    </row>
    <row r="5" spans="1:14" ht="17.25" customHeight="1" x14ac:dyDescent="0.15">
      <c r="A5" s="6" t="s">
        <v>5</v>
      </c>
      <c r="B5" s="87">
        <v>46125</v>
      </c>
      <c r="C5" s="88"/>
      <c r="D5" s="88"/>
      <c r="E5" s="88"/>
      <c r="F5" s="88"/>
      <c r="G5" s="88"/>
      <c r="H5" s="5"/>
      <c r="I5" s="5"/>
      <c r="J5" s="5"/>
      <c r="K5" s="5"/>
      <c r="L5" s="7"/>
    </row>
    <row r="6" spans="1:14" ht="13.5" customHeight="1" x14ac:dyDescent="0.15">
      <c r="A6" s="89" t="s">
        <v>6</v>
      </c>
      <c r="B6" s="91" t="s">
        <v>7</v>
      </c>
      <c r="C6" s="91" t="s">
        <v>8</v>
      </c>
      <c r="D6" s="91" t="s">
        <v>9</v>
      </c>
      <c r="E6" s="93" t="s">
        <v>10</v>
      </c>
      <c r="F6" s="93" t="s">
        <v>11</v>
      </c>
      <c r="G6" s="95" t="s">
        <v>12</v>
      </c>
      <c r="H6" s="96"/>
      <c r="I6" s="96"/>
      <c r="J6" s="96"/>
      <c r="K6" s="97"/>
      <c r="L6" s="83" t="s">
        <v>13</v>
      </c>
    </row>
    <row r="7" spans="1:14" x14ac:dyDescent="0.15">
      <c r="A7" s="90"/>
      <c r="B7" s="92"/>
      <c r="C7" s="92"/>
      <c r="D7" s="92"/>
      <c r="E7" s="94"/>
      <c r="F7" s="94"/>
      <c r="G7" s="8" t="s">
        <v>14</v>
      </c>
      <c r="H7" s="8" t="s">
        <v>15</v>
      </c>
      <c r="I7" s="8" t="s">
        <v>16</v>
      </c>
      <c r="J7" s="8" t="s">
        <v>17</v>
      </c>
      <c r="K7" s="8" t="s">
        <v>18</v>
      </c>
      <c r="L7" s="84"/>
    </row>
    <row r="8" spans="1:14" s="15" customFormat="1" ht="20.25" customHeight="1" x14ac:dyDescent="0.15">
      <c r="A8" s="60" t="s">
        <v>1885</v>
      </c>
      <c r="B8" s="9" t="s">
        <v>173</v>
      </c>
      <c r="C8" s="58" t="s">
        <v>29</v>
      </c>
      <c r="D8" s="11" t="s">
        <v>195</v>
      </c>
      <c r="E8" s="10">
        <v>22</v>
      </c>
      <c r="F8" s="58"/>
      <c r="G8" s="12">
        <v>954</v>
      </c>
      <c r="H8" s="12">
        <v>1967</v>
      </c>
      <c r="I8" s="17" t="s">
        <v>1895</v>
      </c>
      <c r="J8" s="18">
        <f>8+148</f>
        <v>156</v>
      </c>
      <c r="K8" s="19">
        <f>+M8*N8</f>
        <v>1329.8868000000002</v>
      </c>
      <c r="L8" s="14"/>
      <c r="M8" s="15">
        <v>122.12</v>
      </c>
      <c r="N8" s="15">
        <v>10.89</v>
      </c>
    </row>
    <row r="9" spans="1:14" s="15" customFormat="1" ht="20.25" customHeight="1" x14ac:dyDescent="0.15">
      <c r="A9" s="60" t="s">
        <v>1896</v>
      </c>
      <c r="B9" s="9" t="s">
        <v>86</v>
      </c>
      <c r="C9" s="58" t="s">
        <v>231</v>
      </c>
      <c r="D9" s="11" t="s">
        <v>312</v>
      </c>
      <c r="E9" s="10">
        <v>22</v>
      </c>
      <c r="F9" s="58"/>
      <c r="G9" s="12">
        <v>634</v>
      </c>
      <c r="H9" s="12">
        <v>1777</v>
      </c>
      <c r="I9" s="17" t="s">
        <v>659</v>
      </c>
      <c r="J9" s="18">
        <v>5</v>
      </c>
      <c r="K9" s="19">
        <f t="shared" ref="K9:K23" si="0">+M9*N9</f>
        <v>52.271999999999998</v>
      </c>
      <c r="L9" s="14"/>
      <c r="M9" s="15">
        <v>4.8</v>
      </c>
      <c r="N9" s="15">
        <v>10.89</v>
      </c>
    </row>
    <row r="10" spans="1:14" s="15" customFormat="1" ht="20.25" customHeight="1" x14ac:dyDescent="0.15">
      <c r="A10" s="60"/>
      <c r="B10" s="9"/>
      <c r="C10" s="58" t="s">
        <v>29</v>
      </c>
      <c r="D10" s="11" t="s">
        <v>1897</v>
      </c>
      <c r="E10" s="10">
        <v>22</v>
      </c>
      <c r="F10" s="58" t="s">
        <v>11</v>
      </c>
      <c r="G10" s="12">
        <v>750</v>
      </c>
      <c r="H10" s="12">
        <v>1784</v>
      </c>
      <c r="I10" s="17" t="s">
        <v>1108</v>
      </c>
      <c r="J10" s="18">
        <v>10</v>
      </c>
      <c r="K10" s="19">
        <f t="shared" si="0"/>
        <v>82.328400000000002</v>
      </c>
      <c r="L10" s="14"/>
      <c r="M10" s="15">
        <v>7.56</v>
      </c>
      <c r="N10" s="15">
        <v>10.89</v>
      </c>
    </row>
    <row r="11" spans="1:14" s="15" customFormat="1" ht="20.25" customHeight="1" x14ac:dyDescent="0.15">
      <c r="A11" s="60"/>
      <c r="B11" s="9"/>
      <c r="C11" s="58" t="s">
        <v>29</v>
      </c>
      <c r="D11" s="11" t="s">
        <v>1898</v>
      </c>
      <c r="E11" s="10">
        <v>22</v>
      </c>
      <c r="F11" s="58"/>
      <c r="G11" s="12">
        <v>680</v>
      </c>
      <c r="H11" s="12">
        <v>2158</v>
      </c>
      <c r="I11" s="17" t="s">
        <v>337</v>
      </c>
      <c r="J11" s="18">
        <v>2</v>
      </c>
      <c r="K11" s="19">
        <f t="shared" si="0"/>
        <v>32.016600000000004</v>
      </c>
      <c r="L11" s="14"/>
      <c r="M11" s="15">
        <v>2.94</v>
      </c>
      <c r="N11" s="15">
        <v>10.89</v>
      </c>
    </row>
    <row r="12" spans="1:14" s="15" customFormat="1" ht="20.25" customHeight="1" x14ac:dyDescent="0.15">
      <c r="A12" s="60" t="s">
        <v>1899</v>
      </c>
      <c r="B12" s="9" t="s">
        <v>1259</v>
      </c>
      <c r="C12" s="58" t="s">
        <v>29</v>
      </c>
      <c r="D12" s="11" t="s">
        <v>684</v>
      </c>
      <c r="E12" s="10">
        <v>22</v>
      </c>
      <c r="F12" s="58"/>
      <c r="G12" s="12">
        <v>1545</v>
      </c>
      <c r="H12" s="12">
        <v>1973</v>
      </c>
      <c r="I12" s="17" t="s">
        <v>1900</v>
      </c>
      <c r="J12" s="18">
        <v>227</v>
      </c>
      <c r="K12" s="19">
        <f t="shared" si="0"/>
        <v>5146.6140000000005</v>
      </c>
      <c r="L12" s="14"/>
      <c r="M12" s="15">
        <v>472.6</v>
      </c>
      <c r="N12" s="15">
        <v>10.89</v>
      </c>
    </row>
    <row r="13" spans="1:14" s="15" customFormat="1" ht="20.25" customHeight="1" x14ac:dyDescent="0.15">
      <c r="A13" s="60"/>
      <c r="B13" s="9"/>
      <c r="C13" s="58"/>
      <c r="D13" s="11"/>
      <c r="E13" s="10"/>
      <c r="F13" s="58"/>
      <c r="G13" s="12"/>
      <c r="H13" s="12"/>
      <c r="I13" s="17"/>
      <c r="J13" s="18"/>
      <c r="K13" s="19">
        <f t="shared" si="0"/>
        <v>0</v>
      </c>
      <c r="L13" s="14"/>
      <c r="N13" s="15">
        <v>10.89</v>
      </c>
    </row>
    <row r="14" spans="1:14" s="15" customFormat="1" ht="20.25" customHeight="1" x14ac:dyDescent="0.15">
      <c r="A14" s="60"/>
      <c r="B14" s="9"/>
      <c r="C14" s="58"/>
      <c r="D14" s="11"/>
      <c r="E14" s="10"/>
      <c r="F14" s="58"/>
      <c r="G14" s="12"/>
      <c r="H14" s="12"/>
      <c r="I14" s="17"/>
      <c r="J14" s="18"/>
      <c r="K14" s="19">
        <f t="shared" si="0"/>
        <v>0</v>
      </c>
      <c r="L14" s="20"/>
      <c r="N14" s="15">
        <v>10.89</v>
      </c>
    </row>
    <row r="15" spans="1:14" s="15" customFormat="1" ht="20.25" customHeight="1" x14ac:dyDescent="0.15">
      <c r="A15" s="60"/>
      <c r="B15" s="9"/>
      <c r="C15" s="58"/>
      <c r="D15" s="11"/>
      <c r="E15" s="10"/>
      <c r="F15" s="58"/>
      <c r="G15" s="12"/>
      <c r="H15" s="12"/>
      <c r="I15" s="17"/>
      <c r="J15" s="18"/>
      <c r="K15" s="19">
        <f t="shared" si="0"/>
        <v>0</v>
      </c>
      <c r="L15" s="20"/>
      <c r="N15" s="15">
        <v>10.89</v>
      </c>
    </row>
    <row r="16" spans="1:14" s="15" customFormat="1" ht="20.25" customHeight="1" x14ac:dyDescent="0.15">
      <c r="A16" s="60"/>
      <c r="B16" s="9"/>
      <c r="C16" s="58"/>
      <c r="D16" s="11"/>
      <c r="E16" s="10"/>
      <c r="F16" s="58"/>
      <c r="G16" s="12"/>
      <c r="H16" s="12"/>
      <c r="I16" s="17"/>
      <c r="J16" s="18"/>
      <c r="K16" s="19">
        <f t="shared" si="0"/>
        <v>0</v>
      </c>
      <c r="L16" s="20"/>
      <c r="N16" s="15">
        <v>10.89</v>
      </c>
    </row>
    <row r="17" spans="1:14" s="15" customFormat="1" ht="20.25" customHeight="1" x14ac:dyDescent="0.15">
      <c r="A17" s="60"/>
      <c r="B17" s="9"/>
      <c r="C17" s="58"/>
      <c r="D17" s="11"/>
      <c r="E17" s="10"/>
      <c r="F17" s="58"/>
      <c r="G17" s="12"/>
      <c r="H17" s="12"/>
      <c r="I17" s="17"/>
      <c r="J17" s="18"/>
      <c r="K17" s="19">
        <f t="shared" si="0"/>
        <v>0</v>
      </c>
      <c r="L17" s="20"/>
      <c r="N17" s="15">
        <v>10.89</v>
      </c>
    </row>
    <row r="18" spans="1:14" s="15" customFormat="1" ht="20.25" customHeight="1" x14ac:dyDescent="0.15">
      <c r="A18" s="60"/>
      <c r="B18" s="9"/>
      <c r="C18" s="58"/>
      <c r="D18" s="11"/>
      <c r="E18" s="10"/>
      <c r="F18" s="58"/>
      <c r="G18" s="12"/>
      <c r="H18" s="12"/>
      <c r="I18" s="17"/>
      <c r="J18" s="18"/>
      <c r="K18" s="19">
        <f t="shared" si="0"/>
        <v>0</v>
      </c>
      <c r="L18" s="20"/>
      <c r="N18" s="15">
        <v>10.89</v>
      </c>
    </row>
    <row r="19" spans="1:14" s="15" customFormat="1" ht="20.25" customHeight="1" x14ac:dyDescent="0.15">
      <c r="A19" s="60"/>
      <c r="B19" s="9"/>
      <c r="C19" s="58"/>
      <c r="D19" s="11"/>
      <c r="E19" s="10"/>
      <c r="F19" s="58"/>
      <c r="G19" s="12"/>
      <c r="H19" s="12"/>
      <c r="I19" s="17"/>
      <c r="J19" s="18"/>
      <c r="K19" s="19">
        <f t="shared" si="0"/>
        <v>0</v>
      </c>
      <c r="L19" s="20"/>
      <c r="N19" s="15">
        <v>10.89</v>
      </c>
    </row>
    <row r="20" spans="1:14" s="15" customFormat="1" ht="20.25" customHeight="1" x14ac:dyDescent="0.15">
      <c r="A20" s="60"/>
      <c r="B20" s="9"/>
      <c r="C20" s="58"/>
      <c r="D20" s="11"/>
      <c r="E20" s="10"/>
      <c r="F20" s="58"/>
      <c r="G20" s="12"/>
      <c r="H20" s="12"/>
      <c r="I20" s="17"/>
      <c r="J20" s="18"/>
      <c r="K20" s="19">
        <f t="shared" si="0"/>
        <v>0</v>
      </c>
      <c r="L20" s="20"/>
      <c r="N20" s="15">
        <v>10.89</v>
      </c>
    </row>
    <row r="21" spans="1:14" s="15" customFormat="1" ht="20.25" customHeight="1" x14ac:dyDescent="0.15">
      <c r="A21" s="60"/>
      <c r="B21" s="9"/>
      <c r="C21" s="58"/>
      <c r="D21" s="11"/>
      <c r="E21" s="10"/>
      <c r="F21" s="58"/>
      <c r="G21" s="50"/>
      <c r="H21" s="50"/>
      <c r="I21" s="17"/>
      <c r="J21" s="18"/>
      <c r="K21" s="19">
        <f t="shared" si="0"/>
        <v>0</v>
      </c>
      <c r="L21" s="20"/>
      <c r="N21" s="15">
        <v>10.89</v>
      </c>
    </row>
    <row r="22" spans="1:14" s="15" customFormat="1" ht="20.25" customHeight="1" x14ac:dyDescent="0.15">
      <c r="A22" s="60"/>
      <c r="B22" s="9"/>
      <c r="C22" s="58"/>
      <c r="D22" s="11"/>
      <c r="E22" s="10"/>
      <c r="F22" s="58"/>
      <c r="G22" s="50"/>
      <c r="H22" s="50"/>
      <c r="I22" s="17"/>
      <c r="J22" s="18"/>
      <c r="K22" s="19">
        <f t="shared" si="0"/>
        <v>0</v>
      </c>
      <c r="L22" s="20"/>
      <c r="N22" s="15">
        <v>10.89</v>
      </c>
    </row>
    <row r="23" spans="1:14" ht="20.25" customHeight="1" x14ac:dyDescent="0.15">
      <c r="A23" s="60"/>
      <c r="B23" s="9"/>
      <c r="C23" s="58"/>
      <c r="D23" s="11"/>
      <c r="E23" s="10"/>
      <c r="F23" s="58"/>
      <c r="G23" s="16"/>
      <c r="H23" s="16"/>
      <c r="I23" s="17"/>
      <c r="J23" s="18"/>
      <c r="K23" s="19">
        <f t="shared" si="0"/>
        <v>0</v>
      </c>
      <c r="L23" s="20"/>
      <c r="N23" s="15">
        <v>10.89</v>
      </c>
    </row>
    <row r="24" spans="1:14" ht="20.25" customHeight="1" thickBot="1" x14ac:dyDescent="0.2">
      <c r="A24" s="56"/>
      <c r="B24" s="21"/>
      <c r="C24" s="59"/>
      <c r="D24" s="22"/>
      <c r="E24" s="23"/>
      <c r="F24" s="23"/>
      <c r="G24" s="24"/>
      <c r="H24" s="24"/>
      <c r="I24" s="25"/>
      <c r="J24" s="46">
        <f>SUM(J8:J23)</f>
        <v>400</v>
      </c>
      <c r="K24" s="47">
        <f>SUM(K8:K23)</f>
        <v>6643.1178000000009</v>
      </c>
      <c r="L24" s="26"/>
    </row>
    <row r="25" spans="1:14" ht="20.25" customHeight="1" thickTop="1" x14ac:dyDescent="0.15">
      <c r="A25" s="60" t="s">
        <v>1889</v>
      </c>
      <c r="B25" s="9" t="s">
        <v>123</v>
      </c>
      <c r="C25" s="58" t="s">
        <v>29</v>
      </c>
      <c r="D25" s="11" t="s">
        <v>1890</v>
      </c>
      <c r="E25" s="10">
        <v>43</v>
      </c>
      <c r="F25" s="10" t="s">
        <v>11</v>
      </c>
      <c r="G25" s="12">
        <v>818</v>
      </c>
      <c r="H25" s="12">
        <v>2027</v>
      </c>
      <c r="I25" s="17">
        <v>50</v>
      </c>
      <c r="J25" s="18">
        <v>50</v>
      </c>
      <c r="K25" s="19">
        <f t="shared" ref="K25:K40" si="1">+M25*N25</f>
        <v>903.87</v>
      </c>
      <c r="L25" s="54"/>
      <c r="M25" s="3">
        <v>83</v>
      </c>
      <c r="N25" s="15">
        <v>10.89</v>
      </c>
    </row>
    <row r="26" spans="1:14" ht="20.25" customHeight="1" x14ac:dyDescent="0.15">
      <c r="A26" s="60" t="s">
        <v>1901</v>
      </c>
      <c r="B26" s="9" t="s">
        <v>1904</v>
      </c>
      <c r="C26" s="58" t="s">
        <v>29</v>
      </c>
      <c r="D26" s="11" t="s">
        <v>1902</v>
      </c>
      <c r="E26" s="10">
        <v>22</v>
      </c>
      <c r="F26" s="10" t="s">
        <v>11</v>
      </c>
      <c r="G26" s="12">
        <v>1646</v>
      </c>
      <c r="H26" s="12">
        <v>1960</v>
      </c>
      <c r="I26" s="17" t="s">
        <v>944</v>
      </c>
      <c r="J26" s="18">
        <v>27</v>
      </c>
      <c r="K26" s="19">
        <f t="shared" si="1"/>
        <v>186.11010000000002</v>
      </c>
      <c r="L26" s="54"/>
      <c r="M26" s="3">
        <v>17.09</v>
      </c>
      <c r="N26" s="15">
        <v>10.89</v>
      </c>
    </row>
    <row r="27" spans="1:14" ht="20.25" customHeight="1" x14ac:dyDescent="0.15">
      <c r="A27" s="61"/>
      <c r="B27" s="9"/>
      <c r="C27" s="58" t="s">
        <v>29</v>
      </c>
      <c r="D27" s="11" t="s">
        <v>1903</v>
      </c>
      <c r="E27" s="10">
        <v>22</v>
      </c>
      <c r="F27" s="10"/>
      <c r="G27" s="12">
        <v>252</v>
      </c>
      <c r="H27" s="12">
        <v>760</v>
      </c>
      <c r="I27" s="17">
        <v>2</v>
      </c>
      <c r="J27" s="18">
        <v>2</v>
      </c>
      <c r="K27" s="19">
        <f t="shared" si="1"/>
        <v>6.0984000000000007</v>
      </c>
      <c r="L27" s="54"/>
      <c r="M27" s="3">
        <v>0.56000000000000005</v>
      </c>
      <c r="N27" s="15">
        <v>10.89</v>
      </c>
    </row>
    <row r="28" spans="1:14" ht="20.25" customHeight="1" x14ac:dyDescent="0.15">
      <c r="A28" s="61" t="s">
        <v>1905</v>
      </c>
      <c r="B28" s="9" t="s">
        <v>1904</v>
      </c>
      <c r="C28" s="58" t="s">
        <v>29</v>
      </c>
      <c r="D28" s="11" t="s">
        <v>1902</v>
      </c>
      <c r="E28" s="10">
        <v>22</v>
      </c>
      <c r="F28" s="10" t="s">
        <v>11</v>
      </c>
      <c r="G28" s="12">
        <v>1646</v>
      </c>
      <c r="H28" s="12">
        <v>1960</v>
      </c>
      <c r="I28" s="17" t="s">
        <v>1907</v>
      </c>
      <c r="J28" s="18">
        <v>66</v>
      </c>
      <c r="K28" s="19">
        <f t="shared" si="1"/>
        <v>473.0616</v>
      </c>
      <c r="L28" s="54"/>
      <c r="M28" s="3">
        <v>43.44</v>
      </c>
      <c r="N28" s="15">
        <v>10.89</v>
      </c>
    </row>
    <row r="29" spans="1:14" ht="20.25" customHeight="1" x14ac:dyDescent="0.15">
      <c r="A29" s="61"/>
      <c r="B29" s="9"/>
      <c r="C29" s="58" t="s">
        <v>29</v>
      </c>
      <c r="D29" s="11" t="s">
        <v>1903</v>
      </c>
      <c r="E29" s="10">
        <v>22</v>
      </c>
      <c r="F29" s="10"/>
      <c r="G29" s="12">
        <v>252</v>
      </c>
      <c r="H29" s="12">
        <v>760</v>
      </c>
      <c r="I29" s="17">
        <v>12</v>
      </c>
      <c r="J29" s="18">
        <v>12</v>
      </c>
      <c r="K29" s="19">
        <f t="shared" si="1"/>
        <v>36.590400000000002</v>
      </c>
      <c r="L29" s="54"/>
      <c r="M29" s="3">
        <v>3.36</v>
      </c>
      <c r="N29" s="15">
        <v>10.89</v>
      </c>
    </row>
    <row r="30" spans="1:14" ht="20.25" customHeight="1" x14ac:dyDescent="0.15">
      <c r="A30" s="61" t="s">
        <v>1909</v>
      </c>
      <c r="B30" s="9" t="s">
        <v>1904</v>
      </c>
      <c r="C30" s="58" t="s">
        <v>29</v>
      </c>
      <c r="D30" s="11" t="s">
        <v>1902</v>
      </c>
      <c r="E30" s="10">
        <v>22</v>
      </c>
      <c r="F30" s="10" t="s">
        <v>11</v>
      </c>
      <c r="G30" s="12">
        <v>1646</v>
      </c>
      <c r="H30" s="12">
        <v>1960</v>
      </c>
      <c r="I30" s="51" t="s">
        <v>1910</v>
      </c>
      <c r="J30" s="52">
        <v>106</v>
      </c>
      <c r="K30" s="53">
        <f t="shared" si="1"/>
        <v>666.68579999999997</v>
      </c>
      <c r="L30" s="54"/>
      <c r="M30" s="3">
        <v>61.22</v>
      </c>
      <c r="N30" s="15">
        <v>10.89</v>
      </c>
    </row>
    <row r="31" spans="1:14" ht="20.25" customHeight="1" x14ac:dyDescent="0.15">
      <c r="A31" s="61"/>
      <c r="B31" s="9"/>
      <c r="C31" s="58" t="s">
        <v>29</v>
      </c>
      <c r="D31" s="11" t="s">
        <v>1903</v>
      </c>
      <c r="E31" s="10">
        <v>22</v>
      </c>
      <c r="F31" s="10"/>
      <c r="G31" s="12">
        <v>252</v>
      </c>
      <c r="H31" s="12">
        <v>760</v>
      </c>
      <c r="I31" s="51">
        <v>10</v>
      </c>
      <c r="J31" s="52">
        <v>10</v>
      </c>
      <c r="K31" s="53">
        <f t="shared" si="1"/>
        <v>30.492000000000001</v>
      </c>
      <c r="L31" s="54"/>
      <c r="M31" s="3">
        <v>2.8</v>
      </c>
      <c r="N31" s="15">
        <v>10.89</v>
      </c>
    </row>
    <row r="32" spans="1:14" ht="20.25" customHeight="1" x14ac:dyDescent="0.15">
      <c r="A32" s="60" t="s">
        <v>1912</v>
      </c>
      <c r="B32" s="9" t="s">
        <v>1904</v>
      </c>
      <c r="C32" s="58" t="s">
        <v>29</v>
      </c>
      <c r="D32" s="11" t="s">
        <v>1902</v>
      </c>
      <c r="E32" s="10">
        <v>22</v>
      </c>
      <c r="F32" s="10" t="s">
        <v>11</v>
      </c>
      <c r="G32" s="12">
        <v>1646</v>
      </c>
      <c r="H32" s="12">
        <v>1960</v>
      </c>
      <c r="I32" s="17" t="s">
        <v>1913</v>
      </c>
      <c r="J32" s="18">
        <v>54</v>
      </c>
      <c r="K32" s="19">
        <f t="shared" si="1"/>
        <v>483.51600000000002</v>
      </c>
      <c r="L32" s="27"/>
      <c r="M32" s="3">
        <v>44.4</v>
      </c>
      <c r="N32" s="15">
        <v>10.89</v>
      </c>
    </row>
    <row r="33" spans="1:14" ht="20.25" customHeight="1" x14ac:dyDescent="0.15">
      <c r="A33" s="60"/>
      <c r="B33" s="9"/>
      <c r="C33" s="58" t="s">
        <v>29</v>
      </c>
      <c r="D33" s="11" t="s">
        <v>1903</v>
      </c>
      <c r="E33" s="10">
        <v>22</v>
      </c>
      <c r="F33" s="10"/>
      <c r="G33" s="12">
        <v>252</v>
      </c>
      <c r="H33" s="12">
        <v>760</v>
      </c>
      <c r="I33" s="17">
        <v>6</v>
      </c>
      <c r="J33" s="18">
        <v>6</v>
      </c>
      <c r="K33" s="19">
        <f t="shared" si="1"/>
        <v>18.295200000000001</v>
      </c>
      <c r="L33" s="27"/>
      <c r="M33" s="3">
        <v>1.68</v>
      </c>
      <c r="N33" s="15">
        <v>10.89</v>
      </c>
    </row>
    <row r="34" spans="1:14" ht="20.25" customHeight="1" x14ac:dyDescent="0.15">
      <c r="A34" s="60" t="s">
        <v>1915</v>
      </c>
      <c r="B34" s="9" t="s">
        <v>1904</v>
      </c>
      <c r="C34" s="58" t="s">
        <v>29</v>
      </c>
      <c r="D34" s="11" t="s">
        <v>1902</v>
      </c>
      <c r="E34" s="10">
        <v>22</v>
      </c>
      <c r="F34" s="10" t="s">
        <v>11</v>
      </c>
      <c r="G34" s="12">
        <v>1646</v>
      </c>
      <c r="H34" s="12">
        <v>1960</v>
      </c>
      <c r="I34" s="17" t="s">
        <v>161</v>
      </c>
      <c r="J34" s="18">
        <v>57</v>
      </c>
      <c r="K34" s="19">
        <f t="shared" si="1"/>
        <v>445.94550000000004</v>
      </c>
      <c r="L34" s="27"/>
      <c r="M34" s="3">
        <v>40.950000000000003</v>
      </c>
      <c r="N34" s="15">
        <v>10.89</v>
      </c>
    </row>
    <row r="35" spans="1:14" ht="20.25" customHeight="1" x14ac:dyDescent="0.15">
      <c r="A35" s="60"/>
      <c r="B35" s="9"/>
      <c r="C35" s="58" t="s">
        <v>29</v>
      </c>
      <c r="D35" s="11" t="s">
        <v>1903</v>
      </c>
      <c r="E35" s="10">
        <v>22</v>
      </c>
      <c r="F35" s="10"/>
      <c r="G35" s="12">
        <v>252</v>
      </c>
      <c r="H35" s="12">
        <v>760</v>
      </c>
      <c r="I35" s="17">
        <v>6</v>
      </c>
      <c r="J35" s="18">
        <v>6</v>
      </c>
      <c r="K35" s="19">
        <f t="shared" si="1"/>
        <v>18.295200000000001</v>
      </c>
      <c r="L35" s="27"/>
      <c r="M35" s="3">
        <v>1.68</v>
      </c>
      <c r="N35" s="15">
        <v>10.89</v>
      </c>
    </row>
    <row r="36" spans="1:14" ht="20.25" customHeight="1" x14ac:dyDescent="0.15">
      <c r="A36" s="60" t="s">
        <v>1916</v>
      </c>
      <c r="B36" s="9" t="s">
        <v>1904</v>
      </c>
      <c r="C36" s="58" t="s">
        <v>29</v>
      </c>
      <c r="D36" s="11" t="s">
        <v>1902</v>
      </c>
      <c r="E36" s="10">
        <v>22</v>
      </c>
      <c r="F36" s="10" t="s">
        <v>11</v>
      </c>
      <c r="G36" s="12">
        <v>1646</v>
      </c>
      <c r="H36" s="12">
        <v>1960</v>
      </c>
      <c r="I36" s="17" t="s">
        <v>1907</v>
      </c>
      <c r="J36" s="18">
        <v>66</v>
      </c>
      <c r="K36" s="19">
        <f t="shared" si="1"/>
        <v>473.0616</v>
      </c>
      <c r="L36" s="27"/>
      <c r="M36" s="3">
        <v>43.44</v>
      </c>
      <c r="N36" s="15">
        <v>10.89</v>
      </c>
    </row>
    <row r="37" spans="1:14" ht="20.25" customHeight="1" x14ac:dyDescent="0.15">
      <c r="A37" s="60"/>
      <c r="B37" s="9"/>
      <c r="C37" s="58" t="s">
        <v>29</v>
      </c>
      <c r="D37" s="11" t="s">
        <v>1903</v>
      </c>
      <c r="E37" s="10">
        <v>22</v>
      </c>
      <c r="F37" s="10"/>
      <c r="G37" s="12">
        <v>252</v>
      </c>
      <c r="H37" s="12">
        <v>760</v>
      </c>
      <c r="I37" s="17">
        <v>12</v>
      </c>
      <c r="J37" s="18">
        <v>12</v>
      </c>
      <c r="K37" s="19">
        <f t="shared" si="1"/>
        <v>473.0616</v>
      </c>
      <c r="L37" s="27"/>
      <c r="M37" s="3">
        <v>43.44</v>
      </c>
      <c r="N37" s="15">
        <v>10.89</v>
      </c>
    </row>
    <row r="38" spans="1:14" ht="20.25" customHeight="1" x14ac:dyDescent="0.15">
      <c r="A38" s="60" t="s">
        <v>1893</v>
      </c>
      <c r="B38" s="9" t="s">
        <v>172</v>
      </c>
      <c r="C38" s="58" t="s">
        <v>29</v>
      </c>
      <c r="D38" s="11" t="s">
        <v>1894</v>
      </c>
      <c r="E38" s="10">
        <v>24</v>
      </c>
      <c r="F38" s="10" t="s">
        <v>11</v>
      </c>
      <c r="G38" s="12">
        <v>885</v>
      </c>
      <c r="H38" s="12">
        <v>800</v>
      </c>
      <c r="I38" s="17">
        <v>9</v>
      </c>
      <c r="J38" s="18">
        <v>9</v>
      </c>
      <c r="K38" s="19">
        <f t="shared" si="1"/>
        <v>69.587100000000007</v>
      </c>
      <c r="L38" s="27"/>
      <c r="M38" s="3">
        <v>6.39</v>
      </c>
      <c r="N38" s="15">
        <v>10.89</v>
      </c>
    </row>
    <row r="39" spans="1:14" ht="20.25" customHeight="1" x14ac:dyDescent="0.15">
      <c r="A39" s="60"/>
      <c r="B39" s="9"/>
      <c r="C39" s="58"/>
      <c r="D39" s="11"/>
      <c r="E39" s="10"/>
      <c r="F39" s="10"/>
      <c r="G39" s="12"/>
      <c r="H39" s="12"/>
      <c r="I39" s="17"/>
      <c r="J39" s="18"/>
      <c r="K39" s="19">
        <f t="shared" si="1"/>
        <v>0</v>
      </c>
      <c r="L39" s="27"/>
      <c r="N39" s="15">
        <v>10.89</v>
      </c>
    </row>
    <row r="40" spans="1:14" ht="20.25" customHeight="1" x14ac:dyDescent="0.15">
      <c r="A40" s="60"/>
      <c r="B40" s="9"/>
      <c r="C40" s="58"/>
      <c r="D40" s="11"/>
      <c r="E40" s="10"/>
      <c r="F40" s="10"/>
      <c r="G40" s="12"/>
      <c r="H40" s="12"/>
      <c r="I40" s="17"/>
      <c r="J40" s="18"/>
      <c r="K40" s="19">
        <f t="shared" si="1"/>
        <v>0</v>
      </c>
      <c r="L40" s="27"/>
      <c r="N40" s="15">
        <v>10.89</v>
      </c>
    </row>
    <row r="41" spans="1:14" ht="20.25" customHeight="1" x14ac:dyDescent="0.15">
      <c r="A41" s="57"/>
      <c r="B41" s="28"/>
      <c r="C41" s="10"/>
      <c r="D41" s="29"/>
      <c r="E41" s="30"/>
      <c r="F41" s="30"/>
      <c r="G41" s="30"/>
      <c r="H41" s="30"/>
      <c r="I41" s="13"/>
      <c r="J41" s="48">
        <f>SUM(J25:J40)</f>
        <v>483</v>
      </c>
      <c r="K41" s="49">
        <f>SUM(K25:K40)</f>
        <v>4284.6704999999993</v>
      </c>
      <c r="L41" s="31"/>
      <c r="N41" s="32"/>
    </row>
    <row r="42" spans="1:14" ht="20.25" customHeight="1" thickBot="1" x14ac:dyDescent="0.2">
      <c r="A42" s="55"/>
      <c r="B42" s="33"/>
      <c r="C42" s="33"/>
      <c r="D42" s="33"/>
      <c r="E42" s="33"/>
      <c r="F42" s="33"/>
      <c r="G42" s="33"/>
      <c r="H42" s="33"/>
      <c r="I42" s="33"/>
      <c r="J42" s="34"/>
      <c r="K42" s="35"/>
      <c r="L42" s="36"/>
    </row>
    <row r="43" spans="1:14" ht="20.25" customHeight="1" thickBot="1" x14ac:dyDescent="0.2">
      <c r="A43" s="37" t="s">
        <v>19</v>
      </c>
      <c r="B43" s="38" t="s">
        <v>20</v>
      </c>
      <c r="C43" s="77" t="s">
        <v>21</v>
      </c>
      <c r="D43" s="79"/>
      <c r="E43" s="77" t="s">
        <v>22</v>
      </c>
      <c r="F43" s="78"/>
      <c r="G43" s="79"/>
      <c r="H43" s="85" t="s">
        <v>23</v>
      </c>
      <c r="I43" s="86"/>
      <c r="J43" s="77" t="s">
        <v>24</v>
      </c>
      <c r="K43" s="79"/>
      <c r="L43" s="39" t="s">
        <v>13</v>
      </c>
    </row>
    <row r="44" spans="1:14" ht="20.25" customHeight="1" thickBot="1" x14ac:dyDescent="0.2">
      <c r="A44" s="40">
        <f>SUMIF($C$8:$C$42,"U1",$J$8:$J$42)</f>
        <v>0</v>
      </c>
      <c r="B44" s="41">
        <f>SUMIF($C$8:$C$42,"U2",$J$8:$J$42)</f>
        <v>5</v>
      </c>
      <c r="C44" s="77">
        <f>SUMIF($C$8:$C$42,"U3-1",$J$8:$J$42)</f>
        <v>0</v>
      </c>
      <c r="D44" s="79"/>
      <c r="E44" s="77">
        <f>SUMIF($C$8:$C$42,"U3",$J$8:$J$42)</f>
        <v>878</v>
      </c>
      <c r="F44" s="78"/>
      <c r="G44" s="79"/>
      <c r="H44" s="77">
        <f>SUMIF($C$8:$C$42,"E5",$J$8:$J$42)</f>
        <v>0</v>
      </c>
      <c r="I44" s="79"/>
      <c r="J44" s="77">
        <f>SUM(A44:I44)</f>
        <v>883</v>
      </c>
      <c r="K44" s="79"/>
      <c r="L44" s="42"/>
    </row>
    <row r="45" spans="1:14" ht="20.25" customHeight="1" thickBot="1" x14ac:dyDescent="0.2">
      <c r="A45" s="43" t="s">
        <v>25</v>
      </c>
      <c r="B45" s="44" t="s">
        <v>26</v>
      </c>
      <c r="C45" s="75">
        <v>13876</v>
      </c>
      <c r="D45" s="76"/>
      <c r="E45" s="77" t="s">
        <v>27</v>
      </c>
      <c r="F45" s="78"/>
      <c r="G45" s="78"/>
      <c r="H45" s="78"/>
      <c r="I45" s="79"/>
      <c r="J45" s="80">
        <v>146744.37</v>
      </c>
      <c r="K45" s="81"/>
      <c r="L45" s="82"/>
    </row>
    <row r="47" spans="1:14" x14ac:dyDescent="0.15">
      <c r="D47" s="45"/>
    </row>
  </sheetData>
  <mergeCells count="26">
    <mergeCell ref="C45:D45"/>
    <mergeCell ref="E45:I45"/>
    <mergeCell ref="J45:L45"/>
    <mergeCell ref="L6:L7"/>
    <mergeCell ref="C43:D43"/>
    <mergeCell ref="E43:G43"/>
    <mergeCell ref="H43:I43"/>
    <mergeCell ref="J43:K43"/>
    <mergeCell ref="C44:D44"/>
    <mergeCell ref="E44:G44"/>
    <mergeCell ref="H44:I44"/>
    <mergeCell ref="J44:K44"/>
    <mergeCell ref="B5:G5"/>
    <mergeCell ref="A6:A7"/>
    <mergeCell ref="B6:B7"/>
    <mergeCell ref="C6:C7"/>
    <mergeCell ref="D6:D7"/>
    <mergeCell ref="E6:E7"/>
    <mergeCell ref="F6:F7"/>
    <mergeCell ref="G6:K6"/>
    <mergeCell ref="L2:L4"/>
    <mergeCell ref="A1:G3"/>
    <mergeCell ref="H1:H4"/>
    <mergeCell ref="I2:I4"/>
    <mergeCell ref="J2:J4"/>
    <mergeCell ref="K2:K4"/>
  </mergeCells>
  <phoneticPr fontId="2" type="noConversion"/>
  <printOptions horizontalCentered="1"/>
  <pageMargins left="0.39370078740157483" right="0.39370078740157483" top="0.74803149606299213" bottom="0.19685039370078741" header="0.31496062992125984" footer="0.15748031496062992"/>
  <pageSetup paperSize="9" scale="84" orientation="portrait" r:id="rId1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E82FE4-EE02-490B-9FC4-24D95F136913}">
  <dimension ref="A1:N47"/>
  <sheetViews>
    <sheetView view="pageBreakPreview" topLeftCell="A19" zoomScaleSheetLayoutView="100" workbookViewId="0">
      <selection activeCell="B34" sqref="B34:E34"/>
    </sheetView>
  </sheetViews>
  <sheetFormatPr defaultColWidth="8.88671875" defaultRowHeight="13.5" x14ac:dyDescent="0.15"/>
  <cols>
    <col min="1" max="1" width="8.44140625" style="3" customWidth="1"/>
    <col min="2" max="2" width="14.77734375" style="3" customWidth="1"/>
    <col min="3" max="3" width="4.109375" style="3" customWidth="1"/>
    <col min="4" max="4" width="15.21875" style="3" customWidth="1"/>
    <col min="5" max="5" width="4.44140625" style="3" customWidth="1"/>
    <col min="6" max="6" width="4" style="3" customWidth="1"/>
    <col min="7" max="7" width="5.5546875" style="3" customWidth="1"/>
    <col min="8" max="8" width="5.44140625" style="3" customWidth="1"/>
    <col min="9" max="9" width="7.88671875" style="3" customWidth="1"/>
    <col min="10" max="10" width="7.109375" style="3" customWidth="1"/>
    <col min="11" max="11" width="7.21875" style="3" customWidth="1"/>
    <col min="12" max="12" width="6.77734375" style="3" customWidth="1"/>
    <col min="13" max="16384" width="8.88671875" style="3"/>
  </cols>
  <sheetData>
    <row r="1" spans="1:14" ht="18.75" customHeight="1" x14ac:dyDescent="0.15">
      <c r="A1" s="101" t="s">
        <v>0</v>
      </c>
      <c r="B1" s="102"/>
      <c r="C1" s="102"/>
      <c r="D1" s="102"/>
      <c r="E1" s="102"/>
      <c r="F1" s="102"/>
      <c r="G1" s="103"/>
      <c r="H1" s="107" t="s">
        <v>1</v>
      </c>
      <c r="I1" s="1" t="s">
        <v>2</v>
      </c>
      <c r="J1" s="1" t="s">
        <v>2</v>
      </c>
      <c r="K1" s="1" t="s">
        <v>3</v>
      </c>
      <c r="L1" s="2" t="s">
        <v>4</v>
      </c>
    </row>
    <row r="2" spans="1:14" ht="13.5" customHeight="1" x14ac:dyDescent="0.15">
      <c r="A2" s="104"/>
      <c r="B2" s="105"/>
      <c r="C2" s="105"/>
      <c r="D2" s="105"/>
      <c r="E2" s="105"/>
      <c r="F2" s="105"/>
      <c r="G2" s="106"/>
      <c r="H2" s="108"/>
      <c r="I2" s="110"/>
      <c r="J2" s="110"/>
      <c r="K2" s="110"/>
      <c r="L2" s="98"/>
    </row>
    <row r="3" spans="1:14" ht="13.5" customHeight="1" x14ac:dyDescent="0.15">
      <c r="A3" s="104"/>
      <c r="B3" s="105"/>
      <c r="C3" s="105"/>
      <c r="D3" s="105"/>
      <c r="E3" s="105"/>
      <c r="F3" s="105"/>
      <c r="G3" s="106"/>
      <c r="H3" s="108"/>
      <c r="I3" s="108"/>
      <c r="J3" s="108"/>
      <c r="K3" s="108"/>
      <c r="L3" s="99"/>
    </row>
    <row r="4" spans="1:14" ht="33" customHeight="1" x14ac:dyDescent="0.15">
      <c r="A4" s="4"/>
      <c r="B4" s="5"/>
      <c r="C4" s="5"/>
      <c r="D4" s="5"/>
      <c r="E4" s="5"/>
      <c r="F4" s="5"/>
      <c r="G4" s="5"/>
      <c r="H4" s="109"/>
      <c r="I4" s="109"/>
      <c r="J4" s="109"/>
      <c r="K4" s="109"/>
      <c r="L4" s="100"/>
    </row>
    <row r="5" spans="1:14" ht="17.25" customHeight="1" x14ac:dyDescent="0.15">
      <c r="A5" s="6" t="s">
        <v>5</v>
      </c>
      <c r="B5" s="87">
        <v>46126</v>
      </c>
      <c r="C5" s="88"/>
      <c r="D5" s="88"/>
      <c r="E5" s="88"/>
      <c r="F5" s="88"/>
      <c r="G5" s="88"/>
      <c r="H5" s="5"/>
      <c r="I5" s="5"/>
      <c r="J5" s="5"/>
      <c r="K5" s="5"/>
      <c r="L5" s="7"/>
    </row>
    <row r="6" spans="1:14" ht="13.5" customHeight="1" x14ac:dyDescent="0.15">
      <c r="A6" s="89" t="s">
        <v>6</v>
      </c>
      <c r="B6" s="91" t="s">
        <v>7</v>
      </c>
      <c r="C6" s="91" t="s">
        <v>8</v>
      </c>
      <c r="D6" s="91" t="s">
        <v>9</v>
      </c>
      <c r="E6" s="93" t="s">
        <v>10</v>
      </c>
      <c r="F6" s="93" t="s">
        <v>11</v>
      </c>
      <c r="G6" s="95" t="s">
        <v>12</v>
      </c>
      <c r="H6" s="96"/>
      <c r="I6" s="96"/>
      <c r="J6" s="96"/>
      <c r="K6" s="97"/>
      <c r="L6" s="83" t="s">
        <v>13</v>
      </c>
    </row>
    <row r="7" spans="1:14" x14ac:dyDescent="0.15">
      <c r="A7" s="90"/>
      <c r="B7" s="92"/>
      <c r="C7" s="92"/>
      <c r="D7" s="92"/>
      <c r="E7" s="94"/>
      <c r="F7" s="94"/>
      <c r="G7" s="8" t="s">
        <v>14</v>
      </c>
      <c r="H7" s="8" t="s">
        <v>15</v>
      </c>
      <c r="I7" s="8" t="s">
        <v>16</v>
      </c>
      <c r="J7" s="8" t="s">
        <v>17</v>
      </c>
      <c r="K7" s="8" t="s">
        <v>18</v>
      </c>
      <c r="L7" s="84"/>
    </row>
    <row r="8" spans="1:14" s="15" customFormat="1" ht="20.25" customHeight="1" x14ac:dyDescent="0.15">
      <c r="A8" s="60" t="s">
        <v>1899</v>
      </c>
      <c r="B8" s="9" t="s">
        <v>1259</v>
      </c>
      <c r="C8" s="58" t="s">
        <v>29</v>
      </c>
      <c r="D8" s="11" t="s">
        <v>684</v>
      </c>
      <c r="E8" s="10">
        <v>22</v>
      </c>
      <c r="F8" s="58"/>
      <c r="G8" s="12">
        <v>872</v>
      </c>
      <c r="H8" s="12">
        <v>1849</v>
      </c>
      <c r="I8" s="17" t="s">
        <v>1917</v>
      </c>
      <c r="J8" s="18">
        <v>141</v>
      </c>
      <c r="K8" s="19">
        <f>+M8*N8</f>
        <v>2350.9331999999999</v>
      </c>
      <c r="L8" s="14"/>
      <c r="M8" s="15">
        <v>215.88</v>
      </c>
      <c r="N8" s="15">
        <v>10.89</v>
      </c>
    </row>
    <row r="9" spans="1:14" s="15" customFormat="1" ht="20.25" customHeight="1" x14ac:dyDescent="0.15">
      <c r="A9" s="60" t="s">
        <v>1918</v>
      </c>
      <c r="B9" s="9" t="s">
        <v>1259</v>
      </c>
      <c r="C9" s="58" t="s">
        <v>29</v>
      </c>
      <c r="D9" s="11" t="s">
        <v>684</v>
      </c>
      <c r="E9" s="10">
        <v>22</v>
      </c>
      <c r="F9" s="58"/>
      <c r="G9" s="12">
        <v>1545</v>
      </c>
      <c r="H9" s="12">
        <v>1973</v>
      </c>
      <c r="I9" s="17">
        <v>1</v>
      </c>
      <c r="J9" s="18">
        <v>1</v>
      </c>
      <c r="K9" s="19">
        <f t="shared" ref="K9:K23" si="0">+M9*N9</f>
        <v>33.214500000000001</v>
      </c>
      <c r="L9" s="14"/>
      <c r="M9" s="15">
        <v>3.05</v>
      </c>
      <c r="N9" s="15">
        <v>10.89</v>
      </c>
    </row>
    <row r="10" spans="1:14" s="15" customFormat="1" ht="20.25" customHeight="1" x14ac:dyDescent="0.15">
      <c r="A10" s="60" t="s">
        <v>1891</v>
      </c>
      <c r="B10" s="9" t="s">
        <v>1377</v>
      </c>
      <c r="C10" s="58" t="s">
        <v>29</v>
      </c>
      <c r="D10" s="11" t="s">
        <v>1825</v>
      </c>
      <c r="E10" s="10">
        <v>24</v>
      </c>
      <c r="F10" s="58" t="s">
        <v>11</v>
      </c>
      <c r="G10" s="12">
        <v>850</v>
      </c>
      <c r="H10" s="12">
        <v>1464</v>
      </c>
      <c r="I10" s="17" t="s">
        <v>478</v>
      </c>
      <c r="J10" s="18">
        <v>12</v>
      </c>
      <c r="K10" s="19">
        <f t="shared" si="0"/>
        <v>159.86520000000002</v>
      </c>
      <c r="L10" s="14"/>
      <c r="M10" s="15">
        <v>14.68</v>
      </c>
      <c r="N10" s="15">
        <v>10.89</v>
      </c>
    </row>
    <row r="11" spans="1:14" s="15" customFormat="1" ht="20.25" customHeight="1" x14ac:dyDescent="0.15">
      <c r="A11" s="60" t="s">
        <v>1919</v>
      </c>
      <c r="B11" s="9" t="s">
        <v>28</v>
      </c>
      <c r="C11" s="58" t="s">
        <v>29</v>
      </c>
      <c r="D11" s="11" t="s">
        <v>217</v>
      </c>
      <c r="E11" s="10">
        <v>22</v>
      </c>
      <c r="F11" s="58" t="s">
        <v>11</v>
      </c>
      <c r="G11" s="12">
        <v>1650</v>
      </c>
      <c r="H11" s="12">
        <v>1870</v>
      </c>
      <c r="I11" s="17" t="s">
        <v>659</v>
      </c>
      <c r="J11" s="18">
        <v>5</v>
      </c>
      <c r="K11" s="19">
        <f t="shared" si="0"/>
        <v>64.35990000000001</v>
      </c>
      <c r="L11" s="14"/>
      <c r="M11" s="15">
        <v>5.91</v>
      </c>
      <c r="N11" s="15">
        <v>10.89</v>
      </c>
    </row>
    <row r="12" spans="1:14" s="15" customFormat="1" ht="20.25" customHeight="1" x14ac:dyDescent="0.15">
      <c r="A12" s="60"/>
      <c r="B12" s="9"/>
      <c r="C12" s="58" t="s">
        <v>29</v>
      </c>
      <c r="D12" s="11" t="s">
        <v>195</v>
      </c>
      <c r="E12" s="10">
        <v>22</v>
      </c>
      <c r="F12" s="58"/>
      <c r="G12" s="12">
        <v>296</v>
      </c>
      <c r="H12" s="12">
        <v>705</v>
      </c>
      <c r="I12" s="17">
        <v>2</v>
      </c>
      <c r="J12" s="18">
        <v>2</v>
      </c>
      <c r="K12" s="19">
        <f t="shared" si="0"/>
        <v>6.0984000000000007</v>
      </c>
      <c r="L12" s="14"/>
      <c r="M12" s="15">
        <v>0.56000000000000005</v>
      </c>
      <c r="N12" s="15">
        <v>10.89</v>
      </c>
    </row>
    <row r="13" spans="1:14" s="15" customFormat="1" ht="20.25" customHeight="1" x14ac:dyDescent="0.15">
      <c r="A13" s="60" t="s">
        <v>1926</v>
      </c>
      <c r="B13" s="9" t="s">
        <v>1775</v>
      </c>
      <c r="C13" s="58" t="s">
        <v>29</v>
      </c>
      <c r="D13" s="11" t="s">
        <v>247</v>
      </c>
      <c r="E13" s="10">
        <v>24</v>
      </c>
      <c r="F13" s="58" t="s">
        <v>11</v>
      </c>
      <c r="G13" s="12">
        <v>885</v>
      </c>
      <c r="H13" s="12">
        <v>2065</v>
      </c>
      <c r="I13" s="17" t="s">
        <v>1928</v>
      </c>
      <c r="J13" s="18">
        <v>49</v>
      </c>
      <c r="K13" s="19">
        <f>+M13*N13</f>
        <v>503.44470000000001</v>
      </c>
      <c r="L13" s="20"/>
      <c r="M13" s="15">
        <v>46.23</v>
      </c>
      <c r="N13" s="15">
        <v>10.89</v>
      </c>
    </row>
    <row r="14" spans="1:14" s="15" customFormat="1" ht="20.25" customHeight="1" x14ac:dyDescent="0.15">
      <c r="A14" s="60"/>
      <c r="B14" s="9"/>
      <c r="C14" s="58" t="s">
        <v>29</v>
      </c>
      <c r="D14" s="11" t="s">
        <v>1927</v>
      </c>
      <c r="E14" s="10">
        <v>24</v>
      </c>
      <c r="F14" s="58" t="s">
        <v>11</v>
      </c>
      <c r="G14" s="12">
        <v>885</v>
      </c>
      <c r="H14" s="12">
        <v>1475</v>
      </c>
      <c r="I14" s="17" t="s">
        <v>218</v>
      </c>
      <c r="J14" s="18">
        <v>3</v>
      </c>
      <c r="K14" s="19">
        <f>+M14*N14</f>
        <v>31.254300000000004</v>
      </c>
      <c r="L14" s="20"/>
      <c r="M14" s="15">
        <v>2.87</v>
      </c>
      <c r="N14" s="15">
        <v>10.89</v>
      </c>
    </row>
    <row r="15" spans="1:14" s="15" customFormat="1" ht="20.25" customHeight="1" x14ac:dyDescent="0.15">
      <c r="A15" s="60" t="s">
        <v>1920</v>
      </c>
      <c r="B15" s="9" t="s">
        <v>1775</v>
      </c>
      <c r="C15" s="58" t="s">
        <v>29</v>
      </c>
      <c r="D15" s="11" t="s">
        <v>247</v>
      </c>
      <c r="E15" s="10">
        <v>24</v>
      </c>
      <c r="F15" s="58" t="s">
        <v>11</v>
      </c>
      <c r="G15" s="12">
        <v>1090</v>
      </c>
      <c r="H15" s="12">
        <v>2155</v>
      </c>
      <c r="I15" s="17" t="s">
        <v>1921</v>
      </c>
      <c r="J15" s="18">
        <v>73</v>
      </c>
      <c r="K15" s="19">
        <f t="shared" si="0"/>
        <v>866.29949999999997</v>
      </c>
      <c r="L15" s="14"/>
      <c r="M15" s="15">
        <v>79.55</v>
      </c>
      <c r="N15" s="15">
        <v>10.89</v>
      </c>
    </row>
    <row r="16" spans="1:14" s="15" customFormat="1" ht="20.25" customHeight="1" x14ac:dyDescent="0.15">
      <c r="A16" s="60" t="s">
        <v>1922</v>
      </c>
      <c r="B16" s="9" t="s">
        <v>1775</v>
      </c>
      <c r="C16" s="58" t="s">
        <v>29</v>
      </c>
      <c r="D16" s="11" t="s">
        <v>247</v>
      </c>
      <c r="E16" s="10">
        <v>24</v>
      </c>
      <c r="F16" s="58" t="s">
        <v>11</v>
      </c>
      <c r="G16" s="12">
        <v>1090</v>
      </c>
      <c r="H16" s="12">
        <v>2145</v>
      </c>
      <c r="I16" s="17" t="s">
        <v>1923</v>
      </c>
      <c r="J16" s="18">
        <v>67</v>
      </c>
      <c r="K16" s="19">
        <f t="shared" si="0"/>
        <v>873.37800000000004</v>
      </c>
      <c r="L16" s="20"/>
      <c r="M16" s="15">
        <v>80.2</v>
      </c>
      <c r="N16" s="15">
        <v>10.89</v>
      </c>
    </row>
    <row r="17" spans="1:14" s="15" customFormat="1" ht="20.25" customHeight="1" x14ac:dyDescent="0.15">
      <c r="A17" s="60" t="s">
        <v>1924</v>
      </c>
      <c r="B17" s="9" t="s">
        <v>126</v>
      </c>
      <c r="C17" s="58" t="s">
        <v>29</v>
      </c>
      <c r="D17" s="11" t="s">
        <v>201</v>
      </c>
      <c r="E17" s="10">
        <v>22</v>
      </c>
      <c r="F17" s="58"/>
      <c r="G17" s="12">
        <v>362</v>
      </c>
      <c r="H17" s="12">
        <v>972</v>
      </c>
      <c r="I17" s="17">
        <v>1</v>
      </c>
      <c r="J17" s="18">
        <v>1</v>
      </c>
      <c r="K17" s="19">
        <f t="shared" si="0"/>
        <v>3.8115000000000001</v>
      </c>
      <c r="L17" s="20"/>
      <c r="M17" s="15">
        <v>0.35</v>
      </c>
      <c r="N17" s="15">
        <v>10.89</v>
      </c>
    </row>
    <row r="18" spans="1:14" s="15" customFormat="1" ht="20.25" customHeight="1" x14ac:dyDescent="0.15">
      <c r="A18" s="60" t="s">
        <v>1925</v>
      </c>
      <c r="B18" s="9" t="s">
        <v>37</v>
      </c>
      <c r="C18" s="58" t="s">
        <v>29</v>
      </c>
      <c r="D18" s="11" t="s">
        <v>684</v>
      </c>
      <c r="E18" s="10">
        <v>22</v>
      </c>
      <c r="F18" s="58"/>
      <c r="G18" s="12">
        <v>233</v>
      </c>
      <c r="H18" s="12">
        <v>327</v>
      </c>
      <c r="I18" s="17" t="s">
        <v>218</v>
      </c>
      <c r="J18" s="18">
        <v>3</v>
      </c>
      <c r="K18" s="19">
        <f t="shared" si="0"/>
        <v>15.7905</v>
      </c>
      <c r="L18" s="20"/>
      <c r="M18" s="15">
        <v>1.45</v>
      </c>
      <c r="N18" s="15">
        <v>10.89</v>
      </c>
    </row>
    <row r="19" spans="1:14" s="15" customFormat="1" ht="20.25" customHeight="1" x14ac:dyDescent="0.15">
      <c r="A19" s="60"/>
      <c r="B19" s="9"/>
      <c r="C19" s="58"/>
      <c r="D19" s="11"/>
      <c r="E19" s="10"/>
      <c r="F19" s="58"/>
      <c r="G19" s="12"/>
      <c r="H19" s="12"/>
      <c r="I19" s="17"/>
      <c r="J19" s="18"/>
      <c r="K19" s="19">
        <f t="shared" si="0"/>
        <v>0</v>
      </c>
      <c r="L19" s="20"/>
      <c r="N19" s="15">
        <v>10.89</v>
      </c>
    </row>
    <row r="20" spans="1:14" s="15" customFormat="1" ht="20.25" customHeight="1" x14ac:dyDescent="0.15">
      <c r="A20" s="60"/>
      <c r="B20" s="9"/>
      <c r="C20" s="58"/>
      <c r="D20" s="11"/>
      <c r="E20" s="10"/>
      <c r="F20" s="58"/>
      <c r="G20" s="12"/>
      <c r="H20" s="12"/>
      <c r="I20" s="17"/>
      <c r="J20" s="18"/>
      <c r="K20" s="19">
        <f t="shared" si="0"/>
        <v>0</v>
      </c>
      <c r="L20" s="20"/>
      <c r="N20" s="15">
        <v>10.89</v>
      </c>
    </row>
    <row r="21" spans="1:14" s="15" customFormat="1" ht="20.25" customHeight="1" x14ac:dyDescent="0.15">
      <c r="A21" s="60"/>
      <c r="B21" s="9"/>
      <c r="C21" s="58"/>
      <c r="D21" s="11"/>
      <c r="E21" s="10"/>
      <c r="F21" s="58"/>
      <c r="G21" s="50"/>
      <c r="H21" s="50"/>
      <c r="I21" s="17"/>
      <c r="J21" s="18"/>
      <c r="K21" s="19">
        <f t="shared" si="0"/>
        <v>0</v>
      </c>
      <c r="L21" s="20"/>
      <c r="N21" s="15">
        <v>10.89</v>
      </c>
    </row>
    <row r="22" spans="1:14" s="15" customFormat="1" ht="20.25" customHeight="1" x14ac:dyDescent="0.15">
      <c r="A22" s="60"/>
      <c r="B22" s="9"/>
      <c r="C22" s="58"/>
      <c r="D22" s="11"/>
      <c r="E22" s="10"/>
      <c r="F22" s="58"/>
      <c r="G22" s="50"/>
      <c r="H22" s="50"/>
      <c r="I22" s="17"/>
      <c r="J22" s="18"/>
      <c r="K22" s="19">
        <f t="shared" si="0"/>
        <v>0</v>
      </c>
      <c r="L22" s="20"/>
      <c r="N22" s="15">
        <v>10.89</v>
      </c>
    </row>
    <row r="23" spans="1:14" ht="20.25" customHeight="1" x14ac:dyDescent="0.15">
      <c r="A23" s="60"/>
      <c r="B23" s="9"/>
      <c r="C23" s="58"/>
      <c r="D23" s="11"/>
      <c r="E23" s="10"/>
      <c r="F23" s="58"/>
      <c r="G23" s="16"/>
      <c r="H23" s="16"/>
      <c r="I23" s="17"/>
      <c r="J23" s="18"/>
      <c r="K23" s="19">
        <f t="shared" si="0"/>
        <v>0</v>
      </c>
      <c r="L23" s="20"/>
      <c r="N23" s="15">
        <v>10.89</v>
      </c>
    </row>
    <row r="24" spans="1:14" ht="20.25" customHeight="1" thickBot="1" x14ac:dyDescent="0.2">
      <c r="A24" s="56"/>
      <c r="B24" s="21"/>
      <c r="C24" s="59"/>
      <c r="D24" s="22"/>
      <c r="E24" s="23"/>
      <c r="F24" s="23"/>
      <c r="G24" s="24"/>
      <c r="H24" s="24"/>
      <c r="I24" s="25"/>
      <c r="J24" s="46">
        <f>SUM(J8:J23)</f>
        <v>357</v>
      </c>
      <c r="K24" s="47">
        <f>SUM(K8:K23)</f>
        <v>4908.4497000000001</v>
      </c>
      <c r="L24" s="26"/>
    </row>
    <row r="25" spans="1:14" ht="20.25" customHeight="1" thickTop="1" x14ac:dyDescent="0.15">
      <c r="A25" s="60" t="s">
        <v>1587</v>
      </c>
      <c r="B25" s="9" t="s">
        <v>173</v>
      </c>
      <c r="C25" s="58" t="s">
        <v>29</v>
      </c>
      <c r="D25" s="11" t="s">
        <v>364</v>
      </c>
      <c r="E25" s="10">
        <v>22</v>
      </c>
      <c r="F25" s="10"/>
      <c r="G25" s="12">
        <v>759</v>
      </c>
      <c r="H25" s="12">
        <v>1957</v>
      </c>
      <c r="I25" s="17">
        <v>1</v>
      </c>
      <c r="J25" s="18">
        <v>1</v>
      </c>
      <c r="K25" s="19">
        <f t="shared" ref="K25:K40" si="1">+M25*N25</f>
        <v>16.226100000000002</v>
      </c>
      <c r="L25" s="54"/>
      <c r="M25" s="3">
        <v>1.49</v>
      </c>
      <c r="N25" s="15">
        <v>10.89</v>
      </c>
    </row>
    <row r="26" spans="1:14" ht="20.25" customHeight="1" x14ac:dyDescent="0.15">
      <c r="A26" s="60" t="s">
        <v>1889</v>
      </c>
      <c r="B26" s="9" t="s">
        <v>123</v>
      </c>
      <c r="C26" s="58" t="s">
        <v>29</v>
      </c>
      <c r="D26" s="11" t="s">
        <v>1890</v>
      </c>
      <c r="E26" s="10">
        <v>43</v>
      </c>
      <c r="F26" s="10" t="s">
        <v>11</v>
      </c>
      <c r="G26" s="12">
        <v>1888</v>
      </c>
      <c r="H26" s="12">
        <v>2166</v>
      </c>
      <c r="I26" s="17" t="s">
        <v>605</v>
      </c>
      <c r="J26" s="18">
        <v>22</v>
      </c>
      <c r="K26" s="19">
        <f t="shared" si="1"/>
        <v>635.86710000000005</v>
      </c>
      <c r="L26" s="54"/>
      <c r="M26" s="3">
        <v>58.39</v>
      </c>
      <c r="N26" s="15">
        <v>10.89</v>
      </c>
    </row>
    <row r="27" spans="1:14" ht="20.25" customHeight="1" x14ac:dyDescent="0.15">
      <c r="A27" s="61" t="s">
        <v>1688</v>
      </c>
      <c r="B27" s="9" t="s">
        <v>173</v>
      </c>
      <c r="C27" s="58" t="s">
        <v>29</v>
      </c>
      <c r="D27" s="11" t="s">
        <v>188</v>
      </c>
      <c r="E27" s="10">
        <v>22</v>
      </c>
      <c r="F27" s="10"/>
      <c r="G27" s="12">
        <v>701</v>
      </c>
      <c r="H27" s="12">
        <v>1087</v>
      </c>
      <c r="I27" s="17">
        <v>3</v>
      </c>
      <c r="J27" s="18">
        <v>3</v>
      </c>
      <c r="K27" s="19">
        <f t="shared" si="1"/>
        <v>24.8292</v>
      </c>
      <c r="L27" s="54"/>
      <c r="M27" s="3">
        <v>2.2799999999999998</v>
      </c>
      <c r="N27" s="15">
        <v>10.89</v>
      </c>
    </row>
    <row r="28" spans="1:14" ht="20.25" customHeight="1" x14ac:dyDescent="0.15">
      <c r="A28" s="61" t="s">
        <v>1930</v>
      </c>
      <c r="B28" s="9" t="s">
        <v>1904</v>
      </c>
      <c r="C28" s="58" t="s">
        <v>29</v>
      </c>
      <c r="D28" s="11" t="s">
        <v>1902</v>
      </c>
      <c r="E28" s="10">
        <v>22</v>
      </c>
      <c r="F28" s="10" t="s">
        <v>11</v>
      </c>
      <c r="G28" s="12">
        <v>1646</v>
      </c>
      <c r="H28" s="12">
        <v>1960</v>
      </c>
      <c r="I28" s="17" t="s">
        <v>1910</v>
      </c>
      <c r="J28" s="18">
        <v>106</v>
      </c>
      <c r="K28" s="19">
        <f t="shared" si="1"/>
        <v>666.68579999999997</v>
      </c>
      <c r="L28" s="54"/>
      <c r="M28" s="3">
        <v>61.22</v>
      </c>
      <c r="N28" s="15">
        <v>10.89</v>
      </c>
    </row>
    <row r="29" spans="1:14" ht="20.25" customHeight="1" x14ac:dyDescent="0.15">
      <c r="A29" s="61"/>
      <c r="B29" s="9"/>
      <c r="C29" s="58" t="s">
        <v>29</v>
      </c>
      <c r="D29" s="11" t="s">
        <v>1903</v>
      </c>
      <c r="E29" s="10">
        <v>22</v>
      </c>
      <c r="F29" s="10"/>
      <c r="G29" s="12">
        <v>252</v>
      </c>
      <c r="H29" s="12">
        <v>760</v>
      </c>
      <c r="I29" s="17">
        <v>10</v>
      </c>
      <c r="J29" s="18">
        <v>10</v>
      </c>
      <c r="K29" s="19">
        <f t="shared" si="1"/>
        <v>30.492000000000001</v>
      </c>
      <c r="L29" s="54"/>
      <c r="M29" s="3">
        <v>2.8</v>
      </c>
      <c r="N29" s="15">
        <v>10.89</v>
      </c>
    </row>
    <row r="30" spans="1:14" ht="20.25" customHeight="1" x14ac:dyDescent="0.15">
      <c r="A30" s="61" t="s">
        <v>1932</v>
      </c>
      <c r="B30" s="9" t="s">
        <v>1904</v>
      </c>
      <c r="C30" s="58" t="s">
        <v>29</v>
      </c>
      <c r="D30" s="11" t="s">
        <v>1902</v>
      </c>
      <c r="E30" s="10">
        <v>22</v>
      </c>
      <c r="F30" s="10" t="s">
        <v>11</v>
      </c>
      <c r="G30" s="12">
        <v>1646</v>
      </c>
      <c r="H30" s="12">
        <v>1960</v>
      </c>
      <c r="I30" s="51" t="s">
        <v>1913</v>
      </c>
      <c r="J30" s="52">
        <v>54</v>
      </c>
      <c r="K30" s="53">
        <f t="shared" si="1"/>
        <v>483.51600000000002</v>
      </c>
      <c r="L30" s="54"/>
      <c r="M30" s="3">
        <v>44.4</v>
      </c>
      <c r="N30" s="15">
        <v>10.89</v>
      </c>
    </row>
    <row r="31" spans="1:14" ht="20.25" customHeight="1" x14ac:dyDescent="0.15">
      <c r="A31" s="61"/>
      <c r="B31" s="9"/>
      <c r="C31" s="58" t="s">
        <v>29</v>
      </c>
      <c r="D31" s="11" t="s">
        <v>1903</v>
      </c>
      <c r="E31" s="10">
        <v>22</v>
      </c>
      <c r="F31" s="10"/>
      <c r="G31" s="12">
        <v>252</v>
      </c>
      <c r="H31" s="12">
        <v>760</v>
      </c>
      <c r="I31" s="51">
        <v>6</v>
      </c>
      <c r="J31" s="52">
        <v>6</v>
      </c>
      <c r="K31" s="53">
        <f t="shared" si="1"/>
        <v>18.295200000000001</v>
      </c>
      <c r="L31" s="54"/>
      <c r="M31" s="3">
        <v>1.68</v>
      </c>
      <c r="N31" s="15">
        <v>10.89</v>
      </c>
    </row>
    <row r="32" spans="1:14" ht="20.25" customHeight="1" x14ac:dyDescent="0.15">
      <c r="A32" s="60" t="s">
        <v>1934</v>
      </c>
      <c r="B32" s="9" t="s">
        <v>1904</v>
      </c>
      <c r="C32" s="58" t="s">
        <v>29</v>
      </c>
      <c r="D32" s="11" t="s">
        <v>1902</v>
      </c>
      <c r="E32" s="10">
        <v>22</v>
      </c>
      <c r="F32" s="10" t="s">
        <v>11</v>
      </c>
      <c r="G32" s="12">
        <v>1646</v>
      </c>
      <c r="H32" s="12">
        <v>1960</v>
      </c>
      <c r="I32" s="17" t="s">
        <v>161</v>
      </c>
      <c r="J32" s="18">
        <v>57</v>
      </c>
      <c r="K32" s="19">
        <f t="shared" si="1"/>
        <v>445.94550000000004</v>
      </c>
      <c r="L32" s="27"/>
      <c r="M32" s="3">
        <v>40.950000000000003</v>
      </c>
      <c r="N32" s="15">
        <v>10.89</v>
      </c>
    </row>
    <row r="33" spans="1:14" ht="20.25" customHeight="1" x14ac:dyDescent="0.15">
      <c r="A33" s="60"/>
      <c r="B33" s="9"/>
      <c r="C33" s="58" t="s">
        <v>29</v>
      </c>
      <c r="D33" s="11" t="s">
        <v>1903</v>
      </c>
      <c r="E33" s="10">
        <v>22</v>
      </c>
      <c r="F33" s="10"/>
      <c r="G33" s="12">
        <v>252</v>
      </c>
      <c r="H33" s="12">
        <v>760</v>
      </c>
      <c r="I33" s="17">
        <v>6</v>
      </c>
      <c r="J33" s="18">
        <v>6</v>
      </c>
      <c r="K33" s="19">
        <f t="shared" si="1"/>
        <v>18.295200000000001</v>
      </c>
      <c r="L33" s="27"/>
      <c r="M33" s="3">
        <v>1.68</v>
      </c>
      <c r="N33" s="15">
        <v>10.89</v>
      </c>
    </row>
    <row r="34" spans="1:14" ht="20.25" customHeight="1" x14ac:dyDescent="0.15">
      <c r="A34" s="60" t="s">
        <v>1936</v>
      </c>
      <c r="B34" s="9" t="s">
        <v>1904</v>
      </c>
      <c r="C34" s="58" t="s">
        <v>29</v>
      </c>
      <c r="D34" s="11" t="s">
        <v>1902</v>
      </c>
      <c r="E34" s="10">
        <v>22</v>
      </c>
      <c r="F34" s="10" t="s">
        <v>11</v>
      </c>
      <c r="G34" s="12">
        <v>1646</v>
      </c>
      <c r="H34" s="12">
        <v>1960</v>
      </c>
      <c r="I34" s="17" t="s">
        <v>1169</v>
      </c>
      <c r="J34" s="18">
        <v>18</v>
      </c>
      <c r="K34" s="19">
        <f t="shared" si="1"/>
        <v>248.29200000000003</v>
      </c>
      <c r="L34" s="27"/>
      <c r="M34" s="3">
        <v>22.8</v>
      </c>
      <c r="N34" s="15">
        <v>10.89</v>
      </c>
    </row>
    <row r="35" spans="1:14" ht="20.25" customHeight="1" x14ac:dyDescent="0.15">
      <c r="A35" s="60" t="s">
        <v>1937</v>
      </c>
      <c r="B35" s="9" t="s">
        <v>55</v>
      </c>
      <c r="C35" s="58" t="s">
        <v>29</v>
      </c>
      <c r="D35" s="11" t="s">
        <v>1207</v>
      </c>
      <c r="E35" s="10">
        <v>25.76</v>
      </c>
      <c r="F35" s="10" t="s">
        <v>11</v>
      </c>
      <c r="G35" s="12">
        <v>1533</v>
      </c>
      <c r="H35" s="12">
        <v>915</v>
      </c>
      <c r="I35" s="17" t="s">
        <v>337</v>
      </c>
      <c r="J35" s="18">
        <v>2</v>
      </c>
      <c r="K35" s="19">
        <f t="shared" si="1"/>
        <v>30.492000000000001</v>
      </c>
      <c r="L35" s="27"/>
      <c r="M35" s="3">
        <v>2.8</v>
      </c>
      <c r="N35" s="15">
        <v>10.89</v>
      </c>
    </row>
    <row r="36" spans="1:14" ht="20.25" customHeight="1" x14ac:dyDescent="0.15">
      <c r="A36" s="60"/>
      <c r="B36" s="9"/>
      <c r="C36" s="58" t="s">
        <v>29</v>
      </c>
      <c r="D36" s="11" t="s">
        <v>1938</v>
      </c>
      <c r="E36" s="10">
        <v>22</v>
      </c>
      <c r="F36" s="10" t="s">
        <v>11</v>
      </c>
      <c r="G36" s="12">
        <v>753</v>
      </c>
      <c r="H36" s="12">
        <v>929</v>
      </c>
      <c r="I36" s="17">
        <v>1</v>
      </c>
      <c r="J36" s="18">
        <v>1</v>
      </c>
      <c r="K36" s="19">
        <f t="shared" si="1"/>
        <v>7.6230000000000002</v>
      </c>
      <c r="L36" s="27"/>
      <c r="M36" s="3">
        <v>0.7</v>
      </c>
      <c r="N36" s="15">
        <v>10.89</v>
      </c>
    </row>
    <row r="37" spans="1:14" ht="20.25" customHeight="1" x14ac:dyDescent="0.15">
      <c r="A37" s="60"/>
      <c r="B37" s="9"/>
      <c r="C37" s="58" t="s">
        <v>29</v>
      </c>
      <c r="D37" s="11" t="s">
        <v>1939</v>
      </c>
      <c r="E37" s="10">
        <v>22</v>
      </c>
      <c r="F37" s="10" t="s">
        <v>11</v>
      </c>
      <c r="G37" s="12">
        <v>598</v>
      </c>
      <c r="H37" s="12">
        <v>1949</v>
      </c>
      <c r="I37" s="17">
        <v>1</v>
      </c>
      <c r="J37" s="18">
        <v>1</v>
      </c>
      <c r="K37" s="19">
        <f t="shared" si="1"/>
        <v>12.741300000000001</v>
      </c>
      <c r="L37" s="27"/>
      <c r="M37" s="3">
        <v>1.17</v>
      </c>
      <c r="N37" s="15">
        <v>10.89</v>
      </c>
    </row>
    <row r="38" spans="1:14" ht="20.25" customHeight="1" x14ac:dyDescent="0.15">
      <c r="A38" s="60" t="s">
        <v>1940</v>
      </c>
      <c r="B38" s="9" t="s">
        <v>1775</v>
      </c>
      <c r="C38" s="58" t="s">
        <v>29</v>
      </c>
      <c r="D38" s="11" t="s">
        <v>247</v>
      </c>
      <c r="E38" s="10">
        <v>24</v>
      </c>
      <c r="F38" s="10" t="s">
        <v>11</v>
      </c>
      <c r="G38" s="12">
        <v>1435</v>
      </c>
      <c r="H38" s="12">
        <v>2885</v>
      </c>
      <c r="I38" s="17" t="s">
        <v>1941</v>
      </c>
      <c r="J38" s="18">
        <v>36</v>
      </c>
      <c r="K38" s="19">
        <f t="shared" si="1"/>
        <v>803.68200000000002</v>
      </c>
      <c r="L38" s="27"/>
      <c r="M38" s="3">
        <v>73.8</v>
      </c>
      <c r="N38" s="15">
        <v>10.89</v>
      </c>
    </row>
    <row r="39" spans="1:14" ht="20.25" customHeight="1" x14ac:dyDescent="0.15">
      <c r="A39" s="60" t="s">
        <v>1942</v>
      </c>
      <c r="B39" s="9" t="s">
        <v>1775</v>
      </c>
      <c r="C39" s="58" t="s">
        <v>29</v>
      </c>
      <c r="D39" s="11" t="s">
        <v>247</v>
      </c>
      <c r="E39" s="10">
        <v>24</v>
      </c>
      <c r="F39" s="10" t="s">
        <v>11</v>
      </c>
      <c r="G39" s="12">
        <v>1365</v>
      </c>
      <c r="H39" s="12">
        <v>2985</v>
      </c>
      <c r="I39" s="17" t="s">
        <v>1745</v>
      </c>
      <c r="J39" s="18">
        <v>55</v>
      </c>
      <c r="K39" s="19">
        <f t="shared" si="1"/>
        <v>847.45979999999997</v>
      </c>
      <c r="L39" s="27"/>
      <c r="M39" s="3">
        <v>77.819999999999993</v>
      </c>
      <c r="N39" s="15">
        <v>10.89</v>
      </c>
    </row>
    <row r="40" spans="1:14" ht="20.25" customHeight="1" x14ac:dyDescent="0.15">
      <c r="A40" s="60"/>
      <c r="B40" s="9"/>
      <c r="C40" s="58"/>
      <c r="D40" s="11"/>
      <c r="E40" s="10"/>
      <c r="F40" s="10"/>
      <c r="G40" s="12"/>
      <c r="H40" s="12"/>
      <c r="I40" s="17"/>
      <c r="J40" s="18"/>
      <c r="K40" s="19">
        <f t="shared" si="1"/>
        <v>0</v>
      </c>
      <c r="L40" s="27"/>
      <c r="N40" s="15">
        <v>10.89</v>
      </c>
    </row>
    <row r="41" spans="1:14" ht="20.25" customHeight="1" x14ac:dyDescent="0.15">
      <c r="A41" s="57"/>
      <c r="B41" s="28"/>
      <c r="C41" s="10"/>
      <c r="D41" s="29"/>
      <c r="E41" s="30"/>
      <c r="F41" s="30"/>
      <c r="G41" s="30"/>
      <c r="H41" s="30"/>
      <c r="I41" s="13"/>
      <c r="J41" s="48">
        <f>SUM(J25:J40)</f>
        <v>378</v>
      </c>
      <c r="K41" s="49">
        <f>SUM(K25:K40)</f>
        <v>4290.4422000000004</v>
      </c>
      <c r="L41" s="31"/>
      <c r="N41" s="32"/>
    </row>
    <row r="42" spans="1:14" ht="20.25" customHeight="1" thickBot="1" x14ac:dyDescent="0.2">
      <c r="A42" s="55"/>
      <c r="B42" s="33"/>
      <c r="C42" s="33"/>
      <c r="D42" s="33"/>
      <c r="E42" s="33"/>
      <c r="F42" s="33"/>
      <c r="G42" s="33"/>
      <c r="H42" s="33"/>
      <c r="I42" s="33"/>
      <c r="J42" s="34"/>
      <c r="K42" s="35"/>
      <c r="L42" s="36"/>
    </row>
    <row r="43" spans="1:14" ht="20.25" customHeight="1" thickBot="1" x14ac:dyDescent="0.2">
      <c r="A43" s="37" t="s">
        <v>19</v>
      </c>
      <c r="B43" s="38" t="s">
        <v>20</v>
      </c>
      <c r="C43" s="77" t="s">
        <v>21</v>
      </c>
      <c r="D43" s="79"/>
      <c r="E43" s="77" t="s">
        <v>22</v>
      </c>
      <c r="F43" s="78"/>
      <c r="G43" s="79"/>
      <c r="H43" s="85" t="s">
        <v>23</v>
      </c>
      <c r="I43" s="86"/>
      <c r="J43" s="77" t="s">
        <v>24</v>
      </c>
      <c r="K43" s="79"/>
      <c r="L43" s="39" t="s">
        <v>13</v>
      </c>
    </row>
    <row r="44" spans="1:14" ht="20.25" customHeight="1" thickBot="1" x14ac:dyDescent="0.2">
      <c r="A44" s="40">
        <f>SUMIF($C$8:$C$42,"U1",$J$8:$J$42)</f>
        <v>0</v>
      </c>
      <c r="B44" s="41">
        <f>SUMIF($C$8:$C$42,"U2",$J$8:$J$42)</f>
        <v>0</v>
      </c>
      <c r="C44" s="77">
        <f>SUMIF($C$8:$C$42,"U3-1",$J$8:$J$42)</f>
        <v>0</v>
      </c>
      <c r="D44" s="79"/>
      <c r="E44" s="77">
        <f>SUMIF($C$8:$C$42,"U3",$J$8:$J$42)</f>
        <v>735</v>
      </c>
      <c r="F44" s="78"/>
      <c r="G44" s="79"/>
      <c r="H44" s="77">
        <f>SUMIF($C$8:$C$42,"E5",$J$8:$J$42)</f>
        <v>0</v>
      </c>
      <c r="I44" s="79"/>
      <c r="J44" s="77">
        <f>SUM(A44:I44)</f>
        <v>735</v>
      </c>
      <c r="K44" s="79"/>
      <c r="L44" s="42"/>
    </row>
    <row r="45" spans="1:14" ht="20.25" customHeight="1" thickBot="1" x14ac:dyDescent="0.2">
      <c r="A45" s="43" t="s">
        <v>25</v>
      </c>
      <c r="B45" s="44" t="s">
        <v>26</v>
      </c>
      <c r="C45" s="75">
        <v>13876</v>
      </c>
      <c r="D45" s="76"/>
      <c r="E45" s="77" t="s">
        <v>27</v>
      </c>
      <c r="F45" s="78"/>
      <c r="G45" s="78"/>
      <c r="H45" s="78"/>
      <c r="I45" s="79"/>
      <c r="J45" s="80">
        <v>146744.37</v>
      </c>
      <c r="K45" s="81"/>
      <c r="L45" s="82"/>
    </row>
    <row r="47" spans="1:14" x14ac:dyDescent="0.15">
      <c r="D47" s="45"/>
    </row>
  </sheetData>
  <mergeCells count="26">
    <mergeCell ref="C45:D45"/>
    <mergeCell ref="E45:I45"/>
    <mergeCell ref="J45:L45"/>
    <mergeCell ref="L6:L7"/>
    <mergeCell ref="C43:D43"/>
    <mergeCell ref="E43:G43"/>
    <mergeCell ref="H43:I43"/>
    <mergeCell ref="J43:K43"/>
    <mergeCell ref="C44:D44"/>
    <mergeCell ref="E44:G44"/>
    <mergeCell ref="H44:I44"/>
    <mergeCell ref="J44:K44"/>
    <mergeCell ref="B5:G5"/>
    <mergeCell ref="A6:A7"/>
    <mergeCell ref="B6:B7"/>
    <mergeCell ref="C6:C7"/>
    <mergeCell ref="D6:D7"/>
    <mergeCell ref="E6:E7"/>
    <mergeCell ref="F6:F7"/>
    <mergeCell ref="G6:K6"/>
    <mergeCell ref="L2:L4"/>
    <mergeCell ref="A1:G3"/>
    <mergeCell ref="H1:H4"/>
    <mergeCell ref="I2:I4"/>
    <mergeCell ref="J2:J4"/>
    <mergeCell ref="K2:K4"/>
  </mergeCells>
  <phoneticPr fontId="2" type="noConversion"/>
  <printOptions horizontalCentered="1"/>
  <pageMargins left="0.39370078740157483" right="0.39370078740157483" top="0.74803149606299213" bottom="0.19685039370078741" header="0.31496062992125984" footer="0.15748031496062992"/>
  <pageSetup paperSize="9" scale="84" orientation="portrait" r:id="rId1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BEA35D-57AA-4F27-8B6B-D2018D22938C}">
  <dimension ref="A1:N47"/>
  <sheetViews>
    <sheetView view="pageBreakPreview" topLeftCell="A19" zoomScaleSheetLayoutView="100" workbookViewId="0">
      <selection activeCell="B35" sqref="B35"/>
    </sheetView>
  </sheetViews>
  <sheetFormatPr defaultColWidth="8.88671875" defaultRowHeight="13.5" x14ac:dyDescent="0.15"/>
  <cols>
    <col min="1" max="1" width="8.44140625" style="3" customWidth="1"/>
    <col min="2" max="2" width="14.77734375" style="3" customWidth="1"/>
    <col min="3" max="3" width="4.109375" style="3" customWidth="1"/>
    <col min="4" max="4" width="15.21875" style="3" customWidth="1"/>
    <col min="5" max="5" width="4.44140625" style="3" customWidth="1"/>
    <col min="6" max="6" width="4" style="3" customWidth="1"/>
    <col min="7" max="7" width="5.5546875" style="3" customWidth="1"/>
    <col min="8" max="8" width="5.44140625" style="3" customWidth="1"/>
    <col min="9" max="9" width="7.88671875" style="3" customWidth="1"/>
    <col min="10" max="10" width="7.109375" style="3" customWidth="1"/>
    <col min="11" max="11" width="7.21875" style="3" customWidth="1"/>
    <col min="12" max="12" width="6.77734375" style="3" customWidth="1"/>
    <col min="13" max="16384" width="8.88671875" style="3"/>
  </cols>
  <sheetData>
    <row r="1" spans="1:14" ht="18.75" customHeight="1" x14ac:dyDescent="0.15">
      <c r="A1" s="101" t="s">
        <v>0</v>
      </c>
      <c r="B1" s="102"/>
      <c r="C1" s="102"/>
      <c r="D1" s="102"/>
      <c r="E1" s="102"/>
      <c r="F1" s="102"/>
      <c r="G1" s="103"/>
      <c r="H1" s="107" t="s">
        <v>1</v>
      </c>
      <c r="I1" s="1" t="s">
        <v>2</v>
      </c>
      <c r="J1" s="1" t="s">
        <v>2</v>
      </c>
      <c r="K1" s="1" t="s">
        <v>3</v>
      </c>
      <c r="L1" s="2" t="s">
        <v>4</v>
      </c>
    </row>
    <row r="2" spans="1:14" ht="13.5" customHeight="1" x14ac:dyDescent="0.15">
      <c r="A2" s="104"/>
      <c r="B2" s="105"/>
      <c r="C2" s="105"/>
      <c r="D2" s="105"/>
      <c r="E2" s="105"/>
      <c r="F2" s="105"/>
      <c r="G2" s="106"/>
      <c r="H2" s="108"/>
      <c r="I2" s="110"/>
      <c r="J2" s="110"/>
      <c r="K2" s="110"/>
      <c r="L2" s="98"/>
    </row>
    <row r="3" spans="1:14" ht="13.5" customHeight="1" x14ac:dyDescent="0.15">
      <c r="A3" s="104"/>
      <c r="B3" s="105"/>
      <c r="C3" s="105"/>
      <c r="D3" s="105"/>
      <c r="E3" s="105"/>
      <c r="F3" s="105"/>
      <c r="G3" s="106"/>
      <c r="H3" s="108"/>
      <c r="I3" s="108"/>
      <c r="J3" s="108"/>
      <c r="K3" s="108"/>
      <c r="L3" s="99"/>
    </row>
    <row r="4" spans="1:14" ht="33" customHeight="1" x14ac:dyDescent="0.15">
      <c r="A4" s="4"/>
      <c r="B4" s="5"/>
      <c r="C4" s="5"/>
      <c r="D4" s="5"/>
      <c r="E4" s="5"/>
      <c r="F4" s="5"/>
      <c r="G4" s="5"/>
      <c r="H4" s="109"/>
      <c r="I4" s="109"/>
      <c r="J4" s="109"/>
      <c r="K4" s="109"/>
      <c r="L4" s="100"/>
    </row>
    <row r="5" spans="1:14" ht="17.25" customHeight="1" x14ac:dyDescent="0.15">
      <c r="A5" s="6" t="s">
        <v>5</v>
      </c>
      <c r="B5" s="87">
        <v>46127</v>
      </c>
      <c r="C5" s="88"/>
      <c r="D5" s="88"/>
      <c r="E5" s="88"/>
      <c r="F5" s="88"/>
      <c r="G5" s="88"/>
      <c r="H5" s="5"/>
      <c r="I5" s="5"/>
      <c r="J5" s="5"/>
      <c r="K5" s="5"/>
      <c r="L5" s="7"/>
    </row>
    <row r="6" spans="1:14" ht="13.5" customHeight="1" x14ac:dyDescent="0.15">
      <c r="A6" s="89" t="s">
        <v>6</v>
      </c>
      <c r="B6" s="91" t="s">
        <v>7</v>
      </c>
      <c r="C6" s="91" t="s">
        <v>8</v>
      </c>
      <c r="D6" s="91" t="s">
        <v>9</v>
      </c>
      <c r="E6" s="93" t="s">
        <v>10</v>
      </c>
      <c r="F6" s="93" t="s">
        <v>11</v>
      </c>
      <c r="G6" s="95" t="s">
        <v>12</v>
      </c>
      <c r="H6" s="96"/>
      <c r="I6" s="96"/>
      <c r="J6" s="96"/>
      <c r="K6" s="97"/>
      <c r="L6" s="83" t="s">
        <v>13</v>
      </c>
    </row>
    <row r="7" spans="1:14" x14ac:dyDescent="0.15">
      <c r="A7" s="90"/>
      <c r="B7" s="92"/>
      <c r="C7" s="92"/>
      <c r="D7" s="92"/>
      <c r="E7" s="94"/>
      <c r="F7" s="94"/>
      <c r="G7" s="8" t="s">
        <v>14</v>
      </c>
      <c r="H7" s="8" t="s">
        <v>15</v>
      </c>
      <c r="I7" s="8" t="s">
        <v>16</v>
      </c>
      <c r="J7" s="8" t="s">
        <v>17</v>
      </c>
      <c r="K7" s="8" t="s">
        <v>18</v>
      </c>
      <c r="L7" s="84"/>
    </row>
    <row r="8" spans="1:14" s="15" customFormat="1" ht="20.25" customHeight="1" x14ac:dyDescent="0.15">
      <c r="A8" s="60" t="s">
        <v>1943</v>
      </c>
      <c r="B8" s="9" t="s">
        <v>1944</v>
      </c>
      <c r="C8" s="58" t="s">
        <v>29</v>
      </c>
      <c r="D8" s="11" t="s">
        <v>1945</v>
      </c>
      <c r="E8" s="10">
        <v>24</v>
      </c>
      <c r="F8" s="58" t="s">
        <v>11</v>
      </c>
      <c r="G8" s="12">
        <v>985</v>
      </c>
      <c r="H8" s="12">
        <v>585</v>
      </c>
      <c r="I8" s="17" t="s">
        <v>1947</v>
      </c>
      <c r="J8" s="18">
        <v>67</v>
      </c>
      <c r="K8" s="19">
        <f>+M8*N8</f>
        <v>509.43420000000003</v>
      </c>
      <c r="L8" s="14"/>
      <c r="M8" s="15">
        <f>15+8+8.7+15.08</f>
        <v>46.78</v>
      </c>
      <c r="N8" s="15">
        <v>10.89</v>
      </c>
    </row>
    <row r="9" spans="1:14" s="15" customFormat="1" ht="20.25" customHeight="1" x14ac:dyDescent="0.15">
      <c r="A9" s="60"/>
      <c r="B9" s="9"/>
      <c r="C9" s="58" t="s">
        <v>29</v>
      </c>
      <c r="D9" s="11" t="s">
        <v>1946</v>
      </c>
      <c r="E9" s="10">
        <v>24</v>
      </c>
      <c r="F9" s="58" t="s">
        <v>11</v>
      </c>
      <c r="G9" s="12">
        <v>985</v>
      </c>
      <c r="H9" s="12">
        <v>2485</v>
      </c>
      <c r="I9" s="17" t="s">
        <v>1948</v>
      </c>
      <c r="J9" s="18">
        <f>52+30+136</f>
        <v>218</v>
      </c>
      <c r="K9" s="19">
        <f t="shared" ref="K9:K23" si="0">+M9*N9</f>
        <v>3407.2632000000003</v>
      </c>
      <c r="L9" s="14"/>
      <c r="M9" s="15">
        <v>312.88</v>
      </c>
      <c r="N9" s="15">
        <v>10.89</v>
      </c>
    </row>
    <row r="10" spans="1:14" s="15" customFormat="1" ht="20.25" customHeight="1" x14ac:dyDescent="0.15">
      <c r="A10" s="60" t="s">
        <v>1949</v>
      </c>
      <c r="B10" s="9" t="s">
        <v>1950</v>
      </c>
      <c r="C10" s="58" t="s">
        <v>29</v>
      </c>
      <c r="D10" s="11" t="s">
        <v>224</v>
      </c>
      <c r="E10" s="10">
        <v>22</v>
      </c>
      <c r="F10" s="58" t="s">
        <v>11</v>
      </c>
      <c r="G10" s="12">
        <v>1719</v>
      </c>
      <c r="H10" s="12">
        <v>1820</v>
      </c>
      <c r="I10" s="17" t="s">
        <v>1951</v>
      </c>
      <c r="J10" s="18">
        <v>21</v>
      </c>
      <c r="K10" s="19">
        <f t="shared" si="0"/>
        <v>328.00680000000006</v>
      </c>
      <c r="L10" s="14"/>
      <c r="M10" s="15">
        <v>30.12</v>
      </c>
      <c r="N10" s="15">
        <v>10.89</v>
      </c>
    </row>
    <row r="11" spans="1:14" s="15" customFormat="1" ht="20.25" customHeight="1" x14ac:dyDescent="0.15">
      <c r="A11" s="60"/>
      <c r="B11" s="9"/>
      <c r="C11" s="58" t="s">
        <v>29</v>
      </c>
      <c r="D11" s="11" t="s">
        <v>201</v>
      </c>
      <c r="E11" s="10">
        <v>22</v>
      </c>
      <c r="F11" s="58"/>
      <c r="G11" s="12">
        <v>705</v>
      </c>
      <c r="H11" s="12">
        <v>1820</v>
      </c>
      <c r="I11" s="17">
        <v>8</v>
      </c>
      <c r="J11" s="18">
        <v>8</v>
      </c>
      <c r="K11" s="19">
        <f t="shared" si="0"/>
        <v>111.51360000000001</v>
      </c>
      <c r="L11" s="14"/>
      <c r="M11" s="15">
        <v>10.24</v>
      </c>
      <c r="N11" s="15">
        <v>10.89</v>
      </c>
    </row>
    <row r="12" spans="1:14" s="15" customFormat="1" ht="20.25" customHeight="1" x14ac:dyDescent="0.15">
      <c r="A12" s="60" t="s">
        <v>1952</v>
      </c>
      <c r="B12" s="9" t="s">
        <v>1843</v>
      </c>
      <c r="C12" s="58" t="s">
        <v>273</v>
      </c>
      <c r="D12" s="11" t="s">
        <v>1845</v>
      </c>
      <c r="E12" s="10">
        <v>18</v>
      </c>
      <c r="F12" s="58"/>
      <c r="G12" s="12">
        <v>920</v>
      </c>
      <c r="H12" s="12">
        <v>1380</v>
      </c>
      <c r="I12" s="17">
        <v>2</v>
      </c>
      <c r="J12" s="18">
        <v>2</v>
      </c>
      <c r="K12" s="19">
        <f t="shared" si="0"/>
        <v>27.660600000000002</v>
      </c>
      <c r="L12" s="14"/>
      <c r="M12" s="15">
        <v>2.54</v>
      </c>
      <c r="N12" s="15">
        <v>10.89</v>
      </c>
    </row>
    <row r="13" spans="1:14" s="15" customFormat="1" ht="20.25" customHeight="1" x14ac:dyDescent="0.15">
      <c r="A13" s="60" t="s">
        <v>1953</v>
      </c>
      <c r="B13" s="9" t="s">
        <v>138</v>
      </c>
      <c r="C13" s="58" t="s">
        <v>29</v>
      </c>
      <c r="D13" s="11" t="s">
        <v>1954</v>
      </c>
      <c r="E13" s="10">
        <v>28</v>
      </c>
      <c r="F13" s="58" t="s">
        <v>11</v>
      </c>
      <c r="G13" s="12">
        <v>300</v>
      </c>
      <c r="H13" s="12">
        <v>300</v>
      </c>
      <c r="I13" s="17">
        <v>1</v>
      </c>
      <c r="J13" s="18">
        <v>1</v>
      </c>
      <c r="K13" s="19">
        <f t="shared" si="0"/>
        <v>3.0492000000000004</v>
      </c>
      <c r="L13" s="14"/>
      <c r="M13" s="15">
        <v>0.28000000000000003</v>
      </c>
      <c r="N13" s="15">
        <v>10.89</v>
      </c>
    </row>
    <row r="14" spans="1:14" s="15" customFormat="1" ht="20.25" customHeight="1" x14ac:dyDescent="0.15">
      <c r="A14" s="60"/>
      <c r="B14" s="9"/>
      <c r="C14" s="58" t="s">
        <v>29</v>
      </c>
      <c r="D14" s="11" t="s">
        <v>1955</v>
      </c>
      <c r="E14" s="10">
        <v>28</v>
      </c>
      <c r="F14" s="58" t="s">
        <v>11</v>
      </c>
      <c r="G14" s="12">
        <v>300</v>
      </c>
      <c r="H14" s="12">
        <v>300</v>
      </c>
      <c r="I14" s="17">
        <v>1</v>
      </c>
      <c r="J14" s="18">
        <v>1</v>
      </c>
      <c r="K14" s="19">
        <f t="shared" si="0"/>
        <v>3.0492000000000004</v>
      </c>
      <c r="L14" s="20"/>
      <c r="M14" s="15">
        <v>0.28000000000000003</v>
      </c>
      <c r="N14" s="15">
        <v>10.89</v>
      </c>
    </row>
    <row r="15" spans="1:14" s="15" customFormat="1" ht="20.25" customHeight="1" x14ac:dyDescent="0.15">
      <c r="A15" s="60" t="s">
        <v>1956</v>
      </c>
      <c r="B15" s="9" t="s">
        <v>322</v>
      </c>
      <c r="C15" s="58" t="s">
        <v>231</v>
      </c>
      <c r="D15" s="11" t="s">
        <v>841</v>
      </c>
      <c r="E15" s="10">
        <v>22</v>
      </c>
      <c r="F15" s="58"/>
      <c r="G15" s="12">
        <v>828</v>
      </c>
      <c r="H15" s="12">
        <v>1144</v>
      </c>
      <c r="I15" s="17" t="s">
        <v>887</v>
      </c>
      <c r="J15" s="18">
        <v>8</v>
      </c>
      <c r="K15" s="19">
        <f t="shared" si="0"/>
        <v>81.675000000000011</v>
      </c>
      <c r="L15" s="20"/>
      <c r="M15" s="15">
        <v>7.5</v>
      </c>
      <c r="N15" s="15">
        <v>10.89</v>
      </c>
    </row>
    <row r="16" spans="1:14" s="15" customFormat="1" ht="20.25" customHeight="1" x14ac:dyDescent="0.15">
      <c r="A16" s="60"/>
      <c r="B16" s="9"/>
      <c r="C16" s="58"/>
      <c r="D16" s="11"/>
      <c r="E16" s="10"/>
      <c r="F16" s="58"/>
      <c r="G16" s="12"/>
      <c r="H16" s="12"/>
      <c r="I16" s="17"/>
      <c r="J16" s="18"/>
      <c r="K16" s="19">
        <f t="shared" si="0"/>
        <v>0</v>
      </c>
      <c r="L16" s="20"/>
      <c r="N16" s="15">
        <v>10.89</v>
      </c>
    </row>
    <row r="17" spans="1:14" s="15" customFormat="1" ht="20.25" customHeight="1" x14ac:dyDescent="0.15">
      <c r="A17" s="60"/>
      <c r="B17" s="9"/>
      <c r="C17" s="58"/>
      <c r="D17" s="11"/>
      <c r="E17" s="10"/>
      <c r="F17" s="58"/>
      <c r="G17" s="12"/>
      <c r="H17" s="12"/>
      <c r="I17" s="17"/>
      <c r="J17" s="18"/>
      <c r="K17" s="19">
        <f t="shared" si="0"/>
        <v>0</v>
      </c>
      <c r="L17" s="20"/>
      <c r="N17" s="15">
        <v>10.89</v>
      </c>
    </row>
    <row r="18" spans="1:14" s="15" customFormat="1" ht="20.25" customHeight="1" x14ac:dyDescent="0.15">
      <c r="A18" s="60"/>
      <c r="B18" s="9"/>
      <c r="C18" s="58"/>
      <c r="D18" s="11"/>
      <c r="E18" s="10"/>
      <c r="F18" s="58"/>
      <c r="G18" s="12"/>
      <c r="H18" s="12"/>
      <c r="I18" s="17"/>
      <c r="J18" s="18"/>
      <c r="K18" s="19">
        <f t="shared" si="0"/>
        <v>0</v>
      </c>
      <c r="L18" s="20"/>
      <c r="N18" s="15">
        <v>10.89</v>
      </c>
    </row>
    <row r="19" spans="1:14" s="15" customFormat="1" ht="20.25" customHeight="1" x14ac:dyDescent="0.15">
      <c r="A19" s="60"/>
      <c r="B19" s="9"/>
      <c r="C19" s="58"/>
      <c r="D19" s="11"/>
      <c r="E19" s="10"/>
      <c r="F19" s="58"/>
      <c r="G19" s="12"/>
      <c r="H19" s="12"/>
      <c r="I19" s="17"/>
      <c r="J19" s="18"/>
      <c r="K19" s="19">
        <f t="shared" si="0"/>
        <v>0</v>
      </c>
      <c r="L19" s="20"/>
      <c r="N19" s="15">
        <v>10.89</v>
      </c>
    </row>
    <row r="20" spans="1:14" s="15" customFormat="1" ht="20.25" customHeight="1" x14ac:dyDescent="0.15">
      <c r="A20" s="60"/>
      <c r="B20" s="9"/>
      <c r="C20" s="58"/>
      <c r="D20" s="11"/>
      <c r="E20" s="10"/>
      <c r="F20" s="58"/>
      <c r="G20" s="12"/>
      <c r="H20" s="12"/>
      <c r="I20" s="17"/>
      <c r="J20" s="18"/>
      <c r="K20" s="19">
        <f t="shared" si="0"/>
        <v>0</v>
      </c>
      <c r="L20" s="20"/>
      <c r="N20" s="15">
        <v>10.89</v>
      </c>
    </row>
    <row r="21" spans="1:14" s="15" customFormat="1" ht="20.25" customHeight="1" x14ac:dyDescent="0.15">
      <c r="A21" s="60"/>
      <c r="B21" s="9"/>
      <c r="C21" s="58"/>
      <c r="D21" s="11"/>
      <c r="E21" s="10"/>
      <c r="F21" s="58"/>
      <c r="G21" s="50"/>
      <c r="H21" s="50"/>
      <c r="I21" s="17"/>
      <c r="J21" s="18"/>
      <c r="K21" s="19">
        <f t="shared" si="0"/>
        <v>0</v>
      </c>
      <c r="L21" s="20"/>
      <c r="N21" s="15">
        <v>10.89</v>
      </c>
    </row>
    <row r="22" spans="1:14" s="15" customFormat="1" ht="20.25" customHeight="1" x14ac:dyDescent="0.15">
      <c r="A22" s="60"/>
      <c r="B22" s="9"/>
      <c r="C22" s="58"/>
      <c r="D22" s="11"/>
      <c r="E22" s="10"/>
      <c r="F22" s="58"/>
      <c r="G22" s="50"/>
      <c r="H22" s="50"/>
      <c r="I22" s="17"/>
      <c r="J22" s="18"/>
      <c r="K22" s="19">
        <f t="shared" si="0"/>
        <v>0</v>
      </c>
      <c r="L22" s="20"/>
      <c r="N22" s="15">
        <v>10.89</v>
      </c>
    </row>
    <row r="23" spans="1:14" ht="20.25" customHeight="1" x14ac:dyDescent="0.15">
      <c r="A23" s="60"/>
      <c r="B23" s="9"/>
      <c r="C23" s="58"/>
      <c r="D23" s="11"/>
      <c r="E23" s="10"/>
      <c r="F23" s="58"/>
      <c r="G23" s="16"/>
      <c r="H23" s="16"/>
      <c r="I23" s="17"/>
      <c r="J23" s="18"/>
      <c r="K23" s="19">
        <f t="shared" si="0"/>
        <v>0</v>
      </c>
      <c r="L23" s="20"/>
      <c r="N23" s="15">
        <v>10.89</v>
      </c>
    </row>
    <row r="24" spans="1:14" ht="20.25" customHeight="1" thickBot="1" x14ac:dyDescent="0.2">
      <c r="A24" s="56"/>
      <c r="B24" s="21"/>
      <c r="C24" s="59"/>
      <c r="D24" s="22"/>
      <c r="E24" s="23"/>
      <c r="F24" s="23"/>
      <c r="G24" s="24"/>
      <c r="H24" s="24"/>
      <c r="I24" s="25"/>
      <c r="J24" s="46">
        <f>SUM(J8:J23)</f>
        <v>326</v>
      </c>
      <c r="K24" s="47">
        <f>SUM(K8:K23)</f>
        <v>4471.6518000000015</v>
      </c>
      <c r="L24" s="26"/>
    </row>
    <row r="25" spans="1:14" ht="20.25" customHeight="1" thickTop="1" x14ac:dyDescent="0.15">
      <c r="A25" s="60" t="s">
        <v>1889</v>
      </c>
      <c r="B25" s="9" t="s">
        <v>123</v>
      </c>
      <c r="C25" s="58" t="s">
        <v>29</v>
      </c>
      <c r="D25" s="11" t="s">
        <v>1890</v>
      </c>
      <c r="E25" s="10">
        <v>43</v>
      </c>
      <c r="F25" s="10" t="s">
        <v>11</v>
      </c>
      <c r="G25" s="12">
        <v>1888</v>
      </c>
      <c r="H25" s="12">
        <v>2166</v>
      </c>
      <c r="I25" s="17">
        <v>1</v>
      </c>
      <c r="J25" s="18">
        <v>1</v>
      </c>
      <c r="K25" s="19">
        <f t="shared" ref="K25:K40" si="1">+M25*N25</f>
        <v>44.540100000000002</v>
      </c>
      <c r="L25" s="54"/>
      <c r="M25" s="3">
        <v>4.09</v>
      </c>
      <c r="N25" s="15">
        <v>10.89</v>
      </c>
    </row>
    <row r="26" spans="1:14" ht="20.25" customHeight="1" x14ac:dyDescent="0.15">
      <c r="A26" s="60" t="s">
        <v>1883</v>
      </c>
      <c r="B26" s="9" t="s">
        <v>173</v>
      </c>
      <c r="C26" s="58" t="s">
        <v>29</v>
      </c>
      <c r="D26" s="11" t="s">
        <v>279</v>
      </c>
      <c r="E26" s="10">
        <v>25.76</v>
      </c>
      <c r="F26" s="10"/>
      <c r="G26" s="12">
        <v>1445</v>
      </c>
      <c r="H26" s="12">
        <v>690</v>
      </c>
      <c r="I26" s="17" t="s">
        <v>248</v>
      </c>
      <c r="J26" s="18">
        <v>36</v>
      </c>
      <c r="K26" s="19">
        <f t="shared" si="1"/>
        <v>227.38319999999999</v>
      </c>
      <c r="L26" s="54"/>
      <c r="M26" s="3">
        <v>20.88</v>
      </c>
      <c r="N26" s="15">
        <v>10.89</v>
      </c>
    </row>
    <row r="27" spans="1:14" ht="20.25" customHeight="1" x14ac:dyDescent="0.15">
      <c r="A27" s="61"/>
      <c r="B27" s="9"/>
      <c r="C27" s="58" t="s">
        <v>29</v>
      </c>
      <c r="D27" s="11" t="s">
        <v>188</v>
      </c>
      <c r="E27" s="10">
        <v>22</v>
      </c>
      <c r="F27" s="10"/>
      <c r="G27" s="12">
        <v>1440</v>
      </c>
      <c r="H27" s="12">
        <v>1238</v>
      </c>
      <c r="I27" s="17" t="s">
        <v>494</v>
      </c>
      <c r="J27" s="18">
        <v>12</v>
      </c>
      <c r="K27" s="19">
        <f t="shared" si="1"/>
        <v>143.74799999999999</v>
      </c>
      <c r="L27" s="54"/>
      <c r="M27" s="3">
        <v>13.2</v>
      </c>
      <c r="N27" s="15">
        <v>10.89</v>
      </c>
    </row>
    <row r="28" spans="1:14" ht="20.25" customHeight="1" x14ac:dyDescent="0.15">
      <c r="A28" s="61"/>
      <c r="B28" s="9"/>
      <c r="C28" s="58" t="s">
        <v>29</v>
      </c>
      <c r="D28" s="11" t="s">
        <v>280</v>
      </c>
      <c r="E28" s="10">
        <v>46.76</v>
      </c>
      <c r="F28" s="10" t="s">
        <v>11</v>
      </c>
      <c r="G28" s="12">
        <v>886</v>
      </c>
      <c r="H28" s="12">
        <v>508</v>
      </c>
      <c r="I28" s="17">
        <v>4</v>
      </c>
      <c r="J28" s="18">
        <v>4</v>
      </c>
      <c r="K28" s="19">
        <f t="shared" si="1"/>
        <v>19.602</v>
      </c>
      <c r="L28" s="54"/>
      <c r="M28" s="3">
        <v>1.8</v>
      </c>
      <c r="N28" s="15">
        <v>10.89</v>
      </c>
    </row>
    <row r="29" spans="1:14" ht="20.25" customHeight="1" x14ac:dyDescent="0.15">
      <c r="A29" s="61" t="s">
        <v>1885</v>
      </c>
      <c r="B29" s="9" t="s">
        <v>173</v>
      </c>
      <c r="C29" s="58" t="s">
        <v>29</v>
      </c>
      <c r="D29" s="11" t="s">
        <v>279</v>
      </c>
      <c r="E29" s="10">
        <v>25.76</v>
      </c>
      <c r="F29" s="10"/>
      <c r="G29" s="12">
        <v>800</v>
      </c>
      <c r="H29" s="12">
        <v>690</v>
      </c>
      <c r="I29" s="17" t="s">
        <v>1057</v>
      </c>
      <c r="J29" s="18">
        <v>72</v>
      </c>
      <c r="K29" s="19">
        <f t="shared" si="1"/>
        <v>383.32800000000003</v>
      </c>
      <c r="L29" s="54"/>
      <c r="M29" s="3">
        <v>35.200000000000003</v>
      </c>
      <c r="N29" s="15">
        <v>10.89</v>
      </c>
    </row>
    <row r="30" spans="1:14" ht="20.25" customHeight="1" x14ac:dyDescent="0.15">
      <c r="A30" s="61"/>
      <c r="B30" s="9"/>
      <c r="C30" s="58" t="s">
        <v>29</v>
      </c>
      <c r="D30" s="11" t="s">
        <v>188</v>
      </c>
      <c r="E30" s="10">
        <v>22</v>
      </c>
      <c r="F30" s="10"/>
      <c r="G30" s="12">
        <v>1665</v>
      </c>
      <c r="H30" s="12">
        <v>1238</v>
      </c>
      <c r="I30" s="51" t="s">
        <v>496</v>
      </c>
      <c r="J30" s="52">
        <v>16</v>
      </c>
      <c r="K30" s="53">
        <f t="shared" si="1"/>
        <v>245.67840000000001</v>
      </c>
      <c r="L30" s="54"/>
      <c r="M30" s="3">
        <v>22.56</v>
      </c>
      <c r="N30" s="15">
        <v>10.89</v>
      </c>
    </row>
    <row r="31" spans="1:14" ht="20.25" customHeight="1" x14ac:dyDescent="0.15">
      <c r="A31" s="61"/>
      <c r="B31" s="9"/>
      <c r="C31" s="58" t="s">
        <v>29</v>
      </c>
      <c r="D31" s="11" t="s">
        <v>280</v>
      </c>
      <c r="E31" s="10">
        <v>46.76</v>
      </c>
      <c r="F31" s="10" t="s">
        <v>11</v>
      </c>
      <c r="G31" s="12">
        <v>786</v>
      </c>
      <c r="H31" s="12">
        <v>508</v>
      </c>
      <c r="I31" s="51">
        <v>8</v>
      </c>
      <c r="J31" s="52">
        <v>8</v>
      </c>
      <c r="K31" s="53">
        <f t="shared" si="1"/>
        <v>34.848000000000006</v>
      </c>
      <c r="L31" s="54"/>
      <c r="M31" s="3">
        <v>3.2</v>
      </c>
      <c r="N31" s="15">
        <v>10.89</v>
      </c>
    </row>
    <row r="32" spans="1:14" ht="20.25" customHeight="1" x14ac:dyDescent="0.15">
      <c r="A32" s="61" t="s">
        <v>1885</v>
      </c>
      <c r="B32" s="9" t="s">
        <v>173</v>
      </c>
      <c r="C32" s="58" t="s">
        <v>29</v>
      </c>
      <c r="D32" s="11" t="s">
        <v>279</v>
      </c>
      <c r="E32" s="10">
        <v>25.76</v>
      </c>
      <c r="F32" s="10"/>
      <c r="G32" s="12">
        <v>1445</v>
      </c>
      <c r="H32" s="12">
        <v>690</v>
      </c>
      <c r="I32" s="17" t="s">
        <v>1032</v>
      </c>
      <c r="J32" s="18">
        <v>48</v>
      </c>
      <c r="K32" s="19">
        <f t="shared" si="1"/>
        <v>316.24560000000002</v>
      </c>
      <c r="L32" s="27"/>
      <c r="M32" s="3">
        <v>29.04</v>
      </c>
      <c r="N32" s="15">
        <v>10.89</v>
      </c>
    </row>
    <row r="33" spans="1:14" ht="20.25" customHeight="1" x14ac:dyDescent="0.15">
      <c r="A33" s="61"/>
      <c r="B33" s="9"/>
      <c r="C33" s="58" t="s">
        <v>29</v>
      </c>
      <c r="D33" s="11" t="s">
        <v>188</v>
      </c>
      <c r="E33" s="10">
        <v>22</v>
      </c>
      <c r="F33" s="10"/>
      <c r="G33" s="12">
        <v>1440</v>
      </c>
      <c r="H33" s="12">
        <v>1238</v>
      </c>
      <c r="I33" s="17" t="s">
        <v>1957</v>
      </c>
      <c r="J33" s="18">
        <v>22</v>
      </c>
      <c r="K33" s="19">
        <f t="shared" si="1"/>
        <v>248.72760000000002</v>
      </c>
      <c r="L33" s="27"/>
      <c r="M33" s="3">
        <v>22.84</v>
      </c>
      <c r="N33" s="15">
        <v>10.89</v>
      </c>
    </row>
    <row r="34" spans="1:14" ht="20.25" customHeight="1" x14ac:dyDescent="0.15">
      <c r="A34" s="61"/>
      <c r="B34" s="9"/>
      <c r="C34" s="58" t="s">
        <v>29</v>
      </c>
      <c r="D34" s="11" t="s">
        <v>280</v>
      </c>
      <c r="E34" s="10">
        <v>46.76</v>
      </c>
      <c r="F34" s="10" t="s">
        <v>11</v>
      </c>
      <c r="G34" s="12">
        <v>886</v>
      </c>
      <c r="H34" s="12">
        <v>508</v>
      </c>
      <c r="I34" s="17">
        <v>8</v>
      </c>
      <c r="J34" s="18">
        <v>8</v>
      </c>
      <c r="K34" s="19">
        <f t="shared" si="1"/>
        <v>39.204000000000001</v>
      </c>
      <c r="L34" s="27"/>
      <c r="M34" s="3">
        <v>3.6</v>
      </c>
      <c r="N34" s="15">
        <v>10.89</v>
      </c>
    </row>
    <row r="35" spans="1:14" ht="20.25" customHeight="1" x14ac:dyDescent="0.15">
      <c r="A35" s="60" t="s">
        <v>1936</v>
      </c>
      <c r="B35" s="9" t="s">
        <v>1904</v>
      </c>
      <c r="C35" s="58" t="s">
        <v>29</v>
      </c>
      <c r="D35" s="11" t="s">
        <v>1902</v>
      </c>
      <c r="E35" s="10">
        <v>22</v>
      </c>
      <c r="F35" s="10" t="s">
        <v>11</v>
      </c>
      <c r="G35" s="12">
        <v>602</v>
      </c>
      <c r="H35" s="12">
        <v>960</v>
      </c>
      <c r="I35" s="17" t="s">
        <v>1958</v>
      </c>
      <c r="J35" s="18">
        <v>48</v>
      </c>
      <c r="K35" s="19">
        <f t="shared" si="1"/>
        <v>224.76960000000003</v>
      </c>
      <c r="L35" s="27"/>
      <c r="M35" s="3">
        <v>20.64</v>
      </c>
      <c r="N35" s="15">
        <v>10.89</v>
      </c>
    </row>
    <row r="36" spans="1:14" ht="20.25" customHeight="1" x14ac:dyDescent="0.15">
      <c r="A36" s="60"/>
      <c r="B36" s="9"/>
      <c r="C36" s="58" t="s">
        <v>29</v>
      </c>
      <c r="D36" s="11" t="s">
        <v>1903</v>
      </c>
      <c r="E36" s="10">
        <v>22</v>
      </c>
      <c r="F36" s="10"/>
      <c r="G36" s="12">
        <v>252</v>
      </c>
      <c r="H36" s="12">
        <v>760</v>
      </c>
      <c r="I36" s="17">
        <v>12</v>
      </c>
      <c r="J36" s="18">
        <v>12</v>
      </c>
      <c r="K36" s="19">
        <f t="shared" si="1"/>
        <v>36.590400000000002</v>
      </c>
      <c r="L36" s="27"/>
      <c r="M36" s="3">
        <v>3.36</v>
      </c>
      <c r="N36" s="15">
        <v>10.89</v>
      </c>
    </row>
    <row r="37" spans="1:14" ht="20.25" customHeight="1" x14ac:dyDescent="0.15">
      <c r="A37" s="60" t="s">
        <v>1960</v>
      </c>
      <c r="B37" s="9" t="s">
        <v>1904</v>
      </c>
      <c r="C37" s="58" t="s">
        <v>29</v>
      </c>
      <c r="D37" s="11" t="s">
        <v>1902</v>
      </c>
      <c r="E37" s="10">
        <v>22</v>
      </c>
      <c r="F37" s="10" t="s">
        <v>11</v>
      </c>
      <c r="G37" s="12">
        <v>752</v>
      </c>
      <c r="H37" s="12">
        <v>960</v>
      </c>
      <c r="I37" s="17" t="s">
        <v>1361</v>
      </c>
      <c r="J37" s="18">
        <v>86</v>
      </c>
      <c r="K37" s="19">
        <f t="shared" si="1"/>
        <v>488.74320000000006</v>
      </c>
      <c r="L37" s="27"/>
      <c r="M37" s="3">
        <v>44.88</v>
      </c>
      <c r="N37" s="15">
        <v>10.89</v>
      </c>
    </row>
    <row r="38" spans="1:14" ht="20.25" customHeight="1" x14ac:dyDescent="0.15">
      <c r="A38" s="60" t="s">
        <v>1891</v>
      </c>
      <c r="B38" s="9" t="s">
        <v>1377</v>
      </c>
      <c r="C38" s="58" t="s">
        <v>29</v>
      </c>
      <c r="D38" s="11" t="s">
        <v>1825</v>
      </c>
      <c r="E38" s="10">
        <v>24</v>
      </c>
      <c r="F38" s="10" t="s">
        <v>11</v>
      </c>
      <c r="G38" s="12">
        <v>877</v>
      </c>
      <c r="H38" s="12">
        <v>1464</v>
      </c>
      <c r="I38" s="17" t="s">
        <v>695</v>
      </c>
      <c r="J38" s="18">
        <v>25</v>
      </c>
      <c r="K38" s="19">
        <f t="shared" si="1"/>
        <v>205.27650000000003</v>
      </c>
      <c r="L38" s="27"/>
      <c r="M38" s="3">
        <v>18.850000000000001</v>
      </c>
      <c r="N38" s="15">
        <v>10.89</v>
      </c>
    </row>
    <row r="39" spans="1:14" ht="20.25" customHeight="1" x14ac:dyDescent="0.15">
      <c r="A39" s="60" t="s">
        <v>1961</v>
      </c>
      <c r="B39" s="9" t="s">
        <v>612</v>
      </c>
      <c r="C39" s="58" t="s">
        <v>29</v>
      </c>
      <c r="D39" s="11" t="s">
        <v>1962</v>
      </c>
      <c r="E39" s="10">
        <v>43</v>
      </c>
      <c r="F39" s="10" t="s">
        <v>11</v>
      </c>
      <c r="G39" s="12">
        <v>1680</v>
      </c>
      <c r="H39" s="12">
        <v>1930</v>
      </c>
      <c r="I39" s="17" t="s">
        <v>1683</v>
      </c>
      <c r="J39" s="18">
        <v>28</v>
      </c>
      <c r="K39" s="19">
        <f t="shared" si="1"/>
        <v>416.97810000000004</v>
      </c>
      <c r="L39" s="27"/>
      <c r="M39" s="3">
        <v>38.29</v>
      </c>
      <c r="N39" s="15">
        <v>10.89</v>
      </c>
    </row>
    <row r="40" spans="1:14" ht="20.25" customHeight="1" x14ac:dyDescent="0.15">
      <c r="A40" s="60"/>
      <c r="B40" s="9"/>
      <c r="C40" s="58"/>
      <c r="D40" s="11"/>
      <c r="E40" s="10"/>
      <c r="F40" s="10"/>
      <c r="G40" s="12"/>
      <c r="H40" s="12"/>
      <c r="I40" s="17"/>
      <c r="J40" s="18"/>
      <c r="K40" s="19">
        <f t="shared" si="1"/>
        <v>0</v>
      </c>
      <c r="L40" s="27"/>
      <c r="N40" s="15">
        <v>10.89</v>
      </c>
    </row>
    <row r="41" spans="1:14" ht="20.25" customHeight="1" x14ac:dyDescent="0.15">
      <c r="A41" s="57"/>
      <c r="B41" s="28"/>
      <c r="C41" s="10"/>
      <c r="D41" s="29"/>
      <c r="E41" s="30"/>
      <c r="F41" s="30"/>
      <c r="G41" s="30"/>
      <c r="H41" s="30"/>
      <c r="I41" s="13"/>
      <c r="J41" s="48">
        <f>SUM(J25:J40)</f>
        <v>426</v>
      </c>
      <c r="K41" s="49">
        <f>SUM(K25:K40)</f>
        <v>3075.6626999999999</v>
      </c>
      <c r="L41" s="31"/>
      <c r="N41" s="32"/>
    </row>
    <row r="42" spans="1:14" ht="20.25" customHeight="1" thickBot="1" x14ac:dyDescent="0.2">
      <c r="A42" s="55"/>
      <c r="B42" s="33"/>
      <c r="C42" s="33"/>
      <c r="D42" s="33"/>
      <c r="E42" s="33"/>
      <c r="F42" s="33"/>
      <c r="G42" s="33"/>
      <c r="H42" s="33"/>
      <c r="I42" s="33"/>
      <c r="J42" s="34"/>
      <c r="K42" s="35"/>
      <c r="L42" s="36"/>
    </row>
    <row r="43" spans="1:14" ht="20.25" customHeight="1" thickBot="1" x14ac:dyDescent="0.2">
      <c r="A43" s="37" t="s">
        <v>19</v>
      </c>
      <c r="B43" s="38" t="s">
        <v>20</v>
      </c>
      <c r="C43" s="77" t="s">
        <v>21</v>
      </c>
      <c r="D43" s="79"/>
      <c r="E43" s="77" t="s">
        <v>22</v>
      </c>
      <c r="F43" s="78"/>
      <c r="G43" s="79"/>
      <c r="H43" s="85" t="s">
        <v>23</v>
      </c>
      <c r="I43" s="86"/>
      <c r="J43" s="77" t="s">
        <v>24</v>
      </c>
      <c r="K43" s="79"/>
      <c r="L43" s="39" t="s">
        <v>13</v>
      </c>
    </row>
    <row r="44" spans="1:14" ht="20.25" customHeight="1" thickBot="1" x14ac:dyDescent="0.2">
      <c r="A44" s="40">
        <f>SUMIF($C$8:$C$42,"U1",$J$8:$J$42)</f>
        <v>2</v>
      </c>
      <c r="B44" s="41">
        <f>SUMIF($C$8:$C$42,"U2",$J$8:$J$42)</f>
        <v>8</v>
      </c>
      <c r="C44" s="77">
        <f>SUMIF($C$8:$C$42,"U3-1",$J$8:$J$42)</f>
        <v>0</v>
      </c>
      <c r="D44" s="79"/>
      <c r="E44" s="77">
        <f>SUMIF($C$8:$C$42,"U3",$J$8:$J$42)</f>
        <v>742</v>
      </c>
      <c r="F44" s="78"/>
      <c r="G44" s="79"/>
      <c r="H44" s="77">
        <f>SUMIF($C$8:$C$42,"E5",$J$8:$J$42)</f>
        <v>0</v>
      </c>
      <c r="I44" s="79"/>
      <c r="J44" s="77">
        <f>SUM(A44:I44)</f>
        <v>752</v>
      </c>
      <c r="K44" s="79"/>
      <c r="L44" s="42"/>
    </row>
    <row r="45" spans="1:14" ht="20.25" customHeight="1" thickBot="1" x14ac:dyDescent="0.2">
      <c r="A45" s="43" t="s">
        <v>25</v>
      </c>
      <c r="B45" s="44" t="s">
        <v>26</v>
      </c>
      <c r="C45" s="75">
        <v>13876</v>
      </c>
      <c r="D45" s="76"/>
      <c r="E45" s="77" t="s">
        <v>27</v>
      </c>
      <c r="F45" s="78"/>
      <c r="G45" s="78"/>
      <c r="H45" s="78"/>
      <c r="I45" s="79"/>
      <c r="J45" s="80">
        <v>146744.37</v>
      </c>
      <c r="K45" s="81"/>
      <c r="L45" s="82"/>
    </row>
    <row r="47" spans="1:14" x14ac:dyDescent="0.15">
      <c r="D47" s="45"/>
    </row>
  </sheetData>
  <mergeCells count="26">
    <mergeCell ref="C45:D45"/>
    <mergeCell ref="E45:I45"/>
    <mergeCell ref="J45:L45"/>
    <mergeCell ref="L6:L7"/>
    <mergeCell ref="C43:D43"/>
    <mergeCell ref="E43:G43"/>
    <mergeCell ref="H43:I43"/>
    <mergeCell ref="J43:K43"/>
    <mergeCell ref="C44:D44"/>
    <mergeCell ref="E44:G44"/>
    <mergeCell ref="H44:I44"/>
    <mergeCell ref="J44:K44"/>
    <mergeCell ref="B5:G5"/>
    <mergeCell ref="A6:A7"/>
    <mergeCell ref="B6:B7"/>
    <mergeCell ref="C6:C7"/>
    <mergeCell ref="D6:D7"/>
    <mergeCell ref="E6:E7"/>
    <mergeCell ref="F6:F7"/>
    <mergeCell ref="G6:K6"/>
    <mergeCell ref="L2:L4"/>
    <mergeCell ref="A1:G3"/>
    <mergeCell ref="H1:H4"/>
    <mergeCell ref="I2:I4"/>
    <mergeCell ref="J2:J4"/>
    <mergeCell ref="K2:K4"/>
  </mergeCells>
  <phoneticPr fontId="2" type="noConversion"/>
  <printOptions horizontalCentered="1"/>
  <pageMargins left="0.39370078740157483" right="0.39370078740157483" top="0.74803149606299213" bottom="0.19685039370078741" header="0.31496062992125984" footer="0.15748031496062992"/>
  <pageSetup paperSize="9" scale="84" orientation="portrait" r:id="rId1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91B529-99C5-4B4C-9FDA-30FF59C90CEE}">
  <dimension ref="A1:N51"/>
  <sheetViews>
    <sheetView view="pageBreakPreview" topLeftCell="A22" zoomScaleSheetLayoutView="100" workbookViewId="0">
      <selection activeCell="C42" sqref="C42:E42"/>
    </sheetView>
  </sheetViews>
  <sheetFormatPr defaultColWidth="8.88671875" defaultRowHeight="13.5" x14ac:dyDescent="0.15"/>
  <cols>
    <col min="1" max="1" width="8.44140625" style="3" customWidth="1"/>
    <col min="2" max="2" width="14.77734375" style="3" customWidth="1"/>
    <col min="3" max="3" width="4.109375" style="3" customWidth="1"/>
    <col min="4" max="4" width="15.21875" style="3" customWidth="1"/>
    <col min="5" max="5" width="4.44140625" style="3" customWidth="1"/>
    <col min="6" max="6" width="4" style="3" customWidth="1"/>
    <col min="7" max="7" width="5.5546875" style="3" customWidth="1"/>
    <col min="8" max="8" width="5.44140625" style="3" customWidth="1"/>
    <col min="9" max="9" width="7.88671875" style="3" customWidth="1"/>
    <col min="10" max="10" width="7.109375" style="3" customWidth="1"/>
    <col min="11" max="11" width="7.21875" style="3" customWidth="1"/>
    <col min="12" max="12" width="6.77734375" style="3" customWidth="1"/>
    <col min="13" max="16384" width="8.88671875" style="3"/>
  </cols>
  <sheetData>
    <row r="1" spans="1:14" ht="18.75" customHeight="1" x14ac:dyDescent="0.15">
      <c r="A1" s="101" t="s">
        <v>0</v>
      </c>
      <c r="B1" s="102"/>
      <c r="C1" s="102"/>
      <c r="D1" s="102"/>
      <c r="E1" s="102"/>
      <c r="F1" s="102"/>
      <c r="G1" s="103"/>
      <c r="H1" s="107" t="s">
        <v>1</v>
      </c>
      <c r="I1" s="1" t="s">
        <v>2</v>
      </c>
      <c r="J1" s="1" t="s">
        <v>2</v>
      </c>
      <c r="K1" s="1" t="s">
        <v>3</v>
      </c>
      <c r="L1" s="2" t="s">
        <v>4</v>
      </c>
    </row>
    <row r="2" spans="1:14" ht="13.5" customHeight="1" x14ac:dyDescent="0.15">
      <c r="A2" s="104"/>
      <c r="B2" s="105"/>
      <c r="C2" s="105"/>
      <c r="D2" s="105"/>
      <c r="E2" s="105"/>
      <c r="F2" s="105"/>
      <c r="G2" s="106"/>
      <c r="H2" s="108"/>
      <c r="I2" s="110"/>
      <c r="J2" s="110"/>
      <c r="K2" s="110"/>
      <c r="L2" s="98"/>
    </row>
    <row r="3" spans="1:14" ht="13.5" customHeight="1" x14ac:dyDescent="0.15">
      <c r="A3" s="104"/>
      <c r="B3" s="105"/>
      <c r="C3" s="105"/>
      <c r="D3" s="105"/>
      <c r="E3" s="105"/>
      <c r="F3" s="105"/>
      <c r="G3" s="106"/>
      <c r="H3" s="108"/>
      <c r="I3" s="108"/>
      <c r="J3" s="108"/>
      <c r="K3" s="108"/>
      <c r="L3" s="99"/>
    </row>
    <row r="4" spans="1:14" ht="14.25" customHeight="1" x14ac:dyDescent="0.15">
      <c r="A4" s="4"/>
      <c r="B4" s="5"/>
      <c r="C4" s="5"/>
      <c r="D4" s="5"/>
      <c r="E4" s="5"/>
      <c r="F4" s="5"/>
      <c r="G4" s="5"/>
      <c r="H4" s="109"/>
      <c r="I4" s="109"/>
      <c r="J4" s="109"/>
      <c r="K4" s="109"/>
      <c r="L4" s="100"/>
    </row>
    <row r="5" spans="1:14" ht="12.75" customHeight="1" x14ac:dyDescent="0.15">
      <c r="A5" s="6" t="s">
        <v>5</v>
      </c>
      <c r="B5" s="87">
        <v>46128</v>
      </c>
      <c r="C5" s="88"/>
      <c r="D5" s="88"/>
      <c r="E5" s="88"/>
      <c r="F5" s="88"/>
      <c r="G5" s="88"/>
      <c r="H5" s="5"/>
      <c r="I5" s="5"/>
      <c r="J5" s="5"/>
      <c r="K5" s="5"/>
      <c r="L5" s="7"/>
    </row>
    <row r="6" spans="1:14" ht="13.5" customHeight="1" x14ac:dyDescent="0.15">
      <c r="A6" s="89" t="s">
        <v>6</v>
      </c>
      <c r="B6" s="91" t="s">
        <v>7</v>
      </c>
      <c r="C6" s="91" t="s">
        <v>8</v>
      </c>
      <c r="D6" s="91" t="s">
        <v>9</v>
      </c>
      <c r="E6" s="93" t="s">
        <v>10</v>
      </c>
      <c r="F6" s="93" t="s">
        <v>11</v>
      </c>
      <c r="G6" s="95" t="s">
        <v>12</v>
      </c>
      <c r="H6" s="96"/>
      <c r="I6" s="96"/>
      <c r="J6" s="96"/>
      <c r="K6" s="97"/>
      <c r="L6" s="83" t="s">
        <v>13</v>
      </c>
    </row>
    <row r="7" spans="1:14" x14ac:dyDescent="0.15">
      <c r="A7" s="90"/>
      <c r="B7" s="92"/>
      <c r="C7" s="92"/>
      <c r="D7" s="92"/>
      <c r="E7" s="94"/>
      <c r="F7" s="94"/>
      <c r="G7" s="8" t="s">
        <v>14</v>
      </c>
      <c r="H7" s="8" t="s">
        <v>15</v>
      </c>
      <c r="I7" s="8" t="s">
        <v>16</v>
      </c>
      <c r="J7" s="8" t="s">
        <v>17</v>
      </c>
      <c r="K7" s="8" t="s">
        <v>18</v>
      </c>
      <c r="L7" s="84"/>
    </row>
    <row r="8" spans="1:14" s="15" customFormat="1" ht="20.25" customHeight="1" x14ac:dyDescent="0.15">
      <c r="A8" s="60" t="s">
        <v>1963</v>
      </c>
      <c r="B8" s="9" t="s">
        <v>1944</v>
      </c>
      <c r="C8" s="58" t="s">
        <v>29</v>
      </c>
      <c r="D8" s="11" t="s">
        <v>1945</v>
      </c>
      <c r="E8" s="10">
        <v>24</v>
      </c>
      <c r="F8" s="58" t="s">
        <v>11</v>
      </c>
      <c r="G8" s="12">
        <v>985</v>
      </c>
      <c r="H8" s="12">
        <v>2910</v>
      </c>
      <c r="I8" s="17" t="s">
        <v>1964</v>
      </c>
      <c r="J8" s="18">
        <v>73</v>
      </c>
      <c r="K8" s="19">
        <f>+M8*N8</f>
        <v>2281.5639000000001</v>
      </c>
      <c r="L8" s="14"/>
      <c r="M8" s="15">
        <v>209.51</v>
      </c>
      <c r="N8" s="15">
        <v>10.89</v>
      </c>
    </row>
    <row r="9" spans="1:14" s="15" customFormat="1" ht="20.25" customHeight="1" x14ac:dyDescent="0.15">
      <c r="A9" s="60"/>
      <c r="B9" s="9"/>
      <c r="C9" s="58" t="s">
        <v>29</v>
      </c>
      <c r="D9" s="11" t="s">
        <v>1946</v>
      </c>
      <c r="E9" s="10">
        <v>24</v>
      </c>
      <c r="F9" s="58" t="s">
        <v>11</v>
      </c>
      <c r="G9" s="12">
        <v>985</v>
      </c>
      <c r="H9" s="12">
        <v>1605</v>
      </c>
      <c r="I9" s="17" t="s">
        <v>954</v>
      </c>
      <c r="J9" s="18">
        <v>9</v>
      </c>
      <c r="K9" s="19">
        <f t="shared" ref="K9:K20" si="0">+M9*N9</f>
        <v>145.0548</v>
      </c>
      <c r="L9" s="14"/>
      <c r="M9" s="15">
        <v>13.32</v>
      </c>
      <c r="N9" s="15">
        <v>10.89</v>
      </c>
    </row>
    <row r="10" spans="1:14" s="15" customFormat="1" ht="20.25" customHeight="1" x14ac:dyDescent="0.15">
      <c r="A10" s="60" t="s">
        <v>1949</v>
      </c>
      <c r="B10" s="9" t="s">
        <v>1950</v>
      </c>
      <c r="C10" s="58" t="s">
        <v>29</v>
      </c>
      <c r="D10" s="11" t="s">
        <v>224</v>
      </c>
      <c r="E10" s="10">
        <v>22</v>
      </c>
      <c r="F10" s="58" t="s">
        <v>11</v>
      </c>
      <c r="G10" s="12">
        <v>755</v>
      </c>
      <c r="H10" s="12">
        <v>950</v>
      </c>
      <c r="I10" s="17" t="s">
        <v>1965</v>
      </c>
      <c r="J10" s="18">
        <v>39</v>
      </c>
      <c r="K10" s="19">
        <f t="shared" si="0"/>
        <v>174.24</v>
      </c>
      <c r="L10" s="14"/>
      <c r="M10" s="15">
        <v>16</v>
      </c>
      <c r="N10" s="15">
        <v>10.89</v>
      </c>
    </row>
    <row r="11" spans="1:14" s="15" customFormat="1" ht="20.25" customHeight="1" x14ac:dyDescent="0.15">
      <c r="A11" s="60"/>
      <c r="B11" s="9"/>
      <c r="C11" s="58" t="s">
        <v>29</v>
      </c>
      <c r="D11" s="11" t="s">
        <v>1462</v>
      </c>
      <c r="E11" s="10">
        <v>22</v>
      </c>
      <c r="F11" s="58" t="s">
        <v>11</v>
      </c>
      <c r="G11" s="12">
        <v>1719</v>
      </c>
      <c r="H11" s="12">
        <v>1820</v>
      </c>
      <c r="I11" s="17" t="s">
        <v>1432</v>
      </c>
      <c r="J11" s="18">
        <v>60</v>
      </c>
      <c r="K11" s="19">
        <f t="shared" si="0"/>
        <v>502.24680000000001</v>
      </c>
      <c r="L11" s="14"/>
      <c r="M11" s="15">
        <v>46.12</v>
      </c>
      <c r="N11" s="15">
        <v>10.89</v>
      </c>
    </row>
    <row r="12" spans="1:14" s="15" customFormat="1" ht="20.25" customHeight="1" x14ac:dyDescent="0.15">
      <c r="A12" s="60"/>
      <c r="B12" s="9"/>
      <c r="C12" s="58" t="s">
        <v>29</v>
      </c>
      <c r="D12" s="11" t="s">
        <v>201</v>
      </c>
      <c r="E12" s="10">
        <v>22</v>
      </c>
      <c r="F12" s="58"/>
      <c r="G12" s="12">
        <v>405</v>
      </c>
      <c r="H12" s="12">
        <v>950</v>
      </c>
      <c r="I12" s="17">
        <v>8</v>
      </c>
      <c r="J12" s="18">
        <v>8</v>
      </c>
      <c r="K12" s="19">
        <f t="shared" si="0"/>
        <v>33.105600000000003</v>
      </c>
      <c r="L12" s="14"/>
      <c r="M12" s="15">
        <v>3.04</v>
      </c>
      <c r="N12" s="15">
        <v>10.89</v>
      </c>
    </row>
    <row r="13" spans="1:14" s="15" customFormat="1" ht="20.25" customHeight="1" x14ac:dyDescent="0.15">
      <c r="A13" s="60" t="s">
        <v>1966</v>
      </c>
      <c r="B13" s="9" t="s">
        <v>1950</v>
      </c>
      <c r="C13" s="58" t="s">
        <v>29</v>
      </c>
      <c r="D13" s="11" t="s">
        <v>224</v>
      </c>
      <c r="E13" s="10">
        <v>22</v>
      </c>
      <c r="F13" s="58" t="s">
        <v>11</v>
      </c>
      <c r="G13" s="12">
        <v>1719</v>
      </c>
      <c r="H13" s="12">
        <v>1820</v>
      </c>
      <c r="I13" s="17" t="s">
        <v>391</v>
      </c>
      <c r="J13" s="18">
        <v>44</v>
      </c>
      <c r="K13" s="19">
        <f t="shared" si="0"/>
        <v>520.75980000000004</v>
      </c>
      <c r="L13" s="14"/>
      <c r="M13" s="15">
        <v>47.82</v>
      </c>
      <c r="N13" s="15">
        <v>10.89</v>
      </c>
    </row>
    <row r="14" spans="1:14" s="15" customFormat="1" ht="20.25" customHeight="1" x14ac:dyDescent="0.15">
      <c r="A14" s="60"/>
      <c r="B14" s="9"/>
      <c r="C14" s="58" t="s">
        <v>29</v>
      </c>
      <c r="D14" s="11" t="s">
        <v>1462</v>
      </c>
      <c r="E14" s="10">
        <v>22</v>
      </c>
      <c r="F14" s="58" t="s">
        <v>11</v>
      </c>
      <c r="G14" s="12">
        <v>1719</v>
      </c>
      <c r="H14" s="12">
        <v>1820</v>
      </c>
      <c r="I14" s="17" t="s">
        <v>1967</v>
      </c>
      <c r="J14" s="18">
        <v>65</v>
      </c>
      <c r="K14" s="19">
        <f t="shared" si="0"/>
        <v>611.47350000000006</v>
      </c>
      <c r="L14" s="20"/>
      <c r="M14" s="15">
        <v>56.15</v>
      </c>
      <c r="N14" s="15">
        <v>10.89</v>
      </c>
    </row>
    <row r="15" spans="1:14" s="15" customFormat="1" ht="20.25" customHeight="1" x14ac:dyDescent="0.15">
      <c r="A15" s="60"/>
      <c r="B15" s="9"/>
      <c r="C15" s="58" t="s">
        <v>29</v>
      </c>
      <c r="D15" s="11" t="s">
        <v>201</v>
      </c>
      <c r="E15" s="10">
        <v>22</v>
      </c>
      <c r="F15" s="58"/>
      <c r="G15" s="12">
        <v>705</v>
      </c>
      <c r="H15" s="12">
        <v>1820</v>
      </c>
      <c r="I15" s="17">
        <v>10</v>
      </c>
      <c r="J15" s="18">
        <v>10</v>
      </c>
      <c r="K15" s="19">
        <f t="shared" si="0"/>
        <v>139.39200000000002</v>
      </c>
      <c r="L15" s="20"/>
      <c r="M15" s="15">
        <v>12.8</v>
      </c>
      <c r="N15" s="15">
        <v>10.89</v>
      </c>
    </row>
    <row r="16" spans="1:14" s="15" customFormat="1" ht="20.25" customHeight="1" x14ac:dyDescent="0.15">
      <c r="A16" s="60" t="s">
        <v>1968</v>
      </c>
      <c r="B16" s="9" t="s">
        <v>1950</v>
      </c>
      <c r="C16" s="58" t="s">
        <v>29</v>
      </c>
      <c r="D16" s="11" t="s">
        <v>1462</v>
      </c>
      <c r="E16" s="10">
        <v>22</v>
      </c>
      <c r="F16" s="58" t="s">
        <v>11</v>
      </c>
      <c r="G16" s="12">
        <v>1719</v>
      </c>
      <c r="H16" s="12">
        <v>1820</v>
      </c>
      <c r="I16" s="17" t="s">
        <v>790</v>
      </c>
      <c r="J16" s="18">
        <v>75</v>
      </c>
      <c r="K16" s="19">
        <f t="shared" si="0"/>
        <v>627.80849999999998</v>
      </c>
      <c r="L16" s="20"/>
      <c r="M16" s="15">
        <v>57.65</v>
      </c>
      <c r="N16" s="15">
        <v>10.89</v>
      </c>
    </row>
    <row r="17" spans="1:14" s="15" customFormat="1" ht="20.25" customHeight="1" x14ac:dyDescent="0.15">
      <c r="A17" s="60" t="s">
        <v>1969</v>
      </c>
      <c r="B17" s="9" t="s">
        <v>1950</v>
      </c>
      <c r="C17" s="58" t="s">
        <v>29</v>
      </c>
      <c r="D17" s="11" t="s">
        <v>1462</v>
      </c>
      <c r="E17" s="10">
        <v>22</v>
      </c>
      <c r="F17" s="58" t="s">
        <v>11</v>
      </c>
      <c r="G17" s="12">
        <v>1719</v>
      </c>
      <c r="H17" s="12">
        <v>1820</v>
      </c>
      <c r="I17" s="17" t="s">
        <v>1432</v>
      </c>
      <c r="J17" s="18">
        <v>60</v>
      </c>
      <c r="K17" s="19">
        <f t="shared" si="0"/>
        <v>502.24680000000001</v>
      </c>
      <c r="L17" s="20"/>
      <c r="M17" s="15">
        <v>46.12</v>
      </c>
      <c r="N17" s="15">
        <v>10.89</v>
      </c>
    </row>
    <row r="18" spans="1:14" s="15" customFormat="1" ht="20.25" customHeight="1" x14ac:dyDescent="0.15">
      <c r="A18" s="60" t="s">
        <v>1970</v>
      </c>
      <c r="B18" s="9" t="s">
        <v>1950</v>
      </c>
      <c r="C18" s="58" t="s">
        <v>29</v>
      </c>
      <c r="D18" s="11" t="s">
        <v>1462</v>
      </c>
      <c r="E18" s="10">
        <v>22</v>
      </c>
      <c r="F18" s="58" t="s">
        <v>11</v>
      </c>
      <c r="G18" s="12">
        <v>1719</v>
      </c>
      <c r="H18" s="12">
        <v>1820</v>
      </c>
      <c r="I18" s="17" t="s">
        <v>790</v>
      </c>
      <c r="J18" s="18">
        <v>75</v>
      </c>
      <c r="K18" s="19">
        <f t="shared" si="0"/>
        <v>653.94449999999995</v>
      </c>
      <c r="L18" s="20"/>
      <c r="M18" s="15">
        <v>60.05</v>
      </c>
      <c r="N18" s="15">
        <v>10.89</v>
      </c>
    </row>
    <row r="19" spans="1:14" s="15" customFormat="1" ht="20.25" customHeight="1" x14ac:dyDescent="0.15">
      <c r="A19" s="60" t="s">
        <v>1971</v>
      </c>
      <c r="B19" s="9" t="s">
        <v>127</v>
      </c>
      <c r="C19" s="58" t="s">
        <v>29</v>
      </c>
      <c r="D19" s="11" t="s">
        <v>378</v>
      </c>
      <c r="E19" s="10">
        <v>28</v>
      </c>
      <c r="F19" s="58" t="s">
        <v>11</v>
      </c>
      <c r="G19" s="12">
        <v>570</v>
      </c>
      <c r="H19" s="12">
        <v>1795</v>
      </c>
      <c r="I19" s="17" t="s">
        <v>170</v>
      </c>
      <c r="J19" s="18">
        <v>4</v>
      </c>
      <c r="K19" s="19">
        <f t="shared" si="0"/>
        <v>63.161999999999999</v>
      </c>
      <c r="L19" s="20"/>
      <c r="M19" s="15">
        <v>5.8</v>
      </c>
      <c r="N19" s="15">
        <v>10.89</v>
      </c>
    </row>
    <row r="20" spans="1:14" s="15" customFormat="1" ht="20.25" customHeight="1" x14ac:dyDescent="0.15">
      <c r="A20" s="60" t="s">
        <v>1972</v>
      </c>
      <c r="B20" s="9" t="s">
        <v>268</v>
      </c>
      <c r="C20" s="58" t="s">
        <v>29</v>
      </c>
      <c r="D20" s="11" t="s">
        <v>378</v>
      </c>
      <c r="E20" s="10">
        <v>16</v>
      </c>
      <c r="F20" s="58"/>
      <c r="G20" s="12">
        <v>865</v>
      </c>
      <c r="H20" s="12">
        <v>1580</v>
      </c>
      <c r="I20" s="17" t="s">
        <v>389</v>
      </c>
      <c r="J20" s="18">
        <v>6</v>
      </c>
      <c r="K20" s="19">
        <f t="shared" si="0"/>
        <v>86.684400000000011</v>
      </c>
      <c r="L20" s="20"/>
      <c r="M20" s="15">
        <v>7.96</v>
      </c>
      <c r="N20" s="15">
        <v>10.89</v>
      </c>
    </row>
    <row r="21" spans="1:14" ht="20.25" customHeight="1" thickBot="1" x14ac:dyDescent="0.2">
      <c r="A21" s="56"/>
      <c r="B21" s="21"/>
      <c r="C21" s="59"/>
      <c r="D21" s="22"/>
      <c r="E21" s="23"/>
      <c r="F21" s="23"/>
      <c r="G21" s="24"/>
      <c r="H21" s="24"/>
      <c r="I21" s="25"/>
      <c r="J21" s="46">
        <f ca="1">SUM(J8:J36)</f>
        <v>528</v>
      </c>
      <c r="K21" s="47">
        <f ca="1">SUM(K8:K36)</f>
        <v>6341.6825999999992</v>
      </c>
      <c r="L21" s="26"/>
    </row>
    <row r="22" spans="1:14" ht="20.25" customHeight="1" thickTop="1" x14ac:dyDescent="0.15">
      <c r="A22" s="60" t="s">
        <v>1901</v>
      </c>
      <c r="B22" s="9" t="s">
        <v>1904</v>
      </c>
      <c r="C22" s="58" t="s">
        <v>29</v>
      </c>
      <c r="D22" s="11" t="s">
        <v>1973</v>
      </c>
      <c r="E22" s="10">
        <v>22</v>
      </c>
      <c r="F22" s="10" t="s">
        <v>11</v>
      </c>
      <c r="G22" s="12">
        <v>1646</v>
      </c>
      <c r="H22" s="12">
        <v>1960</v>
      </c>
      <c r="I22" s="17">
        <v>1</v>
      </c>
      <c r="J22" s="18">
        <v>1</v>
      </c>
      <c r="K22" s="19">
        <f t="shared" ref="K22:K44" si="1">+M22*N22</f>
        <v>35.174700000000001</v>
      </c>
      <c r="L22" s="54"/>
      <c r="M22" s="3">
        <v>3.23</v>
      </c>
      <c r="N22" s="15">
        <v>10.89</v>
      </c>
    </row>
    <row r="23" spans="1:14" ht="20.25" customHeight="1" x14ac:dyDescent="0.15">
      <c r="A23" s="60" t="s">
        <v>1905</v>
      </c>
      <c r="B23" s="9" t="s">
        <v>1904</v>
      </c>
      <c r="C23" s="58" t="s">
        <v>29</v>
      </c>
      <c r="D23" s="11" t="s">
        <v>1973</v>
      </c>
      <c r="E23" s="10">
        <v>22</v>
      </c>
      <c r="F23" s="10" t="s">
        <v>11</v>
      </c>
      <c r="G23" s="12">
        <v>1646</v>
      </c>
      <c r="H23" s="12">
        <v>1960</v>
      </c>
      <c r="I23" s="17" t="s">
        <v>941</v>
      </c>
      <c r="J23" s="18">
        <v>6</v>
      </c>
      <c r="K23" s="19">
        <f t="shared" si="1"/>
        <v>154.20240000000001</v>
      </c>
      <c r="L23" s="54"/>
      <c r="M23" s="3">
        <v>14.16</v>
      </c>
      <c r="N23" s="15">
        <v>10.89</v>
      </c>
    </row>
    <row r="24" spans="1:14" ht="20.25" customHeight="1" x14ac:dyDescent="0.15">
      <c r="A24" s="60" t="s">
        <v>1908</v>
      </c>
      <c r="B24" s="9" t="s">
        <v>1904</v>
      </c>
      <c r="C24" s="58" t="s">
        <v>29</v>
      </c>
      <c r="D24" s="11" t="s">
        <v>1973</v>
      </c>
      <c r="E24" s="10">
        <v>22</v>
      </c>
      <c r="F24" s="10" t="s">
        <v>11</v>
      </c>
      <c r="G24" s="12">
        <v>1646</v>
      </c>
      <c r="H24" s="12">
        <v>1960</v>
      </c>
      <c r="I24" s="17">
        <v>2</v>
      </c>
      <c r="J24" s="18">
        <v>2</v>
      </c>
      <c r="K24" s="19">
        <f t="shared" si="1"/>
        <v>70.349400000000003</v>
      </c>
      <c r="L24" s="54"/>
      <c r="M24" s="3">
        <v>6.46</v>
      </c>
      <c r="N24" s="15">
        <v>10.89</v>
      </c>
    </row>
    <row r="25" spans="1:14" ht="20.25" customHeight="1" x14ac:dyDescent="0.15">
      <c r="A25" s="60" t="s">
        <v>1911</v>
      </c>
      <c r="B25" s="9" t="s">
        <v>1904</v>
      </c>
      <c r="C25" s="58" t="s">
        <v>29</v>
      </c>
      <c r="D25" s="11" t="s">
        <v>1973</v>
      </c>
      <c r="E25" s="10">
        <v>22</v>
      </c>
      <c r="F25" s="10" t="s">
        <v>11</v>
      </c>
      <c r="G25" s="12">
        <v>1646</v>
      </c>
      <c r="H25" s="12">
        <v>1960</v>
      </c>
      <c r="I25" s="17" t="s">
        <v>941</v>
      </c>
      <c r="J25" s="18">
        <v>6</v>
      </c>
      <c r="K25" s="19">
        <f t="shared" si="1"/>
        <v>154.20240000000001</v>
      </c>
      <c r="L25" s="54"/>
      <c r="M25" s="3">
        <v>14.16</v>
      </c>
      <c r="N25" s="15">
        <v>10.89</v>
      </c>
    </row>
    <row r="26" spans="1:14" ht="20.25" customHeight="1" x14ac:dyDescent="0.15">
      <c r="A26" s="60" t="s">
        <v>1914</v>
      </c>
      <c r="B26" s="9" t="s">
        <v>1904</v>
      </c>
      <c r="C26" s="58" t="s">
        <v>29</v>
      </c>
      <c r="D26" s="11" t="s">
        <v>1973</v>
      </c>
      <c r="E26" s="10">
        <v>22</v>
      </c>
      <c r="F26" s="10" t="s">
        <v>11</v>
      </c>
      <c r="G26" s="12">
        <v>1646</v>
      </c>
      <c r="H26" s="12">
        <v>1960</v>
      </c>
      <c r="I26" s="17">
        <v>3</v>
      </c>
      <c r="J26" s="18">
        <v>3</v>
      </c>
      <c r="K26" s="19">
        <f t="shared" si="1"/>
        <v>105.5241</v>
      </c>
      <c r="L26" s="54"/>
      <c r="M26" s="3">
        <v>9.69</v>
      </c>
      <c r="N26" s="15">
        <v>10.89</v>
      </c>
    </row>
    <row r="27" spans="1:14" ht="20.25" customHeight="1" x14ac:dyDescent="0.15">
      <c r="A27" s="60" t="s">
        <v>1916</v>
      </c>
      <c r="B27" s="9" t="s">
        <v>1904</v>
      </c>
      <c r="C27" s="58" t="s">
        <v>29</v>
      </c>
      <c r="D27" s="11" t="s">
        <v>1973</v>
      </c>
      <c r="E27" s="10">
        <v>22</v>
      </c>
      <c r="F27" s="10" t="s">
        <v>11</v>
      </c>
      <c r="G27" s="12">
        <v>1646</v>
      </c>
      <c r="H27" s="12">
        <v>1960</v>
      </c>
      <c r="I27" s="17" t="s">
        <v>941</v>
      </c>
      <c r="J27" s="18">
        <v>6</v>
      </c>
      <c r="K27" s="53">
        <f t="shared" si="1"/>
        <v>154.20240000000001</v>
      </c>
      <c r="L27" s="54"/>
      <c r="M27" s="3">
        <v>14.16</v>
      </c>
      <c r="N27" s="15">
        <v>10.89</v>
      </c>
    </row>
    <row r="28" spans="1:14" ht="20.25" customHeight="1" x14ac:dyDescent="0.15">
      <c r="A28" s="60" t="s">
        <v>1929</v>
      </c>
      <c r="B28" s="9" t="s">
        <v>1904</v>
      </c>
      <c r="C28" s="58" t="s">
        <v>29</v>
      </c>
      <c r="D28" s="11" t="s">
        <v>1973</v>
      </c>
      <c r="E28" s="10">
        <v>22</v>
      </c>
      <c r="F28" s="10" t="s">
        <v>11</v>
      </c>
      <c r="G28" s="12">
        <v>1646</v>
      </c>
      <c r="H28" s="12">
        <v>1960</v>
      </c>
      <c r="I28" s="51">
        <v>2</v>
      </c>
      <c r="J28" s="52">
        <v>2</v>
      </c>
      <c r="K28" s="53">
        <f t="shared" si="1"/>
        <v>70.349400000000003</v>
      </c>
      <c r="L28" s="54"/>
      <c r="M28" s="3">
        <v>6.46</v>
      </c>
      <c r="N28" s="15">
        <v>10.89</v>
      </c>
    </row>
    <row r="29" spans="1:14" ht="20.25" customHeight="1" x14ac:dyDescent="0.15">
      <c r="A29" s="60" t="s">
        <v>1931</v>
      </c>
      <c r="B29" s="9" t="s">
        <v>1904</v>
      </c>
      <c r="C29" s="58" t="s">
        <v>29</v>
      </c>
      <c r="D29" s="11" t="s">
        <v>1973</v>
      </c>
      <c r="E29" s="10">
        <v>22</v>
      </c>
      <c r="F29" s="10" t="s">
        <v>11</v>
      </c>
      <c r="G29" s="12">
        <v>1646</v>
      </c>
      <c r="H29" s="12">
        <v>1960</v>
      </c>
      <c r="I29" s="17" t="s">
        <v>941</v>
      </c>
      <c r="J29" s="18">
        <v>6</v>
      </c>
      <c r="K29" s="19">
        <f t="shared" si="1"/>
        <v>154.20240000000001</v>
      </c>
      <c r="L29" s="27"/>
      <c r="M29" s="3">
        <v>14.16</v>
      </c>
      <c r="N29" s="15">
        <v>10.89</v>
      </c>
    </row>
    <row r="30" spans="1:14" ht="20.25" customHeight="1" x14ac:dyDescent="0.15">
      <c r="A30" s="60" t="s">
        <v>1933</v>
      </c>
      <c r="B30" s="9" t="s">
        <v>1904</v>
      </c>
      <c r="C30" s="58" t="s">
        <v>29</v>
      </c>
      <c r="D30" s="11" t="s">
        <v>1973</v>
      </c>
      <c r="E30" s="10">
        <v>22</v>
      </c>
      <c r="F30" s="10" t="s">
        <v>11</v>
      </c>
      <c r="G30" s="12">
        <v>1646</v>
      </c>
      <c r="H30" s="12">
        <v>1960</v>
      </c>
      <c r="I30" s="17">
        <v>3</v>
      </c>
      <c r="J30" s="18">
        <v>3</v>
      </c>
      <c r="K30" s="19">
        <f t="shared" si="1"/>
        <v>105.5241</v>
      </c>
      <c r="L30" s="27"/>
      <c r="M30" s="3">
        <v>9.69</v>
      </c>
      <c r="N30" s="15">
        <v>10.89</v>
      </c>
    </row>
    <row r="31" spans="1:14" ht="20.25" customHeight="1" x14ac:dyDescent="0.15">
      <c r="A31" s="60" t="s">
        <v>1935</v>
      </c>
      <c r="B31" s="9" t="s">
        <v>1904</v>
      </c>
      <c r="C31" s="58" t="s">
        <v>29</v>
      </c>
      <c r="D31" s="11" t="s">
        <v>1973</v>
      </c>
      <c r="E31" s="10">
        <v>22</v>
      </c>
      <c r="F31" s="10" t="s">
        <v>11</v>
      </c>
      <c r="G31" s="12">
        <v>1646</v>
      </c>
      <c r="H31" s="12">
        <v>1960</v>
      </c>
      <c r="I31" s="17" t="s">
        <v>941</v>
      </c>
      <c r="J31" s="18">
        <v>6</v>
      </c>
      <c r="K31" s="19">
        <f t="shared" si="1"/>
        <v>154.20240000000001</v>
      </c>
      <c r="L31" s="27"/>
      <c r="M31" s="3">
        <v>14.16</v>
      </c>
      <c r="N31" s="15">
        <v>10.89</v>
      </c>
    </row>
    <row r="32" spans="1:14" ht="20.25" customHeight="1" x14ac:dyDescent="0.15">
      <c r="A32" s="60" t="s">
        <v>1959</v>
      </c>
      <c r="B32" s="9" t="s">
        <v>1904</v>
      </c>
      <c r="C32" s="58" t="s">
        <v>29</v>
      </c>
      <c r="D32" s="11" t="s">
        <v>1902</v>
      </c>
      <c r="E32" s="10">
        <v>22</v>
      </c>
      <c r="F32" s="10" t="s">
        <v>11</v>
      </c>
      <c r="G32" s="12">
        <v>452</v>
      </c>
      <c r="H32" s="12">
        <v>360</v>
      </c>
      <c r="I32" s="17">
        <v>14</v>
      </c>
      <c r="J32" s="18">
        <v>14</v>
      </c>
      <c r="K32" s="19">
        <f t="shared" si="1"/>
        <v>42.688800000000001</v>
      </c>
      <c r="L32" s="27"/>
      <c r="M32" s="3">
        <v>3.92</v>
      </c>
      <c r="N32" s="15">
        <v>10.89</v>
      </c>
    </row>
    <row r="33" spans="1:14" ht="20.25" customHeight="1" x14ac:dyDescent="0.15">
      <c r="A33" s="60"/>
      <c r="B33" s="9"/>
      <c r="C33" s="58" t="s">
        <v>29</v>
      </c>
      <c r="D33" s="11" t="s">
        <v>1903</v>
      </c>
      <c r="E33" s="10">
        <v>22</v>
      </c>
      <c r="F33" s="10"/>
      <c r="G33" s="12">
        <v>252</v>
      </c>
      <c r="H33" s="12">
        <v>760</v>
      </c>
      <c r="I33" s="17">
        <v>10</v>
      </c>
      <c r="J33" s="18">
        <v>10</v>
      </c>
      <c r="K33" s="19">
        <f t="shared" si="1"/>
        <v>30.492000000000001</v>
      </c>
      <c r="L33" s="27"/>
      <c r="M33" s="3">
        <v>2.8</v>
      </c>
      <c r="N33" s="15">
        <v>10.89</v>
      </c>
    </row>
    <row r="34" spans="1:14" s="15" customFormat="1" ht="20.25" customHeight="1" x14ac:dyDescent="0.15">
      <c r="A34" s="60" t="s">
        <v>1974</v>
      </c>
      <c r="B34" s="9" t="s">
        <v>1904</v>
      </c>
      <c r="C34" s="58" t="s">
        <v>29</v>
      </c>
      <c r="D34" s="11" t="s">
        <v>1906</v>
      </c>
      <c r="E34" s="10">
        <v>22</v>
      </c>
      <c r="F34" s="58" t="s">
        <v>11</v>
      </c>
      <c r="G34" s="50">
        <v>1646</v>
      </c>
      <c r="H34" s="50">
        <v>1960</v>
      </c>
      <c r="I34" s="17" t="s">
        <v>1975</v>
      </c>
      <c r="J34" s="18">
        <v>5</v>
      </c>
      <c r="K34" s="19">
        <f>+M34*N34</f>
        <v>137.97630000000001</v>
      </c>
      <c r="L34" s="20"/>
      <c r="M34" s="15">
        <v>12.67</v>
      </c>
      <c r="N34" s="15">
        <v>10.89</v>
      </c>
    </row>
    <row r="35" spans="1:14" s="15" customFormat="1" ht="20.25" customHeight="1" x14ac:dyDescent="0.15">
      <c r="A35" s="60"/>
      <c r="B35" s="9"/>
      <c r="C35" s="58" t="s">
        <v>29</v>
      </c>
      <c r="D35" s="11" t="s">
        <v>1902</v>
      </c>
      <c r="E35" s="10">
        <v>22</v>
      </c>
      <c r="F35" s="58" t="s">
        <v>11</v>
      </c>
      <c r="G35" s="50">
        <v>1646</v>
      </c>
      <c r="H35" s="50">
        <v>1960</v>
      </c>
      <c r="I35" s="17" t="s">
        <v>1913</v>
      </c>
      <c r="J35" s="18">
        <v>54</v>
      </c>
      <c r="K35" s="19">
        <f>+M35*N35</f>
        <v>483.51600000000002</v>
      </c>
      <c r="L35" s="20"/>
      <c r="M35" s="15">
        <v>44.4</v>
      </c>
      <c r="N35" s="15">
        <v>10.89</v>
      </c>
    </row>
    <row r="36" spans="1:14" ht="20.25" customHeight="1" x14ac:dyDescent="0.15">
      <c r="A36" s="60"/>
      <c r="B36" s="9"/>
      <c r="C36" s="58" t="s">
        <v>29</v>
      </c>
      <c r="D36" s="11" t="s">
        <v>1903</v>
      </c>
      <c r="E36" s="10">
        <v>22</v>
      </c>
      <c r="F36" s="58"/>
      <c r="G36" s="16">
        <v>252</v>
      </c>
      <c r="H36" s="16">
        <v>760</v>
      </c>
      <c r="I36" s="17">
        <v>6</v>
      </c>
      <c r="J36" s="18">
        <v>6</v>
      </c>
      <c r="K36" s="19">
        <f>+M36*N36</f>
        <v>18.295200000000001</v>
      </c>
      <c r="L36" s="14"/>
      <c r="M36" s="3">
        <v>1.68</v>
      </c>
      <c r="N36" s="15">
        <v>10.89</v>
      </c>
    </row>
    <row r="37" spans="1:14" ht="20.25" customHeight="1" x14ac:dyDescent="0.15">
      <c r="A37" s="60" t="s">
        <v>1976</v>
      </c>
      <c r="B37" s="9" t="s">
        <v>1904</v>
      </c>
      <c r="C37" s="58" t="s">
        <v>29</v>
      </c>
      <c r="D37" s="11" t="s">
        <v>1906</v>
      </c>
      <c r="E37" s="10">
        <v>22</v>
      </c>
      <c r="F37" s="58" t="s">
        <v>11</v>
      </c>
      <c r="G37" s="50">
        <v>1646</v>
      </c>
      <c r="H37" s="50">
        <v>1960</v>
      </c>
      <c r="I37" s="17">
        <v>3</v>
      </c>
      <c r="J37" s="18">
        <v>3</v>
      </c>
      <c r="K37" s="19">
        <f t="shared" ref="K37:K40" si="2">+M37*N37</f>
        <v>105.5241</v>
      </c>
      <c r="L37" s="27"/>
      <c r="M37" s="3">
        <v>9.69</v>
      </c>
      <c r="N37" s="15">
        <v>10.89</v>
      </c>
    </row>
    <row r="38" spans="1:14" ht="20.25" customHeight="1" x14ac:dyDescent="0.15">
      <c r="A38" s="60"/>
      <c r="B38" s="9"/>
      <c r="C38" s="58" t="s">
        <v>29</v>
      </c>
      <c r="D38" s="11" t="s">
        <v>1902</v>
      </c>
      <c r="E38" s="10">
        <v>22</v>
      </c>
      <c r="F38" s="58" t="s">
        <v>11</v>
      </c>
      <c r="G38" s="50">
        <v>1646</v>
      </c>
      <c r="H38" s="50">
        <v>1960</v>
      </c>
      <c r="I38" s="17" t="s">
        <v>161</v>
      </c>
      <c r="J38" s="18">
        <v>57</v>
      </c>
      <c r="K38" s="19">
        <f t="shared" si="2"/>
        <v>445.94550000000004</v>
      </c>
      <c r="L38" s="27"/>
      <c r="M38" s="3">
        <v>40.950000000000003</v>
      </c>
      <c r="N38" s="15">
        <v>10.89</v>
      </c>
    </row>
    <row r="39" spans="1:14" ht="20.25" customHeight="1" x14ac:dyDescent="0.15">
      <c r="A39" s="60"/>
      <c r="B39" s="9"/>
      <c r="C39" s="58" t="s">
        <v>29</v>
      </c>
      <c r="D39" s="11" t="s">
        <v>1903</v>
      </c>
      <c r="E39" s="10">
        <v>22</v>
      </c>
      <c r="F39" s="58"/>
      <c r="G39" s="16">
        <v>252</v>
      </c>
      <c r="H39" s="16">
        <v>760</v>
      </c>
      <c r="I39" s="17">
        <v>6</v>
      </c>
      <c r="J39" s="18">
        <v>6</v>
      </c>
      <c r="K39" s="19">
        <f t="shared" si="2"/>
        <v>18.295200000000001</v>
      </c>
      <c r="L39" s="27"/>
      <c r="M39" s="3">
        <v>1.68</v>
      </c>
      <c r="N39" s="15">
        <v>10.89</v>
      </c>
    </row>
    <row r="40" spans="1:14" ht="20.25" customHeight="1" x14ac:dyDescent="0.15">
      <c r="A40" s="60" t="s">
        <v>1977</v>
      </c>
      <c r="B40" s="9" t="s">
        <v>1761</v>
      </c>
      <c r="C40" s="58" t="s">
        <v>29</v>
      </c>
      <c r="D40" s="11" t="s">
        <v>1763</v>
      </c>
      <c r="E40" s="10">
        <v>43</v>
      </c>
      <c r="F40" s="10" t="s">
        <v>11</v>
      </c>
      <c r="G40" s="12">
        <v>1117</v>
      </c>
      <c r="H40" s="12">
        <v>1102</v>
      </c>
      <c r="I40" s="17">
        <v>6</v>
      </c>
      <c r="J40" s="18">
        <v>6</v>
      </c>
      <c r="K40" s="19">
        <f t="shared" si="2"/>
        <v>80.368200000000002</v>
      </c>
      <c r="L40" s="27"/>
      <c r="M40" s="3">
        <v>7.38</v>
      </c>
      <c r="N40" s="15">
        <v>10.89</v>
      </c>
    </row>
    <row r="41" spans="1:14" ht="20.25" customHeight="1" x14ac:dyDescent="0.15">
      <c r="A41" s="60" t="s">
        <v>1978</v>
      </c>
      <c r="B41" s="9" t="s">
        <v>1175</v>
      </c>
      <c r="C41" s="58" t="s">
        <v>29</v>
      </c>
      <c r="D41" s="11" t="s">
        <v>1009</v>
      </c>
      <c r="E41" s="10">
        <v>24</v>
      </c>
      <c r="F41" s="10" t="s">
        <v>11</v>
      </c>
      <c r="G41" s="12">
        <v>665</v>
      </c>
      <c r="H41" s="12">
        <v>937</v>
      </c>
      <c r="I41" s="17" t="s">
        <v>1979</v>
      </c>
      <c r="J41" s="18">
        <v>19</v>
      </c>
      <c r="K41" s="19">
        <f t="shared" si="1"/>
        <v>113.8005</v>
      </c>
      <c r="L41" s="27"/>
      <c r="M41" s="3">
        <v>10.45</v>
      </c>
      <c r="N41" s="15">
        <v>10.89</v>
      </c>
    </row>
    <row r="42" spans="1:14" ht="20.25" customHeight="1" x14ac:dyDescent="0.15">
      <c r="A42" s="60"/>
      <c r="B42" s="9"/>
      <c r="C42" s="58" t="s">
        <v>29</v>
      </c>
      <c r="D42" s="11" t="s">
        <v>1176</v>
      </c>
      <c r="E42" s="10">
        <v>39</v>
      </c>
      <c r="F42" s="10" t="s">
        <v>11</v>
      </c>
      <c r="G42" s="12">
        <v>1220</v>
      </c>
      <c r="H42" s="12">
        <v>1865</v>
      </c>
      <c r="I42" s="17" t="s">
        <v>1980</v>
      </c>
      <c r="J42" s="18">
        <v>86</v>
      </c>
      <c r="K42" s="19">
        <f t="shared" si="1"/>
        <v>1131.3621000000001</v>
      </c>
      <c r="L42" s="27"/>
      <c r="M42" s="3">
        <v>103.89</v>
      </c>
      <c r="N42" s="15">
        <v>10.89</v>
      </c>
    </row>
    <row r="43" spans="1:14" ht="20.25" customHeight="1" x14ac:dyDescent="0.15">
      <c r="A43" s="60" t="s">
        <v>1981</v>
      </c>
      <c r="B43" s="9" t="s">
        <v>1175</v>
      </c>
      <c r="C43" s="58" t="s">
        <v>29</v>
      </c>
      <c r="D43" s="11" t="s">
        <v>1009</v>
      </c>
      <c r="E43" s="10">
        <v>24</v>
      </c>
      <c r="F43" s="10" t="s">
        <v>11</v>
      </c>
      <c r="G43" s="12">
        <v>665</v>
      </c>
      <c r="H43" s="12">
        <v>937</v>
      </c>
      <c r="I43" s="17" t="s">
        <v>1979</v>
      </c>
      <c r="J43" s="18">
        <v>19</v>
      </c>
      <c r="K43" s="19">
        <f t="shared" si="1"/>
        <v>113.8005</v>
      </c>
      <c r="L43" s="27"/>
      <c r="M43" s="3">
        <v>10.45</v>
      </c>
      <c r="N43" s="15">
        <v>10.89</v>
      </c>
    </row>
    <row r="44" spans="1:14" ht="20.25" customHeight="1" x14ac:dyDescent="0.15">
      <c r="A44" s="60"/>
      <c r="B44" s="9"/>
      <c r="C44" s="58" t="s">
        <v>29</v>
      </c>
      <c r="D44" s="11" t="s">
        <v>1176</v>
      </c>
      <c r="E44" s="10">
        <v>39</v>
      </c>
      <c r="F44" s="10" t="s">
        <v>11</v>
      </c>
      <c r="G44" s="12">
        <v>1220</v>
      </c>
      <c r="H44" s="12">
        <v>1865</v>
      </c>
      <c r="I44" s="17" t="s">
        <v>1982</v>
      </c>
      <c r="J44" s="18">
        <v>88</v>
      </c>
      <c r="K44" s="19">
        <f t="shared" si="1"/>
        <v>1155.3201000000001</v>
      </c>
      <c r="L44" s="27"/>
      <c r="M44" s="3">
        <v>106.09</v>
      </c>
      <c r="N44" s="15">
        <v>10.89</v>
      </c>
    </row>
    <row r="45" spans="1:14" ht="20.25" customHeight="1" thickBot="1" x14ac:dyDescent="0.2">
      <c r="A45" s="66"/>
      <c r="B45" s="67"/>
      <c r="C45" s="68"/>
      <c r="D45" s="69"/>
      <c r="E45" s="70"/>
      <c r="F45" s="70"/>
      <c r="G45" s="70"/>
      <c r="H45" s="70"/>
      <c r="I45" s="71"/>
      <c r="J45" s="72">
        <f>SUM(J22:J44)</f>
        <v>414</v>
      </c>
      <c r="K45" s="73">
        <f>SUM(K22:K44)</f>
        <v>5035.3182000000006</v>
      </c>
      <c r="L45" s="74"/>
      <c r="N45" s="32"/>
    </row>
    <row r="46" spans="1:14" ht="20.25" hidden="1" customHeight="1" thickBot="1" x14ac:dyDescent="0.2">
      <c r="A46" s="55"/>
      <c r="B46" s="33"/>
      <c r="C46" s="33"/>
      <c r="D46" s="33"/>
      <c r="E46" s="33"/>
      <c r="F46" s="33"/>
      <c r="G46" s="33"/>
      <c r="H46" s="33"/>
      <c r="I46" s="33"/>
      <c r="J46" s="34"/>
      <c r="K46" s="35"/>
      <c r="L46" s="36"/>
    </row>
    <row r="47" spans="1:14" ht="20.25" customHeight="1" thickBot="1" x14ac:dyDescent="0.2">
      <c r="A47" s="37" t="s">
        <v>19</v>
      </c>
      <c r="B47" s="38" t="s">
        <v>20</v>
      </c>
      <c r="C47" s="77" t="s">
        <v>21</v>
      </c>
      <c r="D47" s="79"/>
      <c r="E47" s="77" t="s">
        <v>22</v>
      </c>
      <c r="F47" s="78"/>
      <c r="G47" s="79"/>
      <c r="H47" s="85" t="s">
        <v>23</v>
      </c>
      <c r="I47" s="86"/>
      <c r="J47" s="77" t="s">
        <v>24</v>
      </c>
      <c r="K47" s="79"/>
      <c r="L47" s="39" t="s">
        <v>13</v>
      </c>
    </row>
    <row r="48" spans="1:14" ht="20.25" customHeight="1" thickBot="1" x14ac:dyDescent="0.2">
      <c r="A48" s="40">
        <f>SUMIF($C$8:$C$46,"U1",$J$8:$J$46)</f>
        <v>0</v>
      </c>
      <c r="B48" s="41">
        <f>SUMIF($C$8:$C$46,"U2",$J$8:$J$46)</f>
        <v>0</v>
      </c>
      <c r="C48" s="77">
        <f>SUMIF($C$8:$C$46,"U3-1",$J$8:$J$46)</f>
        <v>0</v>
      </c>
      <c r="D48" s="79"/>
      <c r="E48" s="77">
        <f>SUMIF($C$8:$C$46,"U3",$J$8:$J$46)</f>
        <v>942</v>
      </c>
      <c r="F48" s="78"/>
      <c r="G48" s="79"/>
      <c r="H48" s="77">
        <f>SUMIF($C$8:$C$46,"E5",$J$8:$J$46)</f>
        <v>0</v>
      </c>
      <c r="I48" s="79"/>
      <c r="J48" s="77">
        <f>SUM(A48:I48)</f>
        <v>942</v>
      </c>
      <c r="K48" s="79"/>
      <c r="L48" s="42"/>
    </row>
    <row r="49" spans="1:12" ht="20.25" customHeight="1" thickBot="1" x14ac:dyDescent="0.2">
      <c r="A49" s="43" t="s">
        <v>25</v>
      </c>
      <c r="B49" s="44" t="s">
        <v>26</v>
      </c>
      <c r="C49" s="75">
        <v>13876</v>
      </c>
      <c r="D49" s="76"/>
      <c r="E49" s="77" t="s">
        <v>27</v>
      </c>
      <c r="F49" s="78"/>
      <c r="G49" s="78"/>
      <c r="H49" s="78"/>
      <c r="I49" s="79"/>
      <c r="J49" s="80">
        <v>146744.37</v>
      </c>
      <c r="K49" s="81"/>
      <c r="L49" s="82"/>
    </row>
    <row r="51" spans="1:12" x14ac:dyDescent="0.15">
      <c r="D51" s="45"/>
    </row>
  </sheetData>
  <mergeCells count="26">
    <mergeCell ref="C49:D49"/>
    <mergeCell ref="E49:I49"/>
    <mergeCell ref="J49:L49"/>
    <mergeCell ref="L6:L7"/>
    <mergeCell ref="C47:D47"/>
    <mergeCell ref="E47:G47"/>
    <mergeCell ref="H47:I47"/>
    <mergeCell ref="J47:K47"/>
    <mergeCell ref="C48:D48"/>
    <mergeCell ref="E48:G48"/>
    <mergeCell ref="H48:I48"/>
    <mergeCell ref="J48:K48"/>
    <mergeCell ref="B5:G5"/>
    <mergeCell ref="A6:A7"/>
    <mergeCell ref="B6:B7"/>
    <mergeCell ref="C6:C7"/>
    <mergeCell ref="D6:D7"/>
    <mergeCell ref="E6:E7"/>
    <mergeCell ref="F6:F7"/>
    <mergeCell ref="G6:K6"/>
    <mergeCell ref="L2:L4"/>
    <mergeCell ref="A1:G3"/>
    <mergeCell ref="H1:H4"/>
    <mergeCell ref="I2:I4"/>
    <mergeCell ref="J2:J4"/>
    <mergeCell ref="K2:K4"/>
  </mergeCells>
  <phoneticPr fontId="2" type="noConversion"/>
  <printOptions horizontalCentered="1"/>
  <pageMargins left="0.39370078740157483" right="0.39370078740157483" top="0.59055118110236227" bottom="0" header="0.31496062992125984" footer="0.15748031496062992"/>
  <pageSetup paperSize="9" scale="84" orientation="portrait" r:id="rId1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35033D-7EA0-42A4-9D3F-D9E5E6D162B9}">
  <dimension ref="A1:N49"/>
  <sheetViews>
    <sheetView view="pageBreakPreview" topLeftCell="A7" zoomScaleSheetLayoutView="100" workbookViewId="0">
      <selection activeCell="B29" sqref="B29:E29"/>
    </sheetView>
  </sheetViews>
  <sheetFormatPr defaultColWidth="8.88671875" defaultRowHeight="13.5" x14ac:dyDescent="0.15"/>
  <cols>
    <col min="1" max="1" width="8.44140625" style="3" customWidth="1"/>
    <col min="2" max="2" width="14.77734375" style="3" customWidth="1"/>
    <col min="3" max="3" width="4.109375" style="3" customWidth="1"/>
    <col min="4" max="4" width="15.21875" style="3" customWidth="1"/>
    <col min="5" max="5" width="4.44140625" style="3" customWidth="1"/>
    <col min="6" max="6" width="4" style="3" customWidth="1"/>
    <col min="7" max="7" width="5.5546875" style="3" customWidth="1"/>
    <col min="8" max="8" width="5.44140625" style="3" customWidth="1"/>
    <col min="9" max="9" width="7.88671875" style="3" customWidth="1"/>
    <col min="10" max="10" width="7.109375" style="3" customWidth="1"/>
    <col min="11" max="11" width="7.21875" style="3" customWidth="1"/>
    <col min="12" max="12" width="6.77734375" style="3" customWidth="1"/>
    <col min="13" max="16384" width="8.88671875" style="3"/>
  </cols>
  <sheetData>
    <row r="1" spans="1:14" ht="18.75" customHeight="1" x14ac:dyDescent="0.15">
      <c r="A1" s="101" t="s">
        <v>0</v>
      </c>
      <c r="B1" s="102"/>
      <c r="C1" s="102"/>
      <c r="D1" s="102"/>
      <c r="E1" s="102"/>
      <c r="F1" s="102"/>
      <c r="G1" s="103"/>
      <c r="H1" s="107" t="s">
        <v>1</v>
      </c>
      <c r="I1" s="1" t="s">
        <v>2</v>
      </c>
      <c r="J1" s="1" t="s">
        <v>2</v>
      </c>
      <c r="K1" s="1" t="s">
        <v>3</v>
      </c>
      <c r="L1" s="2" t="s">
        <v>4</v>
      </c>
    </row>
    <row r="2" spans="1:14" ht="13.5" customHeight="1" x14ac:dyDescent="0.15">
      <c r="A2" s="104"/>
      <c r="B2" s="105"/>
      <c r="C2" s="105"/>
      <c r="D2" s="105"/>
      <c r="E2" s="105"/>
      <c r="F2" s="105"/>
      <c r="G2" s="106"/>
      <c r="H2" s="108"/>
      <c r="I2" s="110"/>
      <c r="J2" s="110"/>
      <c r="K2" s="110"/>
      <c r="L2" s="98"/>
    </row>
    <row r="3" spans="1:14" ht="13.5" customHeight="1" x14ac:dyDescent="0.15">
      <c r="A3" s="104"/>
      <c r="B3" s="105"/>
      <c r="C3" s="105"/>
      <c r="D3" s="105"/>
      <c r="E3" s="105"/>
      <c r="F3" s="105"/>
      <c r="G3" s="106"/>
      <c r="H3" s="108"/>
      <c r="I3" s="108"/>
      <c r="J3" s="108"/>
      <c r="K3" s="108"/>
      <c r="L3" s="99"/>
    </row>
    <row r="4" spans="1:14" ht="33" customHeight="1" x14ac:dyDescent="0.15">
      <c r="A4" s="4"/>
      <c r="B4" s="5"/>
      <c r="C4" s="5"/>
      <c r="D4" s="5"/>
      <c r="E4" s="5"/>
      <c r="F4" s="5"/>
      <c r="G4" s="5"/>
      <c r="H4" s="109"/>
      <c r="I4" s="109"/>
      <c r="J4" s="109"/>
      <c r="K4" s="109"/>
      <c r="L4" s="100"/>
    </row>
    <row r="5" spans="1:14" ht="17.25" customHeight="1" x14ac:dyDescent="0.15">
      <c r="A5" s="6" t="s">
        <v>5</v>
      </c>
      <c r="B5" s="87">
        <v>46129</v>
      </c>
      <c r="C5" s="88"/>
      <c r="D5" s="88"/>
      <c r="E5" s="88"/>
      <c r="F5" s="88"/>
      <c r="G5" s="88"/>
      <c r="H5" s="5"/>
      <c r="I5" s="5"/>
      <c r="J5" s="5"/>
      <c r="K5" s="5"/>
      <c r="L5" s="7"/>
    </row>
    <row r="6" spans="1:14" ht="13.5" customHeight="1" x14ac:dyDescent="0.15">
      <c r="A6" s="89" t="s">
        <v>6</v>
      </c>
      <c r="B6" s="91" t="s">
        <v>7</v>
      </c>
      <c r="C6" s="91" t="s">
        <v>8</v>
      </c>
      <c r="D6" s="91" t="s">
        <v>9</v>
      </c>
      <c r="E6" s="93" t="s">
        <v>10</v>
      </c>
      <c r="F6" s="93" t="s">
        <v>11</v>
      </c>
      <c r="G6" s="95" t="s">
        <v>12</v>
      </c>
      <c r="H6" s="96"/>
      <c r="I6" s="96"/>
      <c r="J6" s="96"/>
      <c r="K6" s="97"/>
      <c r="L6" s="83" t="s">
        <v>13</v>
      </c>
    </row>
    <row r="7" spans="1:14" x14ac:dyDescent="0.15">
      <c r="A7" s="90"/>
      <c r="B7" s="92"/>
      <c r="C7" s="92"/>
      <c r="D7" s="92"/>
      <c r="E7" s="94"/>
      <c r="F7" s="94"/>
      <c r="G7" s="8" t="s">
        <v>14</v>
      </c>
      <c r="H7" s="8" t="s">
        <v>15</v>
      </c>
      <c r="I7" s="8" t="s">
        <v>16</v>
      </c>
      <c r="J7" s="8" t="s">
        <v>17</v>
      </c>
      <c r="K7" s="8" t="s">
        <v>18</v>
      </c>
      <c r="L7" s="84"/>
    </row>
    <row r="8" spans="1:14" s="15" customFormat="1" ht="20.25" customHeight="1" x14ac:dyDescent="0.15">
      <c r="A8" s="60" t="s">
        <v>1983</v>
      </c>
      <c r="B8" s="9" t="s">
        <v>138</v>
      </c>
      <c r="C8" s="58" t="s">
        <v>29</v>
      </c>
      <c r="D8" s="11" t="s">
        <v>372</v>
      </c>
      <c r="E8" s="10">
        <v>24</v>
      </c>
      <c r="F8" s="58"/>
      <c r="G8" s="12">
        <v>775</v>
      </c>
      <c r="H8" s="12">
        <v>1890</v>
      </c>
      <c r="I8" s="17" t="s">
        <v>480</v>
      </c>
      <c r="J8" s="18">
        <v>80</v>
      </c>
      <c r="K8" s="19">
        <f>+M8*N8</f>
        <v>776.45699999999999</v>
      </c>
      <c r="L8" s="14"/>
      <c r="M8" s="15">
        <v>71.3</v>
      </c>
      <c r="N8" s="15">
        <v>10.89</v>
      </c>
    </row>
    <row r="9" spans="1:14" s="15" customFormat="1" ht="20.25" customHeight="1" x14ac:dyDescent="0.15">
      <c r="A9" s="60"/>
      <c r="B9" s="9"/>
      <c r="C9" s="58" t="s">
        <v>29</v>
      </c>
      <c r="D9" s="11" t="s">
        <v>336</v>
      </c>
      <c r="E9" s="10">
        <v>24</v>
      </c>
      <c r="F9" s="58"/>
      <c r="G9" s="12">
        <v>1662</v>
      </c>
      <c r="H9" s="12">
        <v>1890</v>
      </c>
      <c r="I9" s="17" t="s">
        <v>196</v>
      </c>
      <c r="J9" s="18">
        <v>90</v>
      </c>
      <c r="K9" s="19">
        <f t="shared" ref="K9:K25" si="0">+M9*N9</f>
        <v>1118.403</v>
      </c>
      <c r="L9" s="14"/>
      <c r="M9" s="15">
        <v>102.7</v>
      </c>
      <c r="N9" s="15">
        <v>10.89</v>
      </c>
    </row>
    <row r="10" spans="1:14" s="15" customFormat="1" ht="20.25" customHeight="1" x14ac:dyDescent="0.15">
      <c r="A10" s="60"/>
      <c r="B10" s="9"/>
      <c r="C10" s="58" t="s">
        <v>29</v>
      </c>
      <c r="D10" s="11" t="s">
        <v>224</v>
      </c>
      <c r="E10" s="10">
        <v>22</v>
      </c>
      <c r="F10" s="58" t="s">
        <v>11</v>
      </c>
      <c r="G10" s="12">
        <v>618</v>
      </c>
      <c r="H10" s="12">
        <v>1890</v>
      </c>
      <c r="I10" s="17">
        <v>10</v>
      </c>
      <c r="J10" s="18">
        <v>10</v>
      </c>
      <c r="K10" s="19">
        <f t="shared" si="0"/>
        <v>127.413</v>
      </c>
      <c r="L10" s="14"/>
      <c r="M10" s="15">
        <v>11.7</v>
      </c>
      <c r="N10" s="15">
        <v>10.89</v>
      </c>
    </row>
    <row r="11" spans="1:14" s="15" customFormat="1" ht="20.25" customHeight="1" x14ac:dyDescent="0.15">
      <c r="A11" s="60" t="s">
        <v>1984</v>
      </c>
      <c r="B11" s="9" t="s">
        <v>138</v>
      </c>
      <c r="C11" s="58" t="s">
        <v>29</v>
      </c>
      <c r="D11" s="11" t="s">
        <v>372</v>
      </c>
      <c r="E11" s="10">
        <v>24</v>
      </c>
      <c r="F11" s="58"/>
      <c r="G11" s="12">
        <v>775</v>
      </c>
      <c r="H11" s="12">
        <v>1890</v>
      </c>
      <c r="I11" s="17" t="s">
        <v>196</v>
      </c>
      <c r="J11" s="18">
        <v>90</v>
      </c>
      <c r="K11" s="19">
        <f t="shared" si="0"/>
        <v>823.28399999999999</v>
      </c>
      <c r="L11" s="14"/>
      <c r="M11" s="15">
        <v>75.599999999999994</v>
      </c>
      <c r="N11" s="15">
        <v>10.89</v>
      </c>
    </row>
    <row r="12" spans="1:14" s="15" customFormat="1" ht="20.25" customHeight="1" x14ac:dyDescent="0.15">
      <c r="A12" s="60"/>
      <c r="B12" s="9"/>
      <c r="C12" s="58" t="s">
        <v>29</v>
      </c>
      <c r="D12" s="11" t="s">
        <v>224</v>
      </c>
      <c r="E12" s="10">
        <v>22</v>
      </c>
      <c r="F12" s="58" t="s">
        <v>11</v>
      </c>
      <c r="G12" s="12">
        <v>618</v>
      </c>
      <c r="H12" s="12">
        <v>1890</v>
      </c>
      <c r="I12" s="17">
        <v>10</v>
      </c>
      <c r="J12" s="18">
        <v>10</v>
      </c>
      <c r="K12" s="19">
        <f t="shared" si="0"/>
        <v>127.413</v>
      </c>
      <c r="L12" s="14"/>
      <c r="M12" s="15">
        <v>11.7</v>
      </c>
      <c r="N12" s="15">
        <v>10.89</v>
      </c>
    </row>
    <row r="13" spans="1:14" s="15" customFormat="1" ht="20.25" customHeight="1" x14ac:dyDescent="0.15">
      <c r="A13" s="60" t="s">
        <v>1780</v>
      </c>
      <c r="B13" s="9" t="s">
        <v>127</v>
      </c>
      <c r="C13" s="58" t="s">
        <v>29</v>
      </c>
      <c r="D13" s="11" t="s">
        <v>1067</v>
      </c>
      <c r="E13" s="10">
        <v>26</v>
      </c>
      <c r="F13" s="58" t="s">
        <v>11</v>
      </c>
      <c r="G13" s="12">
        <v>985</v>
      </c>
      <c r="H13" s="12">
        <v>1385</v>
      </c>
      <c r="I13" s="17">
        <v>1</v>
      </c>
      <c r="J13" s="18">
        <v>1</v>
      </c>
      <c r="K13" s="19">
        <f t="shared" si="0"/>
        <v>14.810400000000001</v>
      </c>
      <c r="L13" s="14"/>
      <c r="M13" s="15">
        <v>1.36</v>
      </c>
      <c r="N13" s="15">
        <v>10.89</v>
      </c>
    </row>
    <row r="14" spans="1:14" s="15" customFormat="1" ht="20.25" customHeight="1" x14ac:dyDescent="0.15">
      <c r="A14" s="60" t="s">
        <v>1985</v>
      </c>
      <c r="B14" s="9" t="s">
        <v>1986</v>
      </c>
      <c r="C14" s="58" t="s">
        <v>231</v>
      </c>
      <c r="D14" s="11" t="s">
        <v>1987</v>
      </c>
      <c r="E14" s="10">
        <v>24</v>
      </c>
      <c r="F14" s="58"/>
      <c r="G14" s="12">
        <v>435</v>
      </c>
      <c r="H14" s="12">
        <v>794</v>
      </c>
      <c r="I14" s="17" t="s">
        <v>1317</v>
      </c>
      <c r="J14" s="18">
        <v>24</v>
      </c>
      <c r="K14" s="19">
        <f t="shared" si="0"/>
        <v>82.328400000000002</v>
      </c>
      <c r="L14" s="20"/>
      <c r="M14" s="15">
        <v>7.56</v>
      </c>
      <c r="N14" s="15">
        <v>10.89</v>
      </c>
    </row>
    <row r="15" spans="1:14" s="15" customFormat="1" ht="20.25" customHeight="1" x14ac:dyDescent="0.15">
      <c r="A15" s="60"/>
      <c r="B15" s="9"/>
      <c r="C15" s="58" t="s">
        <v>29</v>
      </c>
      <c r="D15" s="11" t="s">
        <v>648</v>
      </c>
      <c r="E15" s="10">
        <v>24</v>
      </c>
      <c r="F15" s="58"/>
      <c r="G15" s="12">
        <v>742</v>
      </c>
      <c r="H15" s="12">
        <v>1748</v>
      </c>
      <c r="I15" s="17" t="s">
        <v>1988</v>
      </c>
      <c r="J15" s="18">
        <v>45</v>
      </c>
      <c r="K15" s="19">
        <f t="shared" si="0"/>
        <v>332.90730000000002</v>
      </c>
      <c r="L15" s="20"/>
      <c r="M15" s="15">
        <v>30.57</v>
      </c>
      <c r="N15" s="15">
        <v>10.89</v>
      </c>
    </row>
    <row r="16" spans="1:14" s="15" customFormat="1" ht="20.25" customHeight="1" x14ac:dyDescent="0.15">
      <c r="A16" s="60" t="s">
        <v>1989</v>
      </c>
      <c r="B16" s="9" t="s">
        <v>1986</v>
      </c>
      <c r="C16" s="58" t="s">
        <v>231</v>
      </c>
      <c r="D16" s="11" t="s">
        <v>1987</v>
      </c>
      <c r="E16" s="10">
        <v>24</v>
      </c>
      <c r="F16" s="58"/>
      <c r="G16" s="12">
        <v>1631</v>
      </c>
      <c r="H16" s="12">
        <v>1746</v>
      </c>
      <c r="I16" s="17" t="s">
        <v>1941</v>
      </c>
      <c r="J16" s="18">
        <v>36</v>
      </c>
      <c r="K16" s="19">
        <f t="shared" si="0"/>
        <v>537.74820000000011</v>
      </c>
      <c r="L16" s="20"/>
      <c r="M16" s="15">
        <v>49.38</v>
      </c>
      <c r="N16" s="15">
        <v>10.89</v>
      </c>
    </row>
    <row r="17" spans="1:14" s="15" customFormat="1" ht="20.25" customHeight="1" x14ac:dyDescent="0.15">
      <c r="A17" s="60" t="s">
        <v>1990</v>
      </c>
      <c r="B17" s="9" t="s">
        <v>1986</v>
      </c>
      <c r="C17" s="58" t="s">
        <v>231</v>
      </c>
      <c r="D17" s="11" t="s">
        <v>1987</v>
      </c>
      <c r="E17" s="10">
        <v>24</v>
      </c>
      <c r="F17" s="58"/>
      <c r="G17" s="12">
        <v>435</v>
      </c>
      <c r="H17" s="12">
        <v>794</v>
      </c>
      <c r="I17" s="17" t="s">
        <v>170</v>
      </c>
      <c r="J17" s="18">
        <v>4</v>
      </c>
      <c r="K17" s="19">
        <f t="shared" si="0"/>
        <v>13.721400000000001</v>
      </c>
      <c r="L17" s="20"/>
      <c r="M17" s="15">
        <v>1.26</v>
      </c>
      <c r="N17" s="15">
        <v>10.89</v>
      </c>
    </row>
    <row r="18" spans="1:14" s="15" customFormat="1" ht="20.25" customHeight="1" x14ac:dyDescent="0.15">
      <c r="A18" s="60"/>
      <c r="B18" s="9"/>
      <c r="C18" s="58" t="s">
        <v>29</v>
      </c>
      <c r="D18" s="11" t="s">
        <v>648</v>
      </c>
      <c r="E18" s="10">
        <v>24</v>
      </c>
      <c r="F18" s="58"/>
      <c r="G18" s="12">
        <v>742</v>
      </c>
      <c r="H18" s="12">
        <v>1748</v>
      </c>
      <c r="I18" s="17" t="s">
        <v>324</v>
      </c>
      <c r="J18" s="18">
        <v>8</v>
      </c>
      <c r="K18" s="19">
        <f t="shared" si="0"/>
        <v>60.657300000000006</v>
      </c>
      <c r="L18" s="20"/>
      <c r="M18" s="15">
        <v>5.57</v>
      </c>
      <c r="N18" s="15">
        <v>10.89</v>
      </c>
    </row>
    <row r="19" spans="1:14" s="15" customFormat="1" ht="20.25" customHeight="1" x14ac:dyDescent="0.15">
      <c r="A19" s="60" t="s">
        <v>1991</v>
      </c>
      <c r="B19" s="9" t="s">
        <v>1986</v>
      </c>
      <c r="C19" s="58" t="s">
        <v>231</v>
      </c>
      <c r="D19" s="11" t="s">
        <v>1987</v>
      </c>
      <c r="E19" s="10">
        <v>24</v>
      </c>
      <c r="F19" s="58"/>
      <c r="G19" s="12">
        <v>435</v>
      </c>
      <c r="H19" s="12">
        <v>794</v>
      </c>
      <c r="I19" s="17">
        <v>16</v>
      </c>
      <c r="J19" s="18">
        <v>16</v>
      </c>
      <c r="K19" s="19">
        <f t="shared" si="0"/>
        <v>60.984000000000002</v>
      </c>
      <c r="L19" s="20"/>
      <c r="M19" s="15">
        <v>5.6</v>
      </c>
      <c r="N19" s="15">
        <v>10.89</v>
      </c>
    </row>
    <row r="20" spans="1:14" s="15" customFormat="1" ht="20.25" customHeight="1" x14ac:dyDescent="0.15">
      <c r="A20" s="60"/>
      <c r="B20" s="9"/>
      <c r="C20" s="58" t="s">
        <v>29</v>
      </c>
      <c r="D20" s="11" t="s">
        <v>648</v>
      </c>
      <c r="E20" s="10">
        <v>24</v>
      </c>
      <c r="F20" s="58"/>
      <c r="G20" s="12">
        <v>742</v>
      </c>
      <c r="H20" s="12">
        <v>1748</v>
      </c>
      <c r="I20" s="17" t="s">
        <v>1992</v>
      </c>
      <c r="J20" s="18">
        <v>75</v>
      </c>
      <c r="K20" s="19">
        <f t="shared" si="0"/>
        <v>884.70359999999994</v>
      </c>
      <c r="L20" s="20"/>
      <c r="M20" s="15">
        <v>81.239999999999995</v>
      </c>
      <c r="N20" s="15">
        <v>10.89</v>
      </c>
    </row>
    <row r="21" spans="1:14" s="15" customFormat="1" ht="20.25" customHeight="1" x14ac:dyDescent="0.15">
      <c r="A21" s="60" t="s">
        <v>1966</v>
      </c>
      <c r="B21" s="9" t="s">
        <v>1950</v>
      </c>
      <c r="C21" s="58" t="s">
        <v>29</v>
      </c>
      <c r="D21" s="11" t="s">
        <v>224</v>
      </c>
      <c r="E21" s="10">
        <v>22</v>
      </c>
      <c r="F21" s="58" t="s">
        <v>11</v>
      </c>
      <c r="G21" s="50">
        <v>455</v>
      </c>
      <c r="H21" s="50">
        <v>950</v>
      </c>
      <c r="I21" s="17" t="s">
        <v>1743</v>
      </c>
      <c r="J21" s="18">
        <v>21</v>
      </c>
      <c r="K21" s="19">
        <f t="shared" si="0"/>
        <v>90.713700000000003</v>
      </c>
      <c r="L21" s="20"/>
      <c r="M21" s="15">
        <v>8.33</v>
      </c>
      <c r="N21" s="15">
        <v>10.89</v>
      </c>
    </row>
    <row r="22" spans="1:14" s="15" customFormat="1" ht="20.25" customHeight="1" x14ac:dyDescent="0.15">
      <c r="A22" s="60"/>
      <c r="B22" s="9"/>
      <c r="C22" s="58" t="s">
        <v>29</v>
      </c>
      <c r="D22" s="11" t="s">
        <v>201</v>
      </c>
      <c r="E22" s="10">
        <v>22</v>
      </c>
      <c r="F22" s="58"/>
      <c r="G22" s="50">
        <v>405</v>
      </c>
      <c r="H22" s="50">
        <v>950</v>
      </c>
      <c r="I22" s="17">
        <v>10</v>
      </c>
      <c r="J22" s="18">
        <v>10</v>
      </c>
      <c r="K22" s="19">
        <f t="shared" ref="K22:K23" si="1">+M22*N22</f>
        <v>41.381999999999998</v>
      </c>
      <c r="L22" s="20"/>
      <c r="M22" s="15">
        <v>3.8</v>
      </c>
      <c r="N22" s="15">
        <v>10.89</v>
      </c>
    </row>
    <row r="23" spans="1:14" s="15" customFormat="1" ht="20.25" customHeight="1" x14ac:dyDescent="0.15">
      <c r="A23" s="60" t="s">
        <v>1993</v>
      </c>
      <c r="B23" s="9" t="s">
        <v>186</v>
      </c>
      <c r="C23" s="58" t="s">
        <v>29</v>
      </c>
      <c r="D23" s="11" t="s">
        <v>310</v>
      </c>
      <c r="E23" s="10">
        <v>24</v>
      </c>
      <c r="F23" s="58" t="s">
        <v>11</v>
      </c>
      <c r="G23" s="50">
        <v>1045</v>
      </c>
      <c r="H23" s="50">
        <v>3215</v>
      </c>
      <c r="I23" s="17" t="s">
        <v>1994</v>
      </c>
      <c r="J23" s="18">
        <v>59</v>
      </c>
      <c r="K23" s="19">
        <f t="shared" si="1"/>
        <v>760.01310000000012</v>
      </c>
      <c r="L23" s="20"/>
      <c r="M23" s="15">
        <v>69.790000000000006</v>
      </c>
      <c r="N23" s="15">
        <v>10.89</v>
      </c>
    </row>
    <row r="24" spans="1:14" s="15" customFormat="1" ht="20.25" customHeight="1" x14ac:dyDescent="0.15">
      <c r="A24" s="60" t="s">
        <v>1995</v>
      </c>
      <c r="B24" s="9" t="s">
        <v>175</v>
      </c>
      <c r="C24" s="58" t="s">
        <v>29</v>
      </c>
      <c r="D24" s="11" t="s">
        <v>414</v>
      </c>
      <c r="E24" s="10">
        <v>24</v>
      </c>
      <c r="F24" s="58" t="s">
        <v>11</v>
      </c>
      <c r="G24" s="50">
        <v>1035</v>
      </c>
      <c r="H24" s="50">
        <v>345</v>
      </c>
      <c r="I24" s="17" t="s">
        <v>366</v>
      </c>
      <c r="J24" s="18">
        <v>4</v>
      </c>
      <c r="K24" s="19">
        <f t="shared" si="0"/>
        <v>23.958000000000002</v>
      </c>
      <c r="L24" s="20"/>
      <c r="M24" s="15">
        <v>2.2000000000000002</v>
      </c>
      <c r="N24" s="15">
        <v>10.89</v>
      </c>
    </row>
    <row r="25" spans="1:14" ht="20.25" customHeight="1" x14ac:dyDescent="0.15">
      <c r="A25" s="60" t="s">
        <v>1996</v>
      </c>
      <c r="B25" s="9" t="s">
        <v>86</v>
      </c>
      <c r="C25" s="58" t="s">
        <v>29</v>
      </c>
      <c r="D25" s="11" t="s">
        <v>1997</v>
      </c>
      <c r="E25" s="10">
        <v>26</v>
      </c>
      <c r="F25" s="58" t="s">
        <v>11</v>
      </c>
      <c r="G25" s="16">
        <v>1150</v>
      </c>
      <c r="H25" s="16">
        <v>2025</v>
      </c>
      <c r="I25" s="17">
        <v>1</v>
      </c>
      <c r="J25" s="18">
        <v>1</v>
      </c>
      <c r="K25" s="19">
        <f t="shared" si="0"/>
        <v>25.373700000000003</v>
      </c>
      <c r="L25" s="14"/>
      <c r="M25" s="3">
        <v>2.33</v>
      </c>
      <c r="N25" s="15">
        <v>10.89</v>
      </c>
    </row>
    <row r="26" spans="1:14" ht="20.25" customHeight="1" x14ac:dyDescent="0.15">
      <c r="A26" s="61"/>
      <c r="B26" s="9"/>
      <c r="C26" s="58"/>
      <c r="D26" s="11"/>
      <c r="E26" s="10"/>
      <c r="F26" s="10"/>
      <c r="G26" s="12"/>
      <c r="H26" s="12"/>
      <c r="I26" s="51"/>
      <c r="J26" s="52"/>
      <c r="K26" s="53">
        <f>+M26*N26</f>
        <v>0</v>
      </c>
      <c r="L26" s="54"/>
      <c r="N26" s="15">
        <v>10.89</v>
      </c>
    </row>
    <row r="27" spans="1:14" ht="20.25" customHeight="1" thickBot="1" x14ac:dyDescent="0.2">
      <c r="A27" s="56"/>
      <c r="B27" s="21"/>
      <c r="C27" s="59"/>
      <c r="D27" s="22"/>
      <c r="E27" s="23"/>
      <c r="F27" s="23"/>
      <c r="G27" s="24"/>
      <c r="H27" s="24"/>
      <c r="I27" s="25"/>
      <c r="J27" s="46">
        <f>SUM(J8:J25)</f>
        <v>584</v>
      </c>
      <c r="K27" s="47">
        <f>SUM(K8:K25)</f>
        <v>5902.271099999999</v>
      </c>
      <c r="L27" s="26"/>
    </row>
    <row r="28" spans="1:14" ht="20.25" customHeight="1" thickTop="1" x14ac:dyDescent="0.15">
      <c r="A28" s="60" t="s">
        <v>1998</v>
      </c>
      <c r="B28" s="9" t="s">
        <v>1761</v>
      </c>
      <c r="C28" s="58" t="s">
        <v>29</v>
      </c>
      <c r="D28" s="11" t="s">
        <v>1763</v>
      </c>
      <c r="E28" s="10">
        <v>43</v>
      </c>
      <c r="F28" s="10" t="s">
        <v>11</v>
      </c>
      <c r="G28" s="12">
        <v>1117</v>
      </c>
      <c r="H28" s="12">
        <v>1102</v>
      </c>
      <c r="I28" s="17" t="s">
        <v>1999</v>
      </c>
      <c r="J28" s="18">
        <v>244</v>
      </c>
      <c r="K28" s="19">
        <f t="shared" ref="K28:K42" si="2">+M28*N28</f>
        <v>1262.3688000000002</v>
      </c>
      <c r="L28" s="54"/>
      <c r="M28" s="3">
        <v>115.92</v>
      </c>
      <c r="N28" s="15">
        <v>10.89</v>
      </c>
    </row>
    <row r="29" spans="1:14" ht="20.25" customHeight="1" x14ac:dyDescent="0.15">
      <c r="A29" s="60" t="s">
        <v>2000</v>
      </c>
      <c r="B29" s="9" t="s">
        <v>1761</v>
      </c>
      <c r="C29" s="58" t="s">
        <v>29</v>
      </c>
      <c r="D29" s="11" t="s">
        <v>1763</v>
      </c>
      <c r="E29" s="10">
        <v>43</v>
      </c>
      <c r="F29" s="10" t="s">
        <v>11</v>
      </c>
      <c r="G29" s="12">
        <v>1113</v>
      </c>
      <c r="H29" s="12">
        <v>1303</v>
      </c>
      <c r="I29" s="17" t="s">
        <v>2001</v>
      </c>
      <c r="J29" s="18">
        <v>166</v>
      </c>
      <c r="K29" s="19">
        <f t="shared" si="2"/>
        <v>1483.2179999999998</v>
      </c>
      <c r="L29" s="54"/>
      <c r="M29" s="3">
        <v>136.19999999999999</v>
      </c>
      <c r="N29" s="15">
        <v>10.89</v>
      </c>
    </row>
    <row r="30" spans="1:14" ht="20.25" customHeight="1" x14ac:dyDescent="0.15">
      <c r="A30" s="61" t="s">
        <v>2002</v>
      </c>
      <c r="B30" s="9" t="s">
        <v>1761</v>
      </c>
      <c r="C30" s="58" t="s">
        <v>29</v>
      </c>
      <c r="D30" s="11" t="s">
        <v>1763</v>
      </c>
      <c r="E30" s="10">
        <v>43</v>
      </c>
      <c r="F30" s="10" t="s">
        <v>11</v>
      </c>
      <c r="G30" s="12">
        <v>350</v>
      </c>
      <c r="H30" s="12">
        <v>350</v>
      </c>
      <c r="I30" s="17">
        <v>1</v>
      </c>
      <c r="J30" s="18">
        <v>1</v>
      </c>
      <c r="K30" s="19">
        <f t="shared" si="2"/>
        <v>3.0492000000000004</v>
      </c>
      <c r="L30" s="54"/>
      <c r="M30" s="3">
        <v>0.28000000000000003</v>
      </c>
      <c r="N30" s="15">
        <v>10.89</v>
      </c>
    </row>
    <row r="31" spans="1:14" ht="20.25" customHeight="1" x14ac:dyDescent="0.15">
      <c r="A31" s="61"/>
      <c r="B31" s="9"/>
      <c r="C31" s="58"/>
      <c r="D31" s="11"/>
      <c r="E31" s="10"/>
      <c r="F31" s="10"/>
      <c r="G31" s="12"/>
      <c r="H31" s="12"/>
      <c r="I31" s="17"/>
      <c r="J31" s="18"/>
      <c r="K31" s="19">
        <f t="shared" si="2"/>
        <v>0</v>
      </c>
      <c r="L31" s="54"/>
      <c r="N31" s="15">
        <v>10.89</v>
      </c>
    </row>
    <row r="32" spans="1:14" ht="20.25" customHeight="1" x14ac:dyDescent="0.15">
      <c r="A32" s="61"/>
      <c r="B32" s="9"/>
      <c r="C32" s="58"/>
      <c r="D32" s="11"/>
      <c r="E32" s="10"/>
      <c r="F32" s="10"/>
      <c r="G32" s="12"/>
      <c r="H32" s="12"/>
      <c r="I32" s="17"/>
      <c r="J32" s="18"/>
      <c r="K32" s="19">
        <f t="shared" si="2"/>
        <v>0</v>
      </c>
      <c r="L32" s="54"/>
      <c r="N32" s="15">
        <v>10.89</v>
      </c>
    </row>
    <row r="33" spans="1:14" ht="20.25" customHeight="1" x14ac:dyDescent="0.15">
      <c r="A33" s="61"/>
      <c r="B33" s="9"/>
      <c r="C33" s="58"/>
      <c r="D33" s="11"/>
      <c r="E33" s="10"/>
      <c r="F33" s="10"/>
      <c r="G33" s="12"/>
      <c r="H33" s="12"/>
      <c r="I33" s="51"/>
      <c r="J33" s="52"/>
      <c r="K33" s="53">
        <f t="shared" si="2"/>
        <v>0</v>
      </c>
      <c r="L33" s="54"/>
      <c r="N33" s="15">
        <v>10.89</v>
      </c>
    </row>
    <row r="34" spans="1:14" ht="20.25" customHeight="1" x14ac:dyDescent="0.15">
      <c r="A34" s="60"/>
      <c r="B34" s="9"/>
      <c r="C34" s="58"/>
      <c r="D34" s="11"/>
      <c r="E34" s="10"/>
      <c r="F34" s="10"/>
      <c r="G34" s="12"/>
      <c r="H34" s="12"/>
      <c r="I34" s="17"/>
      <c r="J34" s="18"/>
      <c r="K34" s="19">
        <f t="shared" si="2"/>
        <v>0</v>
      </c>
      <c r="L34" s="27"/>
      <c r="N34" s="15">
        <v>10.89</v>
      </c>
    </row>
    <row r="35" spans="1:14" ht="20.25" customHeight="1" x14ac:dyDescent="0.15">
      <c r="A35" s="60"/>
      <c r="B35" s="9"/>
      <c r="C35" s="58"/>
      <c r="D35" s="11"/>
      <c r="E35" s="10"/>
      <c r="F35" s="10"/>
      <c r="G35" s="12"/>
      <c r="H35" s="12"/>
      <c r="I35" s="17"/>
      <c r="J35" s="18"/>
      <c r="K35" s="19">
        <f t="shared" si="2"/>
        <v>0</v>
      </c>
      <c r="L35" s="27"/>
      <c r="N35" s="15">
        <v>10.89</v>
      </c>
    </row>
    <row r="36" spans="1:14" ht="20.25" customHeight="1" x14ac:dyDescent="0.15">
      <c r="A36" s="60"/>
      <c r="B36" s="9"/>
      <c r="C36" s="58"/>
      <c r="D36" s="11"/>
      <c r="E36" s="10"/>
      <c r="F36" s="10"/>
      <c r="G36" s="12"/>
      <c r="H36" s="12"/>
      <c r="I36" s="17"/>
      <c r="J36" s="18"/>
      <c r="K36" s="19">
        <f t="shared" si="2"/>
        <v>0</v>
      </c>
      <c r="L36" s="27"/>
      <c r="N36" s="15">
        <v>10.89</v>
      </c>
    </row>
    <row r="37" spans="1:14" ht="20.25" customHeight="1" x14ac:dyDescent="0.15">
      <c r="A37" s="60"/>
      <c r="B37" s="9"/>
      <c r="C37" s="58"/>
      <c r="D37" s="11"/>
      <c r="E37" s="10"/>
      <c r="F37" s="10"/>
      <c r="G37" s="12"/>
      <c r="H37" s="12"/>
      <c r="I37" s="17"/>
      <c r="J37" s="18"/>
      <c r="K37" s="19">
        <f t="shared" si="2"/>
        <v>0</v>
      </c>
      <c r="L37" s="27"/>
      <c r="N37" s="15">
        <v>10.89</v>
      </c>
    </row>
    <row r="38" spans="1:14" ht="20.25" customHeight="1" x14ac:dyDescent="0.15">
      <c r="A38" s="60"/>
      <c r="B38" s="9"/>
      <c r="C38" s="58"/>
      <c r="D38" s="11"/>
      <c r="E38" s="10"/>
      <c r="F38" s="10"/>
      <c r="G38" s="12"/>
      <c r="H38" s="12"/>
      <c r="I38" s="17"/>
      <c r="J38" s="18"/>
      <c r="K38" s="19">
        <f t="shared" si="2"/>
        <v>0</v>
      </c>
      <c r="L38" s="27"/>
      <c r="N38" s="15">
        <v>10.89</v>
      </c>
    </row>
    <row r="39" spans="1:14" ht="20.25" customHeight="1" x14ac:dyDescent="0.15">
      <c r="A39" s="60"/>
      <c r="B39" s="9"/>
      <c r="C39" s="58"/>
      <c r="D39" s="11"/>
      <c r="E39" s="10"/>
      <c r="F39" s="10"/>
      <c r="G39" s="12"/>
      <c r="H39" s="12"/>
      <c r="I39" s="17"/>
      <c r="J39" s="18"/>
      <c r="K39" s="19">
        <f t="shared" si="2"/>
        <v>0</v>
      </c>
      <c r="L39" s="27"/>
      <c r="N39" s="15">
        <v>10.89</v>
      </c>
    </row>
    <row r="40" spans="1:14" ht="20.25" customHeight="1" x14ac:dyDescent="0.15">
      <c r="A40" s="60"/>
      <c r="B40" s="9"/>
      <c r="C40" s="58"/>
      <c r="D40" s="11"/>
      <c r="E40" s="10"/>
      <c r="F40" s="10"/>
      <c r="G40" s="12"/>
      <c r="H40" s="12"/>
      <c r="I40" s="17"/>
      <c r="J40" s="18"/>
      <c r="K40" s="19">
        <f t="shared" si="2"/>
        <v>0</v>
      </c>
      <c r="L40" s="27"/>
      <c r="N40" s="15">
        <v>10.89</v>
      </c>
    </row>
    <row r="41" spans="1:14" ht="20.25" customHeight="1" x14ac:dyDescent="0.15">
      <c r="A41" s="60"/>
      <c r="B41" s="9"/>
      <c r="C41" s="58"/>
      <c r="D41" s="11"/>
      <c r="E41" s="10"/>
      <c r="F41" s="10"/>
      <c r="G41" s="12"/>
      <c r="H41" s="12"/>
      <c r="I41" s="17"/>
      <c r="J41" s="18"/>
      <c r="K41" s="19">
        <f t="shared" si="2"/>
        <v>0</v>
      </c>
      <c r="L41" s="27"/>
      <c r="N41" s="15">
        <v>10.89</v>
      </c>
    </row>
    <row r="42" spans="1:14" ht="20.25" customHeight="1" x14ac:dyDescent="0.15">
      <c r="A42" s="60"/>
      <c r="B42" s="9"/>
      <c r="C42" s="58"/>
      <c r="D42" s="11"/>
      <c r="E42" s="10"/>
      <c r="F42" s="10"/>
      <c r="G42" s="12"/>
      <c r="H42" s="12"/>
      <c r="I42" s="17"/>
      <c r="J42" s="18"/>
      <c r="K42" s="19">
        <f t="shared" si="2"/>
        <v>0</v>
      </c>
      <c r="L42" s="27"/>
      <c r="N42" s="15">
        <v>10.89</v>
      </c>
    </row>
    <row r="43" spans="1:14" ht="20.25" customHeight="1" x14ac:dyDescent="0.15">
      <c r="A43" s="57"/>
      <c r="B43" s="28"/>
      <c r="C43" s="10"/>
      <c r="D43" s="29"/>
      <c r="E43" s="30"/>
      <c r="F43" s="30"/>
      <c r="G43" s="30"/>
      <c r="H43" s="30"/>
      <c r="I43" s="13"/>
      <c r="J43" s="48">
        <f>SUM(J28:J42)</f>
        <v>411</v>
      </c>
      <c r="K43" s="49">
        <f>SUM(K28:K42)</f>
        <v>2748.636</v>
      </c>
      <c r="L43" s="31"/>
      <c r="N43" s="32"/>
    </row>
    <row r="44" spans="1:14" ht="20.25" customHeight="1" thickBot="1" x14ac:dyDescent="0.2">
      <c r="A44" s="55"/>
      <c r="B44" s="33"/>
      <c r="C44" s="33"/>
      <c r="D44" s="33"/>
      <c r="E44" s="33"/>
      <c r="F44" s="33"/>
      <c r="G44" s="33"/>
      <c r="H44" s="33"/>
      <c r="I44" s="33"/>
      <c r="J44" s="34"/>
      <c r="K44" s="35"/>
      <c r="L44" s="36"/>
    </row>
    <row r="45" spans="1:14" ht="20.25" customHeight="1" thickBot="1" x14ac:dyDescent="0.2">
      <c r="A45" s="37" t="s">
        <v>19</v>
      </c>
      <c r="B45" s="38" t="s">
        <v>20</v>
      </c>
      <c r="C45" s="77" t="s">
        <v>21</v>
      </c>
      <c r="D45" s="79"/>
      <c r="E45" s="77" t="s">
        <v>22</v>
      </c>
      <c r="F45" s="78"/>
      <c r="G45" s="79"/>
      <c r="H45" s="85" t="s">
        <v>23</v>
      </c>
      <c r="I45" s="86"/>
      <c r="J45" s="77" t="s">
        <v>24</v>
      </c>
      <c r="K45" s="79"/>
      <c r="L45" s="39" t="s">
        <v>13</v>
      </c>
    </row>
    <row r="46" spans="1:14" ht="20.25" customHeight="1" thickBot="1" x14ac:dyDescent="0.2">
      <c r="A46" s="40">
        <f>SUMIF($C$8:$C$44,"U1",$J$8:$J$44)</f>
        <v>0</v>
      </c>
      <c r="B46" s="41">
        <f>SUMIF($C$8:$C$44,"U2",$J$8:$J$44)</f>
        <v>80</v>
      </c>
      <c r="C46" s="77">
        <f>SUMIF($C$8:$C$44,"U3-1",$J$8:$J$44)</f>
        <v>0</v>
      </c>
      <c r="D46" s="79"/>
      <c r="E46" s="77">
        <f>SUMIF($C$8:$C$44,"U3",$J$8:$J$44)</f>
        <v>915</v>
      </c>
      <c r="F46" s="78"/>
      <c r="G46" s="79"/>
      <c r="H46" s="77">
        <f>SUMIF($C$8:$C$44,"E5",$J$8:$J$44)</f>
        <v>0</v>
      </c>
      <c r="I46" s="79"/>
      <c r="J46" s="77">
        <f>SUM(A46:I46)</f>
        <v>995</v>
      </c>
      <c r="K46" s="79"/>
      <c r="L46" s="42"/>
    </row>
    <row r="47" spans="1:14" ht="20.25" customHeight="1" thickBot="1" x14ac:dyDescent="0.2">
      <c r="A47" s="43" t="s">
        <v>25</v>
      </c>
      <c r="B47" s="44" t="s">
        <v>26</v>
      </c>
      <c r="C47" s="75">
        <v>13876</v>
      </c>
      <c r="D47" s="76"/>
      <c r="E47" s="77" t="s">
        <v>27</v>
      </c>
      <c r="F47" s="78"/>
      <c r="G47" s="78"/>
      <c r="H47" s="78"/>
      <c r="I47" s="79"/>
      <c r="J47" s="80">
        <v>146744.37</v>
      </c>
      <c r="K47" s="81"/>
      <c r="L47" s="82"/>
    </row>
    <row r="49" spans="4:4" x14ac:dyDescent="0.15">
      <c r="D49" s="45"/>
    </row>
  </sheetData>
  <mergeCells count="26">
    <mergeCell ref="C47:D47"/>
    <mergeCell ref="E47:I47"/>
    <mergeCell ref="J47:L47"/>
    <mergeCell ref="L6:L7"/>
    <mergeCell ref="C45:D45"/>
    <mergeCell ref="E45:G45"/>
    <mergeCell ref="H45:I45"/>
    <mergeCell ref="J45:K45"/>
    <mergeCell ref="C46:D46"/>
    <mergeCell ref="E46:G46"/>
    <mergeCell ref="H46:I46"/>
    <mergeCell ref="J46:K46"/>
    <mergeCell ref="B5:G5"/>
    <mergeCell ref="A6:A7"/>
    <mergeCell ref="B6:B7"/>
    <mergeCell ref="C6:C7"/>
    <mergeCell ref="D6:D7"/>
    <mergeCell ref="E6:E7"/>
    <mergeCell ref="F6:F7"/>
    <mergeCell ref="G6:K6"/>
    <mergeCell ref="L2:L4"/>
    <mergeCell ref="A1:G3"/>
    <mergeCell ref="H1:H4"/>
    <mergeCell ref="I2:I4"/>
    <mergeCell ref="J2:J4"/>
    <mergeCell ref="K2:K4"/>
  </mergeCells>
  <phoneticPr fontId="2" type="noConversion"/>
  <printOptions horizontalCentered="1"/>
  <pageMargins left="0.39370078740157483" right="0.39370078740157483" top="0.74803149606299213" bottom="0.19685039370078741" header="0.31496062992125984" footer="0.15748031496062992"/>
  <pageSetup paperSize="9" scale="84" orientation="portrait" r:id="rId1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49B28C-0C76-45E3-ABFA-3CAAA310CE20}">
  <dimension ref="A1:N47"/>
  <sheetViews>
    <sheetView view="pageBreakPreview" zoomScaleSheetLayoutView="100" workbookViewId="0">
      <selection activeCell="C35" sqref="C35:F40"/>
    </sheetView>
  </sheetViews>
  <sheetFormatPr defaultColWidth="8.88671875" defaultRowHeight="13.5" x14ac:dyDescent="0.15"/>
  <cols>
    <col min="1" max="1" width="8.44140625" style="3" customWidth="1"/>
    <col min="2" max="2" width="14.77734375" style="3" customWidth="1"/>
    <col min="3" max="3" width="4.109375" style="3" customWidth="1"/>
    <col min="4" max="4" width="15.21875" style="3" customWidth="1"/>
    <col min="5" max="5" width="4.44140625" style="3" customWidth="1"/>
    <col min="6" max="6" width="4" style="3" customWidth="1"/>
    <col min="7" max="7" width="5.5546875" style="3" customWidth="1"/>
    <col min="8" max="8" width="5.44140625" style="3" customWidth="1"/>
    <col min="9" max="9" width="7.88671875" style="3" customWidth="1"/>
    <col min="10" max="10" width="7.109375" style="3" customWidth="1"/>
    <col min="11" max="11" width="7.21875" style="3" customWidth="1"/>
    <col min="12" max="12" width="6.77734375" style="3" customWidth="1"/>
    <col min="13" max="16384" width="8.88671875" style="3"/>
  </cols>
  <sheetData>
    <row r="1" spans="1:14" ht="18.75" customHeight="1" x14ac:dyDescent="0.15">
      <c r="A1" s="101" t="s">
        <v>0</v>
      </c>
      <c r="B1" s="102"/>
      <c r="C1" s="102"/>
      <c r="D1" s="102"/>
      <c r="E1" s="102"/>
      <c r="F1" s="102"/>
      <c r="G1" s="103"/>
      <c r="H1" s="107" t="s">
        <v>1</v>
      </c>
      <c r="I1" s="1" t="s">
        <v>2</v>
      </c>
      <c r="J1" s="1" t="s">
        <v>2</v>
      </c>
      <c r="K1" s="1" t="s">
        <v>3</v>
      </c>
      <c r="L1" s="2" t="s">
        <v>4</v>
      </c>
    </row>
    <row r="2" spans="1:14" ht="13.5" customHeight="1" x14ac:dyDescent="0.15">
      <c r="A2" s="104"/>
      <c r="B2" s="105"/>
      <c r="C2" s="105"/>
      <c r="D2" s="105"/>
      <c r="E2" s="105"/>
      <c r="F2" s="105"/>
      <c r="G2" s="106"/>
      <c r="H2" s="108"/>
      <c r="I2" s="110"/>
      <c r="J2" s="110"/>
      <c r="K2" s="110"/>
      <c r="L2" s="98"/>
    </row>
    <row r="3" spans="1:14" ht="13.5" customHeight="1" x14ac:dyDescent="0.15">
      <c r="A3" s="104"/>
      <c r="B3" s="105"/>
      <c r="C3" s="105"/>
      <c r="D3" s="105"/>
      <c r="E3" s="105"/>
      <c r="F3" s="105"/>
      <c r="G3" s="106"/>
      <c r="H3" s="108"/>
      <c r="I3" s="108"/>
      <c r="J3" s="108"/>
      <c r="K3" s="108"/>
      <c r="L3" s="99"/>
    </row>
    <row r="4" spans="1:14" ht="33" customHeight="1" x14ac:dyDescent="0.15">
      <c r="A4" s="4"/>
      <c r="B4" s="5"/>
      <c r="C4" s="5"/>
      <c r="D4" s="5"/>
      <c r="E4" s="5"/>
      <c r="F4" s="5"/>
      <c r="G4" s="5"/>
      <c r="H4" s="109"/>
      <c r="I4" s="109"/>
      <c r="J4" s="109"/>
      <c r="K4" s="109"/>
      <c r="L4" s="100"/>
    </row>
    <row r="5" spans="1:14" ht="17.25" customHeight="1" x14ac:dyDescent="0.15">
      <c r="A5" s="6" t="s">
        <v>5</v>
      </c>
      <c r="B5" s="87">
        <v>46130</v>
      </c>
      <c r="C5" s="88"/>
      <c r="D5" s="88"/>
      <c r="E5" s="88"/>
      <c r="F5" s="88"/>
      <c r="G5" s="88"/>
      <c r="H5" s="5"/>
      <c r="I5" s="5"/>
      <c r="J5" s="5"/>
      <c r="K5" s="5"/>
      <c r="L5" s="7"/>
    </row>
    <row r="6" spans="1:14" ht="13.5" customHeight="1" x14ac:dyDescent="0.15">
      <c r="A6" s="89" t="s">
        <v>6</v>
      </c>
      <c r="B6" s="91" t="s">
        <v>7</v>
      </c>
      <c r="C6" s="91" t="s">
        <v>8</v>
      </c>
      <c r="D6" s="91" t="s">
        <v>9</v>
      </c>
      <c r="E6" s="93" t="s">
        <v>10</v>
      </c>
      <c r="F6" s="93" t="s">
        <v>11</v>
      </c>
      <c r="G6" s="95" t="s">
        <v>12</v>
      </c>
      <c r="H6" s="96"/>
      <c r="I6" s="96"/>
      <c r="J6" s="96"/>
      <c r="K6" s="97"/>
      <c r="L6" s="83" t="s">
        <v>13</v>
      </c>
    </row>
    <row r="7" spans="1:14" x14ac:dyDescent="0.15">
      <c r="A7" s="90"/>
      <c r="B7" s="92"/>
      <c r="C7" s="92"/>
      <c r="D7" s="92"/>
      <c r="E7" s="94"/>
      <c r="F7" s="94"/>
      <c r="G7" s="8" t="s">
        <v>14</v>
      </c>
      <c r="H7" s="8" t="s">
        <v>15</v>
      </c>
      <c r="I7" s="8" t="s">
        <v>16</v>
      </c>
      <c r="J7" s="8" t="s">
        <v>17</v>
      </c>
      <c r="K7" s="8" t="s">
        <v>18</v>
      </c>
      <c r="L7" s="84"/>
    </row>
    <row r="8" spans="1:14" s="15" customFormat="1" ht="20.25" customHeight="1" x14ac:dyDescent="0.15">
      <c r="A8" s="60" t="s">
        <v>2003</v>
      </c>
      <c r="B8" s="9" t="s">
        <v>1986</v>
      </c>
      <c r="C8" s="58" t="s">
        <v>29</v>
      </c>
      <c r="D8" s="11" t="s">
        <v>2004</v>
      </c>
      <c r="E8" s="10">
        <v>26.76</v>
      </c>
      <c r="F8" s="58"/>
      <c r="G8" s="12">
        <v>1646</v>
      </c>
      <c r="H8" s="12">
        <v>1748</v>
      </c>
      <c r="I8" s="17" t="s">
        <v>2005</v>
      </c>
      <c r="J8" s="18">
        <v>21</v>
      </c>
      <c r="K8" s="19">
        <f>+M8*N8</f>
        <v>353.81610000000006</v>
      </c>
      <c r="L8" s="14"/>
      <c r="M8" s="15">
        <v>32.49</v>
      </c>
      <c r="N8" s="15">
        <v>10.89</v>
      </c>
    </row>
    <row r="9" spans="1:14" s="15" customFormat="1" ht="20.25" customHeight="1" x14ac:dyDescent="0.15">
      <c r="A9" s="60" t="s">
        <v>2006</v>
      </c>
      <c r="B9" s="9" t="s">
        <v>1986</v>
      </c>
      <c r="C9" s="58" t="s">
        <v>231</v>
      </c>
      <c r="D9" s="11" t="s">
        <v>1987</v>
      </c>
      <c r="E9" s="10">
        <v>24</v>
      </c>
      <c r="F9" s="58"/>
      <c r="G9" s="12">
        <v>1631</v>
      </c>
      <c r="H9" s="12">
        <v>1746</v>
      </c>
      <c r="I9" s="17" t="s">
        <v>2007</v>
      </c>
      <c r="J9" s="18">
        <v>114</v>
      </c>
      <c r="K9" s="19">
        <f t="shared" ref="K9:K23" si="0">+M9*N9</f>
        <v>1931.8860000000002</v>
      </c>
      <c r="L9" s="14"/>
      <c r="M9" s="15">
        <v>177.4</v>
      </c>
      <c r="N9" s="15">
        <v>10.89</v>
      </c>
    </row>
    <row r="10" spans="1:14" s="15" customFormat="1" ht="20.25" customHeight="1" x14ac:dyDescent="0.15">
      <c r="A10" s="60" t="s">
        <v>2008</v>
      </c>
      <c r="B10" s="9" t="s">
        <v>1986</v>
      </c>
      <c r="C10" s="58" t="s">
        <v>29</v>
      </c>
      <c r="D10" s="11" t="s">
        <v>2004</v>
      </c>
      <c r="E10" s="10">
        <v>26.76</v>
      </c>
      <c r="F10" s="58"/>
      <c r="G10" s="12">
        <v>1646</v>
      </c>
      <c r="H10" s="12">
        <v>1748</v>
      </c>
      <c r="I10" s="17" t="s">
        <v>2009</v>
      </c>
      <c r="J10" s="18">
        <v>4</v>
      </c>
      <c r="K10" s="19">
        <f t="shared" si="0"/>
        <v>64.142099999999999</v>
      </c>
      <c r="L10" s="14"/>
      <c r="M10" s="15">
        <v>5.89</v>
      </c>
      <c r="N10" s="15">
        <v>10.89</v>
      </c>
    </row>
    <row r="11" spans="1:14" s="15" customFormat="1" ht="20.25" customHeight="1" x14ac:dyDescent="0.15">
      <c r="A11" s="60" t="s">
        <v>2010</v>
      </c>
      <c r="B11" s="9" t="s">
        <v>1986</v>
      </c>
      <c r="C11" s="58" t="s">
        <v>29</v>
      </c>
      <c r="D11" s="11" t="s">
        <v>2004</v>
      </c>
      <c r="E11" s="10">
        <v>26.76</v>
      </c>
      <c r="F11" s="58"/>
      <c r="G11" s="12">
        <v>2246</v>
      </c>
      <c r="H11" s="12">
        <v>1748</v>
      </c>
      <c r="I11" s="17" t="s">
        <v>2011</v>
      </c>
      <c r="J11" s="18">
        <v>73</v>
      </c>
      <c r="K11" s="19">
        <f t="shared" si="0"/>
        <v>1331.9559000000002</v>
      </c>
      <c r="L11" s="14"/>
      <c r="M11" s="15">
        <v>122.31</v>
      </c>
      <c r="N11" s="15">
        <v>10.89</v>
      </c>
    </row>
    <row r="12" spans="1:14" s="15" customFormat="1" ht="20.25" customHeight="1" x14ac:dyDescent="0.15">
      <c r="A12" s="60"/>
      <c r="B12" s="9"/>
      <c r="C12" s="58" t="s">
        <v>231</v>
      </c>
      <c r="D12" s="11" t="s">
        <v>1987</v>
      </c>
      <c r="E12" s="10">
        <v>24</v>
      </c>
      <c r="F12" s="58"/>
      <c r="G12" s="12">
        <v>435</v>
      </c>
      <c r="H12" s="12">
        <v>794</v>
      </c>
      <c r="I12" s="17" t="s">
        <v>2012</v>
      </c>
      <c r="J12" s="18">
        <v>68</v>
      </c>
      <c r="K12" s="19">
        <f t="shared" si="0"/>
        <v>227.16540000000001</v>
      </c>
      <c r="L12" s="14"/>
      <c r="M12" s="15">
        <v>20.86</v>
      </c>
      <c r="N12" s="15">
        <v>10.89</v>
      </c>
    </row>
    <row r="13" spans="1:14" s="15" customFormat="1" ht="20.25" customHeight="1" x14ac:dyDescent="0.15">
      <c r="A13" s="60"/>
      <c r="B13" s="9"/>
      <c r="C13" s="58" t="s">
        <v>29</v>
      </c>
      <c r="D13" s="11" t="s">
        <v>648</v>
      </c>
      <c r="E13" s="10">
        <v>24</v>
      </c>
      <c r="F13" s="58"/>
      <c r="G13" s="12">
        <v>441</v>
      </c>
      <c r="H13" s="12">
        <v>798</v>
      </c>
      <c r="I13" s="17" t="s">
        <v>2013</v>
      </c>
      <c r="J13" s="18">
        <v>84</v>
      </c>
      <c r="K13" s="19">
        <f t="shared" si="0"/>
        <v>288.14940000000001</v>
      </c>
      <c r="L13" s="14"/>
      <c r="M13" s="15">
        <v>26.46</v>
      </c>
      <c r="N13" s="15">
        <v>10.89</v>
      </c>
    </row>
    <row r="14" spans="1:14" s="15" customFormat="1" ht="20.25" customHeight="1" x14ac:dyDescent="0.15">
      <c r="A14" s="60" t="s">
        <v>2014</v>
      </c>
      <c r="B14" s="9" t="s">
        <v>1944</v>
      </c>
      <c r="C14" s="58" t="s">
        <v>29</v>
      </c>
      <c r="D14" s="11" t="s">
        <v>1946</v>
      </c>
      <c r="E14" s="10">
        <v>24</v>
      </c>
      <c r="F14" s="58" t="s">
        <v>11</v>
      </c>
      <c r="G14" s="12">
        <v>985</v>
      </c>
      <c r="H14" s="12">
        <v>2485</v>
      </c>
      <c r="I14" s="17" t="s">
        <v>2015</v>
      </c>
      <c r="J14" s="18">
        <v>2</v>
      </c>
      <c r="K14" s="19">
        <f t="shared" si="0"/>
        <v>47.480400000000003</v>
      </c>
      <c r="L14" s="20"/>
      <c r="M14" s="15">
        <v>4.3600000000000003</v>
      </c>
      <c r="N14" s="15">
        <v>10.89</v>
      </c>
    </row>
    <row r="15" spans="1:14" s="15" customFormat="1" ht="20.25" customHeight="1" x14ac:dyDescent="0.15">
      <c r="A15" s="60" t="s">
        <v>2016</v>
      </c>
      <c r="B15" s="9" t="s">
        <v>173</v>
      </c>
      <c r="C15" s="58" t="s">
        <v>29</v>
      </c>
      <c r="D15" s="11" t="s">
        <v>195</v>
      </c>
      <c r="E15" s="10">
        <v>22</v>
      </c>
      <c r="F15" s="58"/>
      <c r="G15" s="12">
        <v>765</v>
      </c>
      <c r="H15" s="12">
        <v>1181</v>
      </c>
      <c r="I15" s="17" t="s">
        <v>2015</v>
      </c>
      <c r="J15" s="18">
        <v>2</v>
      </c>
      <c r="K15" s="19">
        <f t="shared" si="0"/>
        <v>17.097300000000001</v>
      </c>
      <c r="L15" s="20"/>
      <c r="M15" s="15">
        <v>1.57</v>
      </c>
      <c r="N15" s="15">
        <v>10.89</v>
      </c>
    </row>
    <row r="16" spans="1:14" s="15" customFormat="1" ht="20.25" customHeight="1" x14ac:dyDescent="0.15">
      <c r="A16" s="60"/>
      <c r="B16" s="9"/>
      <c r="C16" s="58"/>
      <c r="D16" s="11"/>
      <c r="E16" s="10"/>
      <c r="F16" s="58"/>
      <c r="G16" s="12"/>
      <c r="H16" s="12"/>
      <c r="I16" s="17"/>
      <c r="J16" s="18"/>
      <c r="K16" s="19">
        <f t="shared" si="0"/>
        <v>0</v>
      </c>
      <c r="L16" s="20"/>
      <c r="N16" s="15">
        <v>10.89</v>
      </c>
    </row>
    <row r="17" spans="1:14" s="15" customFormat="1" ht="20.25" customHeight="1" x14ac:dyDescent="0.15">
      <c r="A17" s="60"/>
      <c r="B17" s="9"/>
      <c r="C17" s="58"/>
      <c r="D17" s="11"/>
      <c r="E17" s="10"/>
      <c r="F17" s="58"/>
      <c r="G17" s="12"/>
      <c r="H17" s="12"/>
      <c r="I17" s="17"/>
      <c r="J17" s="18"/>
      <c r="K17" s="19">
        <f t="shared" si="0"/>
        <v>0</v>
      </c>
      <c r="L17" s="20"/>
      <c r="N17" s="15">
        <v>10.89</v>
      </c>
    </row>
    <row r="18" spans="1:14" s="15" customFormat="1" ht="20.25" customHeight="1" x14ac:dyDescent="0.15">
      <c r="A18" s="60"/>
      <c r="B18" s="9"/>
      <c r="C18" s="58"/>
      <c r="D18" s="11"/>
      <c r="E18" s="10"/>
      <c r="F18" s="58"/>
      <c r="G18" s="12"/>
      <c r="H18" s="12"/>
      <c r="I18" s="17"/>
      <c r="J18" s="18"/>
      <c r="K18" s="19">
        <f t="shared" si="0"/>
        <v>0</v>
      </c>
      <c r="L18" s="20"/>
      <c r="N18" s="15">
        <v>10.89</v>
      </c>
    </row>
    <row r="19" spans="1:14" s="15" customFormat="1" ht="20.25" customHeight="1" x14ac:dyDescent="0.15">
      <c r="A19" s="60"/>
      <c r="B19" s="9"/>
      <c r="C19" s="58"/>
      <c r="D19" s="11"/>
      <c r="E19" s="10"/>
      <c r="F19" s="58"/>
      <c r="G19" s="12"/>
      <c r="H19" s="12"/>
      <c r="I19" s="17"/>
      <c r="J19" s="18"/>
      <c r="K19" s="19">
        <f t="shared" si="0"/>
        <v>0</v>
      </c>
      <c r="L19" s="20"/>
      <c r="N19" s="15">
        <v>10.89</v>
      </c>
    </row>
    <row r="20" spans="1:14" s="15" customFormat="1" ht="20.25" customHeight="1" x14ac:dyDescent="0.15">
      <c r="A20" s="60"/>
      <c r="B20" s="9"/>
      <c r="C20" s="58"/>
      <c r="D20" s="11"/>
      <c r="E20" s="10"/>
      <c r="F20" s="58"/>
      <c r="G20" s="12"/>
      <c r="H20" s="12"/>
      <c r="I20" s="17"/>
      <c r="J20" s="18"/>
      <c r="K20" s="19">
        <f t="shared" si="0"/>
        <v>0</v>
      </c>
      <c r="L20" s="20"/>
      <c r="N20" s="15">
        <v>10.89</v>
      </c>
    </row>
    <row r="21" spans="1:14" s="15" customFormat="1" ht="20.25" customHeight="1" x14ac:dyDescent="0.15">
      <c r="A21" s="60"/>
      <c r="B21" s="9"/>
      <c r="C21" s="58"/>
      <c r="D21" s="11"/>
      <c r="E21" s="10"/>
      <c r="F21" s="58"/>
      <c r="G21" s="50"/>
      <c r="H21" s="50"/>
      <c r="I21" s="17"/>
      <c r="J21" s="18"/>
      <c r="K21" s="19">
        <f t="shared" si="0"/>
        <v>0</v>
      </c>
      <c r="L21" s="20"/>
      <c r="N21" s="15">
        <v>10.89</v>
      </c>
    </row>
    <row r="22" spans="1:14" s="15" customFormat="1" ht="20.25" customHeight="1" x14ac:dyDescent="0.15">
      <c r="A22" s="60"/>
      <c r="B22" s="9"/>
      <c r="C22" s="58"/>
      <c r="D22" s="11"/>
      <c r="E22" s="10"/>
      <c r="F22" s="58"/>
      <c r="G22" s="50"/>
      <c r="H22" s="50"/>
      <c r="I22" s="17"/>
      <c r="J22" s="18"/>
      <c r="K22" s="19">
        <f t="shared" si="0"/>
        <v>0</v>
      </c>
      <c r="L22" s="20"/>
      <c r="N22" s="15">
        <v>10.89</v>
      </c>
    </row>
    <row r="23" spans="1:14" ht="20.25" customHeight="1" x14ac:dyDescent="0.15">
      <c r="A23" s="60"/>
      <c r="B23" s="9"/>
      <c r="C23" s="58"/>
      <c r="D23" s="11"/>
      <c r="E23" s="10"/>
      <c r="F23" s="58"/>
      <c r="G23" s="16"/>
      <c r="H23" s="16"/>
      <c r="I23" s="17"/>
      <c r="J23" s="18"/>
      <c r="K23" s="19">
        <f t="shared" si="0"/>
        <v>0</v>
      </c>
      <c r="L23" s="20"/>
      <c r="N23" s="15">
        <v>10.89</v>
      </c>
    </row>
    <row r="24" spans="1:14" ht="20.25" customHeight="1" thickBot="1" x14ac:dyDescent="0.2">
      <c r="A24" s="56"/>
      <c r="B24" s="21"/>
      <c r="C24" s="59"/>
      <c r="D24" s="22"/>
      <c r="E24" s="23"/>
      <c r="F24" s="23"/>
      <c r="G24" s="24"/>
      <c r="H24" s="24"/>
      <c r="I24" s="25"/>
      <c r="J24" s="46">
        <f>SUM(J8:J23)</f>
        <v>368</v>
      </c>
      <c r="K24" s="47">
        <f>SUM(K8:K23)</f>
        <v>4261.6926000000012</v>
      </c>
      <c r="L24" s="26"/>
    </row>
    <row r="25" spans="1:14" ht="20.25" customHeight="1" thickTop="1" x14ac:dyDescent="0.15">
      <c r="A25" s="60" t="s">
        <v>2017</v>
      </c>
      <c r="B25" s="9" t="s">
        <v>173</v>
      </c>
      <c r="C25" s="58" t="s">
        <v>29</v>
      </c>
      <c r="D25" s="11" t="s">
        <v>188</v>
      </c>
      <c r="E25" s="10">
        <v>22</v>
      </c>
      <c r="F25" s="10"/>
      <c r="G25" s="12">
        <v>1440</v>
      </c>
      <c r="H25" s="12">
        <v>1238</v>
      </c>
      <c r="I25" s="17">
        <v>2</v>
      </c>
      <c r="J25" s="18">
        <v>2</v>
      </c>
      <c r="K25" s="19">
        <f t="shared" ref="K25:K40" si="1">+M25*N25</f>
        <v>38.7684</v>
      </c>
      <c r="L25" s="54"/>
      <c r="M25" s="3">
        <v>3.56</v>
      </c>
      <c r="N25" s="15">
        <v>10.89</v>
      </c>
    </row>
    <row r="26" spans="1:14" ht="20.25" customHeight="1" x14ac:dyDescent="0.15">
      <c r="A26" s="60" t="s">
        <v>2018</v>
      </c>
      <c r="B26" s="9" t="s">
        <v>173</v>
      </c>
      <c r="C26" s="58" t="s">
        <v>29</v>
      </c>
      <c r="D26" s="11" t="s">
        <v>195</v>
      </c>
      <c r="E26" s="10">
        <v>22</v>
      </c>
      <c r="F26" s="10"/>
      <c r="G26" s="12">
        <v>954</v>
      </c>
      <c r="H26" s="12">
        <v>1967</v>
      </c>
      <c r="I26" s="17" t="s">
        <v>2019</v>
      </c>
      <c r="J26" s="18">
        <v>84</v>
      </c>
      <c r="K26" s="19">
        <f t="shared" si="1"/>
        <v>829.38239999999996</v>
      </c>
      <c r="L26" s="54"/>
      <c r="M26" s="3">
        <v>76.16</v>
      </c>
      <c r="N26" s="15">
        <v>10.89</v>
      </c>
    </row>
    <row r="27" spans="1:14" ht="20.25" customHeight="1" x14ac:dyDescent="0.15">
      <c r="A27" s="61" t="s">
        <v>2020</v>
      </c>
      <c r="B27" s="9" t="s">
        <v>173</v>
      </c>
      <c r="C27" s="58" t="s">
        <v>29</v>
      </c>
      <c r="D27" s="11" t="s">
        <v>195</v>
      </c>
      <c r="E27" s="10">
        <v>22</v>
      </c>
      <c r="F27" s="10"/>
      <c r="G27" s="12">
        <v>954</v>
      </c>
      <c r="H27" s="12">
        <v>1967</v>
      </c>
      <c r="I27" s="17" t="s">
        <v>2021</v>
      </c>
      <c r="J27" s="18">
        <f>8+48</f>
        <v>56</v>
      </c>
      <c r="K27" s="19">
        <f t="shared" si="1"/>
        <v>947.86560000000009</v>
      </c>
      <c r="L27" s="54"/>
      <c r="M27" s="3">
        <v>87.04</v>
      </c>
      <c r="N27" s="15">
        <v>10.89</v>
      </c>
    </row>
    <row r="28" spans="1:14" ht="20.25" customHeight="1" x14ac:dyDescent="0.15">
      <c r="A28" s="61" t="s">
        <v>2022</v>
      </c>
      <c r="B28" s="9" t="s">
        <v>110</v>
      </c>
      <c r="C28" s="58" t="s">
        <v>29</v>
      </c>
      <c r="D28" s="11" t="s">
        <v>1416</v>
      </c>
      <c r="E28" s="10">
        <v>28</v>
      </c>
      <c r="F28" s="10" t="s">
        <v>11</v>
      </c>
      <c r="G28" s="12">
        <v>950</v>
      </c>
      <c r="H28" s="12">
        <v>1340</v>
      </c>
      <c r="I28" s="17" t="s">
        <v>2023</v>
      </c>
      <c r="J28" s="18">
        <v>3</v>
      </c>
      <c r="K28" s="19">
        <f t="shared" si="1"/>
        <v>34.3035</v>
      </c>
      <c r="L28" s="54"/>
      <c r="M28" s="3">
        <v>3.15</v>
      </c>
      <c r="N28" s="15">
        <v>10.89</v>
      </c>
    </row>
    <row r="29" spans="1:14" ht="20.25" customHeight="1" x14ac:dyDescent="0.15">
      <c r="A29" s="61" t="s">
        <v>2024</v>
      </c>
      <c r="B29" s="9" t="s">
        <v>110</v>
      </c>
      <c r="C29" s="58" t="s">
        <v>29</v>
      </c>
      <c r="D29" s="11" t="s">
        <v>1416</v>
      </c>
      <c r="E29" s="10">
        <v>28</v>
      </c>
      <c r="F29" s="10" t="s">
        <v>11</v>
      </c>
      <c r="G29" s="12">
        <v>950</v>
      </c>
      <c r="H29" s="12">
        <v>1885</v>
      </c>
      <c r="I29" s="17" t="s">
        <v>2025</v>
      </c>
      <c r="J29" s="18">
        <v>6</v>
      </c>
      <c r="K29" s="19">
        <f t="shared" si="1"/>
        <v>82.001700000000014</v>
      </c>
      <c r="L29" s="54"/>
      <c r="M29" s="3">
        <v>7.53</v>
      </c>
      <c r="N29" s="15">
        <v>10.89</v>
      </c>
    </row>
    <row r="30" spans="1:14" ht="20.25" customHeight="1" x14ac:dyDescent="0.15">
      <c r="A30" s="61" t="s">
        <v>2000</v>
      </c>
      <c r="B30" s="9" t="s">
        <v>1761</v>
      </c>
      <c r="C30" s="58" t="s">
        <v>29</v>
      </c>
      <c r="D30" s="11" t="s">
        <v>1763</v>
      </c>
      <c r="E30" s="10">
        <v>43</v>
      </c>
      <c r="F30" s="10" t="s">
        <v>11</v>
      </c>
      <c r="G30" s="12">
        <v>434</v>
      </c>
      <c r="H30" s="12">
        <v>1158</v>
      </c>
      <c r="I30" s="51" t="s">
        <v>2026</v>
      </c>
      <c r="J30" s="52">
        <v>168</v>
      </c>
      <c r="K30" s="53">
        <f t="shared" si="1"/>
        <v>533.61</v>
      </c>
      <c r="L30" s="54"/>
      <c r="M30" s="3">
        <v>49</v>
      </c>
      <c r="N30" s="15">
        <v>10.89</v>
      </c>
    </row>
    <row r="31" spans="1:14" ht="20.25" customHeight="1" x14ac:dyDescent="0.15">
      <c r="A31" s="61" t="s">
        <v>2027</v>
      </c>
      <c r="B31" s="9" t="s">
        <v>1175</v>
      </c>
      <c r="C31" s="58" t="s">
        <v>29</v>
      </c>
      <c r="D31" s="11" t="s">
        <v>1176</v>
      </c>
      <c r="E31" s="10">
        <v>39</v>
      </c>
      <c r="F31" s="10" t="s">
        <v>11</v>
      </c>
      <c r="G31" s="12">
        <v>1400</v>
      </c>
      <c r="H31" s="12">
        <v>1685</v>
      </c>
      <c r="I31" s="51" t="s">
        <v>2015</v>
      </c>
      <c r="J31" s="52">
        <v>2</v>
      </c>
      <c r="K31" s="53">
        <f t="shared" si="1"/>
        <v>41.490900000000003</v>
      </c>
      <c r="L31" s="54"/>
      <c r="M31" s="3">
        <v>3.81</v>
      </c>
      <c r="N31" s="15">
        <v>10.89</v>
      </c>
    </row>
    <row r="32" spans="1:14" ht="20.25" customHeight="1" x14ac:dyDescent="0.15">
      <c r="A32" s="61" t="s">
        <v>2028</v>
      </c>
      <c r="B32" s="9" t="s">
        <v>1175</v>
      </c>
      <c r="C32" s="58" t="s">
        <v>29</v>
      </c>
      <c r="D32" s="11" t="s">
        <v>1176</v>
      </c>
      <c r="E32" s="10">
        <v>39</v>
      </c>
      <c r="F32" s="10" t="s">
        <v>11</v>
      </c>
      <c r="G32" s="12">
        <v>1400</v>
      </c>
      <c r="H32" s="12">
        <v>1685</v>
      </c>
      <c r="I32" s="17">
        <v>1</v>
      </c>
      <c r="J32" s="18">
        <v>1</v>
      </c>
      <c r="K32" s="19">
        <f t="shared" si="1"/>
        <v>25.700399999999998</v>
      </c>
      <c r="L32" s="27"/>
      <c r="M32" s="3">
        <v>2.36</v>
      </c>
      <c r="N32" s="15">
        <v>10.89</v>
      </c>
    </row>
    <row r="33" spans="1:14" ht="20.25" customHeight="1" x14ac:dyDescent="0.15">
      <c r="A33" s="60" t="s">
        <v>2029</v>
      </c>
      <c r="B33" s="9" t="s">
        <v>104</v>
      </c>
      <c r="C33" s="58" t="s">
        <v>29</v>
      </c>
      <c r="D33" s="11" t="s">
        <v>224</v>
      </c>
      <c r="E33" s="10">
        <v>22</v>
      </c>
      <c r="F33" s="10" t="s">
        <v>11</v>
      </c>
      <c r="G33" s="12">
        <v>758</v>
      </c>
      <c r="H33" s="12">
        <v>950</v>
      </c>
      <c r="I33" s="17" t="s">
        <v>2015</v>
      </c>
      <c r="J33" s="18">
        <v>2</v>
      </c>
      <c r="K33" s="19">
        <f t="shared" si="1"/>
        <v>21.562200000000001</v>
      </c>
      <c r="L33" s="27"/>
      <c r="M33" s="3">
        <v>1.98</v>
      </c>
      <c r="N33" s="15">
        <v>10.89</v>
      </c>
    </row>
    <row r="34" spans="1:14" ht="20.25" customHeight="1" x14ac:dyDescent="0.15">
      <c r="A34" s="60"/>
      <c r="B34" s="9"/>
      <c r="C34" s="58" t="s">
        <v>29</v>
      </c>
      <c r="D34" s="11" t="s">
        <v>217</v>
      </c>
      <c r="E34" s="10">
        <v>22</v>
      </c>
      <c r="F34" s="10" t="s">
        <v>11</v>
      </c>
      <c r="G34" s="12">
        <v>758</v>
      </c>
      <c r="H34" s="12">
        <v>950</v>
      </c>
      <c r="I34" s="17" t="s">
        <v>2030</v>
      </c>
      <c r="J34" s="18">
        <v>5</v>
      </c>
      <c r="K34" s="19">
        <f t="shared" si="1"/>
        <v>42.035400000000003</v>
      </c>
      <c r="L34" s="27"/>
      <c r="M34" s="3">
        <v>3.86</v>
      </c>
      <c r="N34" s="15">
        <v>10.89</v>
      </c>
    </row>
    <row r="35" spans="1:14" ht="20.25" customHeight="1" x14ac:dyDescent="0.15">
      <c r="A35" s="60"/>
      <c r="B35" s="9"/>
      <c r="C35" s="58"/>
      <c r="D35" s="11"/>
      <c r="E35" s="10"/>
      <c r="F35" s="10"/>
      <c r="G35" s="12"/>
      <c r="H35" s="12"/>
      <c r="I35" s="17"/>
      <c r="J35" s="18"/>
      <c r="K35" s="19">
        <f t="shared" si="1"/>
        <v>0</v>
      </c>
      <c r="L35" s="27"/>
      <c r="N35" s="15">
        <v>10.89</v>
      </c>
    </row>
    <row r="36" spans="1:14" ht="20.25" customHeight="1" x14ac:dyDescent="0.15">
      <c r="A36" s="60"/>
      <c r="B36" s="9"/>
      <c r="C36" s="58"/>
      <c r="D36" s="11"/>
      <c r="E36" s="10"/>
      <c r="F36" s="10"/>
      <c r="G36" s="12"/>
      <c r="H36" s="12"/>
      <c r="I36" s="17"/>
      <c r="J36" s="18"/>
      <c r="K36" s="19">
        <f t="shared" si="1"/>
        <v>0</v>
      </c>
      <c r="L36" s="27"/>
      <c r="N36" s="15">
        <v>10.89</v>
      </c>
    </row>
    <row r="37" spans="1:14" ht="20.25" customHeight="1" x14ac:dyDescent="0.15">
      <c r="A37" s="60"/>
      <c r="B37" s="9"/>
      <c r="C37" s="58"/>
      <c r="D37" s="11"/>
      <c r="E37" s="10"/>
      <c r="F37" s="10"/>
      <c r="G37" s="12"/>
      <c r="H37" s="12"/>
      <c r="I37" s="17"/>
      <c r="J37" s="18"/>
      <c r="K37" s="19">
        <f t="shared" si="1"/>
        <v>0</v>
      </c>
      <c r="L37" s="27"/>
      <c r="N37" s="15">
        <v>10.89</v>
      </c>
    </row>
    <row r="38" spans="1:14" ht="20.25" customHeight="1" x14ac:dyDescent="0.15">
      <c r="A38" s="60"/>
      <c r="B38" s="9"/>
      <c r="C38" s="58"/>
      <c r="D38" s="11"/>
      <c r="E38" s="10"/>
      <c r="F38" s="10"/>
      <c r="G38" s="12"/>
      <c r="H38" s="12"/>
      <c r="I38" s="17"/>
      <c r="J38" s="18"/>
      <c r="K38" s="19">
        <f t="shared" si="1"/>
        <v>0</v>
      </c>
      <c r="L38" s="27"/>
      <c r="N38" s="15">
        <v>10.89</v>
      </c>
    </row>
    <row r="39" spans="1:14" ht="20.25" customHeight="1" x14ac:dyDescent="0.15">
      <c r="A39" s="60"/>
      <c r="B39" s="9"/>
      <c r="C39" s="58"/>
      <c r="D39" s="11"/>
      <c r="E39" s="10"/>
      <c r="F39" s="10"/>
      <c r="G39" s="12"/>
      <c r="H39" s="12"/>
      <c r="I39" s="17"/>
      <c r="J39" s="18"/>
      <c r="K39" s="19">
        <f t="shared" si="1"/>
        <v>0</v>
      </c>
      <c r="L39" s="27"/>
      <c r="N39" s="15">
        <v>10.89</v>
      </c>
    </row>
    <row r="40" spans="1:14" ht="20.25" customHeight="1" x14ac:dyDescent="0.15">
      <c r="A40" s="60"/>
      <c r="B40" s="9"/>
      <c r="C40" s="58"/>
      <c r="D40" s="11"/>
      <c r="E40" s="10"/>
      <c r="F40" s="10"/>
      <c r="G40" s="12"/>
      <c r="H40" s="12"/>
      <c r="I40" s="17"/>
      <c r="J40" s="18"/>
      <c r="K40" s="19">
        <f t="shared" si="1"/>
        <v>0</v>
      </c>
      <c r="L40" s="27"/>
      <c r="N40" s="15">
        <v>10.89</v>
      </c>
    </row>
    <row r="41" spans="1:14" ht="20.25" customHeight="1" x14ac:dyDescent="0.15">
      <c r="A41" s="57"/>
      <c r="B41" s="28"/>
      <c r="C41" s="10"/>
      <c r="D41" s="29"/>
      <c r="E41" s="30"/>
      <c r="F41" s="30"/>
      <c r="G41" s="30"/>
      <c r="H41" s="30"/>
      <c r="I41" s="13"/>
      <c r="J41" s="48">
        <f>SUM(J25:J40)</f>
        <v>329</v>
      </c>
      <c r="K41" s="49">
        <f>SUM(K25:K40)</f>
        <v>2596.7204999999999</v>
      </c>
      <c r="L41" s="31"/>
      <c r="N41" s="32"/>
    </row>
    <row r="42" spans="1:14" ht="20.25" customHeight="1" thickBot="1" x14ac:dyDescent="0.2">
      <c r="A42" s="55"/>
      <c r="B42" s="33"/>
      <c r="C42" s="33"/>
      <c r="D42" s="33"/>
      <c r="E42" s="33"/>
      <c r="F42" s="33"/>
      <c r="G42" s="33"/>
      <c r="H42" s="33"/>
      <c r="I42" s="33"/>
      <c r="J42" s="34"/>
      <c r="K42" s="35"/>
      <c r="L42" s="36"/>
    </row>
    <row r="43" spans="1:14" ht="20.25" customHeight="1" thickBot="1" x14ac:dyDescent="0.2">
      <c r="A43" s="37" t="s">
        <v>19</v>
      </c>
      <c r="B43" s="38" t="s">
        <v>20</v>
      </c>
      <c r="C43" s="77" t="s">
        <v>21</v>
      </c>
      <c r="D43" s="79"/>
      <c r="E43" s="77" t="s">
        <v>22</v>
      </c>
      <c r="F43" s="78"/>
      <c r="G43" s="79"/>
      <c r="H43" s="85" t="s">
        <v>23</v>
      </c>
      <c r="I43" s="86"/>
      <c r="J43" s="77" t="s">
        <v>24</v>
      </c>
      <c r="K43" s="79"/>
      <c r="L43" s="39" t="s">
        <v>13</v>
      </c>
    </row>
    <row r="44" spans="1:14" ht="20.25" customHeight="1" thickBot="1" x14ac:dyDescent="0.2">
      <c r="A44" s="40">
        <f>SUMIF($C$8:$C$42,"U1",$J$8:$J$42)</f>
        <v>0</v>
      </c>
      <c r="B44" s="41">
        <f>SUMIF($C$8:$C$42,"U2",$J$8:$J$42)</f>
        <v>182</v>
      </c>
      <c r="C44" s="77">
        <f>SUMIF($C$8:$C$42,"U3-1",$J$8:$J$42)</f>
        <v>0</v>
      </c>
      <c r="D44" s="79"/>
      <c r="E44" s="77">
        <f>SUMIF($C$8:$C$42,"U3",$J$8:$J$42)</f>
        <v>515</v>
      </c>
      <c r="F44" s="78"/>
      <c r="G44" s="79"/>
      <c r="H44" s="77">
        <f>SUMIF($C$8:$C$42,"E5",$J$8:$J$42)</f>
        <v>0</v>
      </c>
      <c r="I44" s="79"/>
      <c r="J44" s="77">
        <f>SUM(A44:I44)</f>
        <v>697</v>
      </c>
      <c r="K44" s="79"/>
      <c r="L44" s="42"/>
    </row>
    <row r="45" spans="1:14" ht="20.25" customHeight="1" thickBot="1" x14ac:dyDescent="0.2">
      <c r="A45" s="43" t="s">
        <v>25</v>
      </c>
      <c r="B45" s="44" t="s">
        <v>26</v>
      </c>
      <c r="C45" s="75">
        <v>13876</v>
      </c>
      <c r="D45" s="76"/>
      <c r="E45" s="77" t="s">
        <v>27</v>
      </c>
      <c r="F45" s="78"/>
      <c r="G45" s="78"/>
      <c r="H45" s="78"/>
      <c r="I45" s="79"/>
      <c r="J45" s="80">
        <v>146744.37</v>
      </c>
      <c r="K45" s="81"/>
      <c r="L45" s="82"/>
    </row>
    <row r="47" spans="1:14" x14ac:dyDescent="0.15">
      <c r="D47" s="45"/>
    </row>
  </sheetData>
  <mergeCells count="26">
    <mergeCell ref="C45:D45"/>
    <mergeCell ref="E45:I45"/>
    <mergeCell ref="J45:L45"/>
    <mergeCell ref="L6:L7"/>
    <mergeCell ref="C43:D43"/>
    <mergeCell ref="E43:G43"/>
    <mergeCell ref="H43:I43"/>
    <mergeCell ref="J43:K43"/>
    <mergeCell ref="C44:D44"/>
    <mergeCell ref="E44:G44"/>
    <mergeCell ref="H44:I44"/>
    <mergeCell ref="J44:K44"/>
    <mergeCell ref="B5:G5"/>
    <mergeCell ref="A6:A7"/>
    <mergeCell ref="B6:B7"/>
    <mergeCell ref="C6:C7"/>
    <mergeCell ref="D6:D7"/>
    <mergeCell ref="E6:E7"/>
    <mergeCell ref="F6:F7"/>
    <mergeCell ref="G6:K6"/>
    <mergeCell ref="L2:L4"/>
    <mergeCell ref="A1:G3"/>
    <mergeCell ref="H1:H4"/>
    <mergeCell ref="I2:I4"/>
    <mergeCell ref="J2:J4"/>
    <mergeCell ref="K2:K4"/>
  </mergeCells>
  <phoneticPr fontId="2" type="noConversion"/>
  <printOptions horizontalCentered="1"/>
  <pageMargins left="0.39370078740157483" right="0.39370078740157483" top="0.74803149606299213" bottom="0.19685039370078741" header="0.31496062992125984" footer="0.15748031496062992"/>
  <pageSetup paperSize="9" scale="84" orientation="portrait" r:id="rId1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F926F7-3288-416F-B88E-938487A297CE}">
  <dimension ref="A1:N47"/>
  <sheetViews>
    <sheetView view="pageBreakPreview" topLeftCell="A16" zoomScaleSheetLayoutView="100" workbookViewId="0">
      <selection activeCell="B31" sqref="B31"/>
    </sheetView>
  </sheetViews>
  <sheetFormatPr defaultColWidth="8.88671875" defaultRowHeight="13.5" x14ac:dyDescent="0.15"/>
  <cols>
    <col min="1" max="1" width="8.44140625" style="3" customWidth="1"/>
    <col min="2" max="2" width="14.77734375" style="3" customWidth="1"/>
    <col min="3" max="3" width="4.109375" style="3" customWidth="1"/>
    <col min="4" max="4" width="15.21875" style="3" customWidth="1"/>
    <col min="5" max="5" width="4.44140625" style="3" customWidth="1"/>
    <col min="6" max="6" width="4" style="3" customWidth="1"/>
    <col min="7" max="7" width="5.5546875" style="3" customWidth="1"/>
    <col min="8" max="8" width="5.44140625" style="3" customWidth="1"/>
    <col min="9" max="9" width="7.88671875" style="3" customWidth="1"/>
    <col min="10" max="10" width="7.109375" style="3" customWidth="1"/>
    <col min="11" max="11" width="7.21875" style="3" customWidth="1"/>
    <col min="12" max="12" width="6.77734375" style="3" customWidth="1"/>
    <col min="13" max="16384" width="8.88671875" style="3"/>
  </cols>
  <sheetData>
    <row r="1" spans="1:14" ht="18.75" customHeight="1" x14ac:dyDescent="0.15">
      <c r="A1" s="101" t="s">
        <v>0</v>
      </c>
      <c r="B1" s="102"/>
      <c r="C1" s="102"/>
      <c r="D1" s="102"/>
      <c r="E1" s="102"/>
      <c r="F1" s="102"/>
      <c r="G1" s="103"/>
      <c r="H1" s="107" t="s">
        <v>1</v>
      </c>
      <c r="I1" s="1" t="s">
        <v>2</v>
      </c>
      <c r="J1" s="1" t="s">
        <v>2</v>
      </c>
      <c r="K1" s="1" t="s">
        <v>3</v>
      </c>
      <c r="L1" s="2" t="s">
        <v>4</v>
      </c>
    </row>
    <row r="2" spans="1:14" ht="13.5" customHeight="1" x14ac:dyDescent="0.15">
      <c r="A2" s="104"/>
      <c r="B2" s="105"/>
      <c r="C2" s="105"/>
      <c r="D2" s="105"/>
      <c r="E2" s="105"/>
      <c r="F2" s="105"/>
      <c r="G2" s="106"/>
      <c r="H2" s="108"/>
      <c r="I2" s="110"/>
      <c r="J2" s="110"/>
      <c r="K2" s="110"/>
      <c r="L2" s="98"/>
    </row>
    <row r="3" spans="1:14" ht="13.5" customHeight="1" x14ac:dyDescent="0.15">
      <c r="A3" s="104"/>
      <c r="B3" s="105"/>
      <c r="C3" s="105"/>
      <c r="D3" s="105"/>
      <c r="E3" s="105"/>
      <c r="F3" s="105"/>
      <c r="G3" s="106"/>
      <c r="H3" s="108"/>
      <c r="I3" s="108"/>
      <c r="J3" s="108"/>
      <c r="K3" s="108"/>
      <c r="L3" s="99"/>
    </row>
    <row r="4" spans="1:14" ht="33" customHeight="1" x14ac:dyDescent="0.15">
      <c r="A4" s="4"/>
      <c r="B4" s="5"/>
      <c r="C4" s="5"/>
      <c r="D4" s="5"/>
      <c r="E4" s="5"/>
      <c r="F4" s="5"/>
      <c r="G4" s="5"/>
      <c r="H4" s="109"/>
      <c r="I4" s="109"/>
      <c r="J4" s="109"/>
      <c r="K4" s="109"/>
      <c r="L4" s="100"/>
    </row>
    <row r="5" spans="1:14" ht="17.25" customHeight="1" x14ac:dyDescent="0.15">
      <c r="A5" s="6" t="s">
        <v>5</v>
      </c>
      <c r="B5" s="87">
        <v>46132</v>
      </c>
      <c r="C5" s="88"/>
      <c r="D5" s="88"/>
      <c r="E5" s="88"/>
      <c r="F5" s="88"/>
      <c r="G5" s="88"/>
      <c r="H5" s="5"/>
      <c r="I5" s="5"/>
      <c r="J5" s="5"/>
      <c r="K5" s="5"/>
      <c r="L5" s="7"/>
    </row>
    <row r="6" spans="1:14" ht="13.5" customHeight="1" x14ac:dyDescent="0.15">
      <c r="A6" s="89" t="s">
        <v>6</v>
      </c>
      <c r="B6" s="91" t="s">
        <v>7</v>
      </c>
      <c r="C6" s="91" t="s">
        <v>8</v>
      </c>
      <c r="D6" s="91" t="s">
        <v>9</v>
      </c>
      <c r="E6" s="93" t="s">
        <v>10</v>
      </c>
      <c r="F6" s="93" t="s">
        <v>11</v>
      </c>
      <c r="G6" s="95" t="s">
        <v>12</v>
      </c>
      <c r="H6" s="96"/>
      <c r="I6" s="96"/>
      <c r="J6" s="96"/>
      <c r="K6" s="97"/>
      <c r="L6" s="83" t="s">
        <v>13</v>
      </c>
    </row>
    <row r="7" spans="1:14" x14ac:dyDescent="0.15">
      <c r="A7" s="90"/>
      <c r="B7" s="92"/>
      <c r="C7" s="92"/>
      <c r="D7" s="92"/>
      <c r="E7" s="94"/>
      <c r="F7" s="94"/>
      <c r="G7" s="8" t="s">
        <v>14</v>
      </c>
      <c r="H7" s="8" t="s">
        <v>15</v>
      </c>
      <c r="I7" s="8" t="s">
        <v>16</v>
      </c>
      <c r="J7" s="8" t="s">
        <v>17</v>
      </c>
      <c r="K7" s="8" t="s">
        <v>18</v>
      </c>
      <c r="L7" s="84"/>
    </row>
    <row r="8" spans="1:14" s="15" customFormat="1" ht="20.25" customHeight="1" x14ac:dyDescent="0.15">
      <c r="A8" s="60" t="s">
        <v>2032</v>
      </c>
      <c r="B8" s="9" t="s">
        <v>138</v>
      </c>
      <c r="C8" s="58" t="s">
        <v>29</v>
      </c>
      <c r="D8" s="11" t="s">
        <v>336</v>
      </c>
      <c r="E8" s="10">
        <v>24</v>
      </c>
      <c r="F8" s="58"/>
      <c r="G8" s="12">
        <v>1662</v>
      </c>
      <c r="H8" s="12">
        <v>1890</v>
      </c>
      <c r="I8" s="17" t="s">
        <v>2033</v>
      </c>
      <c r="J8" s="18">
        <v>100</v>
      </c>
      <c r="K8" s="19">
        <f>+M8*N8</f>
        <v>1165.23</v>
      </c>
      <c r="L8" s="14"/>
      <c r="M8" s="15">
        <v>107</v>
      </c>
      <c r="N8" s="15">
        <v>10.89</v>
      </c>
    </row>
    <row r="9" spans="1:14" s="15" customFormat="1" ht="20.25" customHeight="1" x14ac:dyDescent="0.15">
      <c r="A9" s="60" t="s">
        <v>2034</v>
      </c>
      <c r="B9" s="9" t="s">
        <v>138</v>
      </c>
      <c r="C9" s="58" t="s">
        <v>29</v>
      </c>
      <c r="D9" s="11" t="s">
        <v>403</v>
      </c>
      <c r="E9" s="10">
        <v>24</v>
      </c>
      <c r="F9" s="58"/>
      <c r="G9" s="12">
        <v>1762</v>
      </c>
      <c r="H9" s="12">
        <v>1890</v>
      </c>
      <c r="I9" s="17">
        <v>10</v>
      </c>
      <c r="J9" s="18">
        <v>10</v>
      </c>
      <c r="K9" s="19">
        <f t="shared" ref="K9:K23" si="0">+M9*N9</f>
        <v>362.637</v>
      </c>
      <c r="L9" s="14"/>
      <c r="M9" s="15">
        <v>33.299999999999997</v>
      </c>
      <c r="N9" s="15">
        <v>10.89</v>
      </c>
    </row>
    <row r="10" spans="1:14" s="15" customFormat="1" ht="20.25" customHeight="1" x14ac:dyDescent="0.15">
      <c r="A10" s="60" t="s">
        <v>2035</v>
      </c>
      <c r="B10" s="9" t="s">
        <v>138</v>
      </c>
      <c r="C10" s="58" t="s">
        <v>29</v>
      </c>
      <c r="D10" s="11" t="s">
        <v>403</v>
      </c>
      <c r="E10" s="10">
        <v>24</v>
      </c>
      <c r="F10" s="58"/>
      <c r="G10" s="12">
        <v>1762</v>
      </c>
      <c r="H10" s="12">
        <v>1890</v>
      </c>
      <c r="I10" s="17">
        <v>10</v>
      </c>
      <c r="J10" s="18">
        <v>10</v>
      </c>
      <c r="K10" s="19">
        <f t="shared" si="0"/>
        <v>362.637</v>
      </c>
      <c r="L10" s="14"/>
      <c r="M10" s="15">
        <v>33.299999999999997</v>
      </c>
      <c r="N10" s="15">
        <v>10.89</v>
      </c>
    </row>
    <row r="11" spans="1:14" s="15" customFormat="1" ht="20.25" customHeight="1" x14ac:dyDescent="0.15">
      <c r="A11" s="60" t="s">
        <v>2036</v>
      </c>
      <c r="B11" s="9" t="s">
        <v>138</v>
      </c>
      <c r="C11" s="58" t="s">
        <v>29</v>
      </c>
      <c r="D11" s="11" t="s">
        <v>403</v>
      </c>
      <c r="E11" s="10">
        <v>24</v>
      </c>
      <c r="F11" s="58"/>
      <c r="G11" s="12">
        <v>1762</v>
      </c>
      <c r="H11" s="12">
        <v>1890</v>
      </c>
      <c r="I11" s="17">
        <v>10</v>
      </c>
      <c r="J11" s="18">
        <v>10</v>
      </c>
      <c r="K11" s="19">
        <f t="shared" si="0"/>
        <v>362.637</v>
      </c>
      <c r="L11" s="14"/>
      <c r="M11" s="15">
        <v>33.299999999999997</v>
      </c>
      <c r="N11" s="15">
        <v>10.89</v>
      </c>
    </row>
    <row r="12" spans="1:14" s="15" customFormat="1" ht="20.25" customHeight="1" x14ac:dyDescent="0.15">
      <c r="A12" s="60" t="s">
        <v>2037</v>
      </c>
      <c r="B12" s="9" t="s">
        <v>1944</v>
      </c>
      <c r="C12" s="58" t="s">
        <v>29</v>
      </c>
      <c r="D12" s="11" t="s">
        <v>1945</v>
      </c>
      <c r="E12" s="10">
        <v>24</v>
      </c>
      <c r="F12" s="58" t="s">
        <v>11</v>
      </c>
      <c r="G12" s="12">
        <v>985</v>
      </c>
      <c r="H12" s="12">
        <v>2910</v>
      </c>
      <c r="I12" s="17">
        <v>1</v>
      </c>
      <c r="J12" s="18">
        <v>1</v>
      </c>
      <c r="K12" s="19">
        <f t="shared" si="0"/>
        <v>31.254300000000004</v>
      </c>
      <c r="L12" s="14"/>
      <c r="M12" s="15">
        <v>2.87</v>
      </c>
      <c r="N12" s="15">
        <v>10.89</v>
      </c>
    </row>
    <row r="13" spans="1:14" s="15" customFormat="1" ht="20.25" customHeight="1" x14ac:dyDescent="0.15">
      <c r="A13" s="60" t="s">
        <v>2038</v>
      </c>
      <c r="B13" s="9" t="s">
        <v>1304</v>
      </c>
      <c r="C13" s="58" t="s">
        <v>29</v>
      </c>
      <c r="D13" s="11" t="s">
        <v>2039</v>
      </c>
      <c r="E13" s="10">
        <v>24</v>
      </c>
      <c r="F13" s="58" t="s">
        <v>11</v>
      </c>
      <c r="G13" s="12">
        <v>1427</v>
      </c>
      <c r="H13" s="12">
        <v>1635</v>
      </c>
      <c r="I13" s="17">
        <v>3</v>
      </c>
      <c r="J13" s="18">
        <v>3</v>
      </c>
      <c r="K13" s="19">
        <f t="shared" si="0"/>
        <v>76.121100000000013</v>
      </c>
      <c r="L13" s="14"/>
      <c r="M13" s="15">
        <v>6.99</v>
      </c>
      <c r="N13" s="15">
        <v>10.89</v>
      </c>
    </row>
    <row r="14" spans="1:14" s="15" customFormat="1" ht="20.25" customHeight="1" x14ac:dyDescent="0.15">
      <c r="A14" s="60"/>
      <c r="B14" s="9"/>
      <c r="C14" s="58" t="s">
        <v>29</v>
      </c>
      <c r="D14" s="11" t="s">
        <v>2040</v>
      </c>
      <c r="E14" s="10">
        <v>28</v>
      </c>
      <c r="F14" s="58" t="s">
        <v>11</v>
      </c>
      <c r="G14" s="12">
        <v>1427</v>
      </c>
      <c r="H14" s="12">
        <v>1250</v>
      </c>
      <c r="I14" s="17" t="s">
        <v>2042</v>
      </c>
      <c r="J14" s="18">
        <f>6+58</f>
        <v>64</v>
      </c>
      <c r="K14" s="19">
        <f t="shared" si="0"/>
        <v>747.59850000000006</v>
      </c>
      <c r="L14" s="20"/>
      <c r="M14" s="15">
        <v>68.650000000000006</v>
      </c>
      <c r="N14" s="15">
        <v>10.89</v>
      </c>
    </row>
    <row r="15" spans="1:14" s="15" customFormat="1" ht="20.25" customHeight="1" x14ac:dyDescent="0.15">
      <c r="A15" s="60"/>
      <c r="B15" s="9"/>
      <c r="C15" s="58" t="s">
        <v>29</v>
      </c>
      <c r="D15" s="11" t="s">
        <v>2041</v>
      </c>
      <c r="E15" s="10">
        <v>28</v>
      </c>
      <c r="F15" s="58" t="s">
        <v>11</v>
      </c>
      <c r="G15" s="12">
        <v>1427</v>
      </c>
      <c r="H15" s="12">
        <v>1635</v>
      </c>
      <c r="I15" s="17" t="s">
        <v>2043</v>
      </c>
      <c r="J15" s="18">
        <v>33</v>
      </c>
      <c r="K15" s="19">
        <f t="shared" si="0"/>
        <v>837.33210000000008</v>
      </c>
      <c r="L15" s="20"/>
      <c r="M15" s="15">
        <v>76.89</v>
      </c>
      <c r="N15" s="15">
        <v>10.89</v>
      </c>
    </row>
    <row r="16" spans="1:14" s="15" customFormat="1" ht="20.25" customHeight="1" x14ac:dyDescent="0.15">
      <c r="A16" s="60" t="s">
        <v>2044</v>
      </c>
      <c r="B16" s="9" t="s">
        <v>1944</v>
      </c>
      <c r="C16" s="58" t="s">
        <v>29</v>
      </c>
      <c r="D16" s="11" t="s">
        <v>1946</v>
      </c>
      <c r="E16" s="10">
        <v>24</v>
      </c>
      <c r="F16" s="58" t="s">
        <v>11</v>
      </c>
      <c r="G16" s="12">
        <v>950</v>
      </c>
      <c r="H16" s="12">
        <v>550</v>
      </c>
      <c r="I16" s="17" t="s">
        <v>2045</v>
      </c>
      <c r="J16" s="18">
        <v>70</v>
      </c>
      <c r="K16" s="19">
        <f t="shared" si="0"/>
        <v>727.99649999999997</v>
      </c>
      <c r="L16" s="20"/>
      <c r="M16" s="15">
        <v>66.849999999999994</v>
      </c>
      <c r="N16" s="15">
        <v>10.89</v>
      </c>
    </row>
    <row r="17" spans="1:14" s="15" customFormat="1" ht="20.25" customHeight="1" x14ac:dyDescent="0.15">
      <c r="A17" s="60" t="s">
        <v>2046</v>
      </c>
      <c r="B17" s="9" t="s">
        <v>70</v>
      </c>
      <c r="C17" s="58" t="s">
        <v>29</v>
      </c>
      <c r="D17" s="11" t="s">
        <v>364</v>
      </c>
      <c r="E17" s="10">
        <v>22</v>
      </c>
      <c r="F17" s="58"/>
      <c r="G17" s="12">
        <v>2134</v>
      </c>
      <c r="H17" s="12">
        <v>1845</v>
      </c>
      <c r="I17" s="17" t="s">
        <v>2047</v>
      </c>
      <c r="J17" s="18">
        <v>4</v>
      </c>
      <c r="K17" s="19">
        <f t="shared" si="0"/>
        <v>171.62640000000002</v>
      </c>
      <c r="L17" s="20"/>
      <c r="M17" s="15">
        <v>15.76</v>
      </c>
      <c r="N17" s="15">
        <v>10.89</v>
      </c>
    </row>
    <row r="18" spans="1:14" s="15" customFormat="1" ht="20.25" customHeight="1" x14ac:dyDescent="0.15">
      <c r="A18" s="60"/>
      <c r="B18" s="9"/>
      <c r="C18" s="58" t="s">
        <v>29</v>
      </c>
      <c r="D18" s="11" t="s">
        <v>352</v>
      </c>
      <c r="E18" s="10">
        <v>22</v>
      </c>
      <c r="F18" s="58"/>
      <c r="G18" s="12">
        <v>846</v>
      </c>
      <c r="H18" s="12">
        <v>1845</v>
      </c>
      <c r="I18" s="17">
        <v>1</v>
      </c>
      <c r="J18" s="18">
        <v>1</v>
      </c>
      <c r="K18" s="19">
        <f t="shared" si="0"/>
        <v>16.988400000000002</v>
      </c>
      <c r="L18" s="20"/>
      <c r="M18" s="15">
        <v>1.56</v>
      </c>
      <c r="N18" s="15">
        <v>10.89</v>
      </c>
    </row>
    <row r="19" spans="1:14" s="15" customFormat="1" ht="20.25" customHeight="1" x14ac:dyDescent="0.15">
      <c r="A19" s="60"/>
      <c r="B19" s="9"/>
      <c r="C19" s="58" t="s">
        <v>29</v>
      </c>
      <c r="D19" s="11" t="s">
        <v>195</v>
      </c>
      <c r="E19" s="10">
        <v>22</v>
      </c>
      <c r="F19" s="58"/>
      <c r="G19" s="12">
        <v>2134</v>
      </c>
      <c r="H19" s="12">
        <v>1839</v>
      </c>
      <c r="I19" s="17">
        <v>1</v>
      </c>
      <c r="J19" s="18">
        <v>1</v>
      </c>
      <c r="K19" s="19">
        <f t="shared" si="0"/>
        <v>42.688800000000001</v>
      </c>
      <c r="L19" s="20"/>
      <c r="M19" s="15">
        <v>3.92</v>
      </c>
      <c r="N19" s="15">
        <v>10.89</v>
      </c>
    </row>
    <row r="20" spans="1:14" s="15" customFormat="1" ht="20.25" customHeight="1" x14ac:dyDescent="0.15">
      <c r="A20" s="60"/>
      <c r="B20" s="9"/>
      <c r="C20" s="58" t="s">
        <v>273</v>
      </c>
      <c r="D20" s="11" t="s">
        <v>675</v>
      </c>
      <c r="E20" s="10">
        <v>16</v>
      </c>
      <c r="F20" s="58"/>
      <c r="G20" s="12">
        <v>630</v>
      </c>
      <c r="H20" s="12">
        <v>2305</v>
      </c>
      <c r="I20" s="17">
        <v>1</v>
      </c>
      <c r="J20" s="18">
        <v>1</v>
      </c>
      <c r="K20" s="19">
        <f t="shared" si="0"/>
        <v>15.7905</v>
      </c>
      <c r="L20" s="20"/>
      <c r="M20" s="15">
        <v>1.45</v>
      </c>
      <c r="N20" s="15">
        <v>10.89</v>
      </c>
    </row>
    <row r="21" spans="1:14" s="15" customFormat="1" ht="20.25" customHeight="1" x14ac:dyDescent="0.15">
      <c r="A21" s="60"/>
      <c r="B21" s="9"/>
      <c r="C21" s="58"/>
      <c r="D21" s="11"/>
      <c r="E21" s="10"/>
      <c r="F21" s="58"/>
      <c r="G21" s="50"/>
      <c r="H21" s="50"/>
      <c r="I21" s="17"/>
      <c r="J21" s="18"/>
      <c r="K21" s="19">
        <f t="shared" si="0"/>
        <v>0</v>
      </c>
      <c r="L21" s="20"/>
      <c r="N21" s="15">
        <v>10.89</v>
      </c>
    </row>
    <row r="22" spans="1:14" s="15" customFormat="1" ht="20.25" customHeight="1" x14ac:dyDescent="0.15">
      <c r="A22" s="60"/>
      <c r="B22" s="9"/>
      <c r="C22" s="58"/>
      <c r="D22" s="11"/>
      <c r="E22" s="10"/>
      <c r="F22" s="58"/>
      <c r="G22" s="50"/>
      <c r="H22" s="50"/>
      <c r="I22" s="17"/>
      <c r="J22" s="18"/>
      <c r="K22" s="19">
        <f t="shared" si="0"/>
        <v>0</v>
      </c>
      <c r="L22" s="20"/>
      <c r="N22" s="15">
        <v>10.89</v>
      </c>
    </row>
    <row r="23" spans="1:14" ht="20.25" customHeight="1" x14ac:dyDescent="0.15">
      <c r="A23" s="60"/>
      <c r="B23" s="9"/>
      <c r="C23" s="58"/>
      <c r="D23" s="11"/>
      <c r="E23" s="10"/>
      <c r="F23" s="58"/>
      <c r="G23" s="16"/>
      <c r="H23" s="16"/>
      <c r="I23" s="17"/>
      <c r="J23" s="18"/>
      <c r="K23" s="19">
        <f t="shared" si="0"/>
        <v>0</v>
      </c>
      <c r="L23" s="20"/>
      <c r="N23" s="15">
        <v>10.89</v>
      </c>
    </row>
    <row r="24" spans="1:14" ht="20.25" customHeight="1" thickBot="1" x14ac:dyDescent="0.2">
      <c r="A24" s="56"/>
      <c r="B24" s="21"/>
      <c r="C24" s="59"/>
      <c r="D24" s="22"/>
      <c r="E24" s="23"/>
      <c r="F24" s="23"/>
      <c r="G24" s="24"/>
      <c r="H24" s="24"/>
      <c r="I24" s="25"/>
      <c r="J24" s="46">
        <f>SUM(J8:J23)</f>
        <v>308</v>
      </c>
      <c r="K24" s="47">
        <f>SUM(K8:K23)</f>
        <v>4920.5376000000006</v>
      </c>
      <c r="L24" s="26"/>
    </row>
    <row r="25" spans="1:14" ht="20.25" customHeight="1" thickTop="1" x14ac:dyDescent="0.15">
      <c r="A25" s="60" t="s">
        <v>2048</v>
      </c>
      <c r="B25" s="9" t="s">
        <v>173</v>
      </c>
      <c r="C25" s="58" t="s">
        <v>29</v>
      </c>
      <c r="D25" s="11" t="s">
        <v>279</v>
      </c>
      <c r="E25" s="10">
        <v>25.76</v>
      </c>
      <c r="F25" s="10"/>
      <c r="G25" s="12">
        <v>1445</v>
      </c>
      <c r="H25" s="12">
        <v>690</v>
      </c>
      <c r="I25" s="17" t="s">
        <v>2049</v>
      </c>
      <c r="J25" s="18">
        <v>36</v>
      </c>
      <c r="K25" s="19">
        <f t="shared" ref="K25:K40" si="1">+M25*N25</f>
        <v>227.38319999999999</v>
      </c>
      <c r="L25" s="54"/>
      <c r="M25" s="3">
        <v>20.88</v>
      </c>
      <c r="N25" s="15">
        <v>10.89</v>
      </c>
    </row>
    <row r="26" spans="1:14" ht="20.25" customHeight="1" x14ac:dyDescent="0.15">
      <c r="A26" s="60"/>
      <c r="B26" s="9"/>
      <c r="C26" s="58" t="s">
        <v>29</v>
      </c>
      <c r="D26" s="11" t="s">
        <v>188</v>
      </c>
      <c r="E26" s="10">
        <v>22</v>
      </c>
      <c r="F26" s="10"/>
      <c r="G26" s="12">
        <v>1440</v>
      </c>
      <c r="H26" s="12">
        <v>1238</v>
      </c>
      <c r="I26" s="17" t="s">
        <v>2050</v>
      </c>
      <c r="J26" s="18">
        <v>12</v>
      </c>
      <c r="K26" s="19">
        <f t="shared" si="1"/>
        <v>143.74799999999999</v>
      </c>
      <c r="L26" s="54"/>
      <c r="M26" s="3">
        <v>13.2</v>
      </c>
      <c r="N26" s="15">
        <v>10.89</v>
      </c>
    </row>
    <row r="27" spans="1:14" ht="20.25" customHeight="1" x14ac:dyDescent="0.15">
      <c r="A27" s="61"/>
      <c r="B27" s="9"/>
      <c r="C27" s="58" t="s">
        <v>29</v>
      </c>
      <c r="D27" s="11" t="s">
        <v>280</v>
      </c>
      <c r="E27" s="10">
        <v>46.76</v>
      </c>
      <c r="F27" s="10" t="s">
        <v>11</v>
      </c>
      <c r="G27" s="12">
        <v>886</v>
      </c>
      <c r="H27" s="12">
        <v>508</v>
      </c>
      <c r="I27" s="17">
        <v>4</v>
      </c>
      <c r="J27" s="18">
        <v>4</v>
      </c>
      <c r="K27" s="19">
        <f t="shared" si="1"/>
        <v>19.602</v>
      </c>
      <c r="L27" s="54"/>
      <c r="M27" s="3">
        <v>1.8</v>
      </c>
      <c r="N27" s="15">
        <v>10.89</v>
      </c>
    </row>
    <row r="28" spans="1:14" ht="20.25" customHeight="1" x14ac:dyDescent="0.15">
      <c r="A28" s="61" t="s">
        <v>2051</v>
      </c>
      <c r="B28" s="9" t="s">
        <v>173</v>
      </c>
      <c r="C28" s="58" t="s">
        <v>29</v>
      </c>
      <c r="D28" s="11" t="s">
        <v>279</v>
      </c>
      <c r="E28" s="10">
        <v>25.76</v>
      </c>
      <c r="F28" s="10"/>
      <c r="G28" s="12">
        <v>800</v>
      </c>
      <c r="H28" s="12">
        <v>690</v>
      </c>
      <c r="I28" s="17" t="s">
        <v>2052</v>
      </c>
      <c r="J28" s="18">
        <v>64</v>
      </c>
      <c r="K28" s="19">
        <f t="shared" si="1"/>
        <v>345.86640000000006</v>
      </c>
      <c r="L28" s="54"/>
      <c r="M28" s="3">
        <v>31.76</v>
      </c>
      <c r="N28" s="15">
        <v>10.89</v>
      </c>
    </row>
    <row r="29" spans="1:14" ht="20.25" customHeight="1" x14ac:dyDescent="0.15">
      <c r="A29" s="61"/>
      <c r="B29" s="9"/>
      <c r="C29" s="58" t="s">
        <v>29</v>
      </c>
      <c r="D29" s="11" t="s">
        <v>195</v>
      </c>
      <c r="E29" s="10">
        <v>22</v>
      </c>
      <c r="F29" s="10"/>
      <c r="G29" s="12">
        <v>615</v>
      </c>
      <c r="H29" s="12">
        <v>1181</v>
      </c>
      <c r="I29" s="17" t="s">
        <v>2053</v>
      </c>
      <c r="J29" s="18">
        <f>24+72</f>
        <v>96</v>
      </c>
      <c r="K29" s="19">
        <f t="shared" si="1"/>
        <v>451.28160000000003</v>
      </c>
      <c r="L29" s="54"/>
      <c r="M29" s="3">
        <v>41.44</v>
      </c>
      <c r="N29" s="15">
        <v>10.89</v>
      </c>
    </row>
    <row r="30" spans="1:14" ht="20.25" customHeight="1" x14ac:dyDescent="0.15">
      <c r="A30" s="61"/>
      <c r="B30" s="9"/>
      <c r="C30" s="58" t="s">
        <v>29</v>
      </c>
      <c r="D30" s="11" t="s">
        <v>280</v>
      </c>
      <c r="E30" s="10">
        <v>46.76</v>
      </c>
      <c r="F30" s="10" t="s">
        <v>11</v>
      </c>
      <c r="G30" s="12">
        <v>786</v>
      </c>
      <c r="H30" s="12">
        <v>508</v>
      </c>
      <c r="I30" s="51">
        <v>8</v>
      </c>
      <c r="J30" s="52">
        <v>8</v>
      </c>
      <c r="K30" s="53">
        <f t="shared" si="1"/>
        <v>34.848000000000006</v>
      </c>
      <c r="L30" s="54"/>
      <c r="M30" s="3">
        <v>3.2</v>
      </c>
      <c r="N30" s="15">
        <v>10.89</v>
      </c>
    </row>
    <row r="31" spans="1:14" ht="20.25" customHeight="1" x14ac:dyDescent="0.15">
      <c r="A31" s="61" t="s">
        <v>2054</v>
      </c>
      <c r="B31" s="9" t="s">
        <v>173</v>
      </c>
      <c r="C31" s="58" t="s">
        <v>29</v>
      </c>
      <c r="D31" s="11" t="s">
        <v>279</v>
      </c>
      <c r="E31" s="10">
        <v>25.76</v>
      </c>
      <c r="F31" s="10"/>
      <c r="G31" s="12">
        <v>800</v>
      </c>
      <c r="H31" s="12">
        <v>690</v>
      </c>
      <c r="I31" s="51" t="s">
        <v>2055</v>
      </c>
      <c r="J31" s="52">
        <v>28</v>
      </c>
      <c r="K31" s="53">
        <f t="shared" si="1"/>
        <v>145.49039999999999</v>
      </c>
      <c r="L31" s="54"/>
      <c r="M31" s="3">
        <v>13.36</v>
      </c>
      <c r="N31" s="15">
        <v>10.89</v>
      </c>
    </row>
    <row r="32" spans="1:14" ht="20.25" customHeight="1" x14ac:dyDescent="0.15">
      <c r="A32" s="60"/>
      <c r="B32" s="9"/>
      <c r="C32" s="58" t="s">
        <v>29</v>
      </c>
      <c r="D32" s="11" t="s">
        <v>195</v>
      </c>
      <c r="E32" s="10">
        <v>22</v>
      </c>
      <c r="F32" s="10"/>
      <c r="G32" s="12">
        <v>604</v>
      </c>
      <c r="H32" s="12">
        <v>1967</v>
      </c>
      <c r="I32" s="17" t="s">
        <v>2056</v>
      </c>
      <c r="J32" s="18">
        <f>8+88</f>
        <v>96</v>
      </c>
      <c r="K32" s="19">
        <f t="shared" si="1"/>
        <v>842.88600000000008</v>
      </c>
      <c r="L32" s="27"/>
      <c r="M32" s="3">
        <v>77.400000000000006</v>
      </c>
      <c r="N32" s="15">
        <v>10.89</v>
      </c>
    </row>
    <row r="33" spans="1:14" ht="20.25" customHeight="1" x14ac:dyDescent="0.15">
      <c r="A33" s="60"/>
      <c r="B33" s="9"/>
      <c r="C33" s="58" t="s">
        <v>29</v>
      </c>
      <c r="D33" s="11" t="s">
        <v>280</v>
      </c>
      <c r="E33" s="10">
        <v>46.76</v>
      </c>
      <c r="F33" s="10" t="s">
        <v>11</v>
      </c>
      <c r="G33" s="12">
        <v>886</v>
      </c>
      <c r="H33" s="12">
        <v>508</v>
      </c>
      <c r="I33" s="17">
        <v>4</v>
      </c>
      <c r="J33" s="18">
        <v>4</v>
      </c>
      <c r="K33" s="19">
        <f t="shared" si="1"/>
        <v>19.602</v>
      </c>
      <c r="L33" s="27"/>
      <c r="M33" s="3">
        <v>1.8</v>
      </c>
      <c r="N33" s="15">
        <v>10.89</v>
      </c>
    </row>
    <row r="34" spans="1:14" ht="20.25" customHeight="1" x14ac:dyDescent="0.15">
      <c r="A34" s="60" t="s">
        <v>2057</v>
      </c>
      <c r="B34" s="9" t="s">
        <v>173</v>
      </c>
      <c r="C34" s="58" t="s">
        <v>29</v>
      </c>
      <c r="D34" s="11" t="s">
        <v>279</v>
      </c>
      <c r="E34" s="10">
        <v>25.76</v>
      </c>
      <c r="F34" s="10"/>
      <c r="G34" s="12">
        <v>1445</v>
      </c>
      <c r="H34" s="12">
        <v>690</v>
      </c>
      <c r="I34" s="17" t="s">
        <v>2058</v>
      </c>
      <c r="J34" s="18">
        <v>28</v>
      </c>
      <c r="K34" s="19">
        <f t="shared" si="1"/>
        <v>181.20960000000002</v>
      </c>
      <c r="L34" s="27"/>
      <c r="M34" s="3">
        <v>16.64</v>
      </c>
      <c r="N34" s="15">
        <v>10.89</v>
      </c>
    </row>
    <row r="35" spans="1:14" ht="20.25" customHeight="1" x14ac:dyDescent="0.15">
      <c r="A35" s="60"/>
      <c r="B35" s="9"/>
      <c r="C35" s="58" t="s">
        <v>29</v>
      </c>
      <c r="D35" s="11" t="s">
        <v>195</v>
      </c>
      <c r="E35" s="10">
        <v>22</v>
      </c>
      <c r="F35" s="10"/>
      <c r="G35" s="12">
        <v>754</v>
      </c>
      <c r="H35" s="12">
        <v>1967</v>
      </c>
      <c r="I35" s="17" t="s">
        <v>2060</v>
      </c>
      <c r="J35" s="18">
        <v>108</v>
      </c>
      <c r="K35" s="19">
        <f t="shared" si="1"/>
        <v>965.72520000000009</v>
      </c>
      <c r="L35" s="27"/>
      <c r="M35" s="3">
        <v>88.68</v>
      </c>
      <c r="N35" s="15">
        <v>10.89</v>
      </c>
    </row>
    <row r="36" spans="1:14" ht="20.25" customHeight="1" x14ac:dyDescent="0.15">
      <c r="A36" s="60"/>
      <c r="B36" s="9"/>
      <c r="C36" s="58" t="s">
        <v>29</v>
      </c>
      <c r="D36" s="11" t="s">
        <v>280</v>
      </c>
      <c r="E36" s="10">
        <v>46.76</v>
      </c>
      <c r="F36" s="10" t="s">
        <v>11</v>
      </c>
      <c r="G36" s="12">
        <v>886</v>
      </c>
      <c r="H36" s="12">
        <v>508</v>
      </c>
      <c r="I36" s="17">
        <v>4</v>
      </c>
      <c r="J36" s="18">
        <v>4</v>
      </c>
      <c r="K36" s="19">
        <f t="shared" si="1"/>
        <v>19.602</v>
      </c>
      <c r="L36" s="27"/>
      <c r="M36" s="3">
        <v>1.8</v>
      </c>
      <c r="N36" s="15">
        <v>10.89</v>
      </c>
    </row>
    <row r="37" spans="1:14" ht="20.25" customHeight="1" x14ac:dyDescent="0.15">
      <c r="A37" s="60" t="s">
        <v>2059</v>
      </c>
      <c r="B37" s="9" t="s">
        <v>1904</v>
      </c>
      <c r="C37" s="58" t="s">
        <v>29</v>
      </c>
      <c r="D37" s="11" t="s">
        <v>1902</v>
      </c>
      <c r="E37" s="10">
        <v>22</v>
      </c>
      <c r="F37" s="10" t="s">
        <v>11</v>
      </c>
      <c r="G37" s="12">
        <v>752</v>
      </c>
      <c r="H37" s="12">
        <v>1960</v>
      </c>
      <c r="I37" s="17">
        <v>60</v>
      </c>
      <c r="J37" s="18">
        <v>60</v>
      </c>
      <c r="K37" s="19">
        <f t="shared" si="1"/>
        <v>960.49800000000005</v>
      </c>
      <c r="L37" s="27"/>
      <c r="M37" s="3">
        <v>88.2</v>
      </c>
      <c r="N37" s="15">
        <v>10.89</v>
      </c>
    </row>
    <row r="38" spans="1:14" ht="20.25" customHeight="1" x14ac:dyDescent="0.15">
      <c r="A38" s="60" t="s">
        <v>2061</v>
      </c>
      <c r="B38" s="9" t="s">
        <v>2062</v>
      </c>
      <c r="C38" s="58" t="s">
        <v>29</v>
      </c>
      <c r="D38" s="11" t="s">
        <v>2063</v>
      </c>
      <c r="E38" s="10">
        <v>43</v>
      </c>
      <c r="F38" s="10" t="s">
        <v>11</v>
      </c>
      <c r="G38" s="12">
        <v>579</v>
      </c>
      <c r="H38" s="12">
        <v>1029</v>
      </c>
      <c r="I38" s="17" t="s">
        <v>2064</v>
      </c>
      <c r="J38" s="18">
        <v>26</v>
      </c>
      <c r="K38" s="19">
        <f t="shared" si="1"/>
        <v>396.39600000000002</v>
      </c>
      <c r="L38" s="27"/>
      <c r="M38" s="3">
        <v>36.4</v>
      </c>
      <c r="N38" s="15">
        <v>10.89</v>
      </c>
    </row>
    <row r="39" spans="1:14" ht="20.25" customHeight="1" x14ac:dyDescent="0.15">
      <c r="A39" s="60"/>
      <c r="B39" s="9"/>
      <c r="C39" s="58"/>
      <c r="D39" s="11"/>
      <c r="E39" s="10"/>
      <c r="F39" s="10"/>
      <c r="G39" s="12"/>
      <c r="H39" s="12"/>
      <c r="I39" s="17"/>
      <c r="J39" s="18"/>
      <c r="K39" s="19">
        <f t="shared" si="1"/>
        <v>0</v>
      </c>
      <c r="L39" s="27"/>
      <c r="N39" s="15">
        <v>10.89</v>
      </c>
    </row>
    <row r="40" spans="1:14" ht="20.25" customHeight="1" x14ac:dyDescent="0.15">
      <c r="A40" s="60"/>
      <c r="B40" s="9"/>
      <c r="C40" s="58"/>
      <c r="D40" s="11"/>
      <c r="E40" s="10"/>
      <c r="F40" s="10"/>
      <c r="G40" s="12"/>
      <c r="H40" s="12"/>
      <c r="I40" s="17"/>
      <c r="J40" s="18"/>
      <c r="K40" s="19">
        <f t="shared" si="1"/>
        <v>0</v>
      </c>
      <c r="L40" s="27"/>
      <c r="N40" s="15">
        <v>10.89</v>
      </c>
    </row>
    <row r="41" spans="1:14" ht="20.25" customHeight="1" x14ac:dyDescent="0.15">
      <c r="A41" s="57"/>
      <c r="B41" s="28"/>
      <c r="C41" s="10"/>
      <c r="D41" s="29"/>
      <c r="E41" s="30"/>
      <c r="F41" s="30"/>
      <c r="G41" s="30"/>
      <c r="H41" s="30"/>
      <c r="I41" s="13"/>
      <c r="J41" s="48">
        <f>SUM(J25:J40)</f>
        <v>574</v>
      </c>
      <c r="K41" s="49">
        <f>SUM(K25:K40)</f>
        <v>4754.1383999999989</v>
      </c>
      <c r="L41" s="31"/>
      <c r="N41" s="32"/>
    </row>
    <row r="42" spans="1:14" ht="20.25" customHeight="1" thickBot="1" x14ac:dyDescent="0.2">
      <c r="A42" s="55"/>
      <c r="B42" s="33"/>
      <c r="C42" s="33"/>
      <c r="D42" s="33"/>
      <c r="E42" s="33"/>
      <c r="F42" s="33"/>
      <c r="G42" s="33"/>
      <c r="H42" s="33"/>
      <c r="I42" s="33"/>
      <c r="J42" s="34"/>
      <c r="K42" s="35"/>
      <c r="L42" s="36"/>
    </row>
    <row r="43" spans="1:14" ht="20.25" customHeight="1" thickBot="1" x14ac:dyDescent="0.2">
      <c r="A43" s="37" t="s">
        <v>19</v>
      </c>
      <c r="B43" s="38" t="s">
        <v>20</v>
      </c>
      <c r="C43" s="77" t="s">
        <v>21</v>
      </c>
      <c r="D43" s="79"/>
      <c r="E43" s="77" t="s">
        <v>22</v>
      </c>
      <c r="F43" s="78"/>
      <c r="G43" s="79"/>
      <c r="H43" s="85" t="s">
        <v>23</v>
      </c>
      <c r="I43" s="86"/>
      <c r="J43" s="77" t="s">
        <v>24</v>
      </c>
      <c r="K43" s="79"/>
      <c r="L43" s="39" t="s">
        <v>13</v>
      </c>
    </row>
    <row r="44" spans="1:14" ht="20.25" customHeight="1" thickBot="1" x14ac:dyDescent="0.2">
      <c r="A44" s="40">
        <f>SUMIF($C$8:$C$42,"U1",$J$8:$J$42)</f>
        <v>1</v>
      </c>
      <c r="B44" s="41">
        <f>SUMIF($C$8:$C$42,"U2",$J$8:$J$42)</f>
        <v>0</v>
      </c>
      <c r="C44" s="77">
        <f>SUMIF($C$8:$C$42,"U3-1",$J$8:$J$42)</f>
        <v>0</v>
      </c>
      <c r="D44" s="79"/>
      <c r="E44" s="77">
        <f>SUMIF($C$8:$C$42,"U3",$J$8:$J$42)</f>
        <v>881</v>
      </c>
      <c r="F44" s="78"/>
      <c r="G44" s="79"/>
      <c r="H44" s="77">
        <f>SUMIF($C$8:$C$42,"E5",$J$8:$J$42)</f>
        <v>0</v>
      </c>
      <c r="I44" s="79"/>
      <c r="J44" s="77">
        <f>SUM(A44:I44)</f>
        <v>882</v>
      </c>
      <c r="K44" s="79"/>
      <c r="L44" s="42"/>
    </row>
    <row r="45" spans="1:14" ht="20.25" customHeight="1" thickBot="1" x14ac:dyDescent="0.2">
      <c r="A45" s="43" t="s">
        <v>25</v>
      </c>
      <c r="B45" s="44" t="s">
        <v>26</v>
      </c>
      <c r="C45" s="75">
        <v>13876</v>
      </c>
      <c r="D45" s="76"/>
      <c r="E45" s="77" t="s">
        <v>27</v>
      </c>
      <c r="F45" s="78"/>
      <c r="G45" s="78"/>
      <c r="H45" s="78"/>
      <c r="I45" s="79"/>
      <c r="J45" s="80">
        <v>146744.37</v>
      </c>
      <c r="K45" s="81"/>
      <c r="L45" s="82"/>
    </row>
    <row r="47" spans="1:14" x14ac:dyDescent="0.15">
      <c r="D47" s="45"/>
    </row>
  </sheetData>
  <mergeCells count="26">
    <mergeCell ref="L2:L4"/>
    <mergeCell ref="A1:G3"/>
    <mergeCell ref="H1:H4"/>
    <mergeCell ref="I2:I4"/>
    <mergeCell ref="J2:J4"/>
    <mergeCell ref="K2:K4"/>
    <mergeCell ref="B5:G5"/>
    <mergeCell ref="A6:A7"/>
    <mergeCell ref="B6:B7"/>
    <mergeCell ref="C6:C7"/>
    <mergeCell ref="D6:D7"/>
    <mergeCell ref="E6:E7"/>
    <mergeCell ref="F6:F7"/>
    <mergeCell ref="G6:K6"/>
    <mergeCell ref="C45:D45"/>
    <mergeCell ref="E45:I45"/>
    <mergeCell ref="J45:L45"/>
    <mergeCell ref="L6:L7"/>
    <mergeCell ref="C43:D43"/>
    <mergeCell ref="E43:G43"/>
    <mergeCell ref="H43:I43"/>
    <mergeCell ref="J43:K43"/>
    <mergeCell ref="C44:D44"/>
    <mergeCell ref="E44:G44"/>
    <mergeCell ref="H44:I44"/>
    <mergeCell ref="J44:K44"/>
  </mergeCells>
  <phoneticPr fontId="2" type="noConversion"/>
  <printOptions horizontalCentered="1"/>
  <pageMargins left="0.39370078740157483" right="0.39370078740157483" top="0.74803149606299213" bottom="0.19685039370078741" header="0.31496062992125984" footer="0.15748031496062992"/>
  <pageSetup paperSize="9" scale="84" orientation="portrait" r:id="rId1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539011-848A-4760-972E-8F44ED36B241}">
  <dimension ref="A1:N47"/>
  <sheetViews>
    <sheetView view="pageBreakPreview" topLeftCell="A22" zoomScaleSheetLayoutView="100" workbookViewId="0">
      <selection activeCell="C17" sqref="C17:F20"/>
    </sheetView>
  </sheetViews>
  <sheetFormatPr defaultColWidth="8.88671875" defaultRowHeight="13.5" x14ac:dyDescent="0.15"/>
  <cols>
    <col min="1" max="1" width="8.44140625" style="3" customWidth="1"/>
    <col min="2" max="2" width="14.77734375" style="3" customWidth="1"/>
    <col min="3" max="3" width="4.109375" style="3" customWidth="1"/>
    <col min="4" max="4" width="15.21875" style="3" customWidth="1"/>
    <col min="5" max="5" width="4.44140625" style="3" customWidth="1"/>
    <col min="6" max="6" width="4" style="3" customWidth="1"/>
    <col min="7" max="7" width="5.5546875" style="3" customWidth="1"/>
    <col min="8" max="8" width="5.44140625" style="3" customWidth="1"/>
    <col min="9" max="9" width="7.88671875" style="3" customWidth="1"/>
    <col min="10" max="10" width="7.109375" style="3" customWidth="1"/>
    <col min="11" max="11" width="7.21875" style="3" customWidth="1"/>
    <col min="12" max="12" width="6.77734375" style="3" customWidth="1"/>
    <col min="13" max="16384" width="8.88671875" style="3"/>
  </cols>
  <sheetData>
    <row r="1" spans="1:14" ht="18.75" customHeight="1" x14ac:dyDescent="0.15">
      <c r="A1" s="101" t="s">
        <v>0</v>
      </c>
      <c r="B1" s="102"/>
      <c r="C1" s="102"/>
      <c r="D1" s="102"/>
      <c r="E1" s="102"/>
      <c r="F1" s="102"/>
      <c r="G1" s="103"/>
      <c r="H1" s="107" t="s">
        <v>1</v>
      </c>
      <c r="I1" s="1" t="s">
        <v>2</v>
      </c>
      <c r="J1" s="1" t="s">
        <v>2</v>
      </c>
      <c r="K1" s="1" t="s">
        <v>3</v>
      </c>
      <c r="L1" s="2" t="s">
        <v>4</v>
      </c>
    </row>
    <row r="2" spans="1:14" ht="13.5" customHeight="1" x14ac:dyDescent="0.15">
      <c r="A2" s="104"/>
      <c r="B2" s="105"/>
      <c r="C2" s="105"/>
      <c r="D2" s="105"/>
      <c r="E2" s="105"/>
      <c r="F2" s="105"/>
      <c r="G2" s="106"/>
      <c r="H2" s="108"/>
      <c r="I2" s="110"/>
      <c r="J2" s="110"/>
      <c r="K2" s="110"/>
      <c r="L2" s="98"/>
    </row>
    <row r="3" spans="1:14" ht="13.5" customHeight="1" x14ac:dyDescent="0.15">
      <c r="A3" s="104"/>
      <c r="B3" s="105"/>
      <c r="C3" s="105"/>
      <c r="D3" s="105"/>
      <c r="E3" s="105"/>
      <c r="F3" s="105"/>
      <c r="G3" s="106"/>
      <c r="H3" s="108"/>
      <c r="I3" s="108"/>
      <c r="J3" s="108"/>
      <c r="K3" s="108"/>
      <c r="L3" s="99"/>
    </row>
    <row r="4" spans="1:14" ht="33" customHeight="1" x14ac:dyDescent="0.15">
      <c r="A4" s="4"/>
      <c r="B4" s="5"/>
      <c r="C4" s="5"/>
      <c r="D4" s="5"/>
      <c r="E4" s="5"/>
      <c r="F4" s="5"/>
      <c r="G4" s="5"/>
      <c r="H4" s="109"/>
      <c r="I4" s="109"/>
      <c r="J4" s="109"/>
      <c r="K4" s="109"/>
      <c r="L4" s="100"/>
    </row>
    <row r="5" spans="1:14" ht="17.25" customHeight="1" x14ac:dyDescent="0.15">
      <c r="A5" s="6" t="s">
        <v>5</v>
      </c>
      <c r="B5" s="87">
        <v>46133</v>
      </c>
      <c r="C5" s="88"/>
      <c r="D5" s="88"/>
      <c r="E5" s="88"/>
      <c r="F5" s="88"/>
      <c r="G5" s="88"/>
      <c r="H5" s="5"/>
      <c r="I5" s="5"/>
      <c r="J5" s="5"/>
      <c r="K5" s="5"/>
      <c r="L5" s="7"/>
    </row>
    <row r="6" spans="1:14" ht="13.5" customHeight="1" x14ac:dyDescent="0.15">
      <c r="A6" s="89" t="s">
        <v>6</v>
      </c>
      <c r="B6" s="91" t="s">
        <v>7</v>
      </c>
      <c r="C6" s="91" t="s">
        <v>8</v>
      </c>
      <c r="D6" s="91" t="s">
        <v>9</v>
      </c>
      <c r="E6" s="93" t="s">
        <v>10</v>
      </c>
      <c r="F6" s="93" t="s">
        <v>11</v>
      </c>
      <c r="G6" s="95" t="s">
        <v>12</v>
      </c>
      <c r="H6" s="96"/>
      <c r="I6" s="96"/>
      <c r="J6" s="96"/>
      <c r="K6" s="97"/>
      <c r="L6" s="83" t="s">
        <v>13</v>
      </c>
    </row>
    <row r="7" spans="1:14" x14ac:dyDescent="0.15">
      <c r="A7" s="90"/>
      <c r="B7" s="92"/>
      <c r="C7" s="92"/>
      <c r="D7" s="92"/>
      <c r="E7" s="94"/>
      <c r="F7" s="94"/>
      <c r="G7" s="8" t="s">
        <v>14</v>
      </c>
      <c r="H7" s="8" t="s">
        <v>15</v>
      </c>
      <c r="I7" s="8" t="s">
        <v>16</v>
      </c>
      <c r="J7" s="8" t="s">
        <v>17</v>
      </c>
      <c r="K7" s="8" t="s">
        <v>18</v>
      </c>
      <c r="L7" s="84"/>
    </row>
    <row r="8" spans="1:14" s="15" customFormat="1" ht="20.25" customHeight="1" x14ac:dyDescent="0.15">
      <c r="A8" s="60" t="s">
        <v>2065</v>
      </c>
      <c r="B8" s="9" t="s">
        <v>138</v>
      </c>
      <c r="C8" s="58" t="s">
        <v>29</v>
      </c>
      <c r="D8" s="11" t="s">
        <v>403</v>
      </c>
      <c r="E8" s="10">
        <v>24</v>
      </c>
      <c r="F8" s="58"/>
      <c r="G8" s="12">
        <v>1662</v>
      </c>
      <c r="H8" s="12">
        <v>1890</v>
      </c>
      <c r="I8" s="17">
        <v>6</v>
      </c>
      <c r="J8" s="18">
        <v>6</v>
      </c>
      <c r="K8" s="19">
        <f>+M8*N8</f>
        <v>205.16760000000002</v>
      </c>
      <c r="L8" s="14"/>
      <c r="M8" s="15">
        <v>18.84</v>
      </c>
      <c r="N8" s="15">
        <v>10.89</v>
      </c>
    </row>
    <row r="9" spans="1:14" s="15" customFormat="1" ht="20.25" customHeight="1" x14ac:dyDescent="0.15">
      <c r="A9" s="60" t="s">
        <v>2066</v>
      </c>
      <c r="B9" s="9" t="s">
        <v>138</v>
      </c>
      <c r="C9" s="58" t="s">
        <v>29</v>
      </c>
      <c r="D9" s="11" t="s">
        <v>403</v>
      </c>
      <c r="E9" s="10">
        <v>24</v>
      </c>
      <c r="F9" s="58"/>
      <c r="G9" s="12">
        <v>1662</v>
      </c>
      <c r="H9" s="12">
        <v>1890</v>
      </c>
      <c r="I9" s="17">
        <v>10</v>
      </c>
      <c r="J9" s="18">
        <v>10</v>
      </c>
      <c r="K9" s="19">
        <f t="shared" ref="K9:K20" si="0">+M9*N9</f>
        <v>341.94600000000003</v>
      </c>
      <c r="L9" s="14"/>
      <c r="M9" s="15">
        <v>31.4</v>
      </c>
      <c r="N9" s="15">
        <v>10.89</v>
      </c>
    </row>
    <row r="10" spans="1:14" s="15" customFormat="1" ht="20.25" customHeight="1" x14ac:dyDescent="0.15">
      <c r="A10" s="60" t="s">
        <v>2067</v>
      </c>
      <c r="B10" s="9" t="s">
        <v>1950</v>
      </c>
      <c r="C10" s="58" t="s">
        <v>29</v>
      </c>
      <c r="D10" s="11" t="s">
        <v>224</v>
      </c>
      <c r="E10" s="10">
        <v>22</v>
      </c>
      <c r="F10" s="58" t="s">
        <v>11</v>
      </c>
      <c r="G10" s="12">
        <v>1719</v>
      </c>
      <c r="H10" s="12">
        <v>1820</v>
      </c>
      <c r="I10" s="17" t="s">
        <v>2068</v>
      </c>
      <c r="J10" s="18">
        <v>35</v>
      </c>
      <c r="K10" s="19">
        <f t="shared" si="0"/>
        <v>478.61550000000005</v>
      </c>
      <c r="L10" s="14"/>
      <c r="M10" s="15">
        <v>43.95</v>
      </c>
      <c r="N10" s="15">
        <v>10.89</v>
      </c>
    </row>
    <row r="11" spans="1:14" s="15" customFormat="1" ht="20.25" customHeight="1" x14ac:dyDescent="0.15">
      <c r="A11" s="60"/>
      <c r="B11" s="9"/>
      <c r="C11" s="58" t="s">
        <v>29</v>
      </c>
      <c r="D11" s="11" t="s">
        <v>201</v>
      </c>
      <c r="E11" s="10">
        <v>22</v>
      </c>
      <c r="F11" s="58"/>
      <c r="G11" s="12">
        <v>705</v>
      </c>
      <c r="H11" s="12">
        <v>1820</v>
      </c>
      <c r="I11" s="17">
        <v>10</v>
      </c>
      <c r="J11" s="18">
        <v>10</v>
      </c>
      <c r="K11" s="19">
        <f t="shared" si="0"/>
        <v>139.39200000000002</v>
      </c>
      <c r="L11" s="14"/>
      <c r="M11" s="15">
        <v>12.8</v>
      </c>
      <c r="N11" s="15">
        <v>10.89</v>
      </c>
    </row>
    <row r="12" spans="1:14" s="15" customFormat="1" ht="20.25" customHeight="1" x14ac:dyDescent="0.15">
      <c r="A12" s="60" t="s">
        <v>2038</v>
      </c>
      <c r="B12" s="9" t="s">
        <v>1304</v>
      </c>
      <c r="C12" s="58" t="s">
        <v>29</v>
      </c>
      <c r="D12" s="11" t="s">
        <v>2040</v>
      </c>
      <c r="E12" s="10">
        <v>28</v>
      </c>
      <c r="F12" s="58"/>
      <c r="G12" s="12">
        <v>1427</v>
      </c>
      <c r="H12" s="12">
        <v>735</v>
      </c>
      <c r="I12" s="17">
        <v>1</v>
      </c>
      <c r="J12" s="18">
        <v>1</v>
      </c>
      <c r="K12" s="19">
        <f t="shared" si="0"/>
        <v>11.434500000000002</v>
      </c>
      <c r="L12" s="14"/>
      <c r="M12" s="15">
        <v>1.05</v>
      </c>
      <c r="N12" s="15">
        <v>10.89</v>
      </c>
    </row>
    <row r="13" spans="1:14" s="15" customFormat="1" ht="20.25" customHeight="1" x14ac:dyDescent="0.15">
      <c r="A13" s="60"/>
      <c r="B13" s="9"/>
      <c r="C13" s="58" t="s">
        <v>29</v>
      </c>
      <c r="D13" s="11" t="s">
        <v>2069</v>
      </c>
      <c r="E13" s="10">
        <v>28</v>
      </c>
      <c r="F13" s="58" t="s">
        <v>11</v>
      </c>
      <c r="G13" s="12">
        <v>1427</v>
      </c>
      <c r="H13" s="12">
        <v>1185</v>
      </c>
      <c r="I13" s="17" t="s">
        <v>2070</v>
      </c>
      <c r="J13" s="18">
        <v>58</v>
      </c>
      <c r="K13" s="19">
        <f t="shared" si="0"/>
        <v>661.45860000000005</v>
      </c>
      <c r="L13" s="14"/>
      <c r="M13" s="15">
        <v>60.74</v>
      </c>
      <c r="N13" s="15">
        <v>10.89</v>
      </c>
    </row>
    <row r="14" spans="1:14" s="15" customFormat="1" ht="20.25" customHeight="1" x14ac:dyDescent="0.15">
      <c r="A14" s="60" t="s">
        <v>2071</v>
      </c>
      <c r="B14" s="9" t="s">
        <v>1304</v>
      </c>
      <c r="C14" s="58" t="s">
        <v>29</v>
      </c>
      <c r="D14" s="11" t="s">
        <v>2040</v>
      </c>
      <c r="E14" s="10">
        <v>28</v>
      </c>
      <c r="F14" s="58"/>
      <c r="G14" s="12">
        <v>1427</v>
      </c>
      <c r="H14" s="12">
        <v>1250</v>
      </c>
      <c r="I14" s="17" t="s">
        <v>2072</v>
      </c>
      <c r="J14" s="18">
        <v>80</v>
      </c>
      <c r="K14" s="19">
        <f t="shared" si="0"/>
        <v>957.23100000000011</v>
      </c>
      <c r="L14" s="20"/>
      <c r="M14" s="15">
        <v>87.9</v>
      </c>
      <c r="N14" s="15">
        <v>10.89</v>
      </c>
    </row>
    <row r="15" spans="1:14" s="15" customFormat="1" ht="20.25" customHeight="1" x14ac:dyDescent="0.15">
      <c r="A15" s="60"/>
      <c r="B15" s="9"/>
      <c r="C15" s="58" t="s">
        <v>29</v>
      </c>
      <c r="D15" s="11" t="s">
        <v>2069</v>
      </c>
      <c r="E15" s="10">
        <v>28</v>
      </c>
      <c r="F15" s="58" t="s">
        <v>11</v>
      </c>
      <c r="G15" s="12">
        <v>1427</v>
      </c>
      <c r="H15" s="12">
        <v>1427</v>
      </c>
      <c r="I15" s="17" t="s">
        <v>2073</v>
      </c>
      <c r="J15" s="18">
        <v>9</v>
      </c>
      <c r="K15" s="19">
        <f t="shared" si="0"/>
        <v>176.09130000000002</v>
      </c>
      <c r="L15" s="20"/>
      <c r="M15" s="15">
        <v>16.170000000000002</v>
      </c>
      <c r="N15" s="15">
        <v>10.89</v>
      </c>
    </row>
    <row r="16" spans="1:14" s="15" customFormat="1" ht="20.25" customHeight="1" x14ac:dyDescent="0.15">
      <c r="A16" s="60"/>
      <c r="B16" s="9"/>
      <c r="C16" s="58" t="s">
        <v>29</v>
      </c>
      <c r="D16" s="11" t="s">
        <v>2041</v>
      </c>
      <c r="E16" s="10">
        <v>28</v>
      </c>
      <c r="F16" s="58" t="s">
        <v>11</v>
      </c>
      <c r="G16" s="12">
        <v>1427</v>
      </c>
      <c r="H16" s="12">
        <v>1635</v>
      </c>
      <c r="I16" s="17" t="s">
        <v>2074</v>
      </c>
      <c r="J16" s="18">
        <v>38</v>
      </c>
      <c r="K16" s="19">
        <f t="shared" si="0"/>
        <v>962.24040000000002</v>
      </c>
      <c r="L16" s="20"/>
      <c r="M16" s="15">
        <v>88.36</v>
      </c>
      <c r="N16" s="15">
        <v>10.89</v>
      </c>
    </row>
    <row r="17" spans="1:14" s="15" customFormat="1" ht="20.25" customHeight="1" x14ac:dyDescent="0.15">
      <c r="A17" s="60"/>
      <c r="B17" s="9"/>
      <c r="C17" s="58"/>
      <c r="D17" s="11"/>
      <c r="E17" s="10"/>
      <c r="F17" s="58"/>
      <c r="G17" s="12"/>
      <c r="H17" s="12"/>
      <c r="I17" s="17"/>
      <c r="J17" s="18"/>
      <c r="K17" s="19">
        <f t="shared" si="0"/>
        <v>0</v>
      </c>
      <c r="L17" s="20"/>
      <c r="N17" s="15">
        <v>10.89</v>
      </c>
    </row>
    <row r="18" spans="1:14" s="15" customFormat="1" ht="20.25" customHeight="1" x14ac:dyDescent="0.15">
      <c r="A18" s="60"/>
      <c r="B18" s="9"/>
      <c r="C18" s="58"/>
      <c r="D18" s="11"/>
      <c r="E18" s="10"/>
      <c r="F18" s="58"/>
      <c r="G18" s="50"/>
      <c r="H18" s="50"/>
      <c r="I18" s="17"/>
      <c r="J18" s="18"/>
      <c r="K18" s="19">
        <f t="shared" si="0"/>
        <v>0</v>
      </c>
      <c r="L18" s="20"/>
      <c r="N18" s="15">
        <v>10.89</v>
      </c>
    </row>
    <row r="19" spans="1:14" s="15" customFormat="1" ht="20.25" customHeight="1" x14ac:dyDescent="0.15">
      <c r="A19" s="60"/>
      <c r="B19" s="9"/>
      <c r="C19" s="58"/>
      <c r="D19" s="11"/>
      <c r="E19" s="10"/>
      <c r="F19" s="58"/>
      <c r="G19" s="50"/>
      <c r="H19" s="50"/>
      <c r="I19" s="17"/>
      <c r="J19" s="18"/>
      <c r="K19" s="19">
        <f t="shared" si="0"/>
        <v>0</v>
      </c>
      <c r="L19" s="20"/>
      <c r="N19" s="15">
        <v>10.89</v>
      </c>
    </row>
    <row r="20" spans="1:14" ht="20.25" customHeight="1" x14ac:dyDescent="0.15">
      <c r="A20" s="60"/>
      <c r="B20" s="9"/>
      <c r="C20" s="58"/>
      <c r="D20" s="11"/>
      <c r="E20" s="10"/>
      <c r="F20" s="58"/>
      <c r="G20" s="16"/>
      <c r="H20" s="16"/>
      <c r="I20" s="17"/>
      <c r="J20" s="18"/>
      <c r="K20" s="19">
        <f t="shared" si="0"/>
        <v>0</v>
      </c>
      <c r="L20" s="20"/>
      <c r="N20" s="15">
        <v>10.89</v>
      </c>
    </row>
    <row r="21" spans="1:14" ht="20.25" customHeight="1" thickBot="1" x14ac:dyDescent="0.2">
      <c r="A21" s="56"/>
      <c r="B21" s="21"/>
      <c r="C21" s="59"/>
      <c r="D21" s="22"/>
      <c r="E21" s="23"/>
      <c r="F21" s="23"/>
      <c r="G21" s="24"/>
      <c r="H21" s="24"/>
      <c r="I21" s="25"/>
      <c r="J21" s="46">
        <f>SUM(J8:J20)</f>
        <v>247</v>
      </c>
      <c r="K21" s="47">
        <f>SUM(K8:K20)</f>
        <v>3933.5769000000005</v>
      </c>
      <c r="L21" s="26"/>
    </row>
    <row r="22" spans="1:14" ht="20.25" customHeight="1" thickTop="1" x14ac:dyDescent="0.15">
      <c r="A22" s="60" t="s">
        <v>2075</v>
      </c>
      <c r="B22" s="9" t="s">
        <v>138</v>
      </c>
      <c r="C22" s="58" t="s">
        <v>29</v>
      </c>
      <c r="D22" s="11" t="s">
        <v>403</v>
      </c>
      <c r="E22" s="10">
        <v>24</v>
      </c>
      <c r="F22" s="58"/>
      <c r="G22" s="12">
        <v>1662</v>
      </c>
      <c r="H22" s="12">
        <v>1890</v>
      </c>
      <c r="I22" s="17">
        <v>10</v>
      </c>
      <c r="J22" s="18">
        <v>10</v>
      </c>
      <c r="K22" s="19">
        <f t="shared" ref="K22:K40" si="1">+M22*N22</f>
        <v>341.94600000000003</v>
      </c>
      <c r="L22" s="54"/>
      <c r="M22" s="3">
        <v>31.4</v>
      </c>
      <c r="N22" s="15">
        <v>10.89</v>
      </c>
    </row>
    <row r="23" spans="1:14" ht="20.25" customHeight="1" x14ac:dyDescent="0.15">
      <c r="A23" s="60" t="s">
        <v>2031</v>
      </c>
      <c r="B23" s="9" t="s">
        <v>138</v>
      </c>
      <c r="C23" s="58" t="s">
        <v>29</v>
      </c>
      <c r="D23" s="11" t="s">
        <v>403</v>
      </c>
      <c r="E23" s="10">
        <v>24</v>
      </c>
      <c r="F23" s="58"/>
      <c r="G23" s="12">
        <v>1662</v>
      </c>
      <c r="H23" s="12">
        <v>1890</v>
      </c>
      <c r="I23" s="17">
        <v>10</v>
      </c>
      <c r="J23" s="18">
        <v>10</v>
      </c>
      <c r="K23" s="19">
        <f t="shared" si="1"/>
        <v>341.94600000000003</v>
      </c>
      <c r="L23" s="54"/>
      <c r="M23" s="3">
        <v>31.4</v>
      </c>
      <c r="N23" s="15">
        <v>10.89</v>
      </c>
    </row>
    <row r="24" spans="1:14" ht="20.25" customHeight="1" x14ac:dyDescent="0.15">
      <c r="A24" s="61" t="s">
        <v>2051</v>
      </c>
      <c r="B24" s="9" t="s">
        <v>173</v>
      </c>
      <c r="C24" s="58" t="s">
        <v>29</v>
      </c>
      <c r="D24" s="11" t="s">
        <v>188</v>
      </c>
      <c r="E24" s="10">
        <v>22</v>
      </c>
      <c r="F24" s="10"/>
      <c r="G24" s="12">
        <v>1665</v>
      </c>
      <c r="H24" s="12">
        <v>1238</v>
      </c>
      <c r="I24" s="17" t="s">
        <v>2076</v>
      </c>
      <c r="J24" s="18">
        <v>16</v>
      </c>
      <c r="K24" s="19">
        <f t="shared" si="1"/>
        <v>245.67840000000001</v>
      </c>
      <c r="L24" s="54"/>
      <c r="M24" s="3">
        <v>22.56</v>
      </c>
      <c r="N24" s="15">
        <v>10.89</v>
      </c>
    </row>
    <row r="25" spans="1:14" ht="20.25" customHeight="1" x14ac:dyDescent="0.15">
      <c r="A25" s="61" t="s">
        <v>2054</v>
      </c>
      <c r="B25" s="9" t="s">
        <v>173</v>
      </c>
      <c r="C25" s="58" t="s">
        <v>29</v>
      </c>
      <c r="D25" s="11" t="s">
        <v>188</v>
      </c>
      <c r="E25" s="10">
        <v>22</v>
      </c>
      <c r="F25" s="10"/>
      <c r="G25" s="12">
        <v>1665</v>
      </c>
      <c r="H25" s="12">
        <v>1238</v>
      </c>
      <c r="I25" s="17" t="s">
        <v>2077</v>
      </c>
      <c r="J25" s="18">
        <v>7</v>
      </c>
      <c r="K25" s="19">
        <f t="shared" si="1"/>
        <v>100.40580000000001</v>
      </c>
      <c r="L25" s="54"/>
      <c r="M25" s="3">
        <v>9.2200000000000006</v>
      </c>
      <c r="N25" s="15">
        <v>10.89</v>
      </c>
    </row>
    <row r="26" spans="1:14" ht="20.25" customHeight="1" x14ac:dyDescent="0.15">
      <c r="A26" s="61" t="s">
        <v>2057</v>
      </c>
      <c r="B26" s="9" t="s">
        <v>173</v>
      </c>
      <c r="C26" s="58" t="s">
        <v>29</v>
      </c>
      <c r="D26" s="11" t="s">
        <v>188</v>
      </c>
      <c r="E26" s="10">
        <v>22</v>
      </c>
      <c r="F26" s="10"/>
      <c r="G26" s="12">
        <v>1440</v>
      </c>
      <c r="H26" s="12">
        <v>1238</v>
      </c>
      <c r="I26" s="17" t="s">
        <v>2050</v>
      </c>
      <c r="J26" s="18">
        <v>12</v>
      </c>
      <c r="K26" s="19">
        <f t="shared" si="1"/>
        <v>143.74799999999999</v>
      </c>
      <c r="L26" s="54"/>
      <c r="M26" s="3">
        <v>13.2</v>
      </c>
      <c r="N26" s="15">
        <v>10.89</v>
      </c>
    </row>
    <row r="27" spans="1:14" ht="20.25" customHeight="1" x14ac:dyDescent="0.15">
      <c r="A27" s="61" t="s">
        <v>2078</v>
      </c>
      <c r="B27" s="9" t="s">
        <v>1950</v>
      </c>
      <c r="C27" s="58" t="s">
        <v>29</v>
      </c>
      <c r="D27" s="11" t="s">
        <v>224</v>
      </c>
      <c r="E27" s="10">
        <v>22</v>
      </c>
      <c r="F27" s="58" t="s">
        <v>11</v>
      </c>
      <c r="G27" s="12">
        <v>1719</v>
      </c>
      <c r="H27" s="12">
        <v>1820</v>
      </c>
      <c r="I27" s="51" t="s">
        <v>2079</v>
      </c>
      <c r="J27" s="52">
        <v>75</v>
      </c>
      <c r="K27" s="53">
        <f t="shared" si="1"/>
        <v>627.80849999999998</v>
      </c>
      <c r="L27" s="54"/>
      <c r="M27" s="3">
        <v>57.65</v>
      </c>
      <c r="N27" s="15">
        <v>10.89</v>
      </c>
    </row>
    <row r="28" spans="1:14" ht="20.25" customHeight="1" x14ac:dyDescent="0.15">
      <c r="A28" s="61"/>
      <c r="B28" s="9"/>
      <c r="C28" s="58" t="s">
        <v>29</v>
      </c>
      <c r="D28" s="11" t="s">
        <v>201</v>
      </c>
      <c r="E28" s="10">
        <v>22</v>
      </c>
      <c r="F28" s="10"/>
      <c r="G28" s="12">
        <v>405</v>
      </c>
      <c r="H28" s="12">
        <v>950</v>
      </c>
      <c r="I28" s="51">
        <v>10</v>
      </c>
      <c r="J28" s="52">
        <v>10</v>
      </c>
      <c r="K28" s="53">
        <f t="shared" si="1"/>
        <v>41.381999999999998</v>
      </c>
      <c r="L28" s="54"/>
      <c r="M28" s="3">
        <v>3.8</v>
      </c>
      <c r="N28" s="15">
        <v>10.89</v>
      </c>
    </row>
    <row r="29" spans="1:14" ht="20.25" customHeight="1" x14ac:dyDescent="0.15">
      <c r="A29" s="60" t="s">
        <v>2080</v>
      </c>
      <c r="B29" s="9" t="s">
        <v>1950</v>
      </c>
      <c r="C29" s="58" t="s">
        <v>29</v>
      </c>
      <c r="D29" s="11" t="s">
        <v>224</v>
      </c>
      <c r="E29" s="10">
        <v>22</v>
      </c>
      <c r="F29" s="58" t="s">
        <v>11</v>
      </c>
      <c r="G29" s="12">
        <v>1719</v>
      </c>
      <c r="H29" s="12">
        <v>1820</v>
      </c>
      <c r="I29" s="17" t="s">
        <v>2081</v>
      </c>
      <c r="J29" s="18">
        <v>60</v>
      </c>
      <c r="K29" s="19">
        <f t="shared" si="1"/>
        <v>502.24680000000001</v>
      </c>
      <c r="L29" s="27"/>
      <c r="M29" s="3">
        <v>46.12</v>
      </c>
      <c r="N29" s="15">
        <v>10.89</v>
      </c>
    </row>
    <row r="30" spans="1:14" ht="20.25" customHeight="1" x14ac:dyDescent="0.15">
      <c r="A30" s="60"/>
      <c r="B30" s="9"/>
      <c r="C30" s="58" t="s">
        <v>29</v>
      </c>
      <c r="D30" s="11" t="s">
        <v>201</v>
      </c>
      <c r="E30" s="10">
        <v>22</v>
      </c>
      <c r="F30" s="10"/>
      <c r="G30" s="12">
        <v>705</v>
      </c>
      <c r="H30" s="12">
        <v>1820</v>
      </c>
      <c r="I30" s="17" t="s">
        <v>2076</v>
      </c>
      <c r="J30" s="18">
        <v>16</v>
      </c>
      <c r="K30" s="19">
        <f t="shared" si="1"/>
        <v>144.61920000000001</v>
      </c>
      <c r="L30" s="27"/>
      <c r="M30" s="3">
        <v>13.28</v>
      </c>
      <c r="N30" s="15">
        <v>10.89</v>
      </c>
    </row>
    <row r="31" spans="1:14" ht="20.25" customHeight="1" x14ac:dyDescent="0.15">
      <c r="A31" s="60" t="s">
        <v>2082</v>
      </c>
      <c r="B31" s="9" t="s">
        <v>1950</v>
      </c>
      <c r="C31" s="58" t="s">
        <v>29</v>
      </c>
      <c r="D31" s="11" t="s">
        <v>224</v>
      </c>
      <c r="E31" s="10">
        <v>22</v>
      </c>
      <c r="F31" s="58" t="s">
        <v>11</v>
      </c>
      <c r="G31" s="12">
        <v>1719</v>
      </c>
      <c r="H31" s="12">
        <v>1820</v>
      </c>
      <c r="I31" s="17" t="s">
        <v>2079</v>
      </c>
      <c r="J31" s="18">
        <v>75</v>
      </c>
      <c r="K31" s="19">
        <f t="shared" si="1"/>
        <v>653.94449999999995</v>
      </c>
      <c r="L31" s="27"/>
      <c r="M31" s="3">
        <v>60.05</v>
      </c>
      <c r="N31" s="15">
        <v>10.89</v>
      </c>
    </row>
    <row r="32" spans="1:14" ht="20.25" customHeight="1" x14ac:dyDescent="0.15">
      <c r="A32" s="60"/>
      <c r="B32" s="9"/>
      <c r="C32" s="58" t="s">
        <v>29</v>
      </c>
      <c r="D32" s="11" t="s">
        <v>201</v>
      </c>
      <c r="E32" s="10">
        <v>22</v>
      </c>
      <c r="F32" s="10"/>
      <c r="G32" s="12">
        <v>405</v>
      </c>
      <c r="H32" s="12">
        <v>950</v>
      </c>
      <c r="I32" s="17">
        <v>10</v>
      </c>
      <c r="J32" s="18">
        <v>10</v>
      </c>
      <c r="K32" s="19">
        <f t="shared" si="1"/>
        <v>41.381999999999998</v>
      </c>
      <c r="L32" s="27"/>
      <c r="M32" s="3">
        <v>3.8</v>
      </c>
      <c r="N32" s="15">
        <v>10.89</v>
      </c>
    </row>
    <row r="33" spans="1:14" ht="20.25" customHeight="1" x14ac:dyDescent="0.15">
      <c r="A33" s="60" t="s">
        <v>2083</v>
      </c>
      <c r="B33" s="9" t="s">
        <v>1761</v>
      </c>
      <c r="C33" s="58" t="s">
        <v>29</v>
      </c>
      <c r="D33" s="11" t="s">
        <v>1763</v>
      </c>
      <c r="E33" s="10">
        <v>43</v>
      </c>
      <c r="F33" s="10" t="s">
        <v>11</v>
      </c>
      <c r="G33" s="12">
        <v>497</v>
      </c>
      <c r="H33" s="12">
        <v>290</v>
      </c>
      <c r="I33" s="17">
        <v>1</v>
      </c>
      <c r="J33" s="18">
        <v>1</v>
      </c>
      <c r="K33" s="19">
        <f t="shared" si="1"/>
        <v>3.0492000000000004</v>
      </c>
      <c r="L33" s="27"/>
      <c r="M33" s="3">
        <v>0.28000000000000003</v>
      </c>
      <c r="N33" s="15">
        <v>10.89</v>
      </c>
    </row>
    <row r="34" spans="1:14" s="15" customFormat="1" ht="20.25" customHeight="1" x14ac:dyDescent="0.15">
      <c r="A34" s="60" t="s">
        <v>2084</v>
      </c>
      <c r="B34" s="9" t="s">
        <v>1175</v>
      </c>
      <c r="C34" s="58" t="s">
        <v>29</v>
      </c>
      <c r="D34" s="11" t="s">
        <v>1176</v>
      </c>
      <c r="E34" s="10">
        <v>39</v>
      </c>
      <c r="F34" s="58" t="s">
        <v>11</v>
      </c>
      <c r="G34" s="12">
        <v>455</v>
      </c>
      <c r="H34" s="12">
        <v>1650</v>
      </c>
      <c r="I34" s="17">
        <v>1</v>
      </c>
      <c r="J34" s="18">
        <v>1</v>
      </c>
      <c r="K34" s="19">
        <f>+M34*N34</f>
        <v>8.1675000000000004</v>
      </c>
      <c r="L34" s="20"/>
      <c r="M34" s="15">
        <v>0.75</v>
      </c>
      <c r="N34" s="15">
        <v>10.89</v>
      </c>
    </row>
    <row r="35" spans="1:14" s="15" customFormat="1" ht="20.25" customHeight="1" x14ac:dyDescent="0.15">
      <c r="A35" s="60" t="s">
        <v>2085</v>
      </c>
      <c r="B35" s="9" t="s">
        <v>2086</v>
      </c>
      <c r="C35" s="58" t="s">
        <v>29</v>
      </c>
      <c r="D35" s="11" t="s">
        <v>2087</v>
      </c>
      <c r="E35" s="10">
        <v>39</v>
      </c>
      <c r="F35" s="58" t="s">
        <v>11</v>
      </c>
      <c r="G35" s="12">
        <v>895</v>
      </c>
      <c r="H35" s="12">
        <v>1705</v>
      </c>
      <c r="I35" s="17" t="s">
        <v>2088</v>
      </c>
      <c r="J35" s="18">
        <v>54</v>
      </c>
      <c r="K35" s="19">
        <f>+M35*N35</f>
        <v>387.57510000000008</v>
      </c>
      <c r="L35" s="20"/>
      <c r="M35" s="15">
        <v>35.590000000000003</v>
      </c>
      <c r="N35" s="15">
        <v>10.89</v>
      </c>
    </row>
    <row r="36" spans="1:14" s="15" customFormat="1" ht="20.25" customHeight="1" x14ac:dyDescent="0.15">
      <c r="A36" s="60" t="s">
        <v>2089</v>
      </c>
      <c r="B36" s="9" t="s">
        <v>187</v>
      </c>
      <c r="C36" s="58" t="s">
        <v>29</v>
      </c>
      <c r="D36" s="11" t="s">
        <v>769</v>
      </c>
      <c r="E36" s="10">
        <v>24</v>
      </c>
      <c r="F36" s="58" t="s">
        <v>11</v>
      </c>
      <c r="G36" s="12">
        <v>970</v>
      </c>
      <c r="H36" s="12">
        <v>2335</v>
      </c>
      <c r="I36" s="17" t="s">
        <v>2090</v>
      </c>
      <c r="J36" s="18">
        <v>41</v>
      </c>
      <c r="K36" s="19">
        <f>+M36*N36</f>
        <v>182.51640000000003</v>
      </c>
      <c r="L36" s="14"/>
      <c r="M36" s="15">
        <v>16.760000000000002</v>
      </c>
      <c r="N36" s="15">
        <v>10.89</v>
      </c>
    </row>
    <row r="37" spans="1:14" ht="20.25" customHeight="1" x14ac:dyDescent="0.15">
      <c r="A37" s="60" t="s">
        <v>2091</v>
      </c>
      <c r="B37" s="9" t="s">
        <v>1175</v>
      </c>
      <c r="C37" s="58" t="s">
        <v>29</v>
      </c>
      <c r="D37" s="11" t="s">
        <v>2092</v>
      </c>
      <c r="E37" s="10">
        <v>24</v>
      </c>
      <c r="F37" s="10" t="s">
        <v>11</v>
      </c>
      <c r="G37" s="12">
        <v>1395</v>
      </c>
      <c r="H37" s="12">
        <v>525</v>
      </c>
      <c r="I37" s="17" t="s">
        <v>2094</v>
      </c>
      <c r="J37" s="18">
        <v>19</v>
      </c>
      <c r="K37" s="19">
        <f t="shared" si="1"/>
        <v>110.7513</v>
      </c>
      <c r="L37" s="27"/>
      <c r="M37" s="3">
        <v>10.17</v>
      </c>
      <c r="N37" s="15">
        <v>10.89</v>
      </c>
    </row>
    <row r="38" spans="1:14" ht="20.25" customHeight="1" x14ac:dyDescent="0.15">
      <c r="A38" s="60"/>
      <c r="B38" s="9"/>
      <c r="C38" s="58" t="s">
        <v>29</v>
      </c>
      <c r="D38" s="11" t="s">
        <v>2093</v>
      </c>
      <c r="E38" s="10">
        <v>24</v>
      </c>
      <c r="F38" s="10" t="s">
        <v>11</v>
      </c>
      <c r="G38" s="12">
        <v>1795</v>
      </c>
      <c r="H38" s="12">
        <v>2135</v>
      </c>
      <c r="I38" s="17" t="s">
        <v>2095</v>
      </c>
      <c r="J38" s="18">
        <v>112</v>
      </c>
      <c r="K38" s="19">
        <f t="shared" si="1"/>
        <v>1798.2657000000002</v>
      </c>
      <c r="L38" s="27"/>
      <c r="M38" s="3">
        <v>165.13</v>
      </c>
      <c r="N38" s="15">
        <v>10.89</v>
      </c>
    </row>
    <row r="39" spans="1:14" ht="20.25" customHeight="1" x14ac:dyDescent="0.15">
      <c r="A39" s="60" t="s">
        <v>2096</v>
      </c>
      <c r="B39" s="9" t="s">
        <v>2062</v>
      </c>
      <c r="C39" s="58" t="s">
        <v>29</v>
      </c>
      <c r="D39" s="11" t="s">
        <v>2063</v>
      </c>
      <c r="E39" s="10">
        <v>43</v>
      </c>
      <c r="F39" s="10" t="s">
        <v>11</v>
      </c>
      <c r="G39" s="12">
        <v>579</v>
      </c>
      <c r="H39" s="12">
        <v>1029</v>
      </c>
      <c r="I39" s="17" t="s">
        <v>2097</v>
      </c>
      <c r="J39" s="18">
        <v>18</v>
      </c>
      <c r="K39" s="19">
        <f t="shared" si="1"/>
        <v>245.4606</v>
      </c>
      <c r="L39" s="27"/>
      <c r="M39" s="3">
        <v>22.54</v>
      </c>
      <c r="N39" s="15">
        <v>10.89</v>
      </c>
    </row>
    <row r="40" spans="1:14" ht="20.25" customHeight="1" x14ac:dyDescent="0.15">
      <c r="A40" s="60" t="s">
        <v>2098</v>
      </c>
      <c r="B40" s="9" t="s">
        <v>1761</v>
      </c>
      <c r="C40" s="58" t="s">
        <v>29</v>
      </c>
      <c r="D40" s="11" t="s">
        <v>1763</v>
      </c>
      <c r="E40" s="10">
        <v>43</v>
      </c>
      <c r="F40" s="10" t="s">
        <v>11</v>
      </c>
      <c r="G40" s="12">
        <v>434</v>
      </c>
      <c r="H40" s="12">
        <v>1158</v>
      </c>
      <c r="I40" s="17">
        <v>1</v>
      </c>
      <c r="J40" s="18">
        <v>1</v>
      </c>
      <c r="K40" s="19">
        <f t="shared" si="1"/>
        <v>5.4450000000000003</v>
      </c>
      <c r="L40" s="27"/>
      <c r="M40" s="3">
        <v>0.5</v>
      </c>
      <c r="N40" s="15">
        <v>10.89</v>
      </c>
    </row>
    <row r="41" spans="1:14" ht="20.25" customHeight="1" x14ac:dyDescent="0.15">
      <c r="A41" s="57"/>
      <c r="B41" s="28"/>
      <c r="C41" s="10"/>
      <c r="D41" s="29"/>
      <c r="E41" s="30"/>
      <c r="F41" s="30"/>
      <c r="G41" s="30"/>
      <c r="H41" s="30"/>
      <c r="I41" s="13"/>
      <c r="J41" s="48">
        <f>SUM(J22:J40)</f>
        <v>548</v>
      </c>
      <c r="K41" s="49">
        <f>SUM(K22:K40)</f>
        <v>5926.3380000000006</v>
      </c>
      <c r="L41" s="31"/>
      <c r="N41" s="32"/>
    </row>
    <row r="42" spans="1:14" ht="20.25" customHeight="1" thickBot="1" x14ac:dyDescent="0.2">
      <c r="A42" s="55"/>
      <c r="B42" s="33"/>
      <c r="C42" s="33"/>
      <c r="D42" s="33"/>
      <c r="E42" s="33"/>
      <c r="F42" s="33"/>
      <c r="G42" s="33"/>
      <c r="H42" s="33"/>
      <c r="I42" s="33"/>
      <c r="J42" s="34"/>
      <c r="K42" s="35"/>
      <c r="L42" s="36"/>
    </row>
    <row r="43" spans="1:14" ht="20.25" customHeight="1" thickBot="1" x14ac:dyDescent="0.2">
      <c r="A43" s="37" t="s">
        <v>19</v>
      </c>
      <c r="B43" s="38" t="s">
        <v>20</v>
      </c>
      <c r="C43" s="77" t="s">
        <v>21</v>
      </c>
      <c r="D43" s="79"/>
      <c r="E43" s="77" t="s">
        <v>22</v>
      </c>
      <c r="F43" s="78"/>
      <c r="G43" s="79"/>
      <c r="H43" s="85" t="s">
        <v>23</v>
      </c>
      <c r="I43" s="86"/>
      <c r="J43" s="77" t="s">
        <v>24</v>
      </c>
      <c r="K43" s="79"/>
      <c r="L43" s="39" t="s">
        <v>13</v>
      </c>
    </row>
    <row r="44" spans="1:14" ht="20.25" customHeight="1" thickBot="1" x14ac:dyDescent="0.2">
      <c r="A44" s="40">
        <f>SUMIF($C$8:$C$42,"U1",$J$8:$J$42)</f>
        <v>0</v>
      </c>
      <c r="B44" s="41">
        <f>SUMIF($C$8:$C$42,"U2",$J$8:$J$42)</f>
        <v>0</v>
      </c>
      <c r="C44" s="77">
        <f>SUMIF($C$8:$C$42,"U3-1",$J$8:$J$42)</f>
        <v>0</v>
      </c>
      <c r="D44" s="79"/>
      <c r="E44" s="77">
        <f>SUMIF($C$8:$C$42,"U3",$J$8:$J$42)</f>
        <v>795</v>
      </c>
      <c r="F44" s="78"/>
      <c r="G44" s="79"/>
      <c r="H44" s="77">
        <f>SUMIF($C$8:$C$42,"E5",$J$8:$J$42)</f>
        <v>0</v>
      </c>
      <c r="I44" s="79"/>
      <c r="J44" s="77">
        <f>SUM(A44:I44)</f>
        <v>795</v>
      </c>
      <c r="K44" s="79"/>
      <c r="L44" s="42"/>
    </row>
    <row r="45" spans="1:14" ht="20.25" customHeight="1" thickBot="1" x14ac:dyDescent="0.2">
      <c r="A45" s="43" t="s">
        <v>25</v>
      </c>
      <c r="B45" s="44" t="s">
        <v>26</v>
      </c>
      <c r="C45" s="75">
        <v>13876</v>
      </c>
      <c r="D45" s="76"/>
      <c r="E45" s="77" t="s">
        <v>27</v>
      </c>
      <c r="F45" s="78"/>
      <c r="G45" s="78"/>
      <c r="H45" s="78"/>
      <c r="I45" s="79"/>
      <c r="J45" s="80">
        <v>146744.37</v>
      </c>
      <c r="K45" s="81"/>
      <c r="L45" s="82"/>
    </row>
    <row r="47" spans="1:14" x14ac:dyDescent="0.15">
      <c r="D47" s="45"/>
    </row>
  </sheetData>
  <mergeCells count="26">
    <mergeCell ref="L2:L4"/>
    <mergeCell ref="A1:G3"/>
    <mergeCell ref="H1:H4"/>
    <mergeCell ref="I2:I4"/>
    <mergeCell ref="J2:J4"/>
    <mergeCell ref="K2:K4"/>
    <mergeCell ref="B5:G5"/>
    <mergeCell ref="A6:A7"/>
    <mergeCell ref="B6:B7"/>
    <mergeCell ref="C6:C7"/>
    <mergeCell ref="D6:D7"/>
    <mergeCell ref="E6:E7"/>
    <mergeCell ref="F6:F7"/>
    <mergeCell ref="G6:K6"/>
    <mergeCell ref="C45:D45"/>
    <mergeCell ref="E45:I45"/>
    <mergeCell ref="J45:L45"/>
    <mergeCell ref="L6:L7"/>
    <mergeCell ref="C43:D43"/>
    <mergeCell ref="E43:G43"/>
    <mergeCell ref="H43:I43"/>
    <mergeCell ref="J43:K43"/>
    <mergeCell ref="C44:D44"/>
    <mergeCell ref="E44:G44"/>
    <mergeCell ref="H44:I44"/>
    <mergeCell ref="J44:K44"/>
  </mergeCells>
  <phoneticPr fontId="2" type="noConversion"/>
  <printOptions horizontalCentered="1"/>
  <pageMargins left="0.39370078740157483" right="0.39370078740157483" top="0.74803149606299213" bottom="0.19685039370078741" header="0.31496062992125984" footer="0.15748031496062992"/>
  <pageSetup paperSize="9" scale="84" orientation="portrait" r:id="rId1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320C31-F07D-48D8-BBDA-B7AA0B49E7C7}">
  <dimension ref="A1:N58"/>
  <sheetViews>
    <sheetView view="pageBreakPreview" zoomScaleSheetLayoutView="100" workbookViewId="0">
      <selection activeCell="B8" sqref="B8:F10"/>
    </sheetView>
  </sheetViews>
  <sheetFormatPr defaultColWidth="8.88671875" defaultRowHeight="13.5" x14ac:dyDescent="0.15"/>
  <cols>
    <col min="1" max="1" width="8.44140625" style="3" customWidth="1"/>
    <col min="2" max="2" width="14.77734375" style="3" customWidth="1"/>
    <col min="3" max="3" width="4.109375" style="3" customWidth="1"/>
    <col min="4" max="4" width="15.21875" style="3" customWidth="1"/>
    <col min="5" max="5" width="4.44140625" style="3" customWidth="1"/>
    <col min="6" max="6" width="4" style="3" customWidth="1"/>
    <col min="7" max="7" width="5.5546875" style="3" customWidth="1"/>
    <col min="8" max="8" width="5.44140625" style="3" customWidth="1"/>
    <col min="9" max="9" width="7.88671875" style="3" customWidth="1"/>
    <col min="10" max="10" width="7.109375" style="3" customWidth="1"/>
    <col min="11" max="11" width="7.21875" style="3" customWidth="1"/>
    <col min="12" max="12" width="6.77734375" style="3" customWidth="1"/>
    <col min="13" max="16384" width="8.88671875" style="3"/>
  </cols>
  <sheetData>
    <row r="1" spans="1:14" ht="18.75" customHeight="1" x14ac:dyDescent="0.15">
      <c r="A1" s="101" t="s">
        <v>0</v>
      </c>
      <c r="B1" s="102"/>
      <c r="C1" s="102"/>
      <c r="D1" s="102"/>
      <c r="E1" s="102"/>
      <c r="F1" s="102"/>
      <c r="G1" s="103"/>
      <c r="H1" s="107" t="s">
        <v>1</v>
      </c>
      <c r="I1" s="1" t="s">
        <v>2</v>
      </c>
      <c r="J1" s="1" t="s">
        <v>2</v>
      </c>
      <c r="K1" s="1" t="s">
        <v>3</v>
      </c>
      <c r="L1" s="2" t="s">
        <v>4</v>
      </c>
    </row>
    <row r="2" spans="1:14" ht="13.5" customHeight="1" x14ac:dyDescent="0.15">
      <c r="A2" s="104"/>
      <c r="B2" s="105"/>
      <c r="C2" s="105"/>
      <c r="D2" s="105"/>
      <c r="E2" s="105"/>
      <c r="F2" s="105"/>
      <c r="G2" s="106"/>
      <c r="H2" s="108"/>
      <c r="I2" s="110"/>
      <c r="J2" s="110"/>
      <c r="K2" s="110"/>
      <c r="L2" s="98"/>
    </row>
    <row r="3" spans="1:14" ht="13.5" customHeight="1" x14ac:dyDescent="0.15">
      <c r="A3" s="104"/>
      <c r="B3" s="105"/>
      <c r="C3" s="105"/>
      <c r="D3" s="105"/>
      <c r="E3" s="105"/>
      <c r="F3" s="105"/>
      <c r="G3" s="106"/>
      <c r="H3" s="108"/>
      <c r="I3" s="108"/>
      <c r="J3" s="108"/>
      <c r="K3" s="108"/>
      <c r="L3" s="99"/>
    </row>
    <row r="4" spans="1:14" ht="33" customHeight="1" x14ac:dyDescent="0.15">
      <c r="A4" s="4"/>
      <c r="B4" s="5"/>
      <c r="C4" s="5"/>
      <c r="D4" s="5"/>
      <c r="E4" s="5"/>
      <c r="F4" s="5"/>
      <c r="G4" s="5"/>
      <c r="H4" s="109"/>
      <c r="I4" s="109"/>
      <c r="J4" s="109"/>
      <c r="K4" s="109"/>
      <c r="L4" s="100"/>
    </row>
    <row r="5" spans="1:14" ht="17.25" customHeight="1" x14ac:dyDescent="0.15">
      <c r="A5" s="6" t="s">
        <v>5</v>
      </c>
      <c r="B5" s="87">
        <v>46134</v>
      </c>
      <c r="C5" s="88"/>
      <c r="D5" s="88"/>
      <c r="E5" s="88"/>
      <c r="F5" s="88"/>
      <c r="G5" s="88"/>
      <c r="H5" s="5"/>
      <c r="I5" s="5"/>
      <c r="J5" s="5"/>
      <c r="K5" s="5"/>
      <c r="L5" s="7"/>
    </row>
    <row r="6" spans="1:14" ht="13.5" customHeight="1" x14ac:dyDescent="0.15">
      <c r="A6" s="89" t="s">
        <v>6</v>
      </c>
      <c r="B6" s="91" t="s">
        <v>7</v>
      </c>
      <c r="C6" s="91" t="s">
        <v>8</v>
      </c>
      <c r="D6" s="91" t="s">
        <v>9</v>
      </c>
      <c r="E6" s="93" t="s">
        <v>10</v>
      </c>
      <c r="F6" s="93" t="s">
        <v>11</v>
      </c>
      <c r="G6" s="95" t="s">
        <v>12</v>
      </c>
      <c r="H6" s="96"/>
      <c r="I6" s="96"/>
      <c r="J6" s="96"/>
      <c r="K6" s="97"/>
      <c r="L6" s="83" t="s">
        <v>13</v>
      </c>
    </row>
    <row r="7" spans="1:14" x14ac:dyDescent="0.15">
      <c r="A7" s="90"/>
      <c r="B7" s="92"/>
      <c r="C7" s="92"/>
      <c r="D7" s="92"/>
      <c r="E7" s="94"/>
      <c r="F7" s="94"/>
      <c r="G7" s="8" t="s">
        <v>14</v>
      </c>
      <c r="H7" s="8" t="s">
        <v>15</v>
      </c>
      <c r="I7" s="8" t="s">
        <v>16</v>
      </c>
      <c r="J7" s="8" t="s">
        <v>17</v>
      </c>
      <c r="K7" s="8" t="s">
        <v>18</v>
      </c>
      <c r="L7" s="84"/>
    </row>
    <row r="8" spans="1:14" s="15" customFormat="1" ht="20.25" customHeight="1" x14ac:dyDescent="0.15">
      <c r="A8" s="60" t="s">
        <v>2067</v>
      </c>
      <c r="B8" s="9" t="s">
        <v>1950</v>
      </c>
      <c r="C8" s="58" t="s">
        <v>29</v>
      </c>
      <c r="D8" s="11" t="s">
        <v>224</v>
      </c>
      <c r="E8" s="10">
        <v>22</v>
      </c>
      <c r="F8" s="58" t="s">
        <v>11</v>
      </c>
      <c r="G8" s="12">
        <v>455</v>
      </c>
      <c r="H8" s="12">
        <v>950</v>
      </c>
      <c r="I8" s="17" t="s">
        <v>2099</v>
      </c>
      <c r="J8" s="18">
        <v>40</v>
      </c>
      <c r="K8" s="19">
        <f>+M8*N8</f>
        <v>149.19300000000001</v>
      </c>
      <c r="L8" s="14"/>
      <c r="M8" s="15">
        <v>13.7</v>
      </c>
      <c r="N8" s="15">
        <v>10.89</v>
      </c>
    </row>
    <row r="9" spans="1:14" s="15" customFormat="1" ht="20.25" customHeight="1" x14ac:dyDescent="0.15">
      <c r="A9" s="60"/>
      <c r="B9" s="9"/>
      <c r="C9" s="58" t="s">
        <v>29</v>
      </c>
      <c r="D9" s="11" t="s">
        <v>217</v>
      </c>
      <c r="E9" s="10">
        <v>22</v>
      </c>
      <c r="F9" s="58" t="s">
        <v>11</v>
      </c>
      <c r="G9" s="12">
        <v>1719</v>
      </c>
      <c r="H9" s="12">
        <v>1820</v>
      </c>
      <c r="I9" s="17" t="s">
        <v>2079</v>
      </c>
      <c r="J9" s="18">
        <v>75</v>
      </c>
      <c r="K9" s="19">
        <f t="shared" ref="K9:K25" si="0">+M9*N9</f>
        <v>627.80849999999998</v>
      </c>
      <c r="L9" s="14"/>
      <c r="M9" s="15">
        <v>57.65</v>
      </c>
      <c r="N9" s="15">
        <v>10.89</v>
      </c>
    </row>
    <row r="10" spans="1:14" s="15" customFormat="1" ht="20.25" customHeight="1" x14ac:dyDescent="0.15">
      <c r="A10" s="60"/>
      <c r="B10" s="9"/>
      <c r="C10" s="58" t="s">
        <v>29</v>
      </c>
      <c r="D10" s="11" t="s">
        <v>201</v>
      </c>
      <c r="E10" s="10">
        <v>22</v>
      </c>
      <c r="F10" s="58"/>
      <c r="G10" s="12">
        <v>405</v>
      </c>
      <c r="H10" s="12">
        <v>950</v>
      </c>
      <c r="I10" s="17">
        <v>10</v>
      </c>
      <c r="J10" s="18">
        <v>10</v>
      </c>
      <c r="K10" s="19">
        <f t="shared" si="0"/>
        <v>41.381999999999998</v>
      </c>
      <c r="L10" s="14"/>
      <c r="M10" s="15">
        <v>3.8</v>
      </c>
      <c r="N10" s="15">
        <v>10.89</v>
      </c>
    </row>
    <row r="11" spans="1:14" s="15" customFormat="1" ht="20.25" customHeight="1" x14ac:dyDescent="0.15">
      <c r="A11" s="60" t="s">
        <v>2071</v>
      </c>
      <c r="B11" s="9" t="s">
        <v>1304</v>
      </c>
      <c r="C11" s="58" t="s">
        <v>29</v>
      </c>
      <c r="D11" s="11" t="s">
        <v>2069</v>
      </c>
      <c r="E11" s="10">
        <v>28</v>
      </c>
      <c r="F11" s="58" t="s">
        <v>11</v>
      </c>
      <c r="G11" s="12">
        <v>1427</v>
      </c>
      <c r="H11" s="12">
        <v>1185</v>
      </c>
      <c r="I11" s="17" t="s">
        <v>2042</v>
      </c>
      <c r="J11" s="18">
        <v>64</v>
      </c>
      <c r="K11" s="19">
        <f t="shared" si="0"/>
        <v>656.88480000000004</v>
      </c>
      <c r="L11" s="14"/>
      <c r="M11" s="15">
        <v>60.32</v>
      </c>
      <c r="N11" s="15">
        <v>10.89</v>
      </c>
    </row>
    <row r="12" spans="1:14" s="15" customFormat="1" ht="20.25" customHeight="1" x14ac:dyDescent="0.15">
      <c r="A12" s="60" t="s">
        <v>2100</v>
      </c>
      <c r="B12" s="9" t="s">
        <v>1944</v>
      </c>
      <c r="C12" s="58" t="s">
        <v>29</v>
      </c>
      <c r="D12" s="11" t="s">
        <v>1946</v>
      </c>
      <c r="E12" s="10">
        <v>24</v>
      </c>
      <c r="F12" s="58" t="s">
        <v>11</v>
      </c>
      <c r="G12" s="12">
        <v>1925</v>
      </c>
      <c r="H12" s="12">
        <v>1925</v>
      </c>
      <c r="I12" s="17" t="s">
        <v>2101</v>
      </c>
      <c r="J12" s="18">
        <v>2</v>
      </c>
      <c r="K12" s="19">
        <f t="shared" si="0"/>
        <v>79.714800000000011</v>
      </c>
      <c r="L12" s="14"/>
      <c r="M12" s="15">
        <v>7.32</v>
      </c>
      <c r="N12" s="15">
        <v>10.89</v>
      </c>
    </row>
    <row r="13" spans="1:14" s="15" customFormat="1" ht="20.25" customHeight="1" x14ac:dyDescent="0.15">
      <c r="A13" s="60" t="s">
        <v>2102</v>
      </c>
      <c r="B13" s="9" t="s">
        <v>2103</v>
      </c>
      <c r="C13" s="58" t="s">
        <v>231</v>
      </c>
      <c r="D13" s="11" t="s">
        <v>2104</v>
      </c>
      <c r="E13" s="10">
        <v>24</v>
      </c>
      <c r="F13" s="58"/>
      <c r="G13" s="12">
        <v>1932</v>
      </c>
      <c r="H13" s="12">
        <v>2980</v>
      </c>
      <c r="I13" s="17">
        <v>1</v>
      </c>
      <c r="J13" s="18">
        <v>1</v>
      </c>
      <c r="K13" s="19">
        <f t="shared" si="0"/>
        <v>62.726399999999998</v>
      </c>
      <c r="L13" s="14"/>
      <c r="M13" s="15">
        <v>5.76</v>
      </c>
      <c r="N13" s="15">
        <v>10.89</v>
      </c>
    </row>
    <row r="14" spans="1:14" s="15" customFormat="1" ht="20.25" customHeight="1" x14ac:dyDescent="0.15">
      <c r="A14" s="60" t="s">
        <v>2105</v>
      </c>
      <c r="B14" s="9" t="s">
        <v>36</v>
      </c>
      <c r="C14" s="58" t="s">
        <v>29</v>
      </c>
      <c r="D14" s="11" t="s">
        <v>195</v>
      </c>
      <c r="E14" s="10">
        <v>22</v>
      </c>
      <c r="F14" s="58"/>
      <c r="G14" s="12">
        <v>625</v>
      </c>
      <c r="H14" s="12">
        <v>2253</v>
      </c>
      <c r="I14" s="17">
        <v>2</v>
      </c>
      <c r="J14" s="18">
        <v>2</v>
      </c>
      <c r="K14" s="19">
        <f t="shared" si="0"/>
        <v>30.709800000000001</v>
      </c>
      <c r="L14" s="20"/>
      <c r="M14" s="15">
        <v>2.82</v>
      </c>
      <c r="N14" s="15">
        <v>10.89</v>
      </c>
    </row>
    <row r="15" spans="1:14" s="15" customFormat="1" ht="20.25" customHeight="1" x14ac:dyDescent="0.15">
      <c r="A15" s="60"/>
      <c r="B15" s="9"/>
      <c r="C15" s="58" t="s">
        <v>231</v>
      </c>
      <c r="D15" s="11" t="s">
        <v>312</v>
      </c>
      <c r="E15" s="10">
        <v>22</v>
      </c>
      <c r="F15" s="58"/>
      <c r="G15" s="12">
        <v>1638</v>
      </c>
      <c r="H15" s="12">
        <v>975</v>
      </c>
      <c r="I15" s="17">
        <v>1</v>
      </c>
      <c r="J15" s="18">
        <v>1</v>
      </c>
      <c r="K15" s="19">
        <f t="shared" si="0"/>
        <v>17.424000000000003</v>
      </c>
      <c r="L15" s="20"/>
      <c r="M15" s="15">
        <v>1.6</v>
      </c>
      <c r="N15" s="15">
        <v>10.89</v>
      </c>
    </row>
    <row r="16" spans="1:14" s="15" customFormat="1" ht="20.25" customHeight="1" x14ac:dyDescent="0.15">
      <c r="A16" s="60" t="s">
        <v>2106</v>
      </c>
      <c r="B16" s="9" t="s">
        <v>1944</v>
      </c>
      <c r="C16" s="58" t="s">
        <v>29</v>
      </c>
      <c r="D16" s="11" t="s">
        <v>1946</v>
      </c>
      <c r="E16" s="10">
        <v>24</v>
      </c>
      <c r="F16" s="58" t="s">
        <v>11</v>
      </c>
      <c r="G16" s="12">
        <v>1059</v>
      </c>
      <c r="H16" s="12">
        <v>2485</v>
      </c>
      <c r="I16" s="17" t="s">
        <v>2108</v>
      </c>
      <c r="J16" s="18">
        <v>11</v>
      </c>
      <c r="K16" s="19">
        <f t="shared" si="0"/>
        <v>146.90610000000001</v>
      </c>
      <c r="L16" s="20"/>
      <c r="M16" s="15">
        <v>13.49</v>
      </c>
      <c r="N16" s="15">
        <v>10.89</v>
      </c>
    </row>
    <row r="17" spans="1:14" s="15" customFormat="1" ht="20.25" customHeight="1" x14ac:dyDescent="0.15">
      <c r="A17" s="60"/>
      <c r="B17" s="9"/>
      <c r="C17" s="58" t="s">
        <v>29</v>
      </c>
      <c r="D17" s="11" t="s">
        <v>1945</v>
      </c>
      <c r="E17" s="10">
        <v>24</v>
      </c>
      <c r="F17" s="58" t="s">
        <v>11</v>
      </c>
      <c r="G17" s="12">
        <v>1059</v>
      </c>
      <c r="H17" s="12">
        <v>585</v>
      </c>
      <c r="I17" s="17" t="s">
        <v>2101</v>
      </c>
      <c r="J17" s="18">
        <v>2</v>
      </c>
      <c r="K17" s="19">
        <f t="shared" si="0"/>
        <v>13.068</v>
      </c>
      <c r="L17" s="20"/>
      <c r="M17" s="15">
        <v>1.2</v>
      </c>
      <c r="N17" s="15">
        <v>10.89</v>
      </c>
    </row>
    <row r="18" spans="1:14" s="15" customFormat="1" ht="20.25" customHeight="1" x14ac:dyDescent="0.15">
      <c r="A18" s="60"/>
      <c r="B18" s="9"/>
      <c r="C18" s="58" t="s">
        <v>29</v>
      </c>
      <c r="D18" s="11" t="s">
        <v>2107</v>
      </c>
      <c r="E18" s="10">
        <v>24</v>
      </c>
      <c r="F18" s="58" t="s">
        <v>11</v>
      </c>
      <c r="G18" s="12">
        <v>1067</v>
      </c>
      <c r="H18" s="12">
        <v>2485</v>
      </c>
      <c r="I18" s="17" t="s">
        <v>2101</v>
      </c>
      <c r="J18" s="18">
        <v>2</v>
      </c>
      <c r="K18" s="19">
        <f t="shared" si="0"/>
        <v>37.679400000000001</v>
      </c>
      <c r="L18" s="20"/>
      <c r="M18" s="15">
        <v>3.46</v>
      </c>
      <c r="N18" s="15">
        <v>10.89</v>
      </c>
    </row>
    <row r="19" spans="1:14" s="15" customFormat="1" ht="20.25" customHeight="1" x14ac:dyDescent="0.15">
      <c r="A19" s="60" t="s">
        <v>2109</v>
      </c>
      <c r="B19" s="9" t="s">
        <v>1944</v>
      </c>
      <c r="C19" s="58" t="s">
        <v>29</v>
      </c>
      <c r="D19" s="11" t="s">
        <v>1946</v>
      </c>
      <c r="E19" s="10">
        <v>24</v>
      </c>
      <c r="F19" s="58" t="s">
        <v>11</v>
      </c>
      <c r="G19" s="12">
        <v>1059</v>
      </c>
      <c r="H19" s="12">
        <v>2485</v>
      </c>
      <c r="I19" s="17" t="s">
        <v>2111</v>
      </c>
      <c r="J19" s="18">
        <v>7</v>
      </c>
      <c r="K19" s="19">
        <f t="shared" si="0"/>
        <v>93.109500000000011</v>
      </c>
      <c r="L19" s="20"/>
      <c r="M19" s="15">
        <v>8.5500000000000007</v>
      </c>
      <c r="N19" s="15">
        <v>10.89</v>
      </c>
    </row>
    <row r="20" spans="1:14" s="15" customFormat="1" ht="20.25" customHeight="1" x14ac:dyDescent="0.15">
      <c r="A20" s="60"/>
      <c r="B20" s="9"/>
      <c r="C20" s="58" t="s">
        <v>29</v>
      </c>
      <c r="D20" s="11" t="s">
        <v>1945</v>
      </c>
      <c r="E20" s="10">
        <v>24</v>
      </c>
      <c r="F20" s="58" t="s">
        <v>11</v>
      </c>
      <c r="G20" s="12">
        <v>1059</v>
      </c>
      <c r="H20" s="12">
        <v>585</v>
      </c>
      <c r="I20" s="17" t="s">
        <v>2101</v>
      </c>
      <c r="J20" s="18">
        <v>2</v>
      </c>
      <c r="K20" s="19">
        <f t="shared" si="0"/>
        <v>13.068</v>
      </c>
      <c r="L20" s="20"/>
      <c r="M20" s="15">
        <v>1.2</v>
      </c>
      <c r="N20" s="15">
        <v>10.89</v>
      </c>
    </row>
    <row r="21" spans="1:14" s="15" customFormat="1" ht="20.25" customHeight="1" x14ac:dyDescent="0.15">
      <c r="A21" s="60"/>
      <c r="B21" s="9"/>
      <c r="C21" s="58" t="s">
        <v>29</v>
      </c>
      <c r="D21" s="11" t="s">
        <v>2107</v>
      </c>
      <c r="E21" s="10">
        <v>24</v>
      </c>
      <c r="F21" s="58" t="s">
        <v>11</v>
      </c>
      <c r="G21" s="50">
        <v>1067</v>
      </c>
      <c r="H21" s="50">
        <v>2485</v>
      </c>
      <c r="I21" s="17" t="s">
        <v>2101</v>
      </c>
      <c r="J21" s="18">
        <v>2</v>
      </c>
      <c r="K21" s="19">
        <f t="shared" si="0"/>
        <v>37.679400000000001</v>
      </c>
      <c r="L21" s="20"/>
      <c r="M21" s="15">
        <v>3.46</v>
      </c>
      <c r="N21" s="15">
        <v>10.89</v>
      </c>
    </row>
    <row r="22" spans="1:14" s="15" customFormat="1" ht="20.25" customHeight="1" x14ac:dyDescent="0.15">
      <c r="A22" s="60"/>
      <c r="B22" s="9"/>
      <c r="C22" s="58" t="s">
        <v>29</v>
      </c>
      <c r="D22" s="11" t="s">
        <v>2110</v>
      </c>
      <c r="E22" s="10">
        <v>24</v>
      </c>
      <c r="F22" s="58" t="s">
        <v>11</v>
      </c>
      <c r="G22" s="50">
        <v>1067</v>
      </c>
      <c r="H22" s="50">
        <v>585</v>
      </c>
      <c r="I22" s="17">
        <v>1</v>
      </c>
      <c r="J22" s="18">
        <v>1</v>
      </c>
      <c r="K22" s="19">
        <f t="shared" si="0"/>
        <v>6.7518000000000002</v>
      </c>
      <c r="L22" s="14"/>
      <c r="M22" s="15">
        <v>0.62</v>
      </c>
      <c r="N22" s="15">
        <v>10.89</v>
      </c>
    </row>
    <row r="23" spans="1:14" ht="20.25" customHeight="1" x14ac:dyDescent="0.15">
      <c r="A23" s="61" t="s">
        <v>2112</v>
      </c>
      <c r="B23" s="9" t="s">
        <v>2113</v>
      </c>
      <c r="C23" s="58" t="s">
        <v>273</v>
      </c>
      <c r="D23" s="11" t="s">
        <v>675</v>
      </c>
      <c r="E23" s="10">
        <v>16</v>
      </c>
      <c r="F23" s="10"/>
      <c r="G23" s="12">
        <v>472</v>
      </c>
      <c r="H23" s="12">
        <v>1581</v>
      </c>
      <c r="I23" s="17">
        <v>5</v>
      </c>
      <c r="J23" s="18">
        <v>5</v>
      </c>
      <c r="K23" s="19">
        <f>+M23*N23</f>
        <v>40.837500000000006</v>
      </c>
      <c r="L23" s="54"/>
      <c r="M23" s="3">
        <v>3.75</v>
      </c>
      <c r="N23" s="15">
        <v>10.89</v>
      </c>
    </row>
    <row r="24" spans="1:14" ht="20.25" customHeight="1" x14ac:dyDescent="0.15">
      <c r="A24" s="61" t="s">
        <v>2114</v>
      </c>
      <c r="B24" s="9" t="s">
        <v>2115</v>
      </c>
      <c r="C24" s="58" t="s">
        <v>273</v>
      </c>
      <c r="D24" s="11" t="s">
        <v>383</v>
      </c>
      <c r="E24" s="10">
        <v>16</v>
      </c>
      <c r="F24" s="10"/>
      <c r="G24" s="12">
        <v>750</v>
      </c>
      <c r="H24" s="12">
        <v>1235</v>
      </c>
      <c r="I24" s="17">
        <v>2</v>
      </c>
      <c r="J24" s="18">
        <v>2</v>
      </c>
      <c r="K24" s="19">
        <f>+M24*N24</f>
        <v>20.255400000000002</v>
      </c>
      <c r="L24" s="54"/>
      <c r="M24" s="3">
        <v>1.86</v>
      </c>
      <c r="N24" s="15">
        <v>10.89</v>
      </c>
    </row>
    <row r="25" spans="1:14" ht="20.25" hidden="1" customHeight="1" x14ac:dyDescent="0.15">
      <c r="A25" s="60"/>
      <c r="B25" s="9"/>
      <c r="C25" s="58"/>
      <c r="D25" s="11"/>
      <c r="E25" s="10"/>
      <c r="F25" s="58"/>
      <c r="G25" s="16"/>
      <c r="H25" s="16"/>
      <c r="I25" s="17"/>
      <c r="J25" s="18"/>
      <c r="K25" s="19">
        <f t="shared" si="0"/>
        <v>0</v>
      </c>
      <c r="L25" s="20"/>
      <c r="N25" s="15">
        <v>10.89</v>
      </c>
    </row>
    <row r="26" spans="1:14" ht="20.25" customHeight="1" thickBot="1" x14ac:dyDescent="0.2">
      <c r="A26" s="56"/>
      <c r="B26" s="21"/>
      <c r="C26" s="59"/>
      <c r="D26" s="22"/>
      <c r="E26" s="23"/>
      <c r="F26" s="23"/>
      <c r="G26" s="24"/>
      <c r="H26" s="24"/>
      <c r="I26" s="25"/>
      <c r="J26" s="46">
        <f>SUM(J8:J25)</f>
        <v>229</v>
      </c>
      <c r="K26" s="47">
        <f>SUM(K8:K25)</f>
        <v>2075.1983999999998</v>
      </c>
      <c r="L26" s="26"/>
    </row>
    <row r="27" spans="1:14" ht="20.25" customHeight="1" thickTop="1" x14ac:dyDescent="0.15">
      <c r="A27" s="60" t="s">
        <v>2116</v>
      </c>
      <c r="B27" s="9" t="s">
        <v>1986</v>
      </c>
      <c r="C27" s="58" t="s">
        <v>29</v>
      </c>
      <c r="D27" s="11" t="s">
        <v>2004</v>
      </c>
      <c r="E27" s="10">
        <v>26.76</v>
      </c>
      <c r="F27" s="10"/>
      <c r="G27" s="12">
        <v>2246</v>
      </c>
      <c r="H27" s="12">
        <v>1748</v>
      </c>
      <c r="I27" s="17" t="s">
        <v>2101</v>
      </c>
      <c r="J27" s="18">
        <v>2</v>
      </c>
      <c r="K27" s="19">
        <f t="shared" ref="K27:K40" si="1">+M27*N27</f>
        <v>74.160899999999998</v>
      </c>
      <c r="L27" s="54"/>
      <c r="M27" s="3">
        <v>6.81</v>
      </c>
      <c r="N27" s="15">
        <v>10.89</v>
      </c>
    </row>
    <row r="28" spans="1:14" ht="20.25" customHeight="1" x14ac:dyDescent="0.15">
      <c r="A28" s="60" t="s">
        <v>2117</v>
      </c>
      <c r="B28" s="9" t="s">
        <v>1950</v>
      </c>
      <c r="C28" s="58" t="s">
        <v>29</v>
      </c>
      <c r="D28" s="11" t="s">
        <v>224</v>
      </c>
      <c r="E28" s="10">
        <v>22</v>
      </c>
      <c r="F28" s="10" t="s">
        <v>11</v>
      </c>
      <c r="G28" s="12">
        <v>1719</v>
      </c>
      <c r="H28" s="12">
        <v>1820</v>
      </c>
      <c r="I28" s="17" t="s">
        <v>2081</v>
      </c>
      <c r="J28" s="18">
        <v>60</v>
      </c>
      <c r="K28" s="19">
        <f t="shared" si="1"/>
        <v>502.24680000000001</v>
      </c>
      <c r="L28" s="54"/>
      <c r="M28" s="3">
        <v>46.12</v>
      </c>
      <c r="N28" s="15">
        <v>10.89</v>
      </c>
    </row>
    <row r="29" spans="1:14" ht="20.25" customHeight="1" x14ac:dyDescent="0.15">
      <c r="A29" s="61"/>
      <c r="B29" s="9"/>
      <c r="C29" s="58" t="s">
        <v>29</v>
      </c>
      <c r="D29" s="11" t="s">
        <v>217</v>
      </c>
      <c r="E29" s="10">
        <v>22</v>
      </c>
      <c r="F29" s="10" t="s">
        <v>11</v>
      </c>
      <c r="G29" s="12">
        <v>1719</v>
      </c>
      <c r="H29" s="12">
        <v>1820</v>
      </c>
      <c r="I29" s="17" t="s">
        <v>2081</v>
      </c>
      <c r="J29" s="18">
        <v>60</v>
      </c>
      <c r="K29" s="19">
        <f t="shared" si="1"/>
        <v>502.24680000000001</v>
      </c>
      <c r="L29" s="54"/>
      <c r="M29" s="3">
        <v>46.12</v>
      </c>
      <c r="N29" s="15">
        <v>10.89</v>
      </c>
    </row>
    <row r="30" spans="1:14" ht="20.25" customHeight="1" x14ac:dyDescent="0.15">
      <c r="A30" s="61"/>
      <c r="B30" s="9"/>
      <c r="C30" s="58" t="s">
        <v>29</v>
      </c>
      <c r="D30" s="11" t="s">
        <v>201</v>
      </c>
      <c r="E30" s="10">
        <v>22</v>
      </c>
      <c r="F30" s="10"/>
      <c r="G30" s="12">
        <v>405</v>
      </c>
      <c r="H30" s="12">
        <v>950</v>
      </c>
      <c r="I30" s="51">
        <v>8</v>
      </c>
      <c r="J30" s="52">
        <v>8</v>
      </c>
      <c r="K30" s="53">
        <f t="shared" si="1"/>
        <v>33.105600000000003</v>
      </c>
      <c r="L30" s="54"/>
      <c r="M30" s="3">
        <v>3.04</v>
      </c>
      <c r="N30" s="15">
        <v>10.89</v>
      </c>
    </row>
    <row r="31" spans="1:14" ht="20.25" customHeight="1" x14ac:dyDescent="0.15">
      <c r="A31" s="61" t="s">
        <v>2118</v>
      </c>
      <c r="B31" s="9" t="s">
        <v>1950</v>
      </c>
      <c r="C31" s="58" t="s">
        <v>29</v>
      </c>
      <c r="D31" s="11" t="s">
        <v>224</v>
      </c>
      <c r="E31" s="10">
        <v>22</v>
      </c>
      <c r="F31" s="10" t="s">
        <v>11</v>
      </c>
      <c r="G31" s="12">
        <v>1719</v>
      </c>
      <c r="H31" s="12">
        <v>1820</v>
      </c>
      <c r="I31" s="51" t="s">
        <v>2119</v>
      </c>
      <c r="J31" s="52">
        <v>65</v>
      </c>
      <c r="K31" s="53">
        <f t="shared" si="1"/>
        <v>611.47350000000006</v>
      </c>
      <c r="L31" s="54"/>
      <c r="M31" s="3">
        <v>56.15</v>
      </c>
      <c r="N31" s="15">
        <v>10.89</v>
      </c>
    </row>
    <row r="32" spans="1:14" ht="20.25" customHeight="1" x14ac:dyDescent="0.15">
      <c r="A32" s="60"/>
      <c r="B32" s="9"/>
      <c r="C32" s="58" t="s">
        <v>29</v>
      </c>
      <c r="D32" s="11" t="s">
        <v>201</v>
      </c>
      <c r="E32" s="10">
        <v>22</v>
      </c>
      <c r="F32" s="10"/>
      <c r="G32" s="12">
        <v>705</v>
      </c>
      <c r="H32" s="12">
        <v>1820</v>
      </c>
      <c r="I32" s="17" t="s">
        <v>2120</v>
      </c>
      <c r="J32" s="18">
        <v>20</v>
      </c>
      <c r="K32" s="19">
        <f t="shared" si="1"/>
        <v>180.77400000000003</v>
      </c>
      <c r="L32" s="27"/>
      <c r="M32" s="3">
        <v>16.600000000000001</v>
      </c>
      <c r="N32" s="15">
        <v>10.89</v>
      </c>
    </row>
    <row r="33" spans="1:14" ht="20.25" customHeight="1" x14ac:dyDescent="0.15">
      <c r="A33" s="60" t="s">
        <v>2121</v>
      </c>
      <c r="B33" s="9" t="s">
        <v>73</v>
      </c>
      <c r="C33" s="58" t="s">
        <v>231</v>
      </c>
      <c r="D33" s="11" t="s">
        <v>2122</v>
      </c>
      <c r="E33" s="10">
        <v>27.76</v>
      </c>
      <c r="F33" s="10"/>
      <c r="G33" s="12">
        <v>949</v>
      </c>
      <c r="H33" s="12">
        <v>871</v>
      </c>
      <c r="I33" s="17">
        <v>1</v>
      </c>
      <c r="J33" s="18">
        <v>1</v>
      </c>
      <c r="K33" s="19">
        <f t="shared" si="1"/>
        <v>9.0387000000000004</v>
      </c>
      <c r="L33" s="27"/>
      <c r="M33" s="3">
        <v>0.83</v>
      </c>
      <c r="N33" s="15">
        <v>10.89</v>
      </c>
    </row>
    <row r="34" spans="1:14" ht="20.25" customHeight="1" x14ac:dyDescent="0.15">
      <c r="A34" s="60" t="s">
        <v>2085</v>
      </c>
      <c r="B34" s="9" t="s">
        <v>2086</v>
      </c>
      <c r="C34" s="58" t="s">
        <v>29</v>
      </c>
      <c r="D34" s="11" t="s">
        <v>2087</v>
      </c>
      <c r="E34" s="10">
        <v>39</v>
      </c>
      <c r="F34" s="10" t="s">
        <v>11</v>
      </c>
      <c r="G34" s="12">
        <v>1010</v>
      </c>
      <c r="H34" s="12">
        <v>1095</v>
      </c>
      <c r="I34" s="17" t="s">
        <v>2123</v>
      </c>
      <c r="J34" s="18">
        <v>5</v>
      </c>
      <c r="K34" s="19">
        <f t="shared" si="1"/>
        <v>43.233300000000007</v>
      </c>
      <c r="L34" s="27"/>
      <c r="M34" s="3">
        <v>3.97</v>
      </c>
      <c r="N34" s="15">
        <v>10.89</v>
      </c>
    </row>
    <row r="35" spans="1:14" ht="20.25" customHeight="1" x14ac:dyDescent="0.15">
      <c r="A35" s="60" t="s">
        <v>2124</v>
      </c>
      <c r="B35" s="9" t="s">
        <v>2086</v>
      </c>
      <c r="C35" s="58" t="s">
        <v>29</v>
      </c>
      <c r="D35" s="11" t="s">
        <v>2087</v>
      </c>
      <c r="E35" s="10">
        <v>39</v>
      </c>
      <c r="F35" s="10" t="s">
        <v>11</v>
      </c>
      <c r="G35" s="12">
        <v>1095</v>
      </c>
      <c r="H35" s="12">
        <v>1095</v>
      </c>
      <c r="I35" s="17" t="s">
        <v>2125</v>
      </c>
      <c r="J35" s="18">
        <v>78</v>
      </c>
      <c r="K35" s="19">
        <f t="shared" si="1"/>
        <v>565.29989999999998</v>
      </c>
      <c r="L35" s="27"/>
      <c r="M35" s="3">
        <v>51.91</v>
      </c>
      <c r="N35" s="15">
        <v>10.89</v>
      </c>
    </row>
    <row r="36" spans="1:14" ht="20.25" customHeight="1" x14ac:dyDescent="0.15">
      <c r="A36" s="60" t="s">
        <v>2126</v>
      </c>
      <c r="B36" s="9" t="s">
        <v>61</v>
      </c>
      <c r="C36" s="58" t="s">
        <v>231</v>
      </c>
      <c r="D36" s="11" t="s">
        <v>2127</v>
      </c>
      <c r="E36" s="10">
        <v>23.76</v>
      </c>
      <c r="F36" s="10"/>
      <c r="G36" s="12">
        <v>1839</v>
      </c>
      <c r="H36" s="12">
        <v>1756</v>
      </c>
      <c r="I36" s="17">
        <v>1</v>
      </c>
      <c r="J36" s="18">
        <v>1</v>
      </c>
      <c r="K36" s="19">
        <f t="shared" si="1"/>
        <v>35.174700000000001</v>
      </c>
      <c r="L36" s="27"/>
      <c r="M36" s="3">
        <v>3.23</v>
      </c>
      <c r="N36" s="15">
        <v>10.89</v>
      </c>
    </row>
    <row r="37" spans="1:14" ht="20.25" customHeight="1" x14ac:dyDescent="0.15">
      <c r="A37" s="60" t="s">
        <v>2128</v>
      </c>
      <c r="B37" s="9" t="s">
        <v>66</v>
      </c>
      <c r="C37" s="58" t="s">
        <v>29</v>
      </c>
      <c r="D37" s="11" t="s">
        <v>2129</v>
      </c>
      <c r="E37" s="10">
        <v>22</v>
      </c>
      <c r="F37" s="10" t="s">
        <v>11</v>
      </c>
      <c r="G37" s="12">
        <v>1643</v>
      </c>
      <c r="H37" s="12">
        <v>1962</v>
      </c>
      <c r="I37" s="17">
        <v>1</v>
      </c>
      <c r="J37" s="18">
        <v>1</v>
      </c>
      <c r="K37" s="19">
        <f t="shared" si="1"/>
        <v>35.065800000000003</v>
      </c>
      <c r="L37" s="27"/>
      <c r="M37" s="3">
        <v>3.22</v>
      </c>
      <c r="N37" s="15">
        <v>10.89</v>
      </c>
    </row>
    <row r="38" spans="1:14" ht="20.25" customHeight="1" x14ac:dyDescent="0.15">
      <c r="A38" s="60"/>
      <c r="B38" s="9"/>
      <c r="C38" s="58" t="s">
        <v>29</v>
      </c>
      <c r="D38" s="11" t="s">
        <v>224</v>
      </c>
      <c r="E38" s="10">
        <v>22</v>
      </c>
      <c r="F38" s="10" t="s">
        <v>11</v>
      </c>
      <c r="G38" s="12">
        <v>1643</v>
      </c>
      <c r="H38" s="12">
        <v>1962</v>
      </c>
      <c r="I38" s="17" t="s">
        <v>2130</v>
      </c>
      <c r="J38" s="18">
        <v>12</v>
      </c>
      <c r="K38" s="19">
        <f t="shared" si="1"/>
        <v>98.66340000000001</v>
      </c>
      <c r="L38" s="27"/>
      <c r="M38" s="3">
        <v>9.06</v>
      </c>
      <c r="N38" s="15">
        <v>10.89</v>
      </c>
    </row>
    <row r="39" spans="1:14" ht="20.25" customHeight="1" x14ac:dyDescent="0.15">
      <c r="A39" s="60"/>
      <c r="B39" s="9"/>
      <c r="C39" s="58" t="s">
        <v>29</v>
      </c>
      <c r="D39" s="11" t="s">
        <v>201</v>
      </c>
      <c r="E39" s="10">
        <v>22</v>
      </c>
      <c r="F39" s="10"/>
      <c r="G39" s="12">
        <v>508</v>
      </c>
      <c r="H39" s="12">
        <v>1966</v>
      </c>
      <c r="I39" s="17" t="s">
        <v>2131</v>
      </c>
      <c r="J39" s="18">
        <v>5</v>
      </c>
      <c r="K39" s="19">
        <f t="shared" si="1"/>
        <v>39.204000000000001</v>
      </c>
      <c r="L39" s="27"/>
      <c r="M39" s="3">
        <v>3.6</v>
      </c>
      <c r="N39" s="15">
        <v>10.89</v>
      </c>
    </row>
    <row r="40" spans="1:14" ht="20.25" customHeight="1" x14ac:dyDescent="0.15">
      <c r="A40" s="60"/>
      <c r="B40" s="9"/>
      <c r="C40" s="58" t="s">
        <v>29</v>
      </c>
      <c r="D40" s="11" t="s">
        <v>217</v>
      </c>
      <c r="E40" s="10">
        <v>22</v>
      </c>
      <c r="F40" s="10" t="s">
        <v>11</v>
      </c>
      <c r="G40" s="12">
        <v>1643</v>
      </c>
      <c r="H40" s="12">
        <v>1962</v>
      </c>
      <c r="I40" s="17" t="s">
        <v>2132</v>
      </c>
      <c r="J40" s="18">
        <v>23</v>
      </c>
      <c r="K40" s="19">
        <f t="shared" si="1"/>
        <v>261.90450000000004</v>
      </c>
      <c r="L40" s="27"/>
      <c r="M40" s="3">
        <v>24.05</v>
      </c>
      <c r="N40" s="15">
        <v>10.89</v>
      </c>
    </row>
    <row r="41" spans="1:14" ht="20.25" customHeight="1" x14ac:dyDescent="0.15">
      <c r="A41" s="60"/>
      <c r="B41" s="9"/>
      <c r="C41" s="58" t="s">
        <v>29</v>
      </c>
      <c r="D41" s="11" t="s">
        <v>195</v>
      </c>
      <c r="E41" s="10">
        <v>22</v>
      </c>
      <c r="F41" s="10"/>
      <c r="G41" s="12">
        <v>670</v>
      </c>
      <c r="H41" s="12">
        <v>1932</v>
      </c>
      <c r="I41" s="17" t="s">
        <v>2133</v>
      </c>
      <c r="J41" s="18">
        <v>3</v>
      </c>
      <c r="K41" s="19">
        <f t="shared" ref="K41:K51" si="2">+M41*N41</f>
        <v>41.926500000000004</v>
      </c>
      <c r="L41" s="27"/>
      <c r="M41" s="3">
        <v>3.85</v>
      </c>
      <c r="N41" s="15">
        <v>10.89</v>
      </c>
    </row>
    <row r="42" spans="1:14" ht="20.25" customHeight="1" x14ac:dyDescent="0.15">
      <c r="A42" s="60"/>
      <c r="B42" s="9"/>
      <c r="C42" s="58" t="s">
        <v>231</v>
      </c>
      <c r="D42" s="11" t="s">
        <v>312</v>
      </c>
      <c r="E42" s="10">
        <v>22</v>
      </c>
      <c r="F42" s="10"/>
      <c r="G42" s="12">
        <v>570</v>
      </c>
      <c r="H42" s="12">
        <v>2112</v>
      </c>
      <c r="I42" s="17" t="s">
        <v>2134</v>
      </c>
      <c r="J42" s="18">
        <v>2</v>
      </c>
      <c r="K42" s="19">
        <f t="shared" si="2"/>
        <v>26.135999999999999</v>
      </c>
      <c r="L42" s="27"/>
      <c r="M42" s="3">
        <v>2.4</v>
      </c>
      <c r="N42" s="15">
        <v>10.89</v>
      </c>
    </row>
    <row r="43" spans="1:14" ht="20.25" customHeight="1" x14ac:dyDescent="0.15">
      <c r="A43" s="60" t="s">
        <v>2135</v>
      </c>
      <c r="B43" s="9" t="s">
        <v>66</v>
      </c>
      <c r="C43" s="58" t="s">
        <v>29</v>
      </c>
      <c r="D43" s="11" t="s">
        <v>2136</v>
      </c>
      <c r="E43" s="10">
        <v>22</v>
      </c>
      <c r="F43" s="10" t="s">
        <v>11</v>
      </c>
      <c r="G43" s="12">
        <v>1643</v>
      </c>
      <c r="H43" s="12">
        <v>1962</v>
      </c>
      <c r="I43" s="17" t="s">
        <v>2133</v>
      </c>
      <c r="J43" s="18">
        <v>3</v>
      </c>
      <c r="K43" s="19">
        <f t="shared" si="2"/>
        <v>105.1974</v>
      </c>
      <c r="L43" s="27"/>
      <c r="M43" s="3">
        <v>9.66</v>
      </c>
      <c r="N43" s="15">
        <v>10.89</v>
      </c>
    </row>
    <row r="44" spans="1:14" ht="20.25" customHeight="1" x14ac:dyDescent="0.15">
      <c r="A44" s="60"/>
      <c r="B44" s="9"/>
      <c r="C44" s="58" t="s">
        <v>29</v>
      </c>
      <c r="D44" s="11" t="s">
        <v>224</v>
      </c>
      <c r="E44" s="10">
        <v>22</v>
      </c>
      <c r="F44" s="10" t="s">
        <v>11</v>
      </c>
      <c r="G44" s="12">
        <v>1643</v>
      </c>
      <c r="H44" s="12">
        <v>1962</v>
      </c>
      <c r="I44" s="17" t="s">
        <v>2137</v>
      </c>
      <c r="J44" s="18">
        <v>8</v>
      </c>
      <c r="K44" s="19">
        <f t="shared" si="2"/>
        <v>76.012200000000007</v>
      </c>
      <c r="L44" s="27"/>
      <c r="M44" s="3">
        <v>6.98</v>
      </c>
      <c r="N44" s="15">
        <v>10.89</v>
      </c>
    </row>
    <row r="45" spans="1:14" ht="20.25" customHeight="1" x14ac:dyDescent="0.15">
      <c r="A45" s="60"/>
      <c r="B45" s="9"/>
      <c r="C45" s="58" t="s">
        <v>29</v>
      </c>
      <c r="D45" s="11" t="s">
        <v>201</v>
      </c>
      <c r="E45" s="10">
        <v>22</v>
      </c>
      <c r="F45" s="10"/>
      <c r="G45" s="12">
        <v>508</v>
      </c>
      <c r="H45" s="12">
        <v>1966</v>
      </c>
      <c r="I45" s="17" t="s">
        <v>2134</v>
      </c>
      <c r="J45" s="18">
        <v>2</v>
      </c>
      <c r="K45" s="19">
        <f t="shared" si="2"/>
        <v>21.78</v>
      </c>
      <c r="L45" s="27"/>
      <c r="M45" s="3">
        <v>2</v>
      </c>
      <c r="N45" s="15">
        <v>10.89</v>
      </c>
    </row>
    <row r="46" spans="1:14" ht="20.25" customHeight="1" x14ac:dyDescent="0.15">
      <c r="A46" s="60"/>
      <c r="B46" s="9"/>
      <c r="C46" s="58" t="s">
        <v>29</v>
      </c>
      <c r="D46" s="11" t="s">
        <v>217</v>
      </c>
      <c r="E46" s="10">
        <v>22</v>
      </c>
      <c r="F46" s="10" t="s">
        <v>11</v>
      </c>
      <c r="G46" s="12">
        <v>1643</v>
      </c>
      <c r="H46" s="12">
        <v>1962</v>
      </c>
      <c r="I46" s="17" t="s">
        <v>2138</v>
      </c>
      <c r="J46" s="18">
        <v>9</v>
      </c>
      <c r="K46" s="19">
        <f t="shared" si="2"/>
        <v>95.723100000000002</v>
      </c>
      <c r="L46" s="27"/>
      <c r="M46" s="3">
        <v>8.7899999999999991</v>
      </c>
      <c r="N46" s="15">
        <v>10.89</v>
      </c>
    </row>
    <row r="47" spans="1:14" ht="20.25" customHeight="1" x14ac:dyDescent="0.15">
      <c r="A47" s="60"/>
      <c r="B47" s="9"/>
      <c r="C47" s="58" t="s">
        <v>231</v>
      </c>
      <c r="D47" s="11" t="s">
        <v>312</v>
      </c>
      <c r="E47" s="10">
        <v>22</v>
      </c>
      <c r="F47" s="10"/>
      <c r="G47" s="12">
        <v>570</v>
      </c>
      <c r="H47" s="12">
        <v>2112</v>
      </c>
      <c r="I47" s="17" t="s">
        <v>2133</v>
      </c>
      <c r="J47" s="18">
        <v>3</v>
      </c>
      <c r="K47" s="19">
        <f t="shared" si="2"/>
        <v>39.204000000000001</v>
      </c>
      <c r="L47" s="27"/>
      <c r="M47" s="3">
        <v>3.6</v>
      </c>
      <c r="N47" s="15">
        <v>10.89</v>
      </c>
    </row>
    <row r="48" spans="1:14" ht="20.25" customHeight="1" x14ac:dyDescent="0.15">
      <c r="A48" s="60" t="s">
        <v>2139</v>
      </c>
      <c r="B48" s="9" t="s">
        <v>2140</v>
      </c>
      <c r="C48" s="58" t="s">
        <v>29</v>
      </c>
      <c r="D48" s="11" t="s">
        <v>2141</v>
      </c>
      <c r="E48" s="10">
        <v>43</v>
      </c>
      <c r="F48" s="10" t="s">
        <v>11</v>
      </c>
      <c r="G48" s="12">
        <v>645</v>
      </c>
      <c r="H48" s="12">
        <v>860</v>
      </c>
      <c r="I48" s="17">
        <v>1</v>
      </c>
      <c r="J48" s="18">
        <v>1</v>
      </c>
      <c r="K48" s="19">
        <f t="shared" si="2"/>
        <v>5.9895000000000005</v>
      </c>
      <c r="L48" s="27"/>
      <c r="M48" s="3">
        <v>0.55000000000000004</v>
      </c>
      <c r="N48" s="15">
        <v>10.89</v>
      </c>
    </row>
    <row r="49" spans="1:14" ht="20.25" customHeight="1" x14ac:dyDescent="0.15">
      <c r="A49" s="60" t="s">
        <v>2142</v>
      </c>
      <c r="B49" s="9" t="s">
        <v>58</v>
      </c>
      <c r="C49" s="58" t="s">
        <v>29</v>
      </c>
      <c r="D49" s="11" t="s">
        <v>1301</v>
      </c>
      <c r="E49" s="10">
        <v>22</v>
      </c>
      <c r="F49" s="10"/>
      <c r="G49" s="12">
        <v>757</v>
      </c>
      <c r="H49" s="12">
        <v>1870</v>
      </c>
      <c r="I49" s="17" t="s">
        <v>2144</v>
      </c>
      <c r="J49" s="18">
        <v>7</v>
      </c>
      <c r="K49" s="19">
        <f t="shared" ref="K49:K50" si="3">+M49*N49</f>
        <v>102.58380000000001</v>
      </c>
      <c r="L49" s="27"/>
      <c r="M49" s="3">
        <v>9.42</v>
      </c>
      <c r="N49" s="15">
        <v>10.89</v>
      </c>
    </row>
    <row r="50" spans="1:14" ht="20.25" customHeight="1" x14ac:dyDescent="0.15">
      <c r="A50" s="60"/>
      <c r="B50" s="9"/>
      <c r="C50" s="58" t="s">
        <v>29</v>
      </c>
      <c r="D50" s="11" t="s">
        <v>1412</v>
      </c>
      <c r="E50" s="10">
        <v>22</v>
      </c>
      <c r="F50" s="10"/>
      <c r="G50" s="12">
        <v>688</v>
      </c>
      <c r="H50" s="12">
        <v>1870</v>
      </c>
      <c r="I50" s="17">
        <v>1</v>
      </c>
      <c r="J50" s="18">
        <v>1</v>
      </c>
      <c r="K50" s="19">
        <f t="shared" si="3"/>
        <v>14.048100000000002</v>
      </c>
      <c r="L50" s="27"/>
      <c r="M50" s="3">
        <v>1.29</v>
      </c>
      <c r="N50" s="15">
        <v>10.89</v>
      </c>
    </row>
    <row r="51" spans="1:14" ht="20.25" customHeight="1" x14ac:dyDescent="0.15">
      <c r="A51" s="60"/>
      <c r="B51" s="9"/>
      <c r="C51" s="58" t="s">
        <v>29</v>
      </c>
      <c r="D51" s="11" t="s">
        <v>2143</v>
      </c>
      <c r="E51" s="10">
        <v>22</v>
      </c>
      <c r="F51" s="10"/>
      <c r="G51" s="12">
        <v>1580</v>
      </c>
      <c r="H51" s="12">
        <v>1870</v>
      </c>
      <c r="I51" s="17" t="s">
        <v>2134</v>
      </c>
      <c r="J51" s="18">
        <v>2</v>
      </c>
      <c r="K51" s="19">
        <f t="shared" si="2"/>
        <v>64.251000000000005</v>
      </c>
      <c r="L51" s="27"/>
      <c r="M51" s="3">
        <v>5.9</v>
      </c>
      <c r="N51" s="15">
        <v>10.89</v>
      </c>
    </row>
    <row r="52" spans="1:14" ht="20.25" customHeight="1" x14ac:dyDescent="0.15">
      <c r="A52" s="57"/>
      <c r="B52" s="28"/>
      <c r="C52" s="10"/>
      <c r="D52" s="29"/>
      <c r="E52" s="30"/>
      <c r="F52" s="30"/>
      <c r="G52" s="30"/>
      <c r="H52" s="30"/>
      <c r="I52" s="13"/>
      <c r="J52" s="48">
        <f>SUM(J27:J51)</f>
        <v>382</v>
      </c>
      <c r="K52" s="49">
        <f>SUM(K27:K40)</f>
        <v>2991.5919000000008</v>
      </c>
      <c r="L52" s="31"/>
      <c r="N52" s="32"/>
    </row>
    <row r="53" spans="1:14" ht="20.25" customHeight="1" thickBot="1" x14ac:dyDescent="0.2">
      <c r="A53" s="55"/>
      <c r="B53" s="33"/>
      <c r="C53" s="33"/>
      <c r="D53" s="33"/>
      <c r="E53" s="33"/>
      <c r="F53" s="33"/>
      <c r="G53" s="33"/>
      <c r="H53" s="33"/>
      <c r="I53" s="33"/>
      <c r="J53" s="34"/>
      <c r="K53" s="35"/>
      <c r="L53" s="36"/>
    </row>
    <row r="54" spans="1:14" ht="20.25" customHeight="1" thickBot="1" x14ac:dyDescent="0.2">
      <c r="A54" s="37" t="s">
        <v>19</v>
      </c>
      <c r="B54" s="38" t="s">
        <v>20</v>
      </c>
      <c r="C54" s="77" t="s">
        <v>21</v>
      </c>
      <c r="D54" s="79"/>
      <c r="E54" s="77" t="s">
        <v>22</v>
      </c>
      <c r="F54" s="78"/>
      <c r="G54" s="79"/>
      <c r="H54" s="85" t="s">
        <v>23</v>
      </c>
      <c r="I54" s="86"/>
      <c r="J54" s="77" t="s">
        <v>24</v>
      </c>
      <c r="K54" s="79"/>
      <c r="L54" s="39" t="s">
        <v>13</v>
      </c>
    </row>
    <row r="55" spans="1:14" ht="20.25" customHeight="1" thickBot="1" x14ac:dyDescent="0.2">
      <c r="A55" s="40">
        <f>SUMIF($C$8:$C$53,"U1",$J$8:$J$53)</f>
        <v>7</v>
      </c>
      <c r="B55" s="41">
        <f>SUMIF($C$8:$C$53,"U2",$J$8:$J$53)</f>
        <v>9</v>
      </c>
      <c r="C55" s="77">
        <f>SUMIF($C$8:$C$53,"U3-1",$J$8:$J$53)</f>
        <v>0</v>
      </c>
      <c r="D55" s="79"/>
      <c r="E55" s="77">
        <f>SUMIF($C$8:$C$53,"U3",$J$8:$J$53)</f>
        <v>595</v>
      </c>
      <c r="F55" s="78"/>
      <c r="G55" s="79"/>
      <c r="H55" s="77">
        <f>SUMIF($C$8:$C$53,"E5",$J$8:$J$53)</f>
        <v>0</v>
      </c>
      <c r="I55" s="79"/>
      <c r="J55" s="77">
        <f>SUM(A55:I55)</f>
        <v>611</v>
      </c>
      <c r="K55" s="79"/>
      <c r="L55" s="42"/>
    </row>
    <row r="56" spans="1:14" ht="20.25" customHeight="1" thickBot="1" x14ac:dyDescent="0.2">
      <c r="A56" s="43" t="s">
        <v>25</v>
      </c>
      <c r="B56" s="44" t="s">
        <v>26</v>
      </c>
      <c r="C56" s="75">
        <v>13876</v>
      </c>
      <c r="D56" s="76"/>
      <c r="E56" s="77" t="s">
        <v>27</v>
      </c>
      <c r="F56" s="78"/>
      <c r="G56" s="78"/>
      <c r="H56" s="78"/>
      <c r="I56" s="79"/>
      <c r="J56" s="80">
        <v>146744.37</v>
      </c>
      <c r="K56" s="81"/>
      <c r="L56" s="82"/>
    </row>
    <row r="58" spans="1:14" x14ac:dyDescent="0.15">
      <c r="D58" s="45"/>
    </row>
  </sheetData>
  <mergeCells count="26">
    <mergeCell ref="L2:L4"/>
    <mergeCell ref="A1:G3"/>
    <mergeCell ref="H1:H4"/>
    <mergeCell ref="I2:I4"/>
    <mergeCell ref="J2:J4"/>
    <mergeCell ref="K2:K4"/>
    <mergeCell ref="B5:G5"/>
    <mergeCell ref="A6:A7"/>
    <mergeCell ref="B6:B7"/>
    <mergeCell ref="C6:C7"/>
    <mergeCell ref="D6:D7"/>
    <mergeCell ref="E6:E7"/>
    <mergeCell ref="F6:F7"/>
    <mergeCell ref="G6:K6"/>
    <mergeCell ref="C56:D56"/>
    <mergeCell ref="E56:I56"/>
    <mergeCell ref="J56:L56"/>
    <mergeCell ref="L6:L7"/>
    <mergeCell ref="C54:D54"/>
    <mergeCell ref="E54:G54"/>
    <mergeCell ref="H54:I54"/>
    <mergeCell ref="J54:K54"/>
    <mergeCell ref="C55:D55"/>
    <mergeCell ref="E55:G55"/>
    <mergeCell ref="H55:I55"/>
    <mergeCell ref="J55:K55"/>
  </mergeCells>
  <phoneticPr fontId="2" type="noConversion"/>
  <printOptions horizontalCentered="1"/>
  <pageMargins left="0.39370078740157483" right="0.39370078740157483" top="0.74803149606299213" bottom="0.19685039370078741" header="0.31496062992125984" footer="0.15748031496062992"/>
  <pageSetup paperSize="9" scale="84" orientation="portrait" r:id="rId1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F2C525-C157-4C19-A71D-3EC2A5049147}">
  <dimension ref="A1:N47"/>
  <sheetViews>
    <sheetView view="pageBreakPreview" topLeftCell="A13" zoomScaleSheetLayoutView="100" workbookViewId="0">
      <selection activeCell="B25" sqref="B25"/>
    </sheetView>
  </sheetViews>
  <sheetFormatPr defaultColWidth="8.88671875" defaultRowHeight="13.5" x14ac:dyDescent="0.15"/>
  <cols>
    <col min="1" max="1" width="8.44140625" style="3" customWidth="1"/>
    <col min="2" max="2" width="14.77734375" style="3" customWidth="1"/>
    <col min="3" max="3" width="4.109375" style="3" customWidth="1"/>
    <col min="4" max="4" width="15.21875" style="3" customWidth="1"/>
    <col min="5" max="5" width="4.44140625" style="3" customWidth="1"/>
    <col min="6" max="6" width="4" style="3" customWidth="1"/>
    <col min="7" max="7" width="5.5546875" style="3" customWidth="1"/>
    <col min="8" max="8" width="5.44140625" style="3" customWidth="1"/>
    <col min="9" max="9" width="7.88671875" style="3" customWidth="1"/>
    <col min="10" max="10" width="7.109375" style="3" customWidth="1"/>
    <col min="11" max="11" width="7.21875" style="3" customWidth="1"/>
    <col min="12" max="12" width="6.77734375" style="3" customWidth="1"/>
    <col min="13" max="16384" width="8.88671875" style="3"/>
  </cols>
  <sheetData>
    <row r="1" spans="1:14" ht="18.75" customHeight="1" x14ac:dyDescent="0.15">
      <c r="A1" s="101" t="s">
        <v>0</v>
      </c>
      <c r="B1" s="102"/>
      <c r="C1" s="102"/>
      <c r="D1" s="102"/>
      <c r="E1" s="102"/>
      <c r="F1" s="102"/>
      <c r="G1" s="103"/>
      <c r="H1" s="107" t="s">
        <v>1</v>
      </c>
      <c r="I1" s="1" t="s">
        <v>2</v>
      </c>
      <c r="J1" s="1" t="s">
        <v>2</v>
      </c>
      <c r="K1" s="1" t="s">
        <v>3</v>
      </c>
      <c r="L1" s="2" t="s">
        <v>4</v>
      </c>
    </row>
    <row r="2" spans="1:14" ht="13.5" customHeight="1" x14ac:dyDescent="0.15">
      <c r="A2" s="104"/>
      <c r="B2" s="105"/>
      <c r="C2" s="105"/>
      <c r="D2" s="105"/>
      <c r="E2" s="105"/>
      <c r="F2" s="105"/>
      <c r="G2" s="106"/>
      <c r="H2" s="108"/>
      <c r="I2" s="110"/>
      <c r="J2" s="110"/>
      <c r="K2" s="110"/>
      <c r="L2" s="98"/>
    </row>
    <row r="3" spans="1:14" ht="13.5" customHeight="1" x14ac:dyDescent="0.15">
      <c r="A3" s="104"/>
      <c r="B3" s="105"/>
      <c r="C3" s="105"/>
      <c r="D3" s="105"/>
      <c r="E3" s="105"/>
      <c r="F3" s="105"/>
      <c r="G3" s="106"/>
      <c r="H3" s="108"/>
      <c r="I3" s="108"/>
      <c r="J3" s="108"/>
      <c r="K3" s="108"/>
      <c r="L3" s="99"/>
    </row>
    <row r="4" spans="1:14" ht="33" customHeight="1" x14ac:dyDescent="0.15">
      <c r="A4" s="4"/>
      <c r="B4" s="5"/>
      <c r="C4" s="5"/>
      <c r="D4" s="5"/>
      <c r="E4" s="5"/>
      <c r="F4" s="5"/>
      <c r="G4" s="5"/>
      <c r="H4" s="109"/>
      <c r="I4" s="109"/>
      <c r="J4" s="109"/>
      <c r="K4" s="109"/>
      <c r="L4" s="100"/>
    </row>
    <row r="5" spans="1:14" ht="17.25" customHeight="1" x14ac:dyDescent="0.15">
      <c r="A5" s="6" t="s">
        <v>5</v>
      </c>
      <c r="B5" s="87">
        <v>46135</v>
      </c>
      <c r="C5" s="88"/>
      <c r="D5" s="88"/>
      <c r="E5" s="88"/>
      <c r="F5" s="88"/>
      <c r="G5" s="88"/>
      <c r="H5" s="5"/>
      <c r="I5" s="5"/>
      <c r="J5" s="5"/>
      <c r="K5" s="5"/>
      <c r="L5" s="7"/>
    </row>
    <row r="6" spans="1:14" ht="13.5" customHeight="1" x14ac:dyDescent="0.15">
      <c r="A6" s="89" t="s">
        <v>6</v>
      </c>
      <c r="B6" s="91" t="s">
        <v>7</v>
      </c>
      <c r="C6" s="91" t="s">
        <v>8</v>
      </c>
      <c r="D6" s="91" t="s">
        <v>9</v>
      </c>
      <c r="E6" s="93" t="s">
        <v>10</v>
      </c>
      <c r="F6" s="93" t="s">
        <v>11</v>
      </c>
      <c r="G6" s="95" t="s">
        <v>12</v>
      </c>
      <c r="H6" s="96"/>
      <c r="I6" s="96"/>
      <c r="J6" s="96"/>
      <c r="K6" s="97"/>
      <c r="L6" s="83" t="s">
        <v>13</v>
      </c>
    </row>
    <row r="7" spans="1:14" x14ac:dyDescent="0.15">
      <c r="A7" s="90"/>
      <c r="B7" s="92"/>
      <c r="C7" s="92"/>
      <c r="D7" s="92"/>
      <c r="E7" s="94"/>
      <c r="F7" s="94"/>
      <c r="G7" s="8" t="s">
        <v>14</v>
      </c>
      <c r="H7" s="8" t="s">
        <v>15</v>
      </c>
      <c r="I7" s="8" t="s">
        <v>16</v>
      </c>
      <c r="J7" s="8" t="s">
        <v>17</v>
      </c>
      <c r="K7" s="8" t="s">
        <v>18</v>
      </c>
      <c r="L7" s="84"/>
    </row>
    <row r="8" spans="1:14" s="15" customFormat="1" ht="20.25" customHeight="1" x14ac:dyDescent="0.15">
      <c r="A8" s="60" t="s">
        <v>2145</v>
      </c>
      <c r="B8" s="9" t="s">
        <v>1950</v>
      </c>
      <c r="C8" s="58" t="s">
        <v>29</v>
      </c>
      <c r="D8" s="11" t="s">
        <v>224</v>
      </c>
      <c r="E8" s="10">
        <v>22</v>
      </c>
      <c r="F8" s="58" t="s">
        <v>11</v>
      </c>
      <c r="G8" s="12">
        <v>1719</v>
      </c>
      <c r="H8" s="12">
        <v>1820</v>
      </c>
      <c r="I8" s="17" t="s">
        <v>2146</v>
      </c>
      <c r="J8" s="18">
        <v>75</v>
      </c>
      <c r="K8" s="19">
        <f>+M8*N8</f>
        <v>653.94449999999995</v>
      </c>
      <c r="L8" s="14"/>
      <c r="M8" s="15">
        <v>60.05</v>
      </c>
      <c r="N8" s="15">
        <v>10.89</v>
      </c>
    </row>
    <row r="9" spans="1:14" s="15" customFormat="1" ht="20.25" customHeight="1" x14ac:dyDescent="0.15">
      <c r="A9" s="60"/>
      <c r="B9" s="9"/>
      <c r="C9" s="58" t="s">
        <v>29</v>
      </c>
      <c r="D9" s="11" t="s">
        <v>217</v>
      </c>
      <c r="E9" s="10">
        <v>22</v>
      </c>
      <c r="F9" s="58" t="s">
        <v>11</v>
      </c>
      <c r="G9" s="12">
        <v>1719</v>
      </c>
      <c r="H9" s="12">
        <v>1820</v>
      </c>
      <c r="I9" s="17" t="s">
        <v>2146</v>
      </c>
      <c r="J9" s="18">
        <v>75</v>
      </c>
      <c r="K9" s="19">
        <f t="shared" ref="K9:K23" si="0">+M9*N9</f>
        <v>653.94449999999995</v>
      </c>
      <c r="L9" s="14"/>
      <c r="M9" s="15">
        <v>60.05</v>
      </c>
      <c r="N9" s="15">
        <v>10.89</v>
      </c>
    </row>
    <row r="10" spans="1:14" s="15" customFormat="1" ht="20.25" customHeight="1" x14ac:dyDescent="0.15">
      <c r="A10" s="60"/>
      <c r="B10" s="9"/>
      <c r="C10" s="58" t="s">
        <v>29</v>
      </c>
      <c r="D10" s="11" t="s">
        <v>201</v>
      </c>
      <c r="E10" s="10">
        <v>22</v>
      </c>
      <c r="F10" s="58"/>
      <c r="G10" s="12">
        <v>855</v>
      </c>
      <c r="H10" s="12">
        <v>1820</v>
      </c>
      <c r="I10" s="17" t="s">
        <v>2147</v>
      </c>
      <c r="J10" s="18">
        <v>20</v>
      </c>
      <c r="K10" s="19">
        <f t="shared" si="0"/>
        <v>211.26599999999999</v>
      </c>
      <c r="L10" s="14"/>
      <c r="M10" s="15">
        <v>19.399999999999999</v>
      </c>
      <c r="N10" s="15">
        <v>10.89</v>
      </c>
    </row>
    <row r="11" spans="1:14" s="15" customFormat="1" ht="20.25" customHeight="1" x14ac:dyDescent="0.15">
      <c r="A11" s="60" t="s">
        <v>2148</v>
      </c>
      <c r="B11" s="9" t="s">
        <v>131</v>
      </c>
      <c r="C11" s="58" t="s">
        <v>29</v>
      </c>
      <c r="D11" s="11" t="s">
        <v>155</v>
      </c>
      <c r="E11" s="10">
        <v>22</v>
      </c>
      <c r="F11" s="58" t="s">
        <v>11</v>
      </c>
      <c r="G11" s="12">
        <v>1421</v>
      </c>
      <c r="H11" s="12">
        <v>1763</v>
      </c>
      <c r="I11" s="17" t="s">
        <v>2149</v>
      </c>
      <c r="J11" s="18">
        <v>162</v>
      </c>
      <c r="K11" s="19">
        <f t="shared" si="0"/>
        <v>1381.0698</v>
      </c>
      <c r="L11" s="14"/>
      <c r="M11" s="15">
        <v>126.82</v>
      </c>
      <c r="N11" s="15">
        <v>10.89</v>
      </c>
    </row>
    <row r="12" spans="1:14" s="15" customFormat="1" ht="20.25" customHeight="1" x14ac:dyDescent="0.15">
      <c r="A12" s="60"/>
      <c r="B12" s="9"/>
      <c r="C12" s="58" t="s">
        <v>29</v>
      </c>
      <c r="D12" s="11" t="s">
        <v>156</v>
      </c>
      <c r="E12" s="10">
        <v>22</v>
      </c>
      <c r="F12" s="58" t="s">
        <v>11</v>
      </c>
      <c r="G12" s="12">
        <v>1421</v>
      </c>
      <c r="H12" s="12">
        <v>1763</v>
      </c>
      <c r="I12" s="17" t="s">
        <v>2150</v>
      </c>
      <c r="J12" s="18">
        <v>35</v>
      </c>
      <c r="K12" s="19">
        <f t="shared" si="0"/>
        <v>672.45749999999998</v>
      </c>
      <c r="L12" s="14"/>
      <c r="M12" s="15">
        <v>61.75</v>
      </c>
      <c r="N12" s="15">
        <v>10.89</v>
      </c>
    </row>
    <row r="13" spans="1:14" s="15" customFormat="1" ht="20.25" customHeight="1" x14ac:dyDescent="0.15">
      <c r="A13" s="60" t="s">
        <v>2151</v>
      </c>
      <c r="B13" s="9" t="s">
        <v>1304</v>
      </c>
      <c r="C13" s="58" t="s">
        <v>29</v>
      </c>
      <c r="D13" s="11" t="s">
        <v>2039</v>
      </c>
      <c r="E13" s="10">
        <v>24</v>
      </c>
      <c r="F13" s="58" t="s">
        <v>11</v>
      </c>
      <c r="G13" s="12">
        <v>1427</v>
      </c>
      <c r="H13" s="12">
        <v>1635</v>
      </c>
      <c r="I13" s="17">
        <v>3</v>
      </c>
      <c r="J13" s="18">
        <v>3</v>
      </c>
      <c r="K13" s="19">
        <f t="shared" si="0"/>
        <v>76.121100000000013</v>
      </c>
      <c r="L13" s="14"/>
      <c r="M13" s="15">
        <v>6.99</v>
      </c>
      <c r="N13" s="15">
        <v>10.89</v>
      </c>
    </row>
    <row r="14" spans="1:14" s="15" customFormat="1" ht="20.25" customHeight="1" x14ac:dyDescent="0.15">
      <c r="A14" s="60"/>
      <c r="B14" s="9"/>
      <c r="C14" s="58" t="s">
        <v>29</v>
      </c>
      <c r="D14" s="11" t="s">
        <v>2069</v>
      </c>
      <c r="E14" s="10">
        <v>28</v>
      </c>
      <c r="F14" s="58" t="s">
        <v>11</v>
      </c>
      <c r="G14" s="12">
        <v>1427</v>
      </c>
      <c r="H14" s="12">
        <v>1185</v>
      </c>
      <c r="I14" s="17" t="s">
        <v>2152</v>
      </c>
      <c r="J14" s="18">
        <v>43</v>
      </c>
      <c r="K14" s="19">
        <f t="shared" si="0"/>
        <v>518.69070000000011</v>
      </c>
      <c r="L14" s="20"/>
      <c r="M14" s="15">
        <v>47.63</v>
      </c>
      <c r="N14" s="15">
        <v>10.89</v>
      </c>
    </row>
    <row r="15" spans="1:14" s="15" customFormat="1" ht="20.25" customHeight="1" x14ac:dyDescent="0.15">
      <c r="A15" s="60"/>
      <c r="B15" s="9"/>
      <c r="C15" s="58" t="s">
        <v>29</v>
      </c>
      <c r="D15" s="11" t="s">
        <v>2041</v>
      </c>
      <c r="E15" s="10">
        <v>28</v>
      </c>
      <c r="F15" s="58" t="s">
        <v>11</v>
      </c>
      <c r="G15" s="12">
        <v>1427</v>
      </c>
      <c r="H15" s="12">
        <v>1635</v>
      </c>
      <c r="I15" s="17" t="s">
        <v>2153</v>
      </c>
      <c r="J15" s="18">
        <v>24</v>
      </c>
      <c r="K15" s="19">
        <f t="shared" si="0"/>
        <v>608.9688000000001</v>
      </c>
      <c r="L15" s="20"/>
      <c r="M15" s="15">
        <v>55.92</v>
      </c>
      <c r="N15" s="15">
        <v>10.89</v>
      </c>
    </row>
    <row r="16" spans="1:14" s="15" customFormat="1" ht="20.25" customHeight="1" x14ac:dyDescent="0.15">
      <c r="A16" s="60" t="s">
        <v>2154</v>
      </c>
      <c r="B16" s="9" t="s">
        <v>1304</v>
      </c>
      <c r="C16" s="58" t="s">
        <v>29</v>
      </c>
      <c r="D16" s="11" t="s">
        <v>2039</v>
      </c>
      <c r="E16" s="10">
        <v>24</v>
      </c>
      <c r="F16" s="58" t="s">
        <v>11</v>
      </c>
      <c r="G16" s="12">
        <v>1427</v>
      </c>
      <c r="H16" s="12">
        <v>1635</v>
      </c>
      <c r="I16" s="17">
        <v>3</v>
      </c>
      <c r="J16" s="18">
        <v>3</v>
      </c>
      <c r="K16" s="19">
        <f t="shared" si="0"/>
        <v>76.121100000000013</v>
      </c>
      <c r="L16" s="20"/>
      <c r="M16" s="15">
        <v>6.99</v>
      </c>
      <c r="N16" s="15">
        <v>10.89</v>
      </c>
    </row>
    <row r="17" spans="1:14" s="15" customFormat="1" ht="20.25" customHeight="1" x14ac:dyDescent="0.15">
      <c r="A17" s="60" t="s">
        <v>2155</v>
      </c>
      <c r="B17" s="9" t="s">
        <v>2156</v>
      </c>
      <c r="C17" s="58" t="s">
        <v>273</v>
      </c>
      <c r="D17" s="11" t="s">
        <v>383</v>
      </c>
      <c r="E17" s="10">
        <v>16</v>
      </c>
      <c r="F17" s="58"/>
      <c r="G17" s="12">
        <v>750</v>
      </c>
      <c r="H17" s="12">
        <v>1235</v>
      </c>
      <c r="I17" s="17">
        <v>2</v>
      </c>
      <c r="J17" s="18">
        <v>2</v>
      </c>
      <c r="K17" s="19">
        <f t="shared" si="0"/>
        <v>20.255400000000002</v>
      </c>
      <c r="L17" s="20"/>
      <c r="M17" s="15">
        <v>1.86</v>
      </c>
      <c r="N17" s="15">
        <v>10.89</v>
      </c>
    </row>
    <row r="18" spans="1:14" s="15" customFormat="1" ht="20.25" customHeight="1" x14ac:dyDescent="0.15">
      <c r="A18" s="60"/>
      <c r="B18" s="9"/>
      <c r="C18" s="58" t="s">
        <v>29</v>
      </c>
      <c r="D18" s="11"/>
      <c r="E18" s="10"/>
      <c r="F18" s="58" t="s">
        <v>11</v>
      </c>
      <c r="G18" s="12"/>
      <c r="H18" s="12"/>
      <c r="I18" s="17"/>
      <c r="J18" s="18"/>
      <c r="K18" s="19">
        <f t="shared" si="0"/>
        <v>0</v>
      </c>
      <c r="L18" s="20"/>
      <c r="N18" s="15">
        <v>10.89</v>
      </c>
    </row>
    <row r="19" spans="1:14" s="15" customFormat="1" ht="20.25" customHeight="1" x14ac:dyDescent="0.15">
      <c r="A19" s="60"/>
      <c r="B19" s="9"/>
      <c r="C19" s="58" t="s">
        <v>29</v>
      </c>
      <c r="D19" s="11"/>
      <c r="E19" s="10"/>
      <c r="F19" s="58" t="s">
        <v>11</v>
      </c>
      <c r="G19" s="12"/>
      <c r="H19" s="12"/>
      <c r="I19" s="17"/>
      <c r="J19" s="18"/>
      <c r="K19" s="19">
        <f t="shared" si="0"/>
        <v>0</v>
      </c>
      <c r="L19" s="20"/>
      <c r="N19" s="15">
        <v>10.89</v>
      </c>
    </row>
    <row r="20" spans="1:14" s="15" customFormat="1" ht="20.25" customHeight="1" x14ac:dyDescent="0.15">
      <c r="A20" s="60"/>
      <c r="B20" s="9"/>
      <c r="C20" s="58" t="s">
        <v>29</v>
      </c>
      <c r="D20" s="11"/>
      <c r="E20" s="10"/>
      <c r="F20" s="58" t="s">
        <v>11</v>
      </c>
      <c r="G20" s="12"/>
      <c r="H20" s="12"/>
      <c r="I20" s="17"/>
      <c r="J20" s="18"/>
      <c r="K20" s="19">
        <f t="shared" si="0"/>
        <v>0</v>
      </c>
      <c r="L20" s="20"/>
      <c r="N20" s="15">
        <v>10.89</v>
      </c>
    </row>
    <row r="21" spans="1:14" s="15" customFormat="1" ht="20.25" customHeight="1" x14ac:dyDescent="0.15">
      <c r="A21" s="60"/>
      <c r="B21" s="9"/>
      <c r="C21" s="58" t="s">
        <v>29</v>
      </c>
      <c r="D21" s="11"/>
      <c r="E21" s="10"/>
      <c r="F21" s="58" t="s">
        <v>11</v>
      </c>
      <c r="G21" s="50"/>
      <c r="H21" s="50"/>
      <c r="I21" s="17"/>
      <c r="J21" s="18"/>
      <c r="K21" s="19">
        <f t="shared" si="0"/>
        <v>0</v>
      </c>
      <c r="L21" s="20"/>
      <c r="N21" s="15">
        <v>10.89</v>
      </c>
    </row>
    <row r="22" spans="1:14" s="15" customFormat="1" ht="20.25" customHeight="1" x14ac:dyDescent="0.15">
      <c r="A22" s="60"/>
      <c r="B22" s="9"/>
      <c r="C22" s="58" t="s">
        <v>29</v>
      </c>
      <c r="D22" s="11"/>
      <c r="E22" s="10"/>
      <c r="F22" s="58" t="s">
        <v>11</v>
      </c>
      <c r="G22" s="50"/>
      <c r="H22" s="50"/>
      <c r="I22" s="17"/>
      <c r="J22" s="18"/>
      <c r="K22" s="19">
        <f t="shared" si="0"/>
        <v>0</v>
      </c>
      <c r="L22" s="20"/>
      <c r="N22" s="15">
        <v>10.89</v>
      </c>
    </row>
    <row r="23" spans="1:14" ht="20.25" customHeight="1" x14ac:dyDescent="0.15">
      <c r="A23" s="60"/>
      <c r="B23" s="9"/>
      <c r="C23" s="58" t="s">
        <v>29</v>
      </c>
      <c r="D23" s="11"/>
      <c r="E23" s="10"/>
      <c r="F23" s="58" t="s">
        <v>11</v>
      </c>
      <c r="G23" s="16"/>
      <c r="H23" s="16"/>
      <c r="I23" s="17"/>
      <c r="J23" s="18"/>
      <c r="K23" s="19">
        <f t="shared" si="0"/>
        <v>0</v>
      </c>
      <c r="L23" s="20"/>
      <c r="N23" s="15">
        <v>10.89</v>
      </c>
    </row>
    <row r="24" spans="1:14" ht="20.25" customHeight="1" thickBot="1" x14ac:dyDescent="0.2">
      <c r="A24" s="56"/>
      <c r="B24" s="21"/>
      <c r="C24" s="59"/>
      <c r="D24" s="22"/>
      <c r="E24" s="23"/>
      <c r="F24" s="23"/>
      <c r="G24" s="24"/>
      <c r="H24" s="24"/>
      <c r="I24" s="25"/>
      <c r="J24" s="46">
        <f>SUM(J8:J23)</f>
        <v>442</v>
      </c>
      <c r="K24" s="47">
        <f>SUM(K8:K23)</f>
        <v>4872.8394000000008</v>
      </c>
      <c r="L24" s="26"/>
    </row>
    <row r="25" spans="1:14" ht="20.25" customHeight="1" thickTop="1" x14ac:dyDescent="0.15">
      <c r="A25" s="60" t="s">
        <v>2157</v>
      </c>
      <c r="B25" s="9" t="s">
        <v>1950</v>
      </c>
      <c r="C25" s="58" t="s">
        <v>29</v>
      </c>
      <c r="D25" s="11" t="s">
        <v>217</v>
      </c>
      <c r="E25" s="10">
        <v>22</v>
      </c>
      <c r="F25" s="58" t="s">
        <v>11</v>
      </c>
      <c r="G25" s="12">
        <v>1719</v>
      </c>
      <c r="H25" s="12">
        <v>1820</v>
      </c>
      <c r="I25" s="17" t="s">
        <v>2158</v>
      </c>
      <c r="J25" s="18">
        <v>65</v>
      </c>
      <c r="K25" s="19">
        <f t="shared" ref="K25:K40" si="1">+M25*N25</f>
        <v>611.47350000000006</v>
      </c>
      <c r="L25" s="54"/>
      <c r="M25" s="3">
        <v>56.15</v>
      </c>
      <c r="N25" s="15">
        <v>10.89</v>
      </c>
    </row>
    <row r="26" spans="1:14" ht="20.25" customHeight="1" x14ac:dyDescent="0.15">
      <c r="A26" s="60" t="s">
        <v>2159</v>
      </c>
      <c r="B26" s="9" t="s">
        <v>131</v>
      </c>
      <c r="C26" s="58" t="s">
        <v>29</v>
      </c>
      <c r="D26" s="11" t="s">
        <v>155</v>
      </c>
      <c r="E26" s="10">
        <v>22</v>
      </c>
      <c r="F26" s="10" t="s">
        <v>11</v>
      </c>
      <c r="G26" s="12">
        <v>1723</v>
      </c>
      <c r="H26" s="12">
        <v>1763</v>
      </c>
      <c r="I26" s="17" t="s">
        <v>2160</v>
      </c>
      <c r="J26" s="18">
        <v>205</v>
      </c>
      <c r="K26" s="19">
        <f t="shared" si="1"/>
        <v>1838.3409000000001</v>
      </c>
      <c r="L26" s="54"/>
      <c r="M26" s="3">
        <v>168.81</v>
      </c>
      <c r="N26" s="15">
        <v>10.89</v>
      </c>
    </row>
    <row r="27" spans="1:14" ht="20.25" customHeight="1" x14ac:dyDescent="0.15">
      <c r="A27" s="61"/>
      <c r="B27" s="9"/>
      <c r="C27" s="58" t="s">
        <v>29</v>
      </c>
      <c r="D27" s="11" t="s">
        <v>156</v>
      </c>
      <c r="E27" s="10">
        <v>22</v>
      </c>
      <c r="F27" s="10" t="s">
        <v>11</v>
      </c>
      <c r="G27" s="12">
        <v>1723</v>
      </c>
      <c r="H27" s="12">
        <v>1763</v>
      </c>
      <c r="I27" s="17" t="s">
        <v>2161</v>
      </c>
      <c r="J27" s="18">
        <v>204</v>
      </c>
      <c r="K27" s="19">
        <f t="shared" si="1"/>
        <v>1820.808</v>
      </c>
      <c r="L27" s="54"/>
      <c r="M27" s="3">
        <v>167.2</v>
      </c>
      <c r="N27" s="15">
        <v>10.89</v>
      </c>
    </row>
    <row r="28" spans="1:14" ht="20.25" customHeight="1" x14ac:dyDescent="0.15">
      <c r="A28" s="61" t="s">
        <v>2162</v>
      </c>
      <c r="B28" s="9" t="s">
        <v>131</v>
      </c>
      <c r="C28" s="58" t="s">
        <v>29</v>
      </c>
      <c r="D28" s="11" t="s">
        <v>155</v>
      </c>
      <c r="E28" s="10">
        <v>22</v>
      </c>
      <c r="F28" s="10" t="s">
        <v>11</v>
      </c>
      <c r="G28" s="12">
        <v>1028</v>
      </c>
      <c r="H28" s="12">
        <v>2047</v>
      </c>
      <c r="I28" s="17" t="s">
        <v>2163</v>
      </c>
      <c r="J28" s="18">
        <v>77</v>
      </c>
      <c r="K28" s="19">
        <f t="shared" si="1"/>
        <v>822.95729999999992</v>
      </c>
      <c r="L28" s="54"/>
      <c r="M28" s="3">
        <v>75.569999999999993</v>
      </c>
      <c r="N28" s="15">
        <v>10.89</v>
      </c>
    </row>
    <row r="29" spans="1:14" ht="20.25" customHeight="1" x14ac:dyDescent="0.15">
      <c r="A29" s="61"/>
      <c r="B29" s="9"/>
      <c r="C29" s="58" t="s">
        <v>29</v>
      </c>
      <c r="D29" s="11" t="s">
        <v>156</v>
      </c>
      <c r="E29" s="10">
        <v>22</v>
      </c>
      <c r="F29" s="10" t="s">
        <v>11</v>
      </c>
      <c r="G29" s="12">
        <v>1028</v>
      </c>
      <c r="H29" s="12">
        <v>2047</v>
      </c>
      <c r="I29" s="17" t="s">
        <v>2163</v>
      </c>
      <c r="J29" s="18">
        <v>77</v>
      </c>
      <c r="K29" s="19">
        <f t="shared" si="1"/>
        <v>822.95729999999992</v>
      </c>
      <c r="L29" s="54"/>
      <c r="M29" s="3">
        <v>75.569999999999993</v>
      </c>
      <c r="N29" s="15">
        <v>10.89</v>
      </c>
    </row>
    <row r="30" spans="1:14" ht="20.25" customHeight="1" x14ac:dyDescent="0.15">
      <c r="A30" s="61" t="s">
        <v>2164</v>
      </c>
      <c r="B30" s="9" t="s">
        <v>131</v>
      </c>
      <c r="C30" s="58" t="s">
        <v>29</v>
      </c>
      <c r="D30" s="11" t="s">
        <v>155</v>
      </c>
      <c r="E30" s="10">
        <v>22</v>
      </c>
      <c r="F30" s="10" t="s">
        <v>11</v>
      </c>
      <c r="G30" s="12">
        <v>1421</v>
      </c>
      <c r="H30" s="12">
        <v>1763</v>
      </c>
      <c r="I30" s="51" t="s">
        <v>2165</v>
      </c>
      <c r="J30" s="52">
        <v>40</v>
      </c>
      <c r="K30" s="53">
        <f t="shared" si="1"/>
        <v>724.83840000000009</v>
      </c>
      <c r="L30" s="54"/>
      <c r="M30" s="3">
        <v>66.56</v>
      </c>
      <c r="N30" s="15">
        <v>10.89</v>
      </c>
    </row>
    <row r="31" spans="1:14" ht="20.25" customHeight="1" x14ac:dyDescent="0.15">
      <c r="A31" s="61" t="s">
        <v>2166</v>
      </c>
      <c r="B31" s="9" t="s">
        <v>30</v>
      </c>
      <c r="C31" s="58" t="s">
        <v>231</v>
      </c>
      <c r="D31" s="11" t="s">
        <v>2167</v>
      </c>
      <c r="E31" s="10">
        <v>24</v>
      </c>
      <c r="F31" s="10"/>
      <c r="G31" s="12">
        <v>680</v>
      </c>
      <c r="H31" s="12">
        <v>2233</v>
      </c>
      <c r="I31" s="51" t="s">
        <v>2134</v>
      </c>
      <c r="J31" s="52">
        <v>2</v>
      </c>
      <c r="K31" s="53">
        <f t="shared" si="1"/>
        <v>54.994500000000002</v>
      </c>
      <c r="L31" s="54"/>
      <c r="M31" s="3">
        <v>5.05</v>
      </c>
      <c r="N31" s="15">
        <v>10.89</v>
      </c>
    </row>
    <row r="32" spans="1:14" ht="20.25" customHeight="1" x14ac:dyDescent="0.15">
      <c r="A32" s="60"/>
      <c r="B32" s="9"/>
      <c r="C32" s="58" t="s">
        <v>29</v>
      </c>
      <c r="D32" s="11" t="s">
        <v>329</v>
      </c>
      <c r="E32" s="10">
        <v>27.76</v>
      </c>
      <c r="F32" s="10"/>
      <c r="G32" s="12">
        <v>2031</v>
      </c>
      <c r="H32" s="12">
        <v>2202</v>
      </c>
      <c r="I32" s="17">
        <v>1</v>
      </c>
      <c r="J32" s="18">
        <v>1</v>
      </c>
      <c r="K32" s="19">
        <f t="shared" si="1"/>
        <v>48.6783</v>
      </c>
      <c r="L32" s="27"/>
      <c r="M32" s="3">
        <v>4.47</v>
      </c>
      <c r="N32" s="15">
        <v>10.89</v>
      </c>
    </row>
    <row r="33" spans="1:14" ht="20.25" customHeight="1" x14ac:dyDescent="0.15">
      <c r="A33" s="60" t="s">
        <v>2168</v>
      </c>
      <c r="B33" s="9" t="s">
        <v>1175</v>
      </c>
      <c r="C33" s="58" t="s">
        <v>29</v>
      </c>
      <c r="D33" s="11" t="s">
        <v>1176</v>
      </c>
      <c r="E33" s="10">
        <v>39</v>
      </c>
      <c r="F33" s="10" t="s">
        <v>11</v>
      </c>
      <c r="G33" s="12">
        <v>1220</v>
      </c>
      <c r="H33" s="12">
        <v>1685</v>
      </c>
      <c r="I33" s="17" t="s">
        <v>2169</v>
      </c>
      <c r="J33" s="18">
        <v>6</v>
      </c>
      <c r="K33" s="19">
        <f t="shared" si="1"/>
        <v>134.60040000000001</v>
      </c>
      <c r="L33" s="27"/>
      <c r="M33" s="3">
        <v>12.36</v>
      </c>
      <c r="N33" s="15">
        <v>10.89</v>
      </c>
    </row>
    <row r="34" spans="1:14" ht="20.25" customHeight="1" x14ac:dyDescent="0.15">
      <c r="A34" s="60" t="s">
        <v>2170</v>
      </c>
      <c r="B34" s="9" t="s">
        <v>40</v>
      </c>
      <c r="C34" s="58" t="s">
        <v>29</v>
      </c>
      <c r="D34" s="11" t="s">
        <v>224</v>
      </c>
      <c r="E34" s="10">
        <v>22</v>
      </c>
      <c r="F34" s="10" t="s">
        <v>11</v>
      </c>
      <c r="G34" s="12">
        <v>1641</v>
      </c>
      <c r="H34" s="12">
        <v>1876</v>
      </c>
      <c r="I34" s="17">
        <v>1</v>
      </c>
      <c r="J34" s="18">
        <v>1</v>
      </c>
      <c r="K34" s="19">
        <f t="shared" si="1"/>
        <v>33.541200000000003</v>
      </c>
      <c r="L34" s="27"/>
      <c r="M34" s="3">
        <v>3.08</v>
      </c>
      <c r="N34" s="15">
        <v>10.89</v>
      </c>
    </row>
    <row r="35" spans="1:14" ht="20.25" customHeight="1" x14ac:dyDescent="0.15">
      <c r="A35" s="60" t="s">
        <v>2171</v>
      </c>
      <c r="B35" s="9" t="s">
        <v>2172</v>
      </c>
      <c r="C35" s="58" t="s">
        <v>29</v>
      </c>
      <c r="D35" s="11" t="s">
        <v>2173</v>
      </c>
      <c r="E35" s="10">
        <v>24</v>
      </c>
      <c r="F35" s="10" t="s">
        <v>11</v>
      </c>
      <c r="G35" s="12">
        <v>598</v>
      </c>
      <c r="H35" s="12">
        <v>1819</v>
      </c>
      <c r="I35" s="17">
        <v>2</v>
      </c>
      <c r="J35" s="18">
        <v>2</v>
      </c>
      <c r="K35" s="19">
        <f t="shared" si="1"/>
        <v>23.740200000000002</v>
      </c>
      <c r="L35" s="27"/>
      <c r="M35" s="3">
        <v>2.1800000000000002</v>
      </c>
      <c r="N35" s="15">
        <v>10.89</v>
      </c>
    </row>
    <row r="36" spans="1:14" ht="20.25" customHeight="1" x14ac:dyDescent="0.15">
      <c r="A36" s="60" t="s">
        <v>2174</v>
      </c>
      <c r="B36" s="9" t="s">
        <v>2172</v>
      </c>
      <c r="C36" s="58" t="s">
        <v>29</v>
      </c>
      <c r="D36" s="11" t="s">
        <v>2173</v>
      </c>
      <c r="E36" s="10">
        <v>24</v>
      </c>
      <c r="F36" s="10" t="s">
        <v>11</v>
      </c>
      <c r="G36" s="12">
        <v>723</v>
      </c>
      <c r="H36" s="12">
        <v>323</v>
      </c>
      <c r="I36" s="17" t="s">
        <v>2175</v>
      </c>
      <c r="J36" s="18">
        <v>6</v>
      </c>
      <c r="K36" s="19">
        <f t="shared" si="1"/>
        <v>67.953600000000009</v>
      </c>
      <c r="L36" s="27"/>
      <c r="M36" s="3">
        <v>6.24</v>
      </c>
      <c r="N36" s="15">
        <v>10.89</v>
      </c>
    </row>
    <row r="37" spans="1:14" ht="20.25" customHeight="1" x14ac:dyDescent="0.15">
      <c r="A37" s="60"/>
      <c r="B37" s="9"/>
      <c r="C37" s="58"/>
      <c r="D37" s="11"/>
      <c r="E37" s="10"/>
      <c r="F37" s="10"/>
      <c r="G37" s="12"/>
      <c r="H37" s="12"/>
      <c r="I37" s="17"/>
      <c r="J37" s="18"/>
      <c r="K37" s="19">
        <f t="shared" si="1"/>
        <v>0</v>
      </c>
      <c r="L37" s="27"/>
      <c r="N37" s="15">
        <v>10.89</v>
      </c>
    </row>
    <row r="38" spans="1:14" ht="20.25" customHeight="1" x14ac:dyDescent="0.15">
      <c r="A38" s="60"/>
      <c r="B38" s="9"/>
      <c r="C38" s="58"/>
      <c r="D38" s="11"/>
      <c r="E38" s="10"/>
      <c r="F38" s="10"/>
      <c r="G38" s="12"/>
      <c r="H38" s="12"/>
      <c r="I38" s="17"/>
      <c r="J38" s="18"/>
      <c r="K38" s="19">
        <f t="shared" si="1"/>
        <v>0</v>
      </c>
      <c r="L38" s="27"/>
      <c r="N38" s="15">
        <v>10.89</v>
      </c>
    </row>
    <row r="39" spans="1:14" ht="20.25" customHeight="1" x14ac:dyDescent="0.15">
      <c r="A39" s="60"/>
      <c r="B39" s="9"/>
      <c r="C39" s="58"/>
      <c r="D39" s="11"/>
      <c r="E39" s="10"/>
      <c r="F39" s="10"/>
      <c r="G39" s="12"/>
      <c r="H39" s="12"/>
      <c r="I39" s="17"/>
      <c r="J39" s="18"/>
      <c r="K39" s="19">
        <f t="shared" si="1"/>
        <v>0</v>
      </c>
      <c r="L39" s="27"/>
      <c r="N39" s="15">
        <v>10.89</v>
      </c>
    </row>
    <row r="40" spans="1:14" ht="20.25" customHeight="1" x14ac:dyDescent="0.15">
      <c r="A40" s="60"/>
      <c r="B40" s="9"/>
      <c r="C40" s="58"/>
      <c r="D40" s="11"/>
      <c r="E40" s="10"/>
      <c r="F40" s="10"/>
      <c r="G40" s="12"/>
      <c r="H40" s="12"/>
      <c r="I40" s="17"/>
      <c r="J40" s="18"/>
      <c r="K40" s="19">
        <f t="shared" si="1"/>
        <v>0</v>
      </c>
      <c r="L40" s="27"/>
      <c r="N40" s="15">
        <v>10.89</v>
      </c>
    </row>
    <row r="41" spans="1:14" ht="20.25" customHeight="1" x14ac:dyDescent="0.15">
      <c r="A41" s="57"/>
      <c r="B41" s="28"/>
      <c r="C41" s="10"/>
      <c r="D41" s="29"/>
      <c r="E41" s="30"/>
      <c r="F41" s="30"/>
      <c r="G41" s="30"/>
      <c r="H41" s="30"/>
      <c r="I41" s="13"/>
      <c r="J41" s="48">
        <f>SUM(J25:J40)</f>
        <v>686</v>
      </c>
      <c r="K41" s="49">
        <f>SUM(K25:K40)</f>
        <v>7004.8836000000001</v>
      </c>
      <c r="L41" s="31"/>
      <c r="N41" s="32"/>
    </row>
    <row r="42" spans="1:14" ht="20.25" customHeight="1" thickBot="1" x14ac:dyDescent="0.2">
      <c r="A42" s="55"/>
      <c r="B42" s="33"/>
      <c r="C42" s="33"/>
      <c r="D42" s="33"/>
      <c r="E42" s="33"/>
      <c r="F42" s="33"/>
      <c r="G42" s="33"/>
      <c r="H42" s="33"/>
      <c r="I42" s="33"/>
      <c r="J42" s="34"/>
      <c r="K42" s="35"/>
      <c r="L42" s="36"/>
    </row>
    <row r="43" spans="1:14" ht="20.25" customHeight="1" thickBot="1" x14ac:dyDescent="0.2">
      <c r="A43" s="37" t="s">
        <v>19</v>
      </c>
      <c r="B43" s="38" t="s">
        <v>20</v>
      </c>
      <c r="C43" s="77" t="s">
        <v>21</v>
      </c>
      <c r="D43" s="79"/>
      <c r="E43" s="77" t="s">
        <v>22</v>
      </c>
      <c r="F43" s="78"/>
      <c r="G43" s="79"/>
      <c r="H43" s="85" t="s">
        <v>23</v>
      </c>
      <c r="I43" s="86"/>
      <c r="J43" s="77" t="s">
        <v>24</v>
      </c>
      <c r="K43" s="79"/>
      <c r="L43" s="39" t="s">
        <v>13</v>
      </c>
    </row>
    <row r="44" spans="1:14" ht="20.25" customHeight="1" thickBot="1" x14ac:dyDescent="0.2">
      <c r="A44" s="40">
        <f>SUMIF($C$8:$C$42,"U1",$J$8:$J$42)</f>
        <v>2</v>
      </c>
      <c r="B44" s="41">
        <f>SUMIF($C$8:$C$42,"U2",$J$8:$J$42)</f>
        <v>2</v>
      </c>
      <c r="C44" s="77">
        <f>SUMIF($C$8:$C$42,"U3-1",$J$8:$J$42)</f>
        <v>0</v>
      </c>
      <c r="D44" s="79"/>
      <c r="E44" s="77">
        <f>SUMIF($C$8:$C$42,"U3",$J$8:$J$42)</f>
        <v>1124</v>
      </c>
      <c r="F44" s="78"/>
      <c r="G44" s="79"/>
      <c r="H44" s="77">
        <f>SUMIF($C$8:$C$42,"E5",$J$8:$J$42)</f>
        <v>0</v>
      </c>
      <c r="I44" s="79"/>
      <c r="J44" s="77">
        <f>SUM(A44:I44)</f>
        <v>1128</v>
      </c>
      <c r="K44" s="79"/>
      <c r="L44" s="42"/>
    </row>
    <row r="45" spans="1:14" ht="20.25" customHeight="1" thickBot="1" x14ac:dyDescent="0.2">
      <c r="A45" s="43" t="s">
        <v>25</v>
      </c>
      <c r="B45" s="44" t="s">
        <v>26</v>
      </c>
      <c r="C45" s="75">
        <v>13876</v>
      </c>
      <c r="D45" s="76"/>
      <c r="E45" s="77" t="s">
        <v>27</v>
      </c>
      <c r="F45" s="78"/>
      <c r="G45" s="78"/>
      <c r="H45" s="78"/>
      <c r="I45" s="79"/>
      <c r="J45" s="80">
        <v>146744.37</v>
      </c>
      <c r="K45" s="81"/>
      <c r="L45" s="82"/>
    </row>
    <row r="47" spans="1:14" x14ac:dyDescent="0.15">
      <c r="D47" s="45"/>
    </row>
  </sheetData>
  <mergeCells count="26">
    <mergeCell ref="C45:D45"/>
    <mergeCell ref="E45:I45"/>
    <mergeCell ref="J45:L45"/>
    <mergeCell ref="L6:L7"/>
    <mergeCell ref="C43:D43"/>
    <mergeCell ref="E43:G43"/>
    <mergeCell ref="H43:I43"/>
    <mergeCell ref="J43:K43"/>
    <mergeCell ref="C44:D44"/>
    <mergeCell ref="E44:G44"/>
    <mergeCell ref="H44:I44"/>
    <mergeCell ref="J44:K44"/>
    <mergeCell ref="B5:G5"/>
    <mergeCell ref="A6:A7"/>
    <mergeCell ref="B6:B7"/>
    <mergeCell ref="C6:C7"/>
    <mergeCell ref="D6:D7"/>
    <mergeCell ref="E6:E7"/>
    <mergeCell ref="F6:F7"/>
    <mergeCell ref="G6:K6"/>
    <mergeCell ref="L2:L4"/>
    <mergeCell ref="A1:G3"/>
    <mergeCell ref="H1:H4"/>
    <mergeCell ref="I2:I4"/>
    <mergeCell ref="J2:J4"/>
    <mergeCell ref="K2:K4"/>
  </mergeCells>
  <phoneticPr fontId="2" type="noConversion"/>
  <printOptions horizontalCentered="1"/>
  <pageMargins left="0.39370078740157483" right="0.39370078740157483" top="0.74803149606299213" bottom="0.19685039370078741" header="0.31496062992125984" footer="0.15748031496062992"/>
  <pageSetup paperSize="9" scale="84" orientation="portrait" r:id="rId1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A340C7-2B2E-4EB6-A586-8670610DE0F6}">
  <dimension ref="A1:N47"/>
  <sheetViews>
    <sheetView view="pageBreakPreview" topLeftCell="A19" zoomScaleSheetLayoutView="100" workbookViewId="0">
      <selection activeCell="C32" sqref="C32:E32"/>
    </sheetView>
  </sheetViews>
  <sheetFormatPr defaultColWidth="8.88671875" defaultRowHeight="13.5" x14ac:dyDescent="0.15"/>
  <cols>
    <col min="1" max="1" width="8.44140625" style="3" customWidth="1"/>
    <col min="2" max="2" width="14.77734375" style="3" customWidth="1"/>
    <col min="3" max="3" width="4.109375" style="3" customWidth="1"/>
    <col min="4" max="4" width="15.21875" style="3" customWidth="1"/>
    <col min="5" max="5" width="4.44140625" style="3" customWidth="1"/>
    <col min="6" max="6" width="4" style="3" customWidth="1"/>
    <col min="7" max="7" width="5.5546875" style="3" customWidth="1"/>
    <col min="8" max="8" width="5.44140625" style="3" customWidth="1"/>
    <col min="9" max="9" width="7.88671875" style="3" customWidth="1"/>
    <col min="10" max="10" width="7.109375" style="3" customWidth="1"/>
    <col min="11" max="11" width="7.21875" style="3" customWidth="1"/>
    <col min="12" max="12" width="6.77734375" style="3" customWidth="1"/>
    <col min="13" max="16384" width="8.88671875" style="3"/>
  </cols>
  <sheetData>
    <row r="1" spans="1:14" ht="18.75" customHeight="1" x14ac:dyDescent="0.15">
      <c r="A1" s="101" t="s">
        <v>0</v>
      </c>
      <c r="B1" s="102"/>
      <c r="C1" s="102"/>
      <c r="D1" s="102"/>
      <c r="E1" s="102"/>
      <c r="F1" s="102"/>
      <c r="G1" s="103"/>
      <c r="H1" s="107" t="s">
        <v>1</v>
      </c>
      <c r="I1" s="1" t="s">
        <v>2</v>
      </c>
      <c r="J1" s="1" t="s">
        <v>2</v>
      </c>
      <c r="K1" s="1" t="s">
        <v>3</v>
      </c>
      <c r="L1" s="2" t="s">
        <v>4</v>
      </c>
    </row>
    <row r="2" spans="1:14" ht="13.5" customHeight="1" x14ac:dyDescent="0.15">
      <c r="A2" s="104"/>
      <c r="B2" s="105"/>
      <c r="C2" s="105"/>
      <c r="D2" s="105"/>
      <c r="E2" s="105"/>
      <c r="F2" s="105"/>
      <c r="G2" s="106"/>
      <c r="H2" s="108"/>
      <c r="I2" s="110"/>
      <c r="J2" s="110"/>
      <c r="K2" s="110"/>
      <c r="L2" s="98"/>
    </row>
    <row r="3" spans="1:14" ht="13.5" customHeight="1" x14ac:dyDescent="0.15">
      <c r="A3" s="104"/>
      <c r="B3" s="105"/>
      <c r="C3" s="105"/>
      <c r="D3" s="105"/>
      <c r="E3" s="105"/>
      <c r="F3" s="105"/>
      <c r="G3" s="106"/>
      <c r="H3" s="108"/>
      <c r="I3" s="108"/>
      <c r="J3" s="108"/>
      <c r="K3" s="108"/>
      <c r="L3" s="99"/>
    </row>
    <row r="4" spans="1:14" ht="33" customHeight="1" x14ac:dyDescent="0.15">
      <c r="A4" s="4"/>
      <c r="B4" s="5"/>
      <c r="C4" s="5"/>
      <c r="D4" s="5"/>
      <c r="E4" s="5"/>
      <c r="F4" s="5"/>
      <c r="G4" s="5"/>
      <c r="H4" s="109"/>
      <c r="I4" s="109"/>
      <c r="J4" s="109"/>
      <c r="K4" s="109"/>
      <c r="L4" s="100"/>
    </row>
    <row r="5" spans="1:14" ht="17.25" customHeight="1" x14ac:dyDescent="0.15">
      <c r="A5" s="6" t="s">
        <v>5</v>
      </c>
      <c r="B5" s="87">
        <v>46136</v>
      </c>
      <c r="C5" s="88"/>
      <c r="D5" s="88"/>
      <c r="E5" s="88"/>
      <c r="F5" s="88"/>
      <c r="G5" s="88"/>
      <c r="H5" s="5"/>
      <c r="I5" s="5"/>
      <c r="J5" s="5"/>
      <c r="K5" s="5"/>
      <c r="L5" s="7"/>
    </row>
    <row r="6" spans="1:14" ht="13.5" customHeight="1" x14ac:dyDescent="0.15">
      <c r="A6" s="89" t="s">
        <v>6</v>
      </c>
      <c r="B6" s="91" t="s">
        <v>7</v>
      </c>
      <c r="C6" s="91" t="s">
        <v>8</v>
      </c>
      <c r="D6" s="91" t="s">
        <v>9</v>
      </c>
      <c r="E6" s="93" t="s">
        <v>10</v>
      </c>
      <c r="F6" s="93" t="s">
        <v>11</v>
      </c>
      <c r="G6" s="95" t="s">
        <v>12</v>
      </c>
      <c r="H6" s="96"/>
      <c r="I6" s="96"/>
      <c r="J6" s="96"/>
      <c r="K6" s="97"/>
      <c r="L6" s="83" t="s">
        <v>13</v>
      </c>
    </row>
    <row r="7" spans="1:14" x14ac:dyDescent="0.15">
      <c r="A7" s="90"/>
      <c r="B7" s="92"/>
      <c r="C7" s="92"/>
      <c r="D7" s="92"/>
      <c r="E7" s="94"/>
      <c r="F7" s="94"/>
      <c r="G7" s="8" t="s">
        <v>14</v>
      </c>
      <c r="H7" s="8" t="s">
        <v>15</v>
      </c>
      <c r="I7" s="8" t="s">
        <v>16</v>
      </c>
      <c r="J7" s="8" t="s">
        <v>17</v>
      </c>
      <c r="K7" s="8" t="s">
        <v>18</v>
      </c>
      <c r="L7" s="84"/>
    </row>
    <row r="8" spans="1:14" s="15" customFormat="1" ht="20.25" customHeight="1" x14ac:dyDescent="0.15">
      <c r="A8" s="60" t="s">
        <v>2177</v>
      </c>
      <c r="B8" s="9" t="s">
        <v>131</v>
      </c>
      <c r="C8" s="58" t="s">
        <v>29</v>
      </c>
      <c r="D8" s="11" t="s">
        <v>156</v>
      </c>
      <c r="E8" s="10">
        <v>22</v>
      </c>
      <c r="F8" s="58" t="s">
        <v>11</v>
      </c>
      <c r="G8" s="12">
        <v>776</v>
      </c>
      <c r="H8" s="12">
        <v>1763</v>
      </c>
      <c r="I8" s="17" t="s">
        <v>2176</v>
      </c>
      <c r="J8" s="18">
        <v>127</v>
      </c>
      <c r="K8" s="19">
        <f>+M8*N8</f>
        <v>683.78309999999999</v>
      </c>
      <c r="L8" s="14"/>
      <c r="M8" s="15">
        <v>62.79</v>
      </c>
      <c r="N8" s="15">
        <v>10.89</v>
      </c>
    </row>
    <row r="9" spans="1:14" s="15" customFormat="1" ht="20.25" customHeight="1" x14ac:dyDescent="0.15">
      <c r="A9" s="60" t="s">
        <v>2178</v>
      </c>
      <c r="B9" s="9" t="s">
        <v>131</v>
      </c>
      <c r="C9" s="58" t="s">
        <v>29</v>
      </c>
      <c r="D9" s="11" t="s">
        <v>155</v>
      </c>
      <c r="E9" s="10">
        <v>22</v>
      </c>
      <c r="F9" s="58" t="s">
        <v>11</v>
      </c>
      <c r="G9" s="12">
        <v>1421</v>
      </c>
      <c r="H9" s="12">
        <v>1763</v>
      </c>
      <c r="I9" s="17" t="s">
        <v>2179</v>
      </c>
      <c r="J9" s="18">
        <v>151</v>
      </c>
      <c r="K9" s="19">
        <f t="shared" ref="K9:K23" si="0">+M9*N9</f>
        <v>1293.0786000000001</v>
      </c>
      <c r="L9" s="14"/>
      <c r="M9" s="15">
        <v>118.74</v>
      </c>
      <c r="N9" s="15">
        <v>10.89</v>
      </c>
    </row>
    <row r="10" spans="1:14" s="15" customFormat="1" ht="20.25" customHeight="1" x14ac:dyDescent="0.15">
      <c r="A10" s="60"/>
      <c r="B10" s="9"/>
      <c r="C10" s="58" t="s">
        <v>29</v>
      </c>
      <c r="D10" s="11" t="s">
        <v>156</v>
      </c>
      <c r="E10" s="10">
        <v>22</v>
      </c>
      <c r="F10" s="58" t="s">
        <v>11</v>
      </c>
      <c r="G10" s="12">
        <v>1421</v>
      </c>
      <c r="H10" s="12">
        <v>1763</v>
      </c>
      <c r="I10" s="17" t="s">
        <v>2180</v>
      </c>
      <c r="J10" s="18">
        <v>150</v>
      </c>
      <c r="K10" s="19">
        <f t="shared" si="0"/>
        <v>1289.3760000000002</v>
      </c>
      <c r="L10" s="14"/>
      <c r="M10" s="15">
        <v>118.4</v>
      </c>
      <c r="N10" s="15">
        <v>10.89</v>
      </c>
    </row>
    <row r="11" spans="1:14" s="15" customFormat="1" ht="20.25" customHeight="1" x14ac:dyDescent="0.15">
      <c r="A11" s="60" t="s">
        <v>2181</v>
      </c>
      <c r="B11" s="9" t="s">
        <v>1304</v>
      </c>
      <c r="C11" s="58" t="s">
        <v>29</v>
      </c>
      <c r="D11" s="11" t="s">
        <v>2069</v>
      </c>
      <c r="E11" s="10">
        <v>28</v>
      </c>
      <c r="F11" s="58" t="s">
        <v>11</v>
      </c>
      <c r="G11" s="12">
        <v>1427</v>
      </c>
      <c r="H11" s="12">
        <v>705</v>
      </c>
      <c r="I11" s="17" t="s">
        <v>2182</v>
      </c>
      <c r="J11" s="18">
        <v>15</v>
      </c>
      <c r="K11" s="19">
        <f t="shared" si="0"/>
        <v>138.4119</v>
      </c>
      <c r="L11" s="14"/>
      <c r="M11" s="15">
        <v>12.71</v>
      </c>
      <c r="N11" s="15">
        <v>10.89</v>
      </c>
    </row>
    <row r="12" spans="1:14" s="15" customFormat="1" ht="20.25" customHeight="1" x14ac:dyDescent="0.15">
      <c r="A12" s="60"/>
      <c r="B12" s="9"/>
      <c r="C12" s="58" t="s">
        <v>29</v>
      </c>
      <c r="D12" s="11" t="s">
        <v>2041</v>
      </c>
      <c r="E12" s="10">
        <v>28</v>
      </c>
      <c r="F12" s="58" t="s">
        <v>11</v>
      </c>
      <c r="G12" s="12">
        <v>1427</v>
      </c>
      <c r="H12" s="12">
        <v>1635</v>
      </c>
      <c r="I12" s="17">
        <v>4</v>
      </c>
      <c r="J12" s="18">
        <v>4</v>
      </c>
      <c r="K12" s="19">
        <f t="shared" si="0"/>
        <v>101.49480000000001</v>
      </c>
      <c r="L12" s="14"/>
      <c r="M12" s="15">
        <v>9.32</v>
      </c>
      <c r="N12" s="15">
        <v>10.89</v>
      </c>
    </row>
    <row r="13" spans="1:14" s="15" customFormat="1" ht="20.25" customHeight="1" x14ac:dyDescent="0.15">
      <c r="A13" s="60" t="s">
        <v>2183</v>
      </c>
      <c r="B13" s="9" t="s">
        <v>1304</v>
      </c>
      <c r="C13" s="58" t="s">
        <v>29</v>
      </c>
      <c r="D13" s="11" t="s">
        <v>2069</v>
      </c>
      <c r="E13" s="10">
        <v>28</v>
      </c>
      <c r="F13" s="58" t="s">
        <v>11</v>
      </c>
      <c r="G13" s="12">
        <v>1427</v>
      </c>
      <c r="H13" s="12">
        <v>1185</v>
      </c>
      <c r="I13" s="17" t="s">
        <v>2184</v>
      </c>
      <c r="J13" s="18">
        <v>26</v>
      </c>
      <c r="K13" s="19">
        <f t="shared" si="0"/>
        <v>367.42860000000002</v>
      </c>
      <c r="L13" s="14"/>
      <c r="M13" s="15">
        <v>33.74</v>
      </c>
      <c r="N13" s="15">
        <v>10.89</v>
      </c>
    </row>
    <row r="14" spans="1:14" s="15" customFormat="1" ht="20.25" customHeight="1" x14ac:dyDescent="0.15">
      <c r="A14" s="60"/>
      <c r="B14" s="9"/>
      <c r="C14" s="58" t="s">
        <v>29</v>
      </c>
      <c r="D14" s="11" t="s">
        <v>2041</v>
      </c>
      <c r="E14" s="10">
        <v>28</v>
      </c>
      <c r="F14" s="58" t="s">
        <v>11</v>
      </c>
      <c r="G14" s="12">
        <v>1427</v>
      </c>
      <c r="H14" s="12">
        <v>1635</v>
      </c>
      <c r="I14" s="17" t="s">
        <v>2185</v>
      </c>
      <c r="J14" s="18">
        <v>36</v>
      </c>
      <c r="K14" s="19">
        <f t="shared" si="0"/>
        <v>913.45320000000004</v>
      </c>
      <c r="L14" s="20"/>
      <c r="M14" s="15">
        <v>83.88</v>
      </c>
      <c r="N14" s="15">
        <v>10.89</v>
      </c>
    </row>
    <row r="15" spans="1:14" s="15" customFormat="1" ht="20.25" customHeight="1" x14ac:dyDescent="0.15">
      <c r="A15" s="60"/>
      <c r="B15" s="9"/>
      <c r="C15" s="58"/>
      <c r="D15" s="11"/>
      <c r="E15" s="10"/>
      <c r="F15" s="58"/>
      <c r="G15" s="12"/>
      <c r="H15" s="12"/>
      <c r="I15" s="17"/>
      <c r="J15" s="18"/>
      <c r="K15" s="19">
        <f t="shared" si="0"/>
        <v>0</v>
      </c>
      <c r="L15" s="20"/>
      <c r="N15" s="15">
        <v>10.89</v>
      </c>
    </row>
    <row r="16" spans="1:14" s="15" customFormat="1" ht="20.25" customHeight="1" x14ac:dyDescent="0.15">
      <c r="A16" s="60"/>
      <c r="B16" s="9"/>
      <c r="C16" s="58"/>
      <c r="D16" s="11"/>
      <c r="E16" s="10"/>
      <c r="F16" s="58"/>
      <c r="G16" s="12"/>
      <c r="H16" s="12"/>
      <c r="I16" s="17"/>
      <c r="J16" s="18"/>
      <c r="K16" s="19">
        <f t="shared" si="0"/>
        <v>0</v>
      </c>
      <c r="L16" s="20"/>
      <c r="N16" s="15">
        <v>10.89</v>
      </c>
    </row>
    <row r="17" spans="1:14" s="15" customFormat="1" ht="20.25" customHeight="1" x14ac:dyDescent="0.15">
      <c r="A17" s="60"/>
      <c r="B17" s="9"/>
      <c r="C17" s="58"/>
      <c r="D17" s="11"/>
      <c r="E17" s="10"/>
      <c r="F17" s="58"/>
      <c r="G17" s="12"/>
      <c r="H17" s="12"/>
      <c r="I17" s="17"/>
      <c r="J17" s="18"/>
      <c r="K17" s="19">
        <f t="shared" si="0"/>
        <v>0</v>
      </c>
      <c r="L17" s="20"/>
      <c r="N17" s="15">
        <v>10.89</v>
      </c>
    </row>
    <row r="18" spans="1:14" s="15" customFormat="1" ht="20.25" customHeight="1" x14ac:dyDescent="0.15">
      <c r="A18" s="60"/>
      <c r="B18" s="9"/>
      <c r="C18" s="58"/>
      <c r="D18" s="11"/>
      <c r="E18" s="10"/>
      <c r="F18" s="58"/>
      <c r="G18" s="12"/>
      <c r="H18" s="12"/>
      <c r="I18" s="17"/>
      <c r="J18" s="18"/>
      <c r="K18" s="19">
        <f t="shared" si="0"/>
        <v>0</v>
      </c>
      <c r="L18" s="20"/>
      <c r="N18" s="15">
        <v>10.89</v>
      </c>
    </row>
    <row r="19" spans="1:14" s="15" customFormat="1" ht="20.25" customHeight="1" x14ac:dyDescent="0.15">
      <c r="A19" s="60"/>
      <c r="B19" s="9"/>
      <c r="C19" s="58"/>
      <c r="D19" s="11"/>
      <c r="E19" s="10"/>
      <c r="F19" s="58"/>
      <c r="G19" s="12"/>
      <c r="H19" s="12"/>
      <c r="I19" s="17"/>
      <c r="J19" s="18"/>
      <c r="K19" s="19">
        <f t="shared" si="0"/>
        <v>0</v>
      </c>
      <c r="L19" s="20"/>
      <c r="N19" s="15">
        <v>10.89</v>
      </c>
    </row>
    <row r="20" spans="1:14" s="15" customFormat="1" ht="20.25" customHeight="1" x14ac:dyDescent="0.15">
      <c r="A20" s="60"/>
      <c r="B20" s="9"/>
      <c r="C20" s="58"/>
      <c r="D20" s="11"/>
      <c r="E20" s="10"/>
      <c r="F20" s="58"/>
      <c r="G20" s="12"/>
      <c r="H20" s="12"/>
      <c r="I20" s="17"/>
      <c r="J20" s="18"/>
      <c r="K20" s="19">
        <f t="shared" si="0"/>
        <v>0</v>
      </c>
      <c r="L20" s="20"/>
      <c r="N20" s="15">
        <v>10.89</v>
      </c>
    </row>
    <row r="21" spans="1:14" s="15" customFormat="1" ht="20.25" customHeight="1" x14ac:dyDescent="0.15">
      <c r="A21" s="60"/>
      <c r="B21" s="9"/>
      <c r="C21" s="58"/>
      <c r="D21" s="11"/>
      <c r="E21" s="10"/>
      <c r="F21" s="58"/>
      <c r="G21" s="50"/>
      <c r="H21" s="50"/>
      <c r="I21" s="17"/>
      <c r="J21" s="18"/>
      <c r="K21" s="19">
        <f t="shared" si="0"/>
        <v>0</v>
      </c>
      <c r="L21" s="20"/>
      <c r="N21" s="15">
        <v>10.89</v>
      </c>
    </row>
    <row r="22" spans="1:14" s="15" customFormat="1" ht="20.25" customHeight="1" x14ac:dyDescent="0.15">
      <c r="A22" s="60"/>
      <c r="B22" s="9"/>
      <c r="C22" s="58"/>
      <c r="D22" s="11"/>
      <c r="E22" s="10"/>
      <c r="F22" s="58"/>
      <c r="G22" s="50"/>
      <c r="H22" s="50"/>
      <c r="I22" s="17"/>
      <c r="J22" s="18"/>
      <c r="K22" s="19">
        <f t="shared" si="0"/>
        <v>0</v>
      </c>
      <c r="L22" s="20"/>
      <c r="N22" s="15">
        <v>10.89</v>
      </c>
    </row>
    <row r="23" spans="1:14" ht="20.25" customHeight="1" x14ac:dyDescent="0.15">
      <c r="A23" s="60"/>
      <c r="B23" s="9"/>
      <c r="C23" s="58"/>
      <c r="D23" s="11"/>
      <c r="E23" s="10"/>
      <c r="F23" s="58"/>
      <c r="G23" s="16"/>
      <c r="H23" s="16"/>
      <c r="I23" s="17"/>
      <c r="J23" s="18"/>
      <c r="K23" s="19">
        <f t="shared" si="0"/>
        <v>0</v>
      </c>
      <c r="L23" s="20"/>
      <c r="N23" s="15">
        <v>10.89</v>
      </c>
    </row>
    <row r="24" spans="1:14" ht="20.25" customHeight="1" thickBot="1" x14ac:dyDescent="0.2">
      <c r="A24" s="56"/>
      <c r="B24" s="21"/>
      <c r="C24" s="59"/>
      <c r="D24" s="22"/>
      <c r="E24" s="23"/>
      <c r="F24" s="23"/>
      <c r="G24" s="24"/>
      <c r="H24" s="24"/>
      <c r="I24" s="25"/>
      <c r="J24" s="46">
        <f>SUM(J8:J23)</f>
        <v>509</v>
      </c>
      <c r="K24" s="47">
        <f>SUM(K8:K23)</f>
        <v>4787.0262000000002</v>
      </c>
      <c r="L24" s="26"/>
    </row>
    <row r="25" spans="1:14" ht="20.25" customHeight="1" thickTop="1" x14ac:dyDescent="0.15">
      <c r="A25" s="60" t="s">
        <v>2186</v>
      </c>
      <c r="B25" s="9" t="s">
        <v>1950</v>
      </c>
      <c r="C25" s="58" t="s">
        <v>29</v>
      </c>
      <c r="D25" s="11" t="s">
        <v>224</v>
      </c>
      <c r="E25" s="10">
        <v>22</v>
      </c>
      <c r="F25" s="58" t="s">
        <v>11</v>
      </c>
      <c r="G25" s="12">
        <v>1719</v>
      </c>
      <c r="H25" s="12">
        <v>1820</v>
      </c>
      <c r="I25" s="17" t="s">
        <v>2187</v>
      </c>
      <c r="J25" s="18">
        <v>75</v>
      </c>
      <c r="K25" s="19">
        <f t="shared" ref="K25:K40" si="1">+M25*N25</f>
        <v>627.80849999999998</v>
      </c>
      <c r="L25" s="54"/>
      <c r="M25" s="3">
        <v>57.65</v>
      </c>
      <c r="N25" s="15">
        <v>10.89</v>
      </c>
    </row>
    <row r="26" spans="1:14" ht="20.25" customHeight="1" x14ac:dyDescent="0.15">
      <c r="A26" s="60"/>
      <c r="B26" s="9"/>
      <c r="C26" s="58" t="s">
        <v>29</v>
      </c>
      <c r="D26" s="11" t="s">
        <v>217</v>
      </c>
      <c r="E26" s="10">
        <v>22</v>
      </c>
      <c r="F26" s="58" t="s">
        <v>11</v>
      </c>
      <c r="G26" s="12">
        <v>1719</v>
      </c>
      <c r="H26" s="12">
        <v>1820</v>
      </c>
      <c r="I26" s="17" t="s">
        <v>2187</v>
      </c>
      <c r="J26" s="18">
        <v>75</v>
      </c>
      <c r="K26" s="19">
        <f t="shared" si="1"/>
        <v>627.80849999999998</v>
      </c>
      <c r="L26" s="54"/>
      <c r="M26" s="3">
        <v>57.65</v>
      </c>
      <c r="N26" s="15">
        <v>10.89</v>
      </c>
    </row>
    <row r="27" spans="1:14" ht="20.25" customHeight="1" x14ac:dyDescent="0.15">
      <c r="A27" s="61"/>
      <c r="B27" s="9"/>
      <c r="C27" s="58" t="s">
        <v>29</v>
      </c>
      <c r="D27" s="11" t="s">
        <v>201</v>
      </c>
      <c r="E27" s="10">
        <v>22</v>
      </c>
      <c r="F27" s="58"/>
      <c r="G27" s="12">
        <v>705</v>
      </c>
      <c r="H27" s="12">
        <v>1820</v>
      </c>
      <c r="I27" s="17" t="s">
        <v>2188</v>
      </c>
      <c r="J27" s="18">
        <v>20</v>
      </c>
      <c r="K27" s="19">
        <f t="shared" si="1"/>
        <v>180.77400000000003</v>
      </c>
      <c r="L27" s="54"/>
      <c r="M27" s="3">
        <v>16.600000000000001</v>
      </c>
      <c r="N27" s="15">
        <v>10.89</v>
      </c>
    </row>
    <row r="28" spans="1:14" ht="20.25" customHeight="1" x14ac:dyDescent="0.15">
      <c r="A28" s="61" t="s">
        <v>2189</v>
      </c>
      <c r="B28" s="9" t="s">
        <v>131</v>
      </c>
      <c r="C28" s="58" t="s">
        <v>29</v>
      </c>
      <c r="D28" s="11" t="s">
        <v>155</v>
      </c>
      <c r="E28" s="10">
        <v>22</v>
      </c>
      <c r="F28" s="10" t="s">
        <v>11</v>
      </c>
      <c r="G28" s="12">
        <v>764</v>
      </c>
      <c r="H28" s="12">
        <v>933</v>
      </c>
      <c r="I28" s="17" t="s">
        <v>2190</v>
      </c>
      <c r="J28" s="18">
        <v>196</v>
      </c>
      <c r="K28" s="19">
        <f t="shared" si="1"/>
        <v>1513.2744000000002</v>
      </c>
      <c r="L28" s="54"/>
      <c r="M28" s="3">
        <v>138.96</v>
      </c>
      <c r="N28" s="15">
        <v>10.89</v>
      </c>
    </row>
    <row r="29" spans="1:14" ht="20.25" customHeight="1" x14ac:dyDescent="0.15">
      <c r="A29" s="61" t="s">
        <v>2191</v>
      </c>
      <c r="B29" s="9" t="s">
        <v>1175</v>
      </c>
      <c r="C29" s="58" t="s">
        <v>29</v>
      </c>
      <c r="D29" s="11" t="s">
        <v>1009</v>
      </c>
      <c r="E29" s="10">
        <v>24</v>
      </c>
      <c r="F29" s="10" t="s">
        <v>11</v>
      </c>
      <c r="G29" s="12">
        <v>665</v>
      </c>
      <c r="H29" s="12">
        <v>937</v>
      </c>
      <c r="I29" s="17" t="s">
        <v>2192</v>
      </c>
      <c r="J29" s="18">
        <v>19</v>
      </c>
      <c r="K29" s="19">
        <f t="shared" si="1"/>
        <v>113.8005</v>
      </c>
      <c r="L29" s="54"/>
      <c r="M29" s="3">
        <v>10.45</v>
      </c>
      <c r="N29" s="15">
        <v>10.89</v>
      </c>
    </row>
    <row r="30" spans="1:14" ht="20.25" customHeight="1" x14ac:dyDescent="0.15">
      <c r="A30" s="61"/>
      <c r="B30" s="9"/>
      <c r="C30" s="58" t="s">
        <v>29</v>
      </c>
      <c r="D30" s="11" t="s">
        <v>1176</v>
      </c>
      <c r="E30" s="10">
        <v>39</v>
      </c>
      <c r="F30" s="10" t="s">
        <v>11</v>
      </c>
      <c r="G30" s="12">
        <v>1220</v>
      </c>
      <c r="H30" s="12">
        <v>1685</v>
      </c>
      <c r="I30" s="51" t="s">
        <v>2193</v>
      </c>
      <c r="J30" s="52">
        <v>87</v>
      </c>
      <c r="K30" s="53">
        <f t="shared" si="1"/>
        <v>1141.0542</v>
      </c>
      <c r="L30" s="54"/>
      <c r="M30" s="3">
        <v>104.78</v>
      </c>
      <c r="N30" s="15">
        <v>10.89</v>
      </c>
    </row>
    <row r="31" spans="1:14" ht="20.25" customHeight="1" x14ac:dyDescent="0.15">
      <c r="A31" s="61" t="s">
        <v>2194</v>
      </c>
      <c r="B31" s="9" t="s">
        <v>1175</v>
      </c>
      <c r="C31" s="58" t="s">
        <v>29</v>
      </c>
      <c r="D31" s="11" t="s">
        <v>1009</v>
      </c>
      <c r="E31" s="10">
        <v>24</v>
      </c>
      <c r="F31" s="10" t="s">
        <v>11</v>
      </c>
      <c r="G31" s="12">
        <v>665</v>
      </c>
      <c r="H31" s="12">
        <v>937</v>
      </c>
      <c r="I31" s="51" t="s">
        <v>2192</v>
      </c>
      <c r="J31" s="52">
        <v>19</v>
      </c>
      <c r="K31" s="53">
        <f t="shared" si="1"/>
        <v>113.8005</v>
      </c>
      <c r="L31" s="54"/>
      <c r="M31" s="3">
        <v>10.45</v>
      </c>
      <c r="N31" s="15">
        <v>10.89</v>
      </c>
    </row>
    <row r="32" spans="1:14" ht="20.25" customHeight="1" x14ac:dyDescent="0.15">
      <c r="A32" s="60"/>
      <c r="B32" s="9"/>
      <c r="C32" s="58" t="s">
        <v>29</v>
      </c>
      <c r="D32" s="11" t="s">
        <v>1176</v>
      </c>
      <c r="E32" s="10">
        <v>39</v>
      </c>
      <c r="F32" s="10" t="s">
        <v>11</v>
      </c>
      <c r="G32" s="12">
        <v>1220</v>
      </c>
      <c r="H32" s="12">
        <v>1685</v>
      </c>
      <c r="I32" s="17" t="s">
        <v>2195</v>
      </c>
      <c r="J32" s="18">
        <v>51</v>
      </c>
      <c r="K32" s="19">
        <f t="shared" si="1"/>
        <v>932.29290000000003</v>
      </c>
      <c r="L32" s="27"/>
      <c r="M32" s="3">
        <v>85.61</v>
      </c>
      <c r="N32" s="15">
        <v>10.89</v>
      </c>
    </row>
    <row r="33" spans="1:14" ht="20.25" customHeight="1" x14ac:dyDescent="0.15">
      <c r="A33" s="60"/>
      <c r="B33" s="9"/>
      <c r="C33" s="58"/>
      <c r="D33" s="11"/>
      <c r="E33" s="10"/>
      <c r="F33" s="10"/>
      <c r="G33" s="12"/>
      <c r="H33" s="12"/>
      <c r="I33" s="17"/>
      <c r="J33" s="18"/>
      <c r="K33" s="19">
        <f t="shared" si="1"/>
        <v>0</v>
      </c>
      <c r="L33" s="27"/>
      <c r="N33" s="15">
        <v>10.89</v>
      </c>
    </row>
    <row r="34" spans="1:14" ht="20.25" customHeight="1" x14ac:dyDescent="0.15">
      <c r="A34" s="60"/>
      <c r="B34" s="9"/>
      <c r="C34" s="58"/>
      <c r="D34" s="11"/>
      <c r="E34" s="10"/>
      <c r="F34" s="10"/>
      <c r="G34" s="12"/>
      <c r="H34" s="12"/>
      <c r="I34" s="17"/>
      <c r="J34" s="18"/>
      <c r="K34" s="19">
        <f t="shared" si="1"/>
        <v>0</v>
      </c>
      <c r="L34" s="27"/>
      <c r="N34" s="15">
        <v>10.89</v>
      </c>
    </row>
    <row r="35" spans="1:14" ht="20.25" customHeight="1" x14ac:dyDescent="0.15">
      <c r="A35" s="60"/>
      <c r="B35" s="9"/>
      <c r="C35" s="58"/>
      <c r="D35" s="11"/>
      <c r="E35" s="10"/>
      <c r="F35" s="10"/>
      <c r="G35" s="12"/>
      <c r="H35" s="12"/>
      <c r="I35" s="17"/>
      <c r="J35" s="18"/>
      <c r="K35" s="19">
        <f t="shared" si="1"/>
        <v>0</v>
      </c>
      <c r="L35" s="27"/>
      <c r="N35" s="15">
        <v>10.89</v>
      </c>
    </row>
    <row r="36" spans="1:14" ht="20.25" customHeight="1" x14ac:dyDescent="0.15">
      <c r="A36" s="60"/>
      <c r="B36" s="9"/>
      <c r="C36" s="58"/>
      <c r="D36" s="11"/>
      <c r="E36" s="10"/>
      <c r="F36" s="10"/>
      <c r="G36" s="12"/>
      <c r="H36" s="12"/>
      <c r="I36" s="17"/>
      <c r="J36" s="18"/>
      <c r="K36" s="19">
        <f t="shared" si="1"/>
        <v>0</v>
      </c>
      <c r="L36" s="27"/>
      <c r="N36" s="15">
        <v>10.89</v>
      </c>
    </row>
    <row r="37" spans="1:14" ht="20.25" customHeight="1" x14ac:dyDescent="0.15">
      <c r="A37" s="60"/>
      <c r="B37" s="9"/>
      <c r="C37" s="58"/>
      <c r="D37" s="11"/>
      <c r="E37" s="10"/>
      <c r="F37" s="10"/>
      <c r="G37" s="12"/>
      <c r="H37" s="12"/>
      <c r="I37" s="17"/>
      <c r="J37" s="18"/>
      <c r="K37" s="19">
        <f t="shared" si="1"/>
        <v>0</v>
      </c>
      <c r="L37" s="27"/>
      <c r="N37" s="15">
        <v>10.89</v>
      </c>
    </row>
    <row r="38" spans="1:14" ht="20.25" customHeight="1" x14ac:dyDescent="0.15">
      <c r="A38" s="60"/>
      <c r="B38" s="9"/>
      <c r="C38" s="58"/>
      <c r="D38" s="11"/>
      <c r="E38" s="10"/>
      <c r="F38" s="10"/>
      <c r="G38" s="12"/>
      <c r="H38" s="12"/>
      <c r="I38" s="17"/>
      <c r="J38" s="18"/>
      <c r="K38" s="19">
        <f t="shared" si="1"/>
        <v>0</v>
      </c>
      <c r="L38" s="27"/>
      <c r="N38" s="15">
        <v>10.89</v>
      </c>
    </row>
    <row r="39" spans="1:14" ht="20.25" customHeight="1" x14ac:dyDescent="0.15">
      <c r="A39" s="60"/>
      <c r="B39" s="9"/>
      <c r="C39" s="58"/>
      <c r="D39" s="11"/>
      <c r="E39" s="10"/>
      <c r="F39" s="10"/>
      <c r="G39" s="12"/>
      <c r="H39" s="12"/>
      <c r="I39" s="17"/>
      <c r="J39" s="18"/>
      <c r="K39" s="19">
        <f t="shared" si="1"/>
        <v>0</v>
      </c>
      <c r="L39" s="27"/>
      <c r="N39" s="15">
        <v>10.89</v>
      </c>
    </row>
    <row r="40" spans="1:14" ht="20.25" customHeight="1" x14ac:dyDescent="0.15">
      <c r="A40" s="60"/>
      <c r="B40" s="9"/>
      <c r="C40" s="58"/>
      <c r="D40" s="11"/>
      <c r="E40" s="10"/>
      <c r="F40" s="10"/>
      <c r="G40" s="12"/>
      <c r="H40" s="12"/>
      <c r="I40" s="17"/>
      <c r="J40" s="18"/>
      <c r="K40" s="19">
        <f t="shared" si="1"/>
        <v>0</v>
      </c>
      <c r="L40" s="27"/>
      <c r="N40" s="15">
        <v>10.89</v>
      </c>
    </row>
    <row r="41" spans="1:14" ht="20.25" customHeight="1" x14ac:dyDescent="0.15">
      <c r="A41" s="57"/>
      <c r="B41" s="28"/>
      <c r="C41" s="10"/>
      <c r="D41" s="29"/>
      <c r="E41" s="30"/>
      <c r="F41" s="30"/>
      <c r="G41" s="30"/>
      <c r="H41" s="30"/>
      <c r="I41" s="13"/>
      <c r="J41" s="48">
        <f>SUM(J25:J40)</f>
        <v>542</v>
      </c>
      <c r="K41" s="49">
        <f>SUM(K25:K40)</f>
        <v>5250.6135000000004</v>
      </c>
      <c r="L41" s="31"/>
      <c r="N41" s="32"/>
    </row>
    <row r="42" spans="1:14" ht="20.25" customHeight="1" thickBot="1" x14ac:dyDescent="0.2">
      <c r="A42" s="55"/>
      <c r="B42" s="33"/>
      <c r="C42" s="33"/>
      <c r="D42" s="33"/>
      <c r="E42" s="33"/>
      <c r="F42" s="33"/>
      <c r="G42" s="33"/>
      <c r="H42" s="33"/>
      <c r="I42" s="33"/>
      <c r="J42" s="34"/>
      <c r="K42" s="35"/>
      <c r="L42" s="36"/>
    </row>
    <row r="43" spans="1:14" ht="20.25" customHeight="1" thickBot="1" x14ac:dyDescent="0.2">
      <c r="A43" s="37" t="s">
        <v>19</v>
      </c>
      <c r="B43" s="38" t="s">
        <v>20</v>
      </c>
      <c r="C43" s="77" t="s">
        <v>21</v>
      </c>
      <c r="D43" s="79"/>
      <c r="E43" s="77" t="s">
        <v>22</v>
      </c>
      <c r="F43" s="78"/>
      <c r="G43" s="79"/>
      <c r="H43" s="85" t="s">
        <v>23</v>
      </c>
      <c r="I43" s="86"/>
      <c r="J43" s="77" t="s">
        <v>24</v>
      </c>
      <c r="K43" s="79"/>
      <c r="L43" s="39" t="s">
        <v>13</v>
      </c>
    </row>
    <row r="44" spans="1:14" ht="20.25" customHeight="1" thickBot="1" x14ac:dyDescent="0.2">
      <c r="A44" s="40">
        <f>SUMIF($C$8:$C$42,"U1",$J$8:$J$42)</f>
        <v>0</v>
      </c>
      <c r="B44" s="41">
        <f>SUMIF($C$8:$C$42,"U2",$J$8:$J$42)</f>
        <v>0</v>
      </c>
      <c r="C44" s="77">
        <f>SUMIF($C$8:$C$42,"U3-1",$J$8:$J$42)</f>
        <v>0</v>
      </c>
      <c r="D44" s="79"/>
      <c r="E44" s="77">
        <f>SUMIF($C$8:$C$42,"U3",$J$8:$J$42)</f>
        <v>1051</v>
      </c>
      <c r="F44" s="78"/>
      <c r="G44" s="79"/>
      <c r="H44" s="77">
        <f>SUMIF($C$8:$C$42,"E5",$J$8:$J$42)</f>
        <v>0</v>
      </c>
      <c r="I44" s="79"/>
      <c r="J44" s="77">
        <f>SUM(A44:I44)</f>
        <v>1051</v>
      </c>
      <c r="K44" s="79"/>
      <c r="L44" s="42"/>
    </row>
    <row r="45" spans="1:14" ht="20.25" customHeight="1" thickBot="1" x14ac:dyDescent="0.2">
      <c r="A45" s="43" t="s">
        <v>25</v>
      </c>
      <c r="B45" s="44" t="s">
        <v>26</v>
      </c>
      <c r="C45" s="75">
        <v>13876</v>
      </c>
      <c r="D45" s="76"/>
      <c r="E45" s="77" t="s">
        <v>27</v>
      </c>
      <c r="F45" s="78"/>
      <c r="G45" s="78"/>
      <c r="H45" s="78"/>
      <c r="I45" s="79"/>
      <c r="J45" s="80">
        <v>146744.37</v>
      </c>
      <c r="K45" s="81"/>
      <c r="L45" s="82"/>
    </row>
    <row r="47" spans="1:14" x14ac:dyDescent="0.15">
      <c r="D47" s="45"/>
    </row>
  </sheetData>
  <mergeCells count="26">
    <mergeCell ref="C45:D45"/>
    <mergeCell ref="E45:I45"/>
    <mergeCell ref="J45:L45"/>
    <mergeCell ref="L6:L7"/>
    <mergeCell ref="C43:D43"/>
    <mergeCell ref="E43:G43"/>
    <mergeCell ref="H43:I43"/>
    <mergeCell ref="J43:K43"/>
    <mergeCell ref="C44:D44"/>
    <mergeCell ref="E44:G44"/>
    <mergeCell ref="H44:I44"/>
    <mergeCell ref="J44:K44"/>
    <mergeCell ref="B5:G5"/>
    <mergeCell ref="A6:A7"/>
    <mergeCell ref="B6:B7"/>
    <mergeCell ref="C6:C7"/>
    <mergeCell ref="D6:D7"/>
    <mergeCell ref="E6:E7"/>
    <mergeCell ref="F6:F7"/>
    <mergeCell ref="G6:K6"/>
    <mergeCell ref="L2:L4"/>
    <mergeCell ref="A1:G3"/>
    <mergeCell ref="H1:H4"/>
    <mergeCell ref="I2:I4"/>
    <mergeCell ref="J2:J4"/>
    <mergeCell ref="K2:K4"/>
  </mergeCells>
  <phoneticPr fontId="2" type="noConversion"/>
  <printOptions horizontalCentered="1"/>
  <pageMargins left="0.39370078740157483" right="0.39370078740157483" top="0.74803149606299213" bottom="0.19685039370078741" header="0.31496062992125984" footer="0.15748031496062992"/>
  <pageSetup paperSize="9" scale="84" orientation="portrait" r:id="rId1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684816-CFB5-4AC4-9377-628B7364F606}">
  <dimension ref="A1:N47"/>
  <sheetViews>
    <sheetView view="pageBreakPreview" topLeftCell="A10" zoomScaleSheetLayoutView="100" workbookViewId="0">
      <selection activeCell="B18" sqref="B18"/>
    </sheetView>
  </sheetViews>
  <sheetFormatPr defaultColWidth="8.88671875" defaultRowHeight="13.5" x14ac:dyDescent="0.15"/>
  <cols>
    <col min="1" max="1" width="8.44140625" style="3" customWidth="1"/>
    <col min="2" max="2" width="14.77734375" style="3" customWidth="1"/>
    <col min="3" max="3" width="4.109375" style="3" customWidth="1"/>
    <col min="4" max="4" width="15.21875" style="3" customWidth="1"/>
    <col min="5" max="5" width="4.44140625" style="3" customWidth="1"/>
    <col min="6" max="6" width="4" style="3" customWidth="1"/>
    <col min="7" max="7" width="5.5546875" style="3" customWidth="1"/>
    <col min="8" max="8" width="5.44140625" style="3" customWidth="1"/>
    <col min="9" max="9" width="7.88671875" style="3" customWidth="1"/>
    <col min="10" max="10" width="7.109375" style="3" customWidth="1"/>
    <col min="11" max="11" width="7.21875" style="3" customWidth="1"/>
    <col min="12" max="12" width="6.77734375" style="3" customWidth="1"/>
    <col min="13" max="16384" width="8.88671875" style="3"/>
  </cols>
  <sheetData>
    <row r="1" spans="1:14" ht="18.75" customHeight="1" x14ac:dyDescent="0.15">
      <c r="A1" s="101" t="s">
        <v>0</v>
      </c>
      <c r="B1" s="102"/>
      <c r="C1" s="102"/>
      <c r="D1" s="102"/>
      <c r="E1" s="102"/>
      <c r="F1" s="102"/>
      <c r="G1" s="103"/>
      <c r="H1" s="107" t="s">
        <v>1</v>
      </c>
      <c r="I1" s="1" t="s">
        <v>2</v>
      </c>
      <c r="J1" s="1" t="s">
        <v>2</v>
      </c>
      <c r="K1" s="1" t="s">
        <v>3</v>
      </c>
      <c r="L1" s="2" t="s">
        <v>4</v>
      </c>
    </row>
    <row r="2" spans="1:14" ht="13.5" customHeight="1" x14ac:dyDescent="0.15">
      <c r="A2" s="104"/>
      <c r="B2" s="105"/>
      <c r="C2" s="105"/>
      <c r="D2" s="105"/>
      <c r="E2" s="105"/>
      <c r="F2" s="105"/>
      <c r="G2" s="106"/>
      <c r="H2" s="108"/>
      <c r="I2" s="110"/>
      <c r="J2" s="110"/>
      <c r="K2" s="110"/>
      <c r="L2" s="98"/>
    </row>
    <row r="3" spans="1:14" ht="13.5" customHeight="1" x14ac:dyDescent="0.15">
      <c r="A3" s="104"/>
      <c r="B3" s="105"/>
      <c r="C3" s="105"/>
      <c r="D3" s="105"/>
      <c r="E3" s="105"/>
      <c r="F3" s="105"/>
      <c r="G3" s="106"/>
      <c r="H3" s="108"/>
      <c r="I3" s="108"/>
      <c r="J3" s="108"/>
      <c r="K3" s="108"/>
      <c r="L3" s="99"/>
    </row>
    <row r="4" spans="1:14" ht="33" customHeight="1" x14ac:dyDescent="0.15">
      <c r="A4" s="4"/>
      <c r="B4" s="5"/>
      <c r="C4" s="5"/>
      <c r="D4" s="5"/>
      <c r="E4" s="5"/>
      <c r="F4" s="5"/>
      <c r="G4" s="5"/>
      <c r="H4" s="109"/>
      <c r="I4" s="109"/>
      <c r="J4" s="109"/>
      <c r="K4" s="109"/>
      <c r="L4" s="100"/>
    </row>
    <row r="5" spans="1:14" ht="17.25" customHeight="1" x14ac:dyDescent="0.15">
      <c r="A5" s="6" t="s">
        <v>5</v>
      </c>
      <c r="B5" s="87">
        <v>46137</v>
      </c>
      <c r="C5" s="88"/>
      <c r="D5" s="88"/>
      <c r="E5" s="88"/>
      <c r="F5" s="88"/>
      <c r="G5" s="88"/>
      <c r="H5" s="5"/>
      <c r="I5" s="5"/>
      <c r="J5" s="5"/>
      <c r="K5" s="5"/>
      <c r="L5" s="7"/>
    </row>
    <row r="6" spans="1:14" ht="13.5" customHeight="1" x14ac:dyDescent="0.15">
      <c r="A6" s="89" t="s">
        <v>6</v>
      </c>
      <c r="B6" s="91" t="s">
        <v>7</v>
      </c>
      <c r="C6" s="91" t="s">
        <v>8</v>
      </c>
      <c r="D6" s="91" t="s">
        <v>9</v>
      </c>
      <c r="E6" s="93" t="s">
        <v>10</v>
      </c>
      <c r="F6" s="93" t="s">
        <v>11</v>
      </c>
      <c r="G6" s="95" t="s">
        <v>12</v>
      </c>
      <c r="H6" s="96"/>
      <c r="I6" s="96"/>
      <c r="J6" s="96"/>
      <c r="K6" s="97"/>
      <c r="L6" s="83" t="s">
        <v>13</v>
      </c>
    </row>
    <row r="7" spans="1:14" x14ac:dyDescent="0.15">
      <c r="A7" s="90"/>
      <c r="B7" s="92"/>
      <c r="C7" s="92"/>
      <c r="D7" s="92"/>
      <c r="E7" s="94"/>
      <c r="F7" s="94"/>
      <c r="G7" s="8" t="s">
        <v>14</v>
      </c>
      <c r="H7" s="8" t="s">
        <v>15</v>
      </c>
      <c r="I7" s="8" t="s">
        <v>16</v>
      </c>
      <c r="J7" s="8" t="s">
        <v>17</v>
      </c>
      <c r="K7" s="8" t="s">
        <v>18</v>
      </c>
      <c r="L7" s="84"/>
    </row>
    <row r="8" spans="1:14" s="15" customFormat="1" ht="20.25" customHeight="1" x14ac:dyDescent="0.15">
      <c r="A8" s="60" t="s">
        <v>2196</v>
      </c>
      <c r="B8" s="9" t="s">
        <v>1950</v>
      </c>
      <c r="C8" s="58" t="s">
        <v>29</v>
      </c>
      <c r="D8" s="11" t="s">
        <v>224</v>
      </c>
      <c r="E8" s="10">
        <v>22</v>
      </c>
      <c r="F8" s="58" t="s">
        <v>11</v>
      </c>
      <c r="G8" s="12">
        <v>1719</v>
      </c>
      <c r="H8" s="12">
        <v>1820</v>
      </c>
      <c r="I8" s="17" t="s">
        <v>2197</v>
      </c>
      <c r="J8" s="18">
        <v>52</v>
      </c>
      <c r="K8" s="19">
        <f>+M8*N8</f>
        <v>489.17880000000002</v>
      </c>
      <c r="L8" s="14"/>
      <c r="M8" s="15">
        <v>44.92</v>
      </c>
      <c r="N8" s="15">
        <v>10.89</v>
      </c>
    </row>
    <row r="9" spans="1:14" s="15" customFormat="1" ht="20.25" customHeight="1" x14ac:dyDescent="0.15">
      <c r="A9" s="60"/>
      <c r="B9" s="9"/>
      <c r="C9" s="58" t="s">
        <v>29</v>
      </c>
      <c r="D9" s="11" t="s">
        <v>217</v>
      </c>
      <c r="E9" s="10">
        <v>22</v>
      </c>
      <c r="F9" s="58" t="s">
        <v>11</v>
      </c>
      <c r="G9" s="12">
        <v>1719</v>
      </c>
      <c r="H9" s="12">
        <v>1820</v>
      </c>
      <c r="I9" s="17" t="s">
        <v>2197</v>
      </c>
      <c r="J9" s="18">
        <v>52</v>
      </c>
      <c r="K9" s="19">
        <f t="shared" ref="K9:K23" si="0">+M9*N9</f>
        <v>489.17880000000002</v>
      </c>
      <c r="L9" s="14"/>
      <c r="M9" s="15">
        <v>44.92</v>
      </c>
      <c r="N9" s="15">
        <v>10.89</v>
      </c>
    </row>
    <row r="10" spans="1:14" s="15" customFormat="1" ht="20.25" customHeight="1" x14ac:dyDescent="0.15">
      <c r="A10" s="60"/>
      <c r="B10" s="9"/>
      <c r="C10" s="58" t="s">
        <v>29</v>
      </c>
      <c r="D10" s="11" t="s">
        <v>201</v>
      </c>
      <c r="E10" s="10">
        <v>22</v>
      </c>
      <c r="F10" s="58" t="s">
        <v>11</v>
      </c>
      <c r="G10" s="12">
        <v>705</v>
      </c>
      <c r="H10" s="12">
        <v>1820</v>
      </c>
      <c r="I10" s="17" t="s">
        <v>2198</v>
      </c>
      <c r="J10" s="18">
        <v>16</v>
      </c>
      <c r="K10" s="19">
        <f t="shared" si="0"/>
        <v>144.61920000000001</v>
      </c>
      <c r="L10" s="14"/>
      <c r="M10" s="15">
        <v>13.28</v>
      </c>
      <c r="N10" s="15">
        <v>10.89</v>
      </c>
    </row>
    <row r="11" spans="1:14" s="15" customFormat="1" ht="20.25" customHeight="1" x14ac:dyDescent="0.15">
      <c r="A11" s="60" t="s">
        <v>2199</v>
      </c>
      <c r="B11" s="9" t="s">
        <v>1950</v>
      </c>
      <c r="C11" s="58" t="s">
        <v>29</v>
      </c>
      <c r="D11" s="11" t="s">
        <v>224</v>
      </c>
      <c r="E11" s="10">
        <v>22</v>
      </c>
      <c r="F11" s="58" t="s">
        <v>11</v>
      </c>
      <c r="G11" s="12">
        <v>1719</v>
      </c>
      <c r="H11" s="12">
        <v>1820</v>
      </c>
      <c r="I11" s="17" t="s">
        <v>2200</v>
      </c>
      <c r="J11" s="18">
        <v>60</v>
      </c>
      <c r="K11" s="19">
        <f t="shared" si="0"/>
        <v>502.24680000000001</v>
      </c>
      <c r="L11" s="14"/>
      <c r="M11" s="15">
        <v>46.12</v>
      </c>
      <c r="N11" s="15">
        <v>10.89</v>
      </c>
    </row>
    <row r="12" spans="1:14" s="15" customFormat="1" ht="20.25" customHeight="1" x14ac:dyDescent="0.15">
      <c r="A12" s="60"/>
      <c r="B12" s="9"/>
      <c r="C12" s="58" t="s">
        <v>29</v>
      </c>
      <c r="D12" s="11" t="s">
        <v>217</v>
      </c>
      <c r="E12" s="10">
        <v>22</v>
      </c>
      <c r="F12" s="58" t="s">
        <v>11</v>
      </c>
      <c r="G12" s="12">
        <v>1719</v>
      </c>
      <c r="H12" s="12">
        <v>1820</v>
      </c>
      <c r="I12" s="17" t="s">
        <v>2200</v>
      </c>
      <c r="J12" s="18">
        <v>60</v>
      </c>
      <c r="K12" s="19">
        <f t="shared" si="0"/>
        <v>502.24680000000001</v>
      </c>
      <c r="L12" s="14"/>
      <c r="M12" s="15">
        <v>46.12</v>
      </c>
      <c r="N12" s="15">
        <v>10.89</v>
      </c>
    </row>
    <row r="13" spans="1:14" s="15" customFormat="1" ht="20.25" customHeight="1" x14ac:dyDescent="0.15">
      <c r="A13" s="60"/>
      <c r="B13" s="9"/>
      <c r="C13" s="58" t="s">
        <v>29</v>
      </c>
      <c r="D13" s="11" t="s">
        <v>201</v>
      </c>
      <c r="E13" s="10">
        <v>22</v>
      </c>
      <c r="F13" s="58" t="s">
        <v>11</v>
      </c>
      <c r="G13" s="12">
        <v>405</v>
      </c>
      <c r="H13" s="12">
        <v>1820</v>
      </c>
      <c r="I13" s="17">
        <v>8</v>
      </c>
      <c r="J13" s="18">
        <v>8</v>
      </c>
      <c r="K13" s="19">
        <f t="shared" si="0"/>
        <v>33.105600000000003</v>
      </c>
      <c r="L13" s="14"/>
      <c r="M13" s="15">
        <v>3.04</v>
      </c>
      <c r="N13" s="15">
        <v>10.89</v>
      </c>
    </row>
    <row r="14" spans="1:14" s="15" customFormat="1" ht="20.25" customHeight="1" x14ac:dyDescent="0.15">
      <c r="A14" s="60" t="s">
        <v>2201</v>
      </c>
      <c r="B14" s="9" t="s">
        <v>1950</v>
      </c>
      <c r="C14" s="58" t="s">
        <v>29</v>
      </c>
      <c r="D14" s="11" t="s">
        <v>224</v>
      </c>
      <c r="E14" s="10">
        <v>22</v>
      </c>
      <c r="F14" s="58" t="s">
        <v>11</v>
      </c>
      <c r="G14" s="12">
        <v>1719</v>
      </c>
      <c r="H14" s="12">
        <v>1820</v>
      </c>
      <c r="I14" s="17" t="s">
        <v>2202</v>
      </c>
      <c r="J14" s="18">
        <v>28</v>
      </c>
      <c r="K14" s="19">
        <f t="shared" si="0"/>
        <v>382.89240000000001</v>
      </c>
      <c r="L14" s="20"/>
      <c r="M14" s="15">
        <v>35.159999999999997</v>
      </c>
      <c r="N14" s="15">
        <v>10.89</v>
      </c>
    </row>
    <row r="15" spans="1:14" s="15" customFormat="1" ht="20.25" customHeight="1" x14ac:dyDescent="0.15">
      <c r="A15" s="60"/>
      <c r="B15" s="9"/>
      <c r="C15" s="58" t="s">
        <v>29</v>
      </c>
      <c r="D15" s="11" t="s">
        <v>201</v>
      </c>
      <c r="E15" s="10">
        <v>22</v>
      </c>
      <c r="F15" s="58" t="s">
        <v>11</v>
      </c>
      <c r="G15" s="12">
        <v>705</v>
      </c>
      <c r="H15" s="12">
        <v>1820</v>
      </c>
      <c r="I15" s="17">
        <v>8</v>
      </c>
      <c r="J15" s="18">
        <v>8</v>
      </c>
      <c r="K15" s="19">
        <f t="shared" si="0"/>
        <v>111.51360000000001</v>
      </c>
      <c r="L15" s="20"/>
      <c r="M15" s="15">
        <v>10.24</v>
      </c>
      <c r="N15" s="15">
        <v>10.89</v>
      </c>
    </row>
    <row r="16" spans="1:14" s="15" customFormat="1" ht="20.25" customHeight="1" x14ac:dyDescent="0.15">
      <c r="A16" s="60" t="s">
        <v>2203</v>
      </c>
      <c r="B16" s="9" t="s">
        <v>131</v>
      </c>
      <c r="C16" s="58" t="s">
        <v>29</v>
      </c>
      <c r="D16" s="11" t="s">
        <v>155</v>
      </c>
      <c r="E16" s="10">
        <v>22</v>
      </c>
      <c r="F16" s="58" t="s">
        <v>11</v>
      </c>
      <c r="G16" s="12">
        <v>1028</v>
      </c>
      <c r="H16" s="12">
        <v>2047</v>
      </c>
      <c r="I16" s="17" t="s">
        <v>2204</v>
      </c>
      <c r="J16" s="18">
        <v>21</v>
      </c>
      <c r="K16" s="19">
        <f t="shared" si="0"/>
        <v>322.01730000000003</v>
      </c>
      <c r="L16" s="20"/>
      <c r="M16" s="15">
        <v>29.57</v>
      </c>
      <c r="N16" s="15">
        <v>10.89</v>
      </c>
    </row>
    <row r="17" spans="1:14" s="15" customFormat="1" ht="20.25" customHeight="1" x14ac:dyDescent="0.15">
      <c r="A17" s="60"/>
      <c r="B17" s="9"/>
      <c r="C17" s="58" t="s">
        <v>29</v>
      </c>
      <c r="D17" s="11" t="s">
        <v>156</v>
      </c>
      <c r="E17" s="10">
        <v>22</v>
      </c>
      <c r="F17" s="58" t="s">
        <v>11</v>
      </c>
      <c r="G17" s="12">
        <v>1028</v>
      </c>
      <c r="H17" s="12">
        <v>2047</v>
      </c>
      <c r="I17" s="17" t="s">
        <v>2205</v>
      </c>
      <c r="J17" s="18">
        <v>22</v>
      </c>
      <c r="K17" s="19">
        <f t="shared" si="0"/>
        <v>336.93660000000006</v>
      </c>
      <c r="L17" s="20"/>
      <c r="M17" s="15">
        <v>30.94</v>
      </c>
      <c r="N17" s="15">
        <v>10.89</v>
      </c>
    </row>
    <row r="18" spans="1:14" s="15" customFormat="1" ht="20.25" customHeight="1" x14ac:dyDescent="0.15">
      <c r="A18" s="60" t="s">
        <v>2183</v>
      </c>
      <c r="B18" s="9" t="s">
        <v>1304</v>
      </c>
      <c r="C18" s="58" t="s">
        <v>29</v>
      </c>
      <c r="D18" s="11" t="s">
        <v>2069</v>
      </c>
      <c r="E18" s="10">
        <v>28</v>
      </c>
      <c r="F18" s="58" t="s">
        <v>11</v>
      </c>
      <c r="G18" s="12">
        <v>1427</v>
      </c>
      <c r="H18" s="12">
        <v>705</v>
      </c>
      <c r="I18" s="17" t="s">
        <v>2206</v>
      </c>
      <c r="J18" s="18">
        <v>47</v>
      </c>
      <c r="K18" s="19">
        <f t="shared" si="0"/>
        <v>447.25230000000005</v>
      </c>
      <c r="L18" s="20"/>
      <c r="M18" s="15">
        <v>41.07</v>
      </c>
      <c r="N18" s="15">
        <v>10.89</v>
      </c>
    </row>
    <row r="19" spans="1:14" s="15" customFormat="1" ht="20.25" customHeight="1" x14ac:dyDescent="0.15">
      <c r="A19" s="60"/>
      <c r="B19" s="9"/>
      <c r="C19" s="58"/>
      <c r="D19" s="11"/>
      <c r="E19" s="10"/>
      <c r="F19" s="58"/>
      <c r="G19" s="12"/>
      <c r="H19" s="12"/>
      <c r="I19" s="17"/>
      <c r="J19" s="18"/>
      <c r="K19" s="19">
        <f t="shared" si="0"/>
        <v>0</v>
      </c>
      <c r="L19" s="20"/>
      <c r="N19" s="15">
        <v>10.89</v>
      </c>
    </row>
    <row r="20" spans="1:14" s="15" customFormat="1" ht="20.25" customHeight="1" x14ac:dyDescent="0.15">
      <c r="A20" s="60"/>
      <c r="B20" s="9"/>
      <c r="C20" s="58"/>
      <c r="D20" s="11"/>
      <c r="E20" s="10"/>
      <c r="F20" s="58"/>
      <c r="G20" s="12"/>
      <c r="H20" s="12"/>
      <c r="I20" s="17"/>
      <c r="J20" s="18"/>
      <c r="K20" s="19">
        <f t="shared" si="0"/>
        <v>0</v>
      </c>
      <c r="L20" s="20"/>
      <c r="N20" s="15">
        <v>10.89</v>
      </c>
    </row>
    <row r="21" spans="1:14" s="15" customFormat="1" ht="20.25" customHeight="1" x14ac:dyDescent="0.15">
      <c r="A21" s="60"/>
      <c r="B21" s="9"/>
      <c r="C21" s="58"/>
      <c r="D21" s="11"/>
      <c r="E21" s="10"/>
      <c r="F21" s="58"/>
      <c r="G21" s="50"/>
      <c r="H21" s="50"/>
      <c r="I21" s="17"/>
      <c r="J21" s="18"/>
      <c r="K21" s="19">
        <f t="shared" si="0"/>
        <v>0</v>
      </c>
      <c r="L21" s="20"/>
      <c r="N21" s="15">
        <v>10.89</v>
      </c>
    </row>
    <row r="22" spans="1:14" s="15" customFormat="1" ht="20.25" customHeight="1" x14ac:dyDescent="0.15">
      <c r="A22" s="60"/>
      <c r="B22" s="9"/>
      <c r="C22" s="58"/>
      <c r="D22" s="11"/>
      <c r="E22" s="10"/>
      <c r="F22" s="58"/>
      <c r="G22" s="50"/>
      <c r="H22" s="50"/>
      <c r="I22" s="17"/>
      <c r="J22" s="18"/>
      <c r="K22" s="19">
        <f t="shared" si="0"/>
        <v>0</v>
      </c>
      <c r="L22" s="20"/>
      <c r="N22" s="15">
        <v>10.89</v>
      </c>
    </row>
    <row r="23" spans="1:14" ht="20.25" customHeight="1" x14ac:dyDescent="0.15">
      <c r="A23" s="60"/>
      <c r="B23" s="9"/>
      <c r="C23" s="58"/>
      <c r="D23" s="11"/>
      <c r="E23" s="10"/>
      <c r="F23" s="58"/>
      <c r="G23" s="16"/>
      <c r="H23" s="16"/>
      <c r="I23" s="17"/>
      <c r="J23" s="18"/>
      <c r="K23" s="19">
        <f t="shared" si="0"/>
        <v>0</v>
      </c>
      <c r="L23" s="20"/>
      <c r="N23" s="15">
        <v>10.89</v>
      </c>
    </row>
    <row r="24" spans="1:14" ht="20.25" customHeight="1" thickBot="1" x14ac:dyDescent="0.2">
      <c r="A24" s="56"/>
      <c r="B24" s="21"/>
      <c r="C24" s="59"/>
      <c r="D24" s="22"/>
      <c r="E24" s="23"/>
      <c r="F24" s="23"/>
      <c r="G24" s="24"/>
      <c r="H24" s="24"/>
      <c r="I24" s="25"/>
      <c r="J24" s="46">
        <f>SUM(J8:J23)</f>
        <v>374</v>
      </c>
      <c r="K24" s="47">
        <f>SUM(K8:K23)</f>
        <v>3761.1882000000005</v>
      </c>
      <c r="L24" s="26"/>
    </row>
    <row r="25" spans="1:14" ht="20.25" customHeight="1" thickTop="1" x14ac:dyDescent="0.15">
      <c r="A25" s="60" t="s">
        <v>2207</v>
      </c>
      <c r="B25" s="9" t="s">
        <v>131</v>
      </c>
      <c r="C25" s="58" t="s">
        <v>29</v>
      </c>
      <c r="D25" s="11" t="s">
        <v>155</v>
      </c>
      <c r="E25" s="10">
        <v>22</v>
      </c>
      <c r="F25" s="10" t="s">
        <v>11</v>
      </c>
      <c r="G25" s="12">
        <v>1421</v>
      </c>
      <c r="H25" s="12">
        <v>1763</v>
      </c>
      <c r="I25" s="17" t="s">
        <v>2208</v>
      </c>
      <c r="J25" s="18">
        <v>96</v>
      </c>
      <c r="K25" s="19">
        <f t="shared" ref="K25:K40" si="1">+M25*N25</f>
        <v>795.84120000000007</v>
      </c>
      <c r="L25" s="54"/>
      <c r="M25" s="3">
        <v>73.08</v>
      </c>
      <c r="N25" s="15">
        <v>10.89</v>
      </c>
    </row>
    <row r="26" spans="1:14" ht="20.25" customHeight="1" x14ac:dyDescent="0.15">
      <c r="A26" s="60"/>
      <c r="B26" s="9"/>
      <c r="C26" s="58" t="s">
        <v>29</v>
      </c>
      <c r="D26" s="11" t="s">
        <v>156</v>
      </c>
      <c r="E26" s="10">
        <v>22</v>
      </c>
      <c r="F26" s="10" t="s">
        <v>11</v>
      </c>
      <c r="G26" s="12">
        <v>1421</v>
      </c>
      <c r="H26" s="12">
        <v>1763</v>
      </c>
      <c r="I26" s="17" t="s">
        <v>2209</v>
      </c>
      <c r="J26" s="18">
        <v>19</v>
      </c>
      <c r="K26" s="19">
        <f t="shared" si="1"/>
        <v>357.95429999999999</v>
      </c>
      <c r="L26" s="54"/>
      <c r="M26" s="3">
        <v>32.869999999999997</v>
      </c>
      <c r="N26" s="15">
        <v>10.89</v>
      </c>
    </row>
    <row r="27" spans="1:14" ht="20.25" customHeight="1" x14ac:dyDescent="0.15">
      <c r="A27" s="61" t="s">
        <v>2191</v>
      </c>
      <c r="B27" s="9" t="s">
        <v>1175</v>
      </c>
      <c r="C27" s="58" t="s">
        <v>29</v>
      </c>
      <c r="D27" s="11" t="s">
        <v>1176</v>
      </c>
      <c r="E27" s="10">
        <v>39</v>
      </c>
      <c r="F27" s="10" t="s">
        <v>11</v>
      </c>
      <c r="G27" s="12">
        <v>925</v>
      </c>
      <c r="H27" s="12">
        <v>1685</v>
      </c>
      <c r="I27" s="17" t="s">
        <v>2210</v>
      </c>
      <c r="J27" s="18">
        <v>2</v>
      </c>
      <c r="K27" s="19">
        <f t="shared" si="1"/>
        <v>32.7789</v>
      </c>
      <c r="L27" s="54"/>
      <c r="M27" s="3">
        <v>3.01</v>
      </c>
      <c r="N27" s="15">
        <v>10.89</v>
      </c>
    </row>
    <row r="28" spans="1:14" ht="20.25" customHeight="1" x14ac:dyDescent="0.15">
      <c r="A28" s="61" t="s">
        <v>2194</v>
      </c>
      <c r="B28" s="9" t="s">
        <v>1175</v>
      </c>
      <c r="C28" s="58" t="s">
        <v>29</v>
      </c>
      <c r="D28" s="11" t="s">
        <v>1176</v>
      </c>
      <c r="E28" s="10">
        <v>39</v>
      </c>
      <c r="F28" s="10" t="s">
        <v>11</v>
      </c>
      <c r="G28" s="12">
        <v>1100</v>
      </c>
      <c r="H28" s="12">
        <v>1685</v>
      </c>
      <c r="I28" s="17" t="s">
        <v>2211</v>
      </c>
      <c r="J28" s="18">
        <v>38</v>
      </c>
      <c r="K28" s="19">
        <f t="shared" si="1"/>
        <v>241.5402</v>
      </c>
      <c r="L28" s="54"/>
      <c r="M28" s="3">
        <v>22.18</v>
      </c>
      <c r="N28" s="15">
        <v>10.89</v>
      </c>
    </row>
    <row r="29" spans="1:14" ht="20.25" customHeight="1" x14ac:dyDescent="0.15">
      <c r="A29" s="61" t="s">
        <v>2212</v>
      </c>
      <c r="B29" s="9" t="s">
        <v>1080</v>
      </c>
      <c r="C29" s="58" t="s">
        <v>29</v>
      </c>
      <c r="D29" s="11" t="s">
        <v>1881</v>
      </c>
      <c r="E29" s="10">
        <v>24</v>
      </c>
      <c r="F29" s="10" t="s">
        <v>11</v>
      </c>
      <c r="G29" s="12">
        <v>1700</v>
      </c>
      <c r="H29" s="12">
        <v>2965</v>
      </c>
      <c r="I29" s="17" t="s">
        <v>2213</v>
      </c>
      <c r="J29" s="18">
        <v>22</v>
      </c>
      <c r="K29" s="19">
        <f t="shared" si="1"/>
        <v>516.83940000000007</v>
      </c>
      <c r="L29" s="54"/>
      <c r="M29" s="3">
        <v>47.46</v>
      </c>
      <c r="N29" s="15">
        <v>10.89</v>
      </c>
    </row>
    <row r="30" spans="1:14" ht="20.25" customHeight="1" x14ac:dyDescent="0.15">
      <c r="A30" s="61"/>
      <c r="B30" s="9"/>
      <c r="C30" s="58" t="s">
        <v>29</v>
      </c>
      <c r="D30" s="11" t="s">
        <v>276</v>
      </c>
      <c r="E30" s="10">
        <v>24</v>
      </c>
      <c r="F30" s="10" t="s">
        <v>11</v>
      </c>
      <c r="G30" s="12">
        <v>985</v>
      </c>
      <c r="H30" s="12">
        <v>2875</v>
      </c>
      <c r="I30" s="51" t="s">
        <v>2214</v>
      </c>
      <c r="J30" s="52">
        <v>6</v>
      </c>
      <c r="K30" s="53">
        <f t="shared" si="1"/>
        <v>156.59820000000002</v>
      </c>
      <c r="L30" s="54"/>
      <c r="M30" s="3">
        <v>14.38</v>
      </c>
      <c r="N30" s="15">
        <v>10.89</v>
      </c>
    </row>
    <row r="31" spans="1:14" ht="20.25" customHeight="1" x14ac:dyDescent="0.15">
      <c r="A31" s="61" t="s">
        <v>2215</v>
      </c>
      <c r="B31" s="9" t="s">
        <v>1080</v>
      </c>
      <c r="C31" s="58" t="s">
        <v>29</v>
      </c>
      <c r="D31" s="11" t="s">
        <v>1881</v>
      </c>
      <c r="E31" s="10">
        <v>24</v>
      </c>
      <c r="F31" s="10" t="s">
        <v>11</v>
      </c>
      <c r="G31" s="12">
        <v>695</v>
      </c>
      <c r="H31" s="12">
        <v>2875</v>
      </c>
      <c r="I31" s="51" t="s">
        <v>2216</v>
      </c>
      <c r="J31" s="52">
        <v>7</v>
      </c>
      <c r="K31" s="53">
        <f t="shared" si="1"/>
        <v>60.984000000000002</v>
      </c>
      <c r="L31" s="54"/>
      <c r="M31" s="3">
        <v>5.6</v>
      </c>
      <c r="N31" s="15">
        <v>10.89</v>
      </c>
    </row>
    <row r="32" spans="1:14" ht="20.25" customHeight="1" x14ac:dyDescent="0.15">
      <c r="A32" s="60"/>
      <c r="B32" s="9"/>
      <c r="C32" s="58" t="s">
        <v>29</v>
      </c>
      <c r="D32" s="11" t="s">
        <v>276</v>
      </c>
      <c r="E32" s="10">
        <v>24</v>
      </c>
      <c r="F32" s="10" t="s">
        <v>11</v>
      </c>
      <c r="G32" s="12">
        <v>1035</v>
      </c>
      <c r="H32" s="12">
        <v>2685</v>
      </c>
      <c r="I32" s="17" t="s">
        <v>2217</v>
      </c>
      <c r="J32" s="18">
        <v>17</v>
      </c>
      <c r="K32" s="19">
        <f t="shared" si="1"/>
        <v>105.1974</v>
      </c>
      <c r="L32" s="27"/>
      <c r="M32" s="3">
        <v>9.66</v>
      </c>
      <c r="N32" s="15">
        <v>10.89</v>
      </c>
    </row>
    <row r="33" spans="1:14" ht="20.25" customHeight="1" x14ac:dyDescent="0.15">
      <c r="A33" s="60" t="s">
        <v>2218</v>
      </c>
      <c r="B33" s="9" t="s">
        <v>1080</v>
      </c>
      <c r="C33" s="58" t="s">
        <v>29</v>
      </c>
      <c r="D33" s="11" t="s">
        <v>1881</v>
      </c>
      <c r="E33" s="10">
        <v>24</v>
      </c>
      <c r="F33" s="10" t="s">
        <v>11</v>
      </c>
      <c r="G33" s="12">
        <v>1730</v>
      </c>
      <c r="H33" s="12">
        <v>605</v>
      </c>
      <c r="I33" s="17" t="s">
        <v>2219</v>
      </c>
      <c r="J33" s="18">
        <v>28</v>
      </c>
      <c r="K33" s="19">
        <f t="shared" si="1"/>
        <v>236.09520000000001</v>
      </c>
      <c r="L33" s="27"/>
      <c r="M33" s="3">
        <v>21.68</v>
      </c>
      <c r="N33" s="15">
        <v>10.89</v>
      </c>
    </row>
    <row r="34" spans="1:14" ht="20.25" customHeight="1" x14ac:dyDescent="0.15">
      <c r="A34" s="60"/>
      <c r="B34" s="9"/>
      <c r="C34" s="58" t="s">
        <v>29</v>
      </c>
      <c r="D34" s="11" t="s">
        <v>276</v>
      </c>
      <c r="E34" s="10">
        <v>24</v>
      </c>
      <c r="F34" s="10" t="s">
        <v>11</v>
      </c>
      <c r="G34" s="12">
        <v>1630</v>
      </c>
      <c r="H34" s="12">
        <v>2873</v>
      </c>
      <c r="I34" s="17" t="s">
        <v>2213</v>
      </c>
      <c r="J34" s="18">
        <v>22</v>
      </c>
      <c r="K34" s="19">
        <f t="shared" si="1"/>
        <v>560.94389999999999</v>
      </c>
      <c r="L34" s="27"/>
      <c r="M34" s="3">
        <v>51.51</v>
      </c>
      <c r="N34" s="15">
        <v>10.89</v>
      </c>
    </row>
    <row r="35" spans="1:14" ht="20.25" customHeight="1" x14ac:dyDescent="0.15">
      <c r="A35" s="60" t="s">
        <v>2220</v>
      </c>
      <c r="B35" s="9" t="s">
        <v>1080</v>
      </c>
      <c r="C35" s="58" t="s">
        <v>29</v>
      </c>
      <c r="D35" s="11" t="s">
        <v>276</v>
      </c>
      <c r="E35" s="10">
        <v>24</v>
      </c>
      <c r="F35" s="10" t="s">
        <v>11</v>
      </c>
      <c r="G35" s="12">
        <v>1615</v>
      </c>
      <c r="H35" s="12">
        <v>2872</v>
      </c>
      <c r="I35" s="17" t="s">
        <v>2221</v>
      </c>
      <c r="J35" s="18">
        <v>75</v>
      </c>
      <c r="K35" s="19">
        <f t="shared" si="1"/>
        <v>1259.8641</v>
      </c>
      <c r="L35" s="27"/>
      <c r="M35" s="3">
        <v>115.69</v>
      </c>
      <c r="N35" s="15">
        <v>10.89</v>
      </c>
    </row>
    <row r="36" spans="1:14" ht="20.25" customHeight="1" x14ac:dyDescent="0.15">
      <c r="A36" s="60"/>
      <c r="B36" s="9"/>
      <c r="C36" s="58" t="s">
        <v>29</v>
      </c>
      <c r="D36" s="11" t="s">
        <v>1881</v>
      </c>
      <c r="E36" s="10">
        <v>24</v>
      </c>
      <c r="F36" s="10" t="s">
        <v>11</v>
      </c>
      <c r="G36" s="12">
        <v>1615</v>
      </c>
      <c r="H36" s="12">
        <v>1272</v>
      </c>
      <c r="I36" s="17" t="s">
        <v>2222</v>
      </c>
      <c r="J36" s="18">
        <v>6</v>
      </c>
      <c r="K36" s="19">
        <f t="shared" si="1"/>
        <v>133.72919999999999</v>
      </c>
      <c r="L36" s="27"/>
      <c r="M36" s="3">
        <v>12.28</v>
      </c>
      <c r="N36" s="15">
        <v>10.89</v>
      </c>
    </row>
    <row r="37" spans="1:14" ht="20.25" customHeight="1" x14ac:dyDescent="0.15">
      <c r="A37" s="60"/>
      <c r="B37" s="9"/>
      <c r="C37" s="58"/>
      <c r="D37" s="11"/>
      <c r="E37" s="10"/>
      <c r="F37" s="10"/>
      <c r="G37" s="12"/>
      <c r="H37" s="12"/>
      <c r="I37" s="17"/>
      <c r="J37" s="18"/>
      <c r="K37" s="19">
        <f t="shared" si="1"/>
        <v>0</v>
      </c>
      <c r="L37" s="27"/>
      <c r="N37" s="15">
        <v>10.89</v>
      </c>
    </row>
    <row r="38" spans="1:14" ht="20.25" customHeight="1" x14ac:dyDescent="0.15">
      <c r="A38" s="60"/>
      <c r="B38" s="9"/>
      <c r="C38" s="58"/>
      <c r="D38" s="11"/>
      <c r="E38" s="10"/>
      <c r="F38" s="10"/>
      <c r="G38" s="12"/>
      <c r="H38" s="12"/>
      <c r="I38" s="17"/>
      <c r="J38" s="18"/>
      <c r="K38" s="19">
        <f t="shared" si="1"/>
        <v>0</v>
      </c>
      <c r="L38" s="27"/>
      <c r="N38" s="15">
        <v>10.89</v>
      </c>
    </row>
    <row r="39" spans="1:14" ht="20.25" customHeight="1" x14ac:dyDescent="0.15">
      <c r="A39" s="60"/>
      <c r="B39" s="9"/>
      <c r="C39" s="58"/>
      <c r="D39" s="11"/>
      <c r="E39" s="10"/>
      <c r="F39" s="10"/>
      <c r="G39" s="12"/>
      <c r="H39" s="12"/>
      <c r="I39" s="17"/>
      <c r="J39" s="18"/>
      <c r="K39" s="19">
        <f t="shared" si="1"/>
        <v>0</v>
      </c>
      <c r="L39" s="27"/>
      <c r="N39" s="15">
        <v>10.89</v>
      </c>
    </row>
    <row r="40" spans="1:14" ht="20.25" customHeight="1" x14ac:dyDescent="0.15">
      <c r="A40" s="60"/>
      <c r="B40" s="9"/>
      <c r="C40" s="58"/>
      <c r="D40" s="11"/>
      <c r="E40" s="10"/>
      <c r="F40" s="10"/>
      <c r="G40" s="12"/>
      <c r="H40" s="12"/>
      <c r="I40" s="17"/>
      <c r="J40" s="18"/>
      <c r="K40" s="19">
        <f t="shared" si="1"/>
        <v>0</v>
      </c>
      <c r="L40" s="27"/>
      <c r="N40" s="15">
        <v>10.89</v>
      </c>
    </row>
    <row r="41" spans="1:14" ht="20.25" customHeight="1" x14ac:dyDescent="0.15">
      <c r="A41" s="57"/>
      <c r="B41" s="28"/>
      <c r="C41" s="10"/>
      <c r="D41" s="29"/>
      <c r="E41" s="30"/>
      <c r="F41" s="30"/>
      <c r="G41" s="30"/>
      <c r="H41" s="30"/>
      <c r="I41" s="13"/>
      <c r="J41" s="48">
        <f>SUM(J25:J40)</f>
        <v>338</v>
      </c>
      <c r="K41" s="49">
        <f>SUM(K25:K40)</f>
        <v>4458.366</v>
      </c>
      <c r="L41" s="31"/>
      <c r="N41" s="32"/>
    </row>
    <row r="42" spans="1:14" ht="20.25" customHeight="1" thickBot="1" x14ac:dyDescent="0.2">
      <c r="A42" s="55"/>
      <c r="B42" s="33"/>
      <c r="C42" s="33"/>
      <c r="D42" s="33"/>
      <c r="E42" s="33"/>
      <c r="F42" s="33"/>
      <c r="G42" s="33"/>
      <c r="H42" s="33"/>
      <c r="I42" s="33"/>
      <c r="J42" s="34"/>
      <c r="K42" s="35"/>
      <c r="L42" s="36"/>
    </row>
    <row r="43" spans="1:14" ht="20.25" customHeight="1" thickBot="1" x14ac:dyDescent="0.2">
      <c r="A43" s="37" t="s">
        <v>19</v>
      </c>
      <c r="B43" s="38" t="s">
        <v>20</v>
      </c>
      <c r="C43" s="77" t="s">
        <v>21</v>
      </c>
      <c r="D43" s="79"/>
      <c r="E43" s="77" t="s">
        <v>22</v>
      </c>
      <c r="F43" s="78"/>
      <c r="G43" s="79"/>
      <c r="H43" s="85" t="s">
        <v>23</v>
      </c>
      <c r="I43" s="86"/>
      <c r="J43" s="77" t="s">
        <v>24</v>
      </c>
      <c r="K43" s="79"/>
      <c r="L43" s="39" t="s">
        <v>13</v>
      </c>
    </row>
    <row r="44" spans="1:14" ht="20.25" customHeight="1" thickBot="1" x14ac:dyDescent="0.2">
      <c r="A44" s="40">
        <f>SUMIF($C$8:$C$42,"U1",$J$8:$J$42)</f>
        <v>0</v>
      </c>
      <c r="B44" s="41">
        <f>SUMIF($C$8:$C$42,"U2",$J$8:$J$42)</f>
        <v>0</v>
      </c>
      <c r="C44" s="77">
        <f>SUMIF($C$8:$C$42,"U3-1",$J$8:$J$42)</f>
        <v>0</v>
      </c>
      <c r="D44" s="79"/>
      <c r="E44" s="77">
        <f>SUMIF($C$8:$C$42,"U3",$J$8:$J$42)</f>
        <v>712</v>
      </c>
      <c r="F44" s="78"/>
      <c r="G44" s="79"/>
      <c r="H44" s="77">
        <f>SUMIF($C$8:$C$42,"E5",$J$8:$J$42)</f>
        <v>0</v>
      </c>
      <c r="I44" s="79"/>
      <c r="J44" s="77">
        <f>SUM(A44:I44)</f>
        <v>712</v>
      </c>
      <c r="K44" s="79"/>
      <c r="L44" s="42"/>
    </row>
    <row r="45" spans="1:14" ht="20.25" customHeight="1" thickBot="1" x14ac:dyDescent="0.2">
      <c r="A45" s="43" t="s">
        <v>25</v>
      </c>
      <c r="B45" s="44" t="s">
        <v>26</v>
      </c>
      <c r="C45" s="75">
        <v>13876</v>
      </c>
      <c r="D45" s="76"/>
      <c r="E45" s="77" t="s">
        <v>27</v>
      </c>
      <c r="F45" s="78"/>
      <c r="G45" s="78"/>
      <c r="H45" s="78"/>
      <c r="I45" s="79"/>
      <c r="J45" s="80">
        <v>146744.37</v>
      </c>
      <c r="K45" s="81"/>
      <c r="L45" s="82"/>
    </row>
    <row r="47" spans="1:14" x14ac:dyDescent="0.15">
      <c r="D47" s="45"/>
    </row>
  </sheetData>
  <mergeCells count="26">
    <mergeCell ref="C45:D45"/>
    <mergeCell ref="E45:I45"/>
    <mergeCell ref="J45:L45"/>
    <mergeCell ref="L6:L7"/>
    <mergeCell ref="C43:D43"/>
    <mergeCell ref="E43:G43"/>
    <mergeCell ref="H43:I43"/>
    <mergeCell ref="J43:K43"/>
    <mergeCell ref="C44:D44"/>
    <mergeCell ref="E44:G44"/>
    <mergeCell ref="H44:I44"/>
    <mergeCell ref="J44:K44"/>
    <mergeCell ref="B5:G5"/>
    <mergeCell ref="A6:A7"/>
    <mergeCell ref="B6:B7"/>
    <mergeCell ref="C6:C7"/>
    <mergeCell ref="D6:D7"/>
    <mergeCell ref="E6:E7"/>
    <mergeCell ref="F6:F7"/>
    <mergeCell ref="G6:K6"/>
    <mergeCell ref="L2:L4"/>
    <mergeCell ref="A1:G3"/>
    <mergeCell ref="H1:H4"/>
    <mergeCell ref="I2:I4"/>
    <mergeCell ref="J2:J4"/>
    <mergeCell ref="K2:K4"/>
  </mergeCells>
  <phoneticPr fontId="2" type="noConversion"/>
  <printOptions horizontalCentered="1"/>
  <pageMargins left="0.39370078740157483" right="0.39370078740157483" top="0.74803149606299213" bottom="0.19685039370078741" header="0.31496062992125984" footer="0.15748031496062992"/>
  <pageSetup paperSize="9" scale="84" orientation="portrait" r:id="rId1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D0D461-5747-406E-9469-43EC41308873}">
  <dimension ref="A1:N47"/>
  <sheetViews>
    <sheetView view="pageBreakPreview" topLeftCell="A19" zoomScaleSheetLayoutView="100" workbookViewId="0">
      <selection activeCell="B14" sqref="B14"/>
    </sheetView>
  </sheetViews>
  <sheetFormatPr defaultColWidth="8.88671875" defaultRowHeight="13.5" x14ac:dyDescent="0.15"/>
  <cols>
    <col min="1" max="1" width="8.44140625" style="3" customWidth="1"/>
    <col min="2" max="2" width="14.77734375" style="3" customWidth="1"/>
    <col min="3" max="3" width="4.109375" style="3" customWidth="1"/>
    <col min="4" max="4" width="15.21875" style="3" customWidth="1"/>
    <col min="5" max="5" width="4.44140625" style="3" customWidth="1"/>
    <col min="6" max="6" width="4" style="3" customWidth="1"/>
    <col min="7" max="7" width="5.5546875" style="3" customWidth="1"/>
    <col min="8" max="8" width="5.44140625" style="3" customWidth="1"/>
    <col min="9" max="9" width="7.88671875" style="3" customWidth="1"/>
    <col min="10" max="10" width="7.109375" style="3" customWidth="1"/>
    <col min="11" max="11" width="7.21875" style="3" customWidth="1"/>
    <col min="12" max="12" width="6.77734375" style="3" customWidth="1"/>
    <col min="13" max="16384" width="8.88671875" style="3"/>
  </cols>
  <sheetData>
    <row r="1" spans="1:14" ht="18.75" customHeight="1" x14ac:dyDescent="0.15">
      <c r="A1" s="101" t="s">
        <v>0</v>
      </c>
      <c r="B1" s="102"/>
      <c r="C1" s="102"/>
      <c r="D1" s="102"/>
      <c r="E1" s="102"/>
      <c r="F1" s="102"/>
      <c r="G1" s="103"/>
      <c r="H1" s="107" t="s">
        <v>1</v>
      </c>
      <c r="I1" s="1" t="s">
        <v>2</v>
      </c>
      <c r="J1" s="1" t="s">
        <v>2</v>
      </c>
      <c r="K1" s="1" t="s">
        <v>3</v>
      </c>
      <c r="L1" s="2" t="s">
        <v>4</v>
      </c>
    </row>
    <row r="2" spans="1:14" ht="13.5" customHeight="1" x14ac:dyDescent="0.15">
      <c r="A2" s="104"/>
      <c r="B2" s="105"/>
      <c r="C2" s="105"/>
      <c r="D2" s="105"/>
      <c r="E2" s="105"/>
      <c r="F2" s="105"/>
      <c r="G2" s="106"/>
      <c r="H2" s="108"/>
      <c r="I2" s="110"/>
      <c r="J2" s="110"/>
      <c r="K2" s="110"/>
      <c r="L2" s="98"/>
    </row>
    <row r="3" spans="1:14" ht="13.5" customHeight="1" x14ac:dyDescent="0.15">
      <c r="A3" s="104"/>
      <c r="B3" s="105"/>
      <c r="C3" s="105"/>
      <c r="D3" s="105"/>
      <c r="E3" s="105"/>
      <c r="F3" s="105"/>
      <c r="G3" s="106"/>
      <c r="H3" s="108"/>
      <c r="I3" s="108"/>
      <c r="J3" s="108"/>
      <c r="K3" s="108"/>
      <c r="L3" s="99"/>
    </row>
    <row r="4" spans="1:14" ht="33" customHeight="1" x14ac:dyDescent="0.15">
      <c r="A4" s="4"/>
      <c r="B4" s="5"/>
      <c r="C4" s="5"/>
      <c r="D4" s="5"/>
      <c r="E4" s="5"/>
      <c r="F4" s="5"/>
      <c r="G4" s="5"/>
      <c r="H4" s="109"/>
      <c r="I4" s="109"/>
      <c r="J4" s="109"/>
      <c r="K4" s="109"/>
      <c r="L4" s="100"/>
    </row>
    <row r="5" spans="1:14" ht="17.25" customHeight="1" x14ac:dyDescent="0.15">
      <c r="A5" s="6" t="s">
        <v>5</v>
      </c>
      <c r="B5" s="87">
        <v>46138</v>
      </c>
      <c r="C5" s="88"/>
      <c r="D5" s="88"/>
      <c r="E5" s="88"/>
      <c r="F5" s="88"/>
      <c r="G5" s="88"/>
      <c r="H5" s="5"/>
      <c r="I5" s="5"/>
      <c r="J5" s="5"/>
      <c r="K5" s="5"/>
      <c r="L5" s="7"/>
    </row>
    <row r="6" spans="1:14" ht="13.5" customHeight="1" x14ac:dyDescent="0.15">
      <c r="A6" s="89" t="s">
        <v>6</v>
      </c>
      <c r="B6" s="91" t="s">
        <v>7</v>
      </c>
      <c r="C6" s="91" t="s">
        <v>8</v>
      </c>
      <c r="D6" s="91" t="s">
        <v>9</v>
      </c>
      <c r="E6" s="93" t="s">
        <v>10</v>
      </c>
      <c r="F6" s="93" t="s">
        <v>11</v>
      </c>
      <c r="G6" s="95" t="s">
        <v>12</v>
      </c>
      <c r="H6" s="96"/>
      <c r="I6" s="96"/>
      <c r="J6" s="96"/>
      <c r="K6" s="97"/>
      <c r="L6" s="83" t="s">
        <v>13</v>
      </c>
    </row>
    <row r="7" spans="1:14" x14ac:dyDescent="0.15">
      <c r="A7" s="90"/>
      <c r="B7" s="92"/>
      <c r="C7" s="92"/>
      <c r="D7" s="92"/>
      <c r="E7" s="94"/>
      <c r="F7" s="94"/>
      <c r="G7" s="8" t="s">
        <v>14</v>
      </c>
      <c r="H7" s="8" t="s">
        <v>15</v>
      </c>
      <c r="I7" s="8" t="s">
        <v>16</v>
      </c>
      <c r="J7" s="8" t="s">
        <v>17</v>
      </c>
      <c r="K7" s="8" t="s">
        <v>18</v>
      </c>
      <c r="L7" s="84"/>
    </row>
    <row r="8" spans="1:14" s="15" customFormat="1" ht="20.25" customHeight="1" x14ac:dyDescent="0.15">
      <c r="A8" s="60" t="s">
        <v>2201</v>
      </c>
      <c r="B8" s="9" t="s">
        <v>1950</v>
      </c>
      <c r="C8" s="58" t="s">
        <v>29</v>
      </c>
      <c r="D8" s="11" t="s">
        <v>224</v>
      </c>
      <c r="E8" s="10">
        <v>22</v>
      </c>
      <c r="F8" s="58" t="s">
        <v>11</v>
      </c>
      <c r="G8" s="12">
        <v>455</v>
      </c>
      <c r="H8" s="12">
        <v>950</v>
      </c>
      <c r="I8" s="17" t="s">
        <v>2223</v>
      </c>
      <c r="J8" s="18">
        <v>32</v>
      </c>
      <c r="K8" s="19">
        <f>+M8*N8</f>
        <v>119.35440000000001</v>
      </c>
      <c r="L8" s="14"/>
      <c r="M8" s="15">
        <v>10.96</v>
      </c>
      <c r="N8" s="15">
        <v>10.89</v>
      </c>
    </row>
    <row r="9" spans="1:14" s="15" customFormat="1" ht="20.25" customHeight="1" x14ac:dyDescent="0.15">
      <c r="A9" s="60"/>
      <c r="B9" s="9"/>
      <c r="C9" s="58" t="s">
        <v>29</v>
      </c>
      <c r="D9" s="11" t="s">
        <v>217</v>
      </c>
      <c r="E9" s="10">
        <v>22</v>
      </c>
      <c r="F9" s="58" t="s">
        <v>11</v>
      </c>
      <c r="G9" s="12">
        <v>1719</v>
      </c>
      <c r="H9" s="12">
        <v>1820</v>
      </c>
      <c r="I9" s="17" t="s">
        <v>2200</v>
      </c>
      <c r="J9" s="18">
        <v>60</v>
      </c>
      <c r="K9" s="19">
        <f t="shared" ref="K9:K23" si="0">+M9*N9</f>
        <v>502.24680000000001</v>
      </c>
      <c r="L9" s="14"/>
      <c r="M9" s="15">
        <v>46.12</v>
      </c>
      <c r="N9" s="15">
        <v>10.89</v>
      </c>
    </row>
    <row r="10" spans="1:14" s="15" customFormat="1" ht="20.25" customHeight="1" x14ac:dyDescent="0.15">
      <c r="A10" s="60"/>
      <c r="B10" s="9"/>
      <c r="C10" s="58" t="s">
        <v>29</v>
      </c>
      <c r="D10" s="11" t="s">
        <v>201</v>
      </c>
      <c r="E10" s="10">
        <v>22</v>
      </c>
      <c r="F10" s="58" t="s">
        <v>11</v>
      </c>
      <c r="G10" s="12">
        <v>405</v>
      </c>
      <c r="H10" s="12">
        <v>950</v>
      </c>
      <c r="I10" s="17">
        <v>8</v>
      </c>
      <c r="J10" s="18">
        <v>8</v>
      </c>
      <c r="K10" s="19">
        <f t="shared" si="0"/>
        <v>33.105600000000003</v>
      </c>
      <c r="L10" s="14"/>
      <c r="M10" s="15">
        <v>3.04</v>
      </c>
      <c r="N10" s="15">
        <v>10.89</v>
      </c>
    </row>
    <row r="11" spans="1:14" s="15" customFormat="1" ht="20.25" customHeight="1" x14ac:dyDescent="0.15">
      <c r="A11" s="60" t="s">
        <v>2224</v>
      </c>
      <c r="B11" s="9" t="s">
        <v>1950</v>
      </c>
      <c r="C11" s="58" t="s">
        <v>29</v>
      </c>
      <c r="D11" s="11" t="s">
        <v>224</v>
      </c>
      <c r="E11" s="10">
        <v>22</v>
      </c>
      <c r="F11" s="58" t="s">
        <v>11</v>
      </c>
      <c r="G11" s="12">
        <v>1719</v>
      </c>
      <c r="H11" s="12">
        <v>1820</v>
      </c>
      <c r="I11" s="17" t="s">
        <v>2225</v>
      </c>
      <c r="J11" s="18">
        <v>15</v>
      </c>
      <c r="K11" s="19">
        <f t="shared" si="0"/>
        <v>321.79950000000002</v>
      </c>
      <c r="L11" s="14"/>
      <c r="M11" s="15">
        <v>29.55</v>
      </c>
      <c r="N11" s="15">
        <v>10.89</v>
      </c>
    </row>
    <row r="12" spans="1:14" s="15" customFormat="1" ht="20.25" customHeight="1" x14ac:dyDescent="0.15">
      <c r="A12" s="60" t="s">
        <v>2226</v>
      </c>
      <c r="B12" s="9" t="s">
        <v>1304</v>
      </c>
      <c r="C12" s="58" t="s">
        <v>29</v>
      </c>
      <c r="D12" s="11" t="s">
        <v>2069</v>
      </c>
      <c r="E12" s="10">
        <v>28</v>
      </c>
      <c r="F12" s="58" t="s">
        <v>11</v>
      </c>
      <c r="G12" s="12">
        <v>1464</v>
      </c>
      <c r="H12" s="12">
        <v>1185</v>
      </c>
      <c r="I12" s="17" t="s">
        <v>2227</v>
      </c>
      <c r="J12" s="18">
        <v>77</v>
      </c>
      <c r="K12" s="19">
        <f t="shared" si="0"/>
        <v>886.44600000000014</v>
      </c>
      <c r="L12" s="14"/>
      <c r="M12" s="15">
        <v>81.400000000000006</v>
      </c>
      <c r="N12" s="15">
        <v>10.89</v>
      </c>
    </row>
    <row r="13" spans="1:14" s="15" customFormat="1" ht="20.25" customHeight="1" x14ac:dyDescent="0.15">
      <c r="A13" s="60"/>
      <c r="B13" s="9"/>
      <c r="C13" s="58" t="s">
        <v>29</v>
      </c>
      <c r="D13" s="11" t="s">
        <v>2041</v>
      </c>
      <c r="E13" s="10">
        <v>28</v>
      </c>
      <c r="F13" s="58" t="s">
        <v>11</v>
      </c>
      <c r="G13" s="12">
        <v>1427</v>
      </c>
      <c r="H13" s="12">
        <v>1635</v>
      </c>
      <c r="I13" s="17" t="s">
        <v>2228</v>
      </c>
      <c r="J13" s="18">
        <v>41</v>
      </c>
      <c r="K13" s="19">
        <f t="shared" si="0"/>
        <v>1054.3697999999999</v>
      </c>
      <c r="L13" s="14"/>
      <c r="M13" s="15">
        <v>96.82</v>
      </c>
      <c r="N13" s="15">
        <v>10.89</v>
      </c>
    </row>
    <row r="14" spans="1:14" s="15" customFormat="1" ht="20.25" customHeight="1" x14ac:dyDescent="0.15">
      <c r="A14" s="60" t="s">
        <v>2229</v>
      </c>
      <c r="B14" s="9" t="s">
        <v>1944</v>
      </c>
      <c r="C14" s="58" t="s">
        <v>29</v>
      </c>
      <c r="D14" s="11" t="s">
        <v>1945</v>
      </c>
      <c r="E14" s="10">
        <v>24</v>
      </c>
      <c r="F14" s="58" t="s">
        <v>11</v>
      </c>
      <c r="G14" s="12">
        <v>985</v>
      </c>
      <c r="H14" s="12">
        <v>2910</v>
      </c>
      <c r="I14" s="17" t="s">
        <v>2230</v>
      </c>
      <c r="J14" s="18">
        <v>95</v>
      </c>
      <c r="K14" s="19">
        <f t="shared" si="0"/>
        <v>2969.1585</v>
      </c>
      <c r="L14" s="20"/>
      <c r="M14" s="15">
        <v>272.64999999999998</v>
      </c>
      <c r="N14" s="15">
        <v>10.89</v>
      </c>
    </row>
    <row r="15" spans="1:14" s="15" customFormat="1" ht="20.25" customHeight="1" x14ac:dyDescent="0.15">
      <c r="A15" s="60"/>
      <c r="B15" s="9"/>
      <c r="C15" s="58"/>
      <c r="D15" s="11"/>
      <c r="E15" s="10"/>
      <c r="F15" s="58"/>
      <c r="G15" s="12"/>
      <c r="H15" s="12"/>
      <c r="I15" s="17"/>
      <c r="J15" s="18"/>
      <c r="K15" s="19">
        <f t="shared" si="0"/>
        <v>0</v>
      </c>
      <c r="L15" s="20"/>
      <c r="N15" s="15">
        <v>10.89</v>
      </c>
    </row>
    <row r="16" spans="1:14" s="15" customFormat="1" ht="20.25" customHeight="1" x14ac:dyDescent="0.15">
      <c r="A16" s="60"/>
      <c r="B16" s="9"/>
      <c r="C16" s="58"/>
      <c r="D16" s="11"/>
      <c r="E16" s="10"/>
      <c r="F16" s="58"/>
      <c r="G16" s="12"/>
      <c r="H16" s="12"/>
      <c r="I16" s="17"/>
      <c r="J16" s="18"/>
      <c r="K16" s="19">
        <f t="shared" si="0"/>
        <v>0</v>
      </c>
      <c r="L16" s="20"/>
      <c r="N16" s="15">
        <v>10.89</v>
      </c>
    </row>
    <row r="17" spans="1:14" s="15" customFormat="1" ht="20.25" customHeight="1" x14ac:dyDescent="0.15">
      <c r="A17" s="60"/>
      <c r="B17" s="9"/>
      <c r="C17" s="58"/>
      <c r="D17" s="11"/>
      <c r="E17" s="10"/>
      <c r="F17" s="58"/>
      <c r="G17" s="12"/>
      <c r="H17" s="12"/>
      <c r="I17" s="17"/>
      <c r="J17" s="18"/>
      <c r="K17" s="19">
        <f t="shared" si="0"/>
        <v>0</v>
      </c>
      <c r="L17" s="20"/>
      <c r="N17" s="15">
        <v>10.89</v>
      </c>
    </row>
    <row r="18" spans="1:14" s="15" customFormat="1" ht="20.25" customHeight="1" x14ac:dyDescent="0.15">
      <c r="A18" s="60"/>
      <c r="B18" s="9"/>
      <c r="C18" s="58"/>
      <c r="D18" s="11"/>
      <c r="E18" s="10"/>
      <c r="F18" s="58"/>
      <c r="G18" s="12"/>
      <c r="H18" s="12"/>
      <c r="I18" s="17"/>
      <c r="J18" s="18"/>
      <c r="K18" s="19">
        <f t="shared" si="0"/>
        <v>0</v>
      </c>
      <c r="L18" s="20"/>
      <c r="N18" s="15">
        <v>10.89</v>
      </c>
    </row>
    <row r="19" spans="1:14" s="15" customFormat="1" ht="20.25" customHeight="1" x14ac:dyDescent="0.15">
      <c r="A19" s="60"/>
      <c r="B19" s="9"/>
      <c r="C19" s="58"/>
      <c r="D19" s="11"/>
      <c r="E19" s="10"/>
      <c r="F19" s="58"/>
      <c r="G19" s="12"/>
      <c r="H19" s="12"/>
      <c r="I19" s="17"/>
      <c r="J19" s="18"/>
      <c r="K19" s="19">
        <f t="shared" si="0"/>
        <v>0</v>
      </c>
      <c r="L19" s="20"/>
      <c r="N19" s="15">
        <v>10.89</v>
      </c>
    </row>
    <row r="20" spans="1:14" s="15" customFormat="1" ht="20.25" customHeight="1" x14ac:dyDescent="0.15">
      <c r="A20" s="60"/>
      <c r="B20" s="9"/>
      <c r="C20" s="58"/>
      <c r="D20" s="11"/>
      <c r="E20" s="10"/>
      <c r="F20" s="58"/>
      <c r="G20" s="12"/>
      <c r="H20" s="12"/>
      <c r="I20" s="17"/>
      <c r="J20" s="18"/>
      <c r="K20" s="19">
        <f t="shared" si="0"/>
        <v>0</v>
      </c>
      <c r="L20" s="20"/>
      <c r="N20" s="15">
        <v>10.89</v>
      </c>
    </row>
    <row r="21" spans="1:14" s="15" customFormat="1" ht="20.25" customHeight="1" x14ac:dyDescent="0.15">
      <c r="A21" s="60"/>
      <c r="B21" s="9"/>
      <c r="C21" s="58"/>
      <c r="D21" s="11"/>
      <c r="E21" s="10"/>
      <c r="F21" s="58"/>
      <c r="G21" s="50"/>
      <c r="H21" s="50"/>
      <c r="I21" s="17"/>
      <c r="J21" s="18"/>
      <c r="K21" s="19">
        <f t="shared" si="0"/>
        <v>0</v>
      </c>
      <c r="L21" s="20"/>
      <c r="N21" s="15">
        <v>10.89</v>
      </c>
    </row>
    <row r="22" spans="1:14" s="15" customFormat="1" ht="20.25" customHeight="1" x14ac:dyDescent="0.15">
      <c r="A22" s="60"/>
      <c r="B22" s="9"/>
      <c r="C22" s="58"/>
      <c r="D22" s="11"/>
      <c r="E22" s="10"/>
      <c r="F22" s="58"/>
      <c r="G22" s="50"/>
      <c r="H22" s="50"/>
      <c r="I22" s="17"/>
      <c r="J22" s="18"/>
      <c r="K22" s="19">
        <f t="shared" si="0"/>
        <v>0</v>
      </c>
      <c r="L22" s="20"/>
      <c r="N22" s="15">
        <v>10.89</v>
      </c>
    </row>
    <row r="23" spans="1:14" ht="20.25" customHeight="1" x14ac:dyDescent="0.15">
      <c r="A23" s="60"/>
      <c r="B23" s="9"/>
      <c r="C23" s="58"/>
      <c r="D23" s="11"/>
      <c r="E23" s="10"/>
      <c r="F23" s="58"/>
      <c r="G23" s="16"/>
      <c r="H23" s="16"/>
      <c r="I23" s="17"/>
      <c r="J23" s="18"/>
      <c r="K23" s="19">
        <f t="shared" si="0"/>
        <v>0</v>
      </c>
      <c r="L23" s="20"/>
      <c r="N23" s="15">
        <v>10.89</v>
      </c>
    </row>
    <row r="24" spans="1:14" ht="20.25" customHeight="1" thickBot="1" x14ac:dyDescent="0.2">
      <c r="A24" s="56"/>
      <c r="B24" s="21"/>
      <c r="C24" s="59"/>
      <c r="D24" s="22"/>
      <c r="E24" s="23"/>
      <c r="F24" s="23"/>
      <c r="G24" s="24"/>
      <c r="H24" s="24"/>
      <c r="I24" s="25"/>
      <c r="J24" s="46">
        <f>SUM(J8:J23)</f>
        <v>328</v>
      </c>
      <c r="K24" s="47">
        <f>SUM(K8:K23)</f>
        <v>5886.4806000000008</v>
      </c>
      <c r="L24" s="26"/>
    </row>
    <row r="25" spans="1:14" ht="20.25" customHeight="1" thickTop="1" x14ac:dyDescent="0.15">
      <c r="A25" s="60" t="s">
        <v>2231</v>
      </c>
      <c r="B25" s="9" t="s">
        <v>1950</v>
      </c>
      <c r="C25" s="58" t="s">
        <v>29</v>
      </c>
      <c r="D25" s="11" t="s">
        <v>224</v>
      </c>
      <c r="E25" s="10">
        <v>22</v>
      </c>
      <c r="F25" s="10" t="s">
        <v>11</v>
      </c>
      <c r="G25" s="12">
        <v>1719</v>
      </c>
      <c r="H25" s="12">
        <v>1820</v>
      </c>
      <c r="I25" s="17" t="s">
        <v>2200</v>
      </c>
      <c r="J25" s="18">
        <v>60</v>
      </c>
      <c r="K25" s="19">
        <f t="shared" ref="K25:K40" si="1">+M25*N25</f>
        <v>502.24680000000001</v>
      </c>
      <c r="L25" s="54"/>
      <c r="M25" s="3">
        <v>46.12</v>
      </c>
      <c r="N25" s="15">
        <v>10.89</v>
      </c>
    </row>
    <row r="26" spans="1:14" ht="20.25" customHeight="1" x14ac:dyDescent="0.15">
      <c r="A26" s="60"/>
      <c r="B26" s="9"/>
      <c r="C26" s="58" t="s">
        <v>29</v>
      </c>
      <c r="D26" s="11" t="s">
        <v>217</v>
      </c>
      <c r="E26" s="10">
        <v>22</v>
      </c>
      <c r="F26" s="10" t="s">
        <v>11</v>
      </c>
      <c r="G26" s="12">
        <v>1719</v>
      </c>
      <c r="H26" s="12">
        <v>1820</v>
      </c>
      <c r="I26" s="17" t="s">
        <v>2200</v>
      </c>
      <c r="J26" s="18">
        <v>60</v>
      </c>
      <c r="K26" s="19">
        <f t="shared" si="1"/>
        <v>502.24680000000001</v>
      </c>
      <c r="L26" s="54"/>
      <c r="M26" s="3">
        <v>46.12</v>
      </c>
      <c r="N26" s="15">
        <v>10.89</v>
      </c>
    </row>
    <row r="27" spans="1:14" ht="20.25" customHeight="1" x14ac:dyDescent="0.15">
      <c r="A27" s="61"/>
      <c r="B27" s="9"/>
      <c r="C27" s="58" t="s">
        <v>29</v>
      </c>
      <c r="D27" s="11" t="s">
        <v>201</v>
      </c>
      <c r="E27" s="10">
        <v>22</v>
      </c>
      <c r="F27" s="10" t="s">
        <v>11</v>
      </c>
      <c r="G27" s="12">
        <v>705</v>
      </c>
      <c r="H27" s="12">
        <v>1820</v>
      </c>
      <c r="I27" s="17" t="s">
        <v>2198</v>
      </c>
      <c r="J27" s="18">
        <v>16</v>
      </c>
      <c r="K27" s="19">
        <f t="shared" si="1"/>
        <v>144.61920000000001</v>
      </c>
      <c r="L27" s="54"/>
      <c r="M27" s="3">
        <v>13.28</v>
      </c>
      <c r="N27" s="15">
        <v>10.89</v>
      </c>
    </row>
    <row r="28" spans="1:14" ht="20.25" customHeight="1" x14ac:dyDescent="0.15">
      <c r="A28" s="61" t="s">
        <v>2232</v>
      </c>
      <c r="B28" s="9" t="s">
        <v>1950</v>
      </c>
      <c r="C28" s="58" t="s">
        <v>29</v>
      </c>
      <c r="D28" s="11" t="s">
        <v>224</v>
      </c>
      <c r="E28" s="10">
        <v>22</v>
      </c>
      <c r="F28" s="10" t="s">
        <v>11</v>
      </c>
      <c r="G28" s="12">
        <v>1719</v>
      </c>
      <c r="H28" s="12">
        <v>1820</v>
      </c>
      <c r="I28" s="17" t="s">
        <v>2200</v>
      </c>
      <c r="J28" s="18">
        <v>60</v>
      </c>
      <c r="K28" s="19">
        <f t="shared" si="1"/>
        <v>523.15560000000005</v>
      </c>
      <c r="L28" s="54"/>
      <c r="M28" s="3">
        <v>48.04</v>
      </c>
      <c r="N28" s="15">
        <v>10.89</v>
      </c>
    </row>
    <row r="29" spans="1:14" ht="20.25" customHeight="1" x14ac:dyDescent="0.15">
      <c r="A29" s="61"/>
      <c r="B29" s="9"/>
      <c r="C29" s="58" t="s">
        <v>29</v>
      </c>
      <c r="D29" s="11" t="s">
        <v>217</v>
      </c>
      <c r="E29" s="10">
        <v>22</v>
      </c>
      <c r="F29" s="10" t="s">
        <v>11</v>
      </c>
      <c r="G29" s="12">
        <v>1719</v>
      </c>
      <c r="H29" s="12">
        <v>1820</v>
      </c>
      <c r="I29" s="17" t="s">
        <v>2200</v>
      </c>
      <c r="J29" s="18">
        <v>60</v>
      </c>
      <c r="K29" s="19">
        <f t="shared" si="1"/>
        <v>523.15560000000005</v>
      </c>
      <c r="L29" s="54"/>
      <c r="M29" s="3">
        <v>48.04</v>
      </c>
      <c r="N29" s="15">
        <v>10.89</v>
      </c>
    </row>
    <row r="30" spans="1:14" ht="20.25" customHeight="1" x14ac:dyDescent="0.15">
      <c r="A30" s="61"/>
      <c r="B30" s="9"/>
      <c r="C30" s="58" t="s">
        <v>29</v>
      </c>
      <c r="D30" s="11" t="s">
        <v>201</v>
      </c>
      <c r="E30" s="10">
        <v>22</v>
      </c>
      <c r="F30" s="10" t="s">
        <v>11</v>
      </c>
      <c r="G30" s="12">
        <v>855</v>
      </c>
      <c r="H30" s="12">
        <v>1820</v>
      </c>
      <c r="I30" s="51" t="s">
        <v>2198</v>
      </c>
      <c r="J30" s="52">
        <v>16</v>
      </c>
      <c r="K30" s="53">
        <f t="shared" si="1"/>
        <v>169.0128</v>
      </c>
      <c r="L30" s="54"/>
      <c r="M30" s="3">
        <v>15.52</v>
      </c>
      <c r="N30" s="15">
        <v>10.89</v>
      </c>
    </row>
    <row r="31" spans="1:14" ht="20.25" customHeight="1" x14ac:dyDescent="0.15">
      <c r="A31" s="61" t="s">
        <v>2233</v>
      </c>
      <c r="B31" s="9" t="s">
        <v>1950</v>
      </c>
      <c r="C31" s="58" t="s">
        <v>29</v>
      </c>
      <c r="D31" s="11" t="s">
        <v>224</v>
      </c>
      <c r="E31" s="10">
        <v>22</v>
      </c>
      <c r="F31" s="10" t="s">
        <v>11</v>
      </c>
      <c r="G31" s="12">
        <v>1719</v>
      </c>
      <c r="H31" s="12">
        <v>1820</v>
      </c>
      <c r="I31" s="17" t="s">
        <v>2200</v>
      </c>
      <c r="J31" s="18">
        <v>60</v>
      </c>
      <c r="K31" s="53">
        <f t="shared" si="1"/>
        <v>502.24680000000001</v>
      </c>
      <c r="L31" s="54"/>
      <c r="M31" s="3">
        <v>46.12</v>
      </c>
      <c r="N31" s="15">
        <v>10.89</v>
      </c>
    </row>
    <row r="32" spans="1:14" ht="20.25" customHeight="1" x14ac:dyDescent="0.15">
      <c r="A32" s="60"/>
      <c r="B32" s="9"/>
      <c r="C32" s="58" t="s">
        <v>29</v>
      </c>
      <c r="D32" s="11" t="s">
        <v>217</v>
      </c>
      <c r="E32" s="10">
        <v>22</v>
      </c>
      <c r="F32" s="10" t="s">
        <v>11</v>
      </c>
      <c r="G32" s="12">
        <v>1719</v>
      </c>
      <c r="H32" s="12">
        <v>1820</v>
      </c>
      <c r="I32" s="17" t="s">
        <v>2200</v>
      </c>
      <c r="J32" s="18">
        <v>60</v>
      </c>
      <c r="K32" s="19">
        <f t="shared" si="1"/>
        <v>502.24680000000001</v>
      </c>
      <c r="L32" s="27"/>
      <c r="M32" s="3">
        <v>46.12</v>
      </c>
      <c r="N32" s="15">
        <v>10.89</v>
      </c>
    </row>
    <row r="33" spans="1:14" ht="20.25" customHeight="1" x14ac:dyDescent="0.15">
      <c r="A33" s="60"/>
      <c r="B33" s="9"/>
      <c r="C33" s="58" t="s">
        <v>29</v>
      </c>
      <c r="D33" s="11" t="s">
        <v>201</v>
      </c>
      <c r="E33" s="10">
        <v>22</v>
      </c>
      <c r="F33" s="10" t="s">
        <v>11</v>
      </c>
      <c r="G33" s="12">
        <v>705</v>
      </c>
      <c r="H33" s="12">
        <v>1820</v>
      </c>
      <c r="I33" s="17" t="s">
        <v>2198</v>
      </c>
      <c r="J33" s="18">
        <v>16</v>
      </c>
      <c r="K33" s="19">
        <f t="shared" si="1"/>
        <v>144.61920000000001</v>
      </c>
      <c r="L33" s="27"/>
      <c r="M33" s="3">
        <v>13.28</v>
      </c>
      <c r="N33" s="15">
        <v>10.89</v>
      </c>
    </row>
    <row r="34" spans="1:14" ht="20.25" customHeight="1" x14ac:dyDescent="0.15">
      <c r="A34" s="60" t="s">
        <v>2234</v>
      </c>
      <c r="B34" s="9" t="s">
        <v>1950</v>
      </c>
      <c r="C34" s="58" t="s">
        <v>29</v>
      </c>
      <c r="D34" s="11" t="s">
        <v>224</v>
      </c>
      <c r="E34" s="10">
        <v>22</v>
      </c>
      <c r="F34" s="10" t="s">
        <v>11</v>
      </c>
      <c r="G34" s="12">
        <v>1719</v>
      </c>
      <c r="H34" s="12">
        <v>1820</v>
      </c>
      <c r="I34" s="17" t="s">
        <v>2200</v>
      </c>
      <c r="J34" s="18">
        <v>60</v>
      </c>
      <c r="K34" s="19">
        <f t="shared" si="1"/>
        <v>502.24680000000001</v>
      </c>
      <c r="L34" s="27"/>
      <c r="M34" s="3">
        <v>46.12</v>
      </c>
      <c r="N34" s="15">
        <v>10.89</v>
      </c>
    </row>
    <row r="35" spans="1:14" ht="20.25" customHeight="1" x14ac:dyDescent="0.15">
      <c r="A35" s="60"/>
      <c r="B35" s="9"/>
      <c r="C35" s="58" t="s">
        <v>29</v>
      </c>
      <c r="D35" s="11" t="s">
        <v>217</v>
      </c>
      <c r="E35" s="10">
        <v>22</v>
      </c>
      <c r="F35" s="10" t="s">
        <v>11</v>
      </c>
      <c r="G35" s="12">
        <v>1719</v>
      </c>
      <c r="H35" s="12">
        <v>1820</v>
      </c>
      <c r="I35" s="17" t="s">
        <v>2235</v>
      </c>
      <c r="J35" s="18">
        <v>18</v>
      </c>
      <c r="K35" s="19">
        <f t="shared" si="1"/>
        <v>865.10160000000008</v>
      </c>
      <c r="L35" s="27"/>
      <c r="M35" s="3">
        <v>79.44</v>
      </c>
      <c r="N35" s="15">
        <v>10.89</v>
      </c>
    </row>
    <row r="36" spans="1:14" ht="20.25" customHeight="1" x14ac:dyDescent="0.15">
      <c r="A36" s="60"/>
      <c r="B36" s="9"/>
      <c r="C36" s="58" t="s">
        <v>29</v>
      </c>
      <c r="D36" s="11" t="s">
        <v>201</v>
      </c>
      <c r="E36" s="10">
        <v>22</v>
      </c>
      <c r="F36" s="10" t="s">
        <v>11</v>
      </c>
      <c r="G36" s="12">
        <v>405</v>
      </c>
      <c r="H36" s="12">
        <v>950</v>
      </c>
      <c r="I36" s="17">
        <v>8</v>
      </c>
      <c r="J36" s="18">
        <v>8</v>
      </c>
      <c r="K36" s="19">
        <f t="shared" si="1"/>
        <v>33.105600000000003</v>
      </c>
      <c r="L36" s="27"/>
      <c r="M36" s="3">
        <v>3.04</v>
      </c>
      <c r="N36" s="15">
        <v>10.89</v>
      </c>
    </row>
    <row r="37" spans="1:14" ht="20.25" customHeight="1" x14ac:dyDescent="0.15">
      <c r="A37" s="60" t="s">
        <v>2207</v>
      </c>
      <c r="B37" s="9" t="s">
        <v>131</v>
      </c>
      <c r="C37" s="58" t="s">
        <v>29</v>
      </c>
      <c r="D37" s="11" t="s">
        <v>156</v>
      </c>
      <c r="E37" s="10">
        <v>22</v>
      </c>
      <c r="F37" s="10" t="s">
        <v>11</v>
      </c>
      <c r="G37" s="12">
        <v>914</v>
      </c>
      <c r="H37" s="12">
        <v>1763</v>
      </c>
      <c r="I37" s="17" t="s">
        <v>2236</v>
      </c>
      <c r="J37" s="18">
        <v>79</v>
      </c>
      <c r="K37" s="19">
        <f t="shared" si="1"/>
        <v>470.33909999999997</v>
      </c>
      <c r="L37" s="27"/>
      <c r="M37" s="3">
        <v>43.19</v>
      </c>
      <c r="N37" s="15">
        <v>10.89</v>
      </c>
    </row>
    <row r="38" spans="1:14" ht="20.25" customHeight="1" x14ac:dyDescent="0.15">
      <c r="A38" s="60" t="s">
        <v>2237</v>
      </c>
      <c r="B38" s="9" t="s">
        <v>131</v>
      </c>
      <c r="C38" s="58" t="s">
        <v>29</v>
      </c>
      <c r="D38" s="11" t="s">
        <v>155</v>
      </c>
      <c r="E38" s="10">
        <v>22</v>
      </c>
      <c r="F38" s="10" t="s">
        <v>11</v>
      </c>
      <c r="G38" s="12">
        <v>1421</v>
      </c>
      <c r="H38" s="12">
        <v>1763</v>
      </c>
      <c r="I38" s="17" t="s">
        <v>2238</v>
      </c>
      <c r="J38" s="18">
        <f>6+85</f>
        <v>91</v>
      </c>
      <c r="K38" s="19">
        <f t="shared" si="1"/>
        <v>800.95950000000005</v>
      </c>
      <c r="L38" s="27"/>
      <c r="M38" s="3">
        <v>73.55</v>
      </c>
      <c r="N38" s="15">
        <v>10.89</v>
      </c>
    </row>
    <row r="39" spans="1:14" ht="20.25" customHeight="1" x14ac:dyDescent="0.15">
      <c r="A39" s="60"/>
      <c r="B39" s="9"/>
      <c r="C39" s="58" t="s">
        <v>29</v>
      </c>
      <c r="D39" s="11" t="s">
        <v>156</v>
      </c>
      <c r="E39" s="10">
        <v>22</v>
      </c>
      <c r="F39" s="10" t="s">
        <v>11</v>
      </c>
      <c r="G39" s="12">
        <v>1421</v>
      </c>
      <c r="H39" s="12">
        <v>1763</v>
      </c>
      <c r="I39" s="17" t="s">
        <v>2238</v>
      </c>
      <c r="J39" s="18">
        <f>6+85</f>
        <v>91</v>
      </c>
      <c r="K39" s="19">
        <f t="shared" si="1"/>
        <v>785.38680000000011</v>
      </c>
      <c r="L39" s="27"/>
      <c r="M39" s="3">
        <v>72.12</v>
      </c>
      <c r="N39" s="15">
        <v>10.89</v>
      </c>
    </row>
    <row r="40" spans="1:14" ht="20.25" customHeight="1" x14ac:dyDescent="0.15">
      <c r="A40" s="60"/>
      <c r="B40" s="9"/>
      <c r="C40" s="58"/>
      <c r="D40" s="11"/>
      <c r="E40" s="10"/>
      <c r="F40" s="10"/>
      <c r="G40" s="12"/>
      <c r="H40" s="12"/>
      <c r="I40" s="17"/>
      <c r="J40" s="18"/>
      <c r="K40" s="19">
        <f t="shared" si="1"/>
        <v>0</v>
      </c>
      <c r="L40" s="27"/>
      <c r="N40" s="15">
        <v>10.89</v>
      </c>
    </row>
    <row r="41" spans="1:14" ht="20.25" customHeight="1" x14ac:dyDescent="0.15">
      <c r="A41" s="57"/>
      <c r="B41" s="28"/>
      <c r="C41" s="10"/>
      <c r="D41" s="29"/>
      <c r="E41" s="30"/>
      <c r="F41" s="30"/>
      <c r="G41" s="30"/>
      <c r="H41" s="30"/>
      <c r="I41" s="13"/>
      <c r="J41" s="48">
        <f>SUM(J25:J40)</f>
        <v>755</v>
      </c>
      <c r="K41" s="49">
        <f>SUM(K25:K40)</f>
        <v>6970.6890000000003</v>
      </c>
      <c r="L41" s="31"/>
      <c r="N41" s="32"/>
    </row>
    <row r="42" spans="1:14" ht="20.25" customHeight="1" thickBot="1" x14ac:dyDescent="0.2">
      <c r="A42" s="55"/>
      <c r="B42" s="33"/>
      <c r="C42" s="33"/>
      <c r="D42" s="33"/>
      <c r="E42" s="33"/>
      <c r="F42" s="33"/>
      <c r="G42" s="33"/>
      <c r="H42" s="33"/>
      <c r="I42" s="33"/>
      <c r="J42" s="34"/>
      <c r="K42" s="35"/>
      <c r="L42" s="36"/>
    </row>
    <row r="43" spans="1:14" ht="20.25" customHeight="1" thickBot="1" x14ac:dyDescent="0.2">
      <c r="A43" s="37" t="s">
        <v>19</v>
      </c>
      <c r="B43" s="38" t="s">
        <v>20</v>
      </c>
      <c r="C43" s="77" t="s">
        <v>21</v>
      </c>
      <c r="D43" s="79"/>
      <c r="E43" s="77" t="s">
        <v>22</v>
      </c>
      <c r="F43" s="78"/>
      <c r="G43" s="79"/>
      <c r="H43" s="85" t="s">
        <v>23</v>
      </c>
      <c r="I43" s="86"/>
      <c r="J43" s="77" t="s">
        <v>24</v>
      </c>
      <c r="K43" s="79"/>
      <c r="L43" s="39" t="s">
        <v>13</v>
      </c>
    </row>
    <row r="44" spans="1:14" ht="20.25" customHeight="1" thickBot="1" x14ac:dyDescent="0.2">
      <c r="A44" s="40">
        <f>SUMIF($C$8:$C$42,"U1",$J$8:$J$42)</f>
        <v>0</v>
      </c>
      <c r="B44" s="41">
        <f>SUMIF($C$8:$C$42,"U2",$J$8:$J$42)</f>
        <v>0</v>
      </c>
      <c r="C44" s="77">
        <f>SUMIF($C$8:$C$42,"U3-1",$J$8:$J$42)</f>
        <v>0</v>
      </c>
      <c r="D44" s="79"/>
      <c r="E44" s="77">
        <f>SUMIF($C$8:$C$42,"U3",$J$8:$J$42)</f>
        <v>1083</v>
      </c>
      <c r="F44" s="78"/>
      <c r="G44" s="79"/>
      <c r="H44" s="77">
        <f>SUMIF($C$8:$C$42,"E5",$J$8:$J$42)</f>
        <v>0</v>
      </c>
      <c r="I44" s="79"/>
      <c r="J44" s="77">
        <f>SUM(A44:I44)</f>
        <v>1083</v>
      </c>
      <c r="K44" s="79"/>
      <c r="L44" s="42"/>
    </row>
    <row r="45" spans="1:14" ht="20.25" customHeight="1" thickBot="1" x14ac:dyDescent="0.2">
      <c r="A45" s="43" t="s">
        <v>25</v>
      </c>
      <c r="B45" s="44" t="s">
        <v>26</v>
      </c>
      <c r="C45" s="75">
        <v>13876</v>
      </c>
      <c r="D45" s="76"/>
      <c r="E45" s="77" t="s">
        <v>27</v>
      </c>
      <c r="F45" s="78"/>
      <c r="G45" s="78"/>
      <c r="H45" s="78"/>
      <c r="I45" s="79"/>
      <c r="J45" s="80">
        <v>146744.37</v>
      </c>
      <c r="K45" s="81"/>
      <c r="L45" s="82"/>
    </row>
    <row r="47" spans="1:14" x14ac:dyDescent="0.15">
      <c r="D47" s="45"/>
    </row>
  </sheetData>
  <mergeCells count="26">
    <mergeCell ref="C45:D45"/>
    <mergeCell ref="E45:I45"/>
    <mergeCell ref="J45:L45"/>
    <mergeCell ref="L6:L7"/>
    <mergeCell ref="C43:D43"/>
    <mergeCell ref="E43:G43"/>
    <mergeCell ref="H43:I43"/>
    <mergeCell ref="J43:K43"/>
    <mergeCell ref="C44:D44"/>
    <mergeCell ref="E44:G44"/>
    <mergeCell ref="H44:I44"/>
    <mergeCell ref="J44:K44"/>
    <mergeCell ref="B5:G5"/>
    <mergeCell ref="A6:A7"/>
    <mergeCell ref="B6:B7"/>
    <mergeCell ref="C6:C7"/>
    <mergeCell ref="D6:D7"/>
    <mergeCell ref="E6:E7"/>
    <mergeCell ref="F6:F7"/>
    <mergeCell ref="G6:K6"/>
    <mergeCell ref="L2:L4"/>
    <mergeCell ref="A1:G3"/>
    <mergeCell ref="H1:H4"/>
    <mergeCell ref="I2:I4"/>
    <mergeCell ref="J2:J4"/>
    <mergeCell ref="K2:K4"/>
  </mergeCells>
  <phoneticPr fontId="2" type="noConversion"/>
  <printOptions horizontalCentered="1"/>
  <pageMargins left="0.39370078740157483" right="0.39370078740157483" top="0.74803149606299213" bottom="0.19685039370078741" header="0.31496062992125984" footer="0.15748031496062992"/>
  <pageSetup paperSize="9" scale="84" orientation="portrait" r:id="rId1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45F48F-541B-46CA-BCCA-8FFF2E95BC14}">
  <dimension ref="A1:N47"/>
  <sheetViews>
    <sheetView view="pageBreakPreview" topLeftCell="A13" zoomScaleSheetLayoutView="100" workbookViewId="0">
      <selection activeCell="B34" sqref="B34:E34"/>
    </sheetView>
  </sheetViews>
  <sheetFormatPr defaultColWidth="8.88671875" defaultRowHeight="13.5" x14ac:dyDescent="0.15"/>
  <cols>
    <col min="1" max="1" width="8.44140625" style="3" customWidth="1"/>
    <col min="2" max="2" width="14.77734375" style="3" customWidth="1"/>
    <col min="3" max="3" width="4.109375" style="3" customWidth="1"/>
    <col min="4" max="4" width="15.21875" style="3" customWidth="1"/>
    <col min="5" max="5" width="4.44140625" style="3" customWidth="1"/>
    <col min="6" max="6" width="4" style="3" customWidth="1"/>
    <col min="7" max="7" width="5.5546875" style="3" customWidth="1"/>
    <col min="8" max="8" width="5.44140625" style="3" customWidth="1"/>
    <col min="9" max="9" width="7.88671875" style="3" customWidth="1"/>
    <col min="10" max="10" width="7.109375" style="3" customWidth="1"/>
    <col min="11" max="11" width="7.21875" style="3" customWidth="1"/>
    <col min="12" max="12" width="6.77734375" style="3" customWidth="1"/>
    <col min="13" max="16384" width="8.88671875" style="3"/>
  </cols>
  <sheetData>
    <row r="1" spans="1:14" ht="18.75" customHeight="1" x14ac:dyDescent="0.15">
      <c r="A1" s="101" t="s">
        <v>0</v>
      </c>
      <c r="B1" s="102"/>
      <c r="C1" s="102"/>
      <c r="D1" s="102"/>
      <c r="E1" s="102"/>
      <c r="F1" s="102"/>
      <c r="G1" s="103"/>
      <c r="H1" s="107" t="s">
        <v>1</v>
      </c>
      <c r="I1" s="1" t="s">
        <v>2</v>
      </c>
      <c r="J1" s="1" t="s">
        <v>2</v>
      </c>
      <c r="K1" s="1" t="s">
        <v>3</v>
      </c>
      <c r="L1" s="2" t="s">
        <v>4</v>
      </c>
    </row>
    <row r="2" spans="1:14" ht="13.5" customHeight="1" x14ac:dyDescent="0.15">
      <c r="A2" s="104"/>
      <c r="B2" s="105"/>
      <c r="C2" s="105"/>
      <c r="D2" s="105"/>
      <c r="E2" s="105"/>
      <c r="F2" s="105"/>
      <c r="G2" s="106"/>
      <c r="H2" s="108"/>
      <c r="I2" s="110"/>
      <c r="J2" s="110"/>
      <c r="K2" s="110"/>
      <c r="L2" s="98"/>
    </row>
    <row r="3" spans="1:14" ht="13.5" customHeight="1" x14ac:dyDescent="0.15">
      <c r="A3" s="104"/>
      <c r="B3" s="105"/>
      <c r="C3" s="105"/>
      <c r="D3" s="105"/>
      <c r="E3" s="105"/>
      <c r="F3" s="105"/>
      <c r="G3" s="106"/>
      <c r="H3" s="108"/>
      <c r="I3" s="108"/>
      <c r="J3" s="108"/>
      <c r="K3" s="108"/>
      <c r="L3" s="99"/>
    </row>
    <row r="4" spans="1:14" ht="33" customHeight="1" x14ac:dyDescent="0.15">
      <c r="A4" s="4"/>
      <c r="B4" s="5"/>
      <c r="C4" s="5"/>
      <c r="D4" s="5"/>
      <c r="E4" s="5"/>
      <c r="F4" s="5"/>
      <c r="G4" s="5"/>
      <c r="H4" s="109"/>
      <c r="I4" s="109"/>
      <c r="J4" s="109"/>
      <c r="K4" s="109"/>
      <c r="L4" s="100"/>
    </row>
    <row r="5" spans="1:14" ht="17.25" customHeight="1" x14ac:dyDescent="0.15">
      <c r="A5" s="6" t="s">
        <v>5</v>
      </c>
      <c r="B5" s="87">
        <v>46140</v>
      </c>
      <c r="C5" s="88"/>
      <c r="D5" s="88"/>
      <c r="E5" s="88"/>
      <c r="F5" s="88"/>
      <c r="G5" s="88"/>
      <c r="H5" s="5"/>
      <c r="I5" s="5"/>
      <c r="J5" s="5"/>
      <c r="K5" s="5"/>
      <c r="L5" s="7"/>
    </row>
    <row r="6" spans="1:14" ht="13.5" customHeight="1" x14ac:dyDescent="0.15">
      <c r="A6" s="89" t="s">
        <v>6</v>
      </c>
      <c r="B6" s="91" t="s">
        <v>7</v>
      </c>
      <c r="C6" s="91" t="s">
        <v>8</v>
      </c>
      <c r="D6" s="91" t="s">
        <v>9</v>
      </c>
      <c r="E6" s="93" t="s">
        <v>10</v>
      </c>
      <c r="F6" s="93" t="s">
        <v>11</v>
      </c>
      <c r="G6" s="95" t="s">
        <v>12</v>
      </c>
      <c r="H6" s="96"/>
      <c r="I6" s="96"/>
      <c r="J6" s="96"/>
      <c r="K6" s="97"/>
      <c r="L6" s="83" t="s">
        <v>13</v>
      </c>
    </row>
    <row r="7" spans="1:14" x14ac:dyDescent="0.15">
      <c r="A7" s="90"/>
      <c r="B7" s="92"/>
      <c r="C7" s="92"/>
      <c r="D7" s="92"/>
      <c r="E7" s="94"/>
      <c r="F7" s="94"/>
      <c r="G7" s="8" t="s">
        <v>14</v>
      </c>
      <c r="H7" s="8" t="s">
        <v>15</v>
      </c>
      <c r="I7" s="8" t="s">
        <v>16</v>
      </c>
      <c r="J7" s="8" t="s">
        <v>17</v>
      </c>
      <c r="K7" s="8" t="s">
        <v>18</v>
      </c>
      <c r="L7" s="84"/>
    </row>
    <row r="8" spans="1:14" s="15" customFormat="1" ht="20.25" customHeight="1" x14ac:dyDescent="0.15">
      <c r="A8" s="60" t="s">
        <v>2239</v>
      </c>
      <c r="B8" s="9" t="s">
        <v>1950</v>
      </c>
      <c r="C8" s="58" t="s">
        <v>29</v>
      </c>
      <c r="D8" s="11" t="s">
        <v>224</v>
      </c>
      <c r="E8" s="10">
        <v>22</v>
      </c>
      <c r="F8" s="58" t="s">
        <v>11</v>
      </c>
      <c r="G8" s="12">
        <v>405</v>
      </c>
      <c r="H8" s="12">
        <v>1310</v>
      </c>
      <c r="I8" s="17" t="s">
        <v>544</v>
      </c>
      <c r="J8" s="18">
        <v>60</v>
      </c>
      <c r="K8" s="19">
        <f>+M8*N8</f>
        <v>332.14500000000004</v>
      </c>
      <c r="L8" s="14"/>
      <c r="M8" s="15">
        <v>30.5</v>
      </c>
      <c r="N8" s="15">
        <v>10.89</v>
      </c>
    </row>
    <row r="9" spans="1:14" s="15" customFormat="1" ht="20.25" customHeight="1" x14ac:dyDescent="0.15">
      <c r="A9" s="60"/>
      <c r="B9" s="9"/>
      <c r="C9" s="58" t="s">
        <v>29</v>
      </c>
      <c r="D9" s="11" t="s">
        <v>217</v>
      </c>
      <c r="E9" s="10">
        <v>22</v>
      </c>
      <c r="F9" s="58" t="s">
        <v>11</v>
      </c>
      <c r="G9" s="12">
        <v>1719</v>
      </c>
      <c r="H9" s="12">
        <v>1820</v>
      </c>
      <c r="I9" s="17" t="s">
        <v>790</v>
      </c>
      <c r="J9" s="18">
        <v>75</v>
      </c>
      <c r="K9" s="19">
        <f t="shared" ref="K9:K23" si="0">+M9*N9</f>
        <v>653.94449999999995</v>
      </c>
      <c r="L9" s="14"/>
      <c r="M9" s="15">
        <v>60.05</v>
      </c>
      <c r="N9" s="15">
        <v>10.89</v>
      </c>
    </row>
    <row r="10" spans="1:14" s="15" customFormat="1" ht="20.25" customHeight="1" x14ac:dyDescent="0.15">
      <c r="A10" s="60"/>
      <c r="B10" s="9"/>
      <c r="C10" s="58" t="s">
        <v>29</v>
      </c>
      <c r="D10" s="11" t="s">
        <v>201</v>
      </c>
      <c r="E10" s="10">
        <v>22</v>
      </c>
      <c r="F10" s="58"/>
      <c r="G10" s="12">
        <v>405</v>
      </c>
      <c r="H10" s="12">
        <v>950</v>
      </c>
      <c r="I10" s="17">
        <v>10</v>
      </c>
      <c r="J10" s="18">
        <v>10</v>
      </c>
      <c r="K10" s="19">
        <f t="shared" si="0"/>
        <v>41.381999999999998</v>
      </c>
      <c r="L10" s="14"/>
      <c r="M10" s="15">
        <v>3.8</v>
      </c>
      <c r="N10" s="15">
        <v>10.89</v>
      </c>
    </row>
    <row r="11" spans="1:14" s="15" customFormat="1" ht="20.25" customHeight="1" x14ac:dyDescent="0.15">
      <c r="A11" s="60" t="s">
        <v>2240</v>
      </c>
      <c r="B11" s="9" t="s">
        <v>1950</v>
      </c>
      <c r="C11" s="58" t="s">
        <v>29</v>
      </c>
      <c r="D11" s="11" t="s">
        <v>224</v>
      </c>
      <c r="E11" s="10">
        <v>22</v>
      </c>
      <c r="F11" s="58" t="s">
        <v>11</v>
      </c>
      <c r="G11" s="12">
        <v>1719</v>
      </c>
      <c r="H11" s="12">
        <v>1820</v>
      </c>
      <c r="I11" s="17" t="s">
        <v>1432</v>
      </c>
      <c r="J11" s="18">
        <v>60</v>
      </c>
      <c r="K11" s="19">
        <f t="shared" si="0"/>
        <v>502.24680000000001</v>
      </c>
      <c r="L11" s="14"/>
      <c r="M11" s="15">
        <v>46.12</v>
      </c>
      <c r="N11" s="15">
        <v>10.89</v>
      </c>
    </row>
    <row r="12" spans="1:14" s="15" customFormat="1" ht="20.25" customHeight="1" x14ac:dyDescent="0.15">
      <c r="A12" s="60"/>
      <c r="B12" s="9"/>
      <c r="C12" s="58" t="s">
        <v>29</v>
      </c>
      <c r="D12" s="11" t="s">
        <v>217</v>
      </c>
      <c r="E12" s="10">
        <v>22</v>
      </c>
      <c r="F12" s="58" t="s">
        <v>11</v>
      </c>
      <c r="G12" s="12">
        <v>1719</v>
      </c>
      <c r="H12" s="12">
        <v>1820</v>
      </c>
      <c r="I12" s="17" t="s">
        <v>1432</v>
      </c>
      <c r="J12" s="18">
        <v>60</v>
      </c>
      <c r="K12" s="19">
        <f t="shared" si="0"/>
        <v>502.24680000000001</v>
      </c>
      <c r="L12" s="14"/>
      <c r="M12" s="15">
        <v>46.12</v>
      </c>
      <c r="N12" s="15">
        <v>10.89</v>
      </c>
    </row>
    <row r="13" spans="1:14" s="15" customFormat="1" ht="20.25" customHeight="1" x14ac:dyDescent="0.15">
      <c r="A13" s="60"/>
      <c r="B13" s="9"/>
      <c r="C13" s="58" t="s">
        <v>29</v>
      </c>
      <c r="D13" s="11" t="s">
        <v>201</v>
      </c>
      <c r="E13" s="10">
        <v>22</v>
      </c>
      <c r="F13" s="58"/>
      <c r="G13" s="12">
        <v>705</v>
      </c>
      <c r="H13" s="12">
        <v>1820</v>
      </c>
      <c r="I13" s="17" t="s">
        <v>496</v>
      </c>
      <c r="J13" s="18">
        <v>16</v>
      </c>
      <c r="K13" s="19">
        <f t="shared" si="0"/>
        <v>144.61920000000001</v>
      </c>
      <c r="L13" s="14"/>
      <c r="M13" s="15">
        <v>13.28</v>
      </c>
      <c r="N13" s="15">
        <v>10.89</v>
      </c>
    </row>
    <row r="14" spans="1:14" s="15" customFormat="1" ht="20.25" customHeight="1" x14ac:dyDescent="0.15">
      <c r="A14" s="60" t="s">
        <v>2241</v>
      </c>
      <c r="B14" s="9" t="s">
        <v>1950</v>
      </c>
      <c r="C14" s="58" t="s">
        <v>29</v>
      </c>
      <c r="D14" s="11" t="s">
        <v>224</v>
      </c>
      <c r="E14" s="10">
        <v>22</v>
      </c>
      <c r="F14" s="58" t="s">
        <v>11</v>
      </c>
      <c r="G14" s="12">
        <v>1719</v>
      </c>
      <c r="H14" s="12">
        <v>1820</v>
      </c>
      <c r="I14" s="17" t="s">
        <v>1967</v>
      </c>
      <c r="J14" s="18">
        <v>65</v>
      </c>
      <c r="K14" s="19">
        <f t="shared" si="0"/>
        <v>611.47350000000006</v>
      </c>
      <c r="L14" s="20"/>
      <c r="M14" s="15">
        <v>56.15</v>
      </c>
      <c r="N14" s="15">
        <v>10.89</v>
      </c>
    </row>
    <row r="15" spans="1:14" s="15" customFormat="1" ht="20.25" customHeight="1" x14ac:dyDescent="0.15">
      <c r="A15" s="60"/>
      <c r="B15" s="9"/>
      <c r="C15" s="58" t="s">
        <v>29</v>
      </c>
      <c r="D15" s="11" t="s">
        <v>217</v>
      </c>
      <c r="E15" s="10">
        <v>22</v>
      </c>
      <c r="F15" s="58" t="s">
        <v>11</v>
      </c>
      <c r="G15" s="12">
        <v>1719</v>
      </c>
      <c r="H15" s="12">
        <v>1820</v>
      </c>
      <c r="I15" s="17" t="s">
        <v>1967</v>
      </c>
      <c r="J15" s="18">
        <v>65</v>
      </c>
      <c r="K15" s="19">
        <f t="shared" si="0"/>
        <v>611.47350000000006</v>
      </c>
      <c r="L15" s="20"/>
      <c r="M15" s="15">
        <v>56.15</v>
      </c>
      <c r="N15" s="15">
        <v>10.89</v>
      </c>
    </row>
    <row r="16" spans="1:14" s="15" customFormat="1" ht="20.25" customHeight="1" x14ac:dyDescent="0.15">
      <c r="A16" s="60"/>
      <c r="B16" s="9"/>
      <c r="C16" s="58" t="s">
        <v>29</v>
      </c>
      <c r="D16" s="11" t="s">
        <v>201</v>
      </c>
      <c r="E16" s="10">
        <v>22</v>
      </c>
      <c r="F16" s="58"/>
      <c r="G16" s="12">
        <v>405</v>
      </c>
      <c r="H16" s="12">
        <v>950</v>
      </c>
      <c r="I16" s="17">
        <v>10</v>
      </c>
      <c r="J16" s="18">
        <v>10</v>
      </c>
      <c r="K16" s="19">
        <f t="shared" si="0"/>
        <v>41.381999999999998</v>
      </c>
      <c r="L16" s="20"/>
      <c r="M16" s="15">
        <v>3.8</v>
      </c>
      <c r="N16" s="15">
        <v>10.89</v>
      </c>
    </row>
    <row r="17" spans="1:14" s="15" customFormat="1" ht="20.25" customHeight="1" x14ac:dyDescent="0.15">
      <c r="A17" s="60" t="s">
        <v>2242</v>
      </c>
      <c r="B17" s="9" t="s">
        <v>1950</v>
      </c>
      <c r="C17" s="58" t="s">
        <v>29</v>
      </c>
      <c r="D17" s="11" t="s">
        <v>224</v>
      </c>
      <c r="E17" s="10">
        <v>22</v>
      </c>
      <c r="F17" s="58" t="s">
        <v>11</v>
      </c>
      <c r="G17" s="12">
        <v>1719</v>
      </c>
      <c r="H17" s="12">
        <v>1820</v>
      </c>
      <c r="I17" s="17" t="s">
        <v>790</v>
      </c>
      <c r="J17" s="18">
        <v>75</v>
      </c>
      <c r="K17" s="19">
        <f t="shared" si="0"/>
        <v>627.80849999999998</v>
      </c>
      <c r="L17" s="20"/>
      <c r="M17" s="15">
        <v>57.65</v>
      </c>
      <c r="N17" s="15">
        <v>10.89</v>
      </c>
    </row>
    <row r="18" spans="1:14" s="15" customFormat="1" ht="20.25" customHeight="1" x14ac:dyDescent="0.15">
      <c r="A18" s="60"/>
      <c r="B18" s="9"/>
      <c r="C18" s="58" t="s">
        <v>29</v>
      </c>
      <c r="D18" s="11" t="s">
        <v>217</v>
      </c>
      <c r="E18" s="10">
        <v>22</v>
      </c>
      <c r="F18" s="58" t="s">
        <v>11</v>
      </c>
      <c r="G18" s="12">
        <v>1719</v>
      </c>
      <c r="H18" s="12">
        <v>1820</v>
      </c>
      <c r="I18" s="17" t="s">
        <v>281</v>
      </c>
      <c r="J18" s="18">
        <v>45</v>
      </c>
      <c r="K18" s="19">
        <f t="shared" si="0"/>
        <v>525.4425</v>
      </c>
      <c r="L18" s="20"/>
      <c r="M18" s="15">
        <v>48.25</v>
      </c>
      <c r="N18" s="15">
        <v>10.89</v>
      </c>
    </row>
    <row r="19" spans="1:14" s="15" customFormat="1" ht="20.25" customHeight="1" x14ac:dyDescent="0.15">
      <c r="A19" s="60"/>
      <c r="B19" s="9"/>
      <c r="C19" s="58" t="s">
        <v>29</v>
      </c>
      <c r="D19" s="11" t="s">
        <v>201</v>
      </c>
      <c r="E19" s="10">
        <v>22</v>
      </c>
      <c r="F19" s="58"/>
      <c r="G19" s="12">
        <v>705</v>
      </c>
      <c r="H19" s="12">
        <v>1820</v>
      </c>
      <c r="I19" s="17" t="s">
        <v>205</v>
      </c>
      <c r="J19" s="18">
        <v>20</v>
      </c>
      <c r="K19" s="19">
        <f t="shared" si="0"/>
        <v>180.77400000000003</v>
      </c>
      <c r="L19" s="20"/>
      <c r="M19" s="15">
        <v>16.600000000000001</v>
      </c>
      <c r="N19" s="15">
        <v>10.89</v>
      </c>
    </row>
    <row r="20" spans="1:14" s="15" customFormat="1" ht="20.25" customHeight="1" x14ac:dyDescent="0.15">
      <c r="A20" s="60" t="s">
        <v>2243</v>
      </c>
      <c r="B20" s="9" t="s">
        <v>1944</v>
      </c>
      <c r="C20" s="58" t="s">
        <v>29</v>
      </c>
      <c r="D20" s="11" t="s">
        <v>1946</v>
      </c>
      <c r="E20" s="10">
        <v>24</v>
      </c>
      <c r="F20" s="58" t="s">
        <v>11</v>
      </c>
      <c r="G20" s="12">
        <v>985</v>
      </c>
      <c r="H20" s="12">
        <v>1935</v>
      </c>
      <c r="I20" s="17" t="s">
        <v>795</v>
      </c>
      <c r="J20" s="18">
        <v>33</v>
      </c>
      <c r="K20" s="19">
        <f t="shared" si="0"/>
        <v>686.39670000000001</v>
      </c>
      <c r="L20" s="20"/>
      <c r="M20" s="15">
        <v>63.03</v>
      </c>
      <c r="N20" s="15">
        <v>10.89</v>
      </c>
    </row>
    <row r="21" spans="1:14" s="15" customFormat="1" ht="20.25" customHeight="1" x14ac:dyDescent="0.15">
      <c r="A21" s="60" t="s">
        <v>2244</v>
      </c>
      <c r="B21" s="9" t="s">
        <v>322</v>
      </c>
      <c r="C21" s="58" t="s">
        <v>29</v>
      </c>
      <c r="D21" s="11" t="s">
        <v>2245</v>
      </c>
      <c r="E21" s="10">
        <v>24</v>
      </c>
      <c r="F21" s="58"/>
      <c r="G21" s="50">
        <v>610</v>
      </c>
      <c r="H21" s="50">
        <v>1727</v>
      </c>
      <c r="I21" s="17" t="s">
        <v>348</v>
      </c>
      <c r="J21" s="18">
        <v>7</v>
      </c>
      <c r="K21" s="19">
        <f t="shared" si="0"/>
        <v>78.190200000000004</v>
      </c>
      <c r="L21" s="20"/>
      <c r="M21" s="15">
        <v>7.18</v>
      </c>
      <c r="N21" s="15">
        <v>10.89</v>
      </c>
    </row>
    <row r="22" spans="1:14" s="15" customFormat="1" ht="20.25" customHeight="1" x14ac:dyDescent="0.15">
      <c r="A22" s="60"/>
      <c r="B22" s="9"/>
      <c r="C22" s="58" t="s">
        <v>231</v>
      </c>
      <c r="D22" s="11" t="s">
        <v>2246</v>
      </c>
      <c r="E22" s="10">
        <v>24</v>
      </c>
      <c r="F22" s="58"/>
      <c r="G22" s="50">
        <v>616</v>
      </c>
      <c r="H22" s="50">
        <v>1739</v>
      </c>
      <c r="I22" s="17" t="s">
        <v>348</v>
      </c>
      <c r="J22" s="18">
        <v>7</v>
      </c>
      <c r="K22" s="19">
        <f t="shared" si="0"/>
        <v>79.388100000000009</v>
      </c>
      <c r="L22" s="20"/>
      <c r="M22" s="15">
        <v>7.29</v>
      </c>
      <c r="N22" s="15">
        <v>10.89</v>
      </c>
    </row>
    <row r="23" spans="1:14" ht="20.25" customHeight="1" x14ac:dyDescent="0.15">
      <c r="A23" s="60"/>
      <c r="B23" s="9"/>
      <c r="C23" s="58"/>
      <c r="D23" s="11"/>
      <c r="E23" s="10"/>
      <c r="F23" s="58"/>
      <c r="G23" s="16"/>
      <c r="H23" s="16"/>
      <c r="I23" s="17"/>
      <c r="J23" s="18"/>
      <c r="K23" s="19">
        <f t="shared" si="0"/>
        <v>0</v>
      </c>
      <c r="L23" s="20"/>
      <c r="N23" s="15">
        <v>10.89</v>
      </c>
    </row>
    <row r="24" spans="1:14" ht="20.25" customHeight="1" thickBot="1" x14ac:dyDescent="0.2">
      <c r="A24" s="56"/>
      <c r="B24" s="21"/>
      <c r="C24" s="59"/>
      <c r="D24" s="22"/>
      <c r="E24" s="23"/>
      <c r="F24" s="23"/>
      <c r="G24" s="24"/>
      <c r="H24" s="24"/>
      <c r="I24" s="25"/>
      <c r="J24" s="46">
        <f>SUM(J8:J23)</f>
        <v>608</v>
      </c>
      <c r="K24" s="47">
        <f>SUM(K8:K23)</f>
        <v>5618.9133000000011</v>
      </c>
      <c r="L24" s="26"/>
    </row>
    <row r="25" spans="1:14" ht="20.25" customHeight="1" thickTop="1" x14ac:dyDescent="0.15">
      <c r="A25" s="60" t="s">
        <v>2247</v>
      </c>
      <c r="B25" s="9" t="s">
        <v>1950</v>
      </c>
      <c r="C25" s="58" t="s">
        <v>29</v>
      </c>
      <c r="D25" s="11" t="s">
        <v>217</v>
      </c>
      <c r="E25" s="10">
        <v>22</v>
      </c>
      <c r="F25" s="10"/>
      <c r="G25" s="12">
        <v>755</v>
      </c>
      <c r="H25" s="12">
        <v>950</v>
      </c>
      <c r="I25" s="17" t="s">
        <v>2248</v>
      </c>
      <c r="J25" s="18">
        <v>42</v>
      </c>
      <c r="K25" s="19">
        <f t="shared" ref="K25:K40" si="1">+M25*N25</f>
        <v>197.76240000000001</v>
      </c>
      <c r="L25" s="54"/>
      <c r="M25" s="3">
        <v>18.16</v>
      </c>
      <c r="N25" s="15">
        <v>10.89</v>
      </c>
    </row>
    <row r="26" spans="1:14" ht="20.25" customHeight="1" x14ac:dyDescent="0.15">
      <c r="A26" s="60" t="s">
        <v>2249</v>
      </c>
      <c r="B26" s="9" t="s">
        <v>1950</v>
      </c>
      <c r="C26" s="58" t="s">
        <v>29</v>
      </c>
      <c r="D26" s="11" t="s">
        <v>224</v>
      </c>
      <c r="E26" s="10">
        <v>22</v>
      </c>
      <c r="F26" s="10" t="s">
        <v>11</v>
      </c>
      <c r="G26" s="12">
        <v>1719</v>
      </c>
      <c r="H26" s="12">
        <v>1820</v>
      </c>
      <c r="I26" s="17" t="s">
        <v>949</v>
      </c>
      <c r="J26" s="18">
        <v>52</v>
      </c>
      <c r="K26" s="19">
        <f t="shared" si="1"/>
        <v>489.17880000000002</v>
      </c>
      <c r="L26" s="54"/>
      <c r="M26" s="3">
        <v>44.92</v>
      </c>
      <c r="N26" s="15">
        <v>10.89</v>
      </c>
    </row>
    <row r="27" spans="1:14" ht="20.25" customHeight="1" x14ac:dyDescent="0.15">
      <c r="A27" s="61"/>
      <c r="B27" s="9"/>
      <c r="C27" s="58" t="s">
        <v>29</v>
      </c>
      <c r="D27" s="11" t="s">
        <v>217</v>
      </c>
      <c r="E27" s="10">
        <v>22</v>
      </c>
      <c r="F27" s="10" t="s">
        <v>11</v>
      </c>
      <c r="G27" s="12">
        <v>1719</v>
      </c>
      <c r="H27" s="12">
        <v>1820</v>
      </c>
      <c r="I27" s="17" t="s">
        <v>949</v>
      </c>
      <c r="J27" s="18">
        <v>52</v>
      </c>
      <c r="K27" s="19">
        <f t="shared" si="1"/>
        <v>489.17880000000002</v>
      </c>
      <c r="L27" s="54"/>
      <c r="M27" s="3">
        <v>44.92</v>
      </c>
      <c r="N27" s="15">
        <v>10.89</v>
      </c>
    </row>
    <row r="28" spans="1:14" ht="20.25" customHeight="1" x14ac:dyDescent="0.15">
      <c r="A28" s="61"/>
      <c r="B28" s="9"/>
      <c r="C28" s="58" t="s">
        <v>29</v>
      </c>
      <c r="D28" s="11" t="s">
        <v>201</v>
      </c>
      <c r="E28" s="10">
        <v>22</v>
      </c>
      <c r="F28" s="10" t="s">
        <v>11</v>
      </c>
      <c r="G28" s="12">
        <v>705</v>
      </c>
      <c r="H28" s="12">
        <v>1820</v>
      </c>
      <c r="I28" s="17" t="s">
        <v>496</v>
      </c>
      <c r="J28" s="18">
        <v>16</v>
      </c>
      <c r="K28" s="19">
        <f t="shared" si="1"/>
        <v>144.61920000000001</v>
      </c>
      <c r="L28" s="54"/>
      <c r="M28" s="3">
        <v>13.28</v>
      </c>
      <c r="N28" s="15">
        <v>10.89</v>
      </c>
    </row>
    <row r="29" spans="1:14" ht="20.25" customHeight="1" x14ac:dyDescent="0.15">
      <c r="A29" s="61" t="s">
        <v>2250</v>
      </c>
      <c r="B29" s="9" t="s">
        <v>1950</v>
      </c>
      <c r="C29" s="58" t="s">
        <v>29</v>
      </c>
      <c r="D29" s="11" t="s">
        <v>224</v>
      </c>
      <c r="E29" s="10">
        <v>22</v>
      </c>
      <c r="F29" s="10" t="s">
        <v>11</v>
      </c>
      <c r="G29" s="12">
        <v>1719</v>
      </c>
      <c r="H29" s="12">
        <v>1820</v>
      </c>
      <c r="I29" s="17" t="s">
        <v>790</v>
      </c>
      <c r="J29" s="18">
        <v>75</v>
      </c>
      <c r="K29" s="19">
        <f t="shared" si="1"/>
        <v>627.80849999999998</v>
      </c>
      <c r="L29" s="54"/>
      <c r="M29" s="3">
        <v>57.65</v>
      </c>
      <c r="N29" s="15">
        <v>10.89</v>
      </c>
    </row>
    <row r="30" spans="1:14" ht="20.25" customHeight="1" x14ac:dyDescent="0.15">
      <c r="A30" s="61"/>
      <c r="B30" s="9"/>
      <c r="C30" s="58" t="s">
        <v>29</v>
      </c>
      <c r="D30" s="11" t="s">
        <v>217</v>
      </c>
      <c r="E30" s="10">
        <v>22</v>
      </c>
      <c r="F30" s="10" t="s">
        <v>11</v>
      </c>
      <c r="G30" s="12">
        <v>1719</v>
      </c>
      <c r="H30" s="12">
        <v>1820</v>
      </c>
      <c r="I30" s="51" t="s">
        <v>790</v>
      </c>
      <c r="J30" s="52">
        <v>75</v>
      </c>
      <c r="K30" s="53">
        <f t="shared" si="1"/>
        <v>627.80849999999998</v>
      </c>
      <c r="L30" s="54"/>
      <c r="M30" s="3">
        <v>57.65</v>
      </c>
      <c r="N30" s="15">
        <v>10.89</v>
      </c>
    </row>
    <row r="31" spans="1:14" ht="20.25" customHeight="1" x14ac:dyDescent="0.15">
      <c r="A31" s="61"/>
      <c r="B31" s="9"/>
      <c r="C31" s="58" t="s">
        <v>29</v>
      </c>
      <c r="D31" s="11" t="s">
        <v>201</v>
      </c>
      <c r="E31" s="10">
        <v>22</v>
      </c>
      <c r="F31" s="10" t="s">
        <v>11</v>
      </c>
      <c r="G31" s="12">
        <v>705</v>
      </c>
      <c r="H31" s="12">
        <v>1820</v>
      </c>
      <c r="I31" s="51" t="s">
        <v>205</v>
      </c>
      <c r="J31" s="52">
        <v>20</v>
      </c>
      <c r="K31" s="53">
        <f t="shared" si="1"/>
        <v>180.77400000000003</v>
      </c>
      <c r="L31" s="54"/>
      <c r="M31" s="3">
        <v>16.600000000000001</v>
      </c>
      <c r="N31" s="15">
        <v>10.89</v>
      </c>
    </row>
    <row r="32" spans="1:14" ht="20.25" customHeight="1" x14ac:dyDescent="0.15">
      <c r="A32" s="60" t="s">
        <v>2251</v>
      </c>
      <c r="B32" s="9" t="s">
        <v>1080</v>
      </c>
      <c r="C32" s="58" t="s">
        <v>29</v>
      </c>
      <c r="D32" s="11" t="s">
        <v>2252</v>
      </c>
      <c r="E32" s="10">
        <v>24</v>
      </c>
      <c r="F32" s="10" t="s">
        <v>11</v>
      </c>
      <c r="G32" s="12">
        <v>2170</v>
      </c>
      <c r="H32" s="12">
        <v>2965</v>
      </c>
      <c r="I32" s="17" t="s">
        <v>1717</v>
      </c>
      <c r="J32" s="18">
        <v>22</v>
      </c>
      <c r="K32" s="19">
        <f t="shared" si="1"/>
        <v>744.87600000000009</v>
      </c>
      <c r="L32" s="27"/>
      <c r="M32" s="3">
        <v>68.400000000000006</v>
      </c>
      <c r="N32" s="15">
        <v>10.89</v>
      </c>
    </row>
    <row r="33" spans="1:14" ht="20.25" customHeight="1" x14ac:dyDescent="0.15">
      <c r="A33" s="60" t="s">
        <v>2253</v>
      </c>
      <c r="B33" s="9" t="s">
        <v>2254</v>
      </c>
      <c r="C33" s="58" t="s">
        <v>29</v>
      </c>
      <c r="D33" s="11" t="s">
        <v>276</v>
      </c>
      <c r="E33" s="10">
        <v>24</v>
      </c>
      <c r="F33" s="10" t="s">
        <v>11</v>
      </c>
      <c r="G33" s="12">
        <v>1155</v>
      </c>
      <c r="H33" s="12">
        <v>2303</v>
      </c>
      <c r="I33" s="17" t="s">
        <v>2255</v>
      </c>
      <c r="J33" s="18">
        <v>57</v>
      </c>
      <c r="K33" s="19">
        <f t="shared" si="1"/>
        <v>966.16079999999999</v>
      </c>
      <c r="L33" s="27"/>
      <c r="M33" s="3">
        <v>88.72</v>
      </c>
      <c r="N33" s="15">
        <v>10.89</v>
      </c>
    </row>
    <row r="34" spans="1:14" ht="20.25" customHeight="1" x14ac:dyDescent="0.15">
      <c r="A34" s="60" t="s">
        <v>2256</v>
      </c>
      <c r="B34" s="9" t="s">
        <v>2254</v>
      </c>
      <c r="C34" s="58" t="s">
        <v>29</v>
      </c>
      <c r="D34" s="11" t="s">
        <v>276</v>
      </c>
      <c r="E34" s="10">
        <v>24</v>
      </c>
      <c r="F34" s="10" t="s">
        <v>11</v>
      </c>
      <c r="G34" s="12">
        <v>1403</v>
      </c>
      <c r="H34" s="12">
        <v>2025</v>
      </c>
      <c r="I34" s="17" t="s">
        <v>2257</v>
      </c>
      <c r="J34" s="18">
        <v>38</v>
      </c>
      <c r="K34" s="19">
        <f t="shared" si="1"/>
        <v>596.77200000000005</v>
      </c>
      <c r="L34" s="27"/>
      <c r="M34" s="3">
        <v>54.8</v>
      </c>
      <c r="N34" s="15">
        <v>10.89</v>
      </c>
    </row>
    <row r="35" spans="1:14" ht="20.25" customHeight="1" x14ac:dyDescent="0.15">
      <c r="A35" s="60" t="s">
        <v>2258</v>
      </c>
      <c r="B35" s="9" t="s">
        <v>1080</v>
      </c>
      <c r="C35" s="58" t="s">
        <v>29</v>
      </c>
      <c r="D35" s="11" t="s">
        <v>276</v>
      </c>
      <c r="E35" s="10">
        <v>24</v>
      </c>
      <c r="F35" s="10" t="s">
        <v>11</v>
      </c>
      <c r="G35" s="12">
        <v>580</v>
      </c>
      <c r="H35" s="12">
        <v>970</v>
      </c>
      <c r="I35" s="17">
        <v>2</v>
      </c>
      <c r="J35" s="18">
        <v>2</v>
      </c>
      <c r="K35" s="19">
        <f t="shared" si="1"/>
        <v>12.196800000000001</v>
      </c>
      <c r="L35" s="27"/>
      <c r="M35" s="3">
        <v>1.1200000000000001</v>
      </c>
      <c r="N35" s="15">
        <v>10.89</v>
      </c>
    </row>
    <row r="36" spans="1:14" ht="20.25" customHeight="1" x14ac:dyDescent="0.15">
      <c r="A36" s="60"/>
      <c r="B36" s="9"/>
      <c r="C36" s="58"/>
      <c r="D36" s="11"/>
      <c r="E36" s="10"/>
      <c r="F36" s="10"/>
      <c r="G36" s="12"/>
      <c r="H36" s="12"/>
      <c r="I36" s="17"/>
      <c r="J36" s="18"/>
      <c r="K36" s="19">
        <f t="shared" si="1"/>
        <v>0</v>
      </c>
      <c r="L36" s="27"/>
      <c r="N36" s="15">
        <v>10.89</v>
      </c>
    </row>
    <row r="37" spans="1:14" ht="20.25" customHeight="1" x14ac:dyDescent="0.15">
      <c r="A37" s="60"/>
      <c r="B37" s="9"/>
      <c r="C37" s="58"/>
      <c r="D37" s="11"/>
      <c r="E37" s="10"/>
      <c r="F37" s="10"/>
      <c r="G37" s="12"/>
      <c r="H37" s="12"/>
      <c r="I37" s="17"/>
      <c r="J37" s="18"/>
      <c r="K37" s="19">
        <f t="shared" si="1"/>
        <v>0</v>
      </c>
      <c r="L37" s="27"/>
      <c r="N37" s="15">
        <v>10.89</v>
      </c>
    </row>
    <row r="38" spans="1:14" ht="20.25" customHeight="1" x14ac:dyDescent="0.15">
      <c r="A38" s="60"/>
      <c r="B38" s="9"/>
      <c r="C38" s="58"/>
      <c r="D38" s="11"/>
      <c r="E38" s="10"/>
      <c r="F38" s="10"/>
      <c r="G38" s="12"/>
      <c r="H38" s="12"/>
      <c r="I38" s="17"/>
      <c r="J38" s="18"/>
      <c r="K38" s="19">
        <f t="shared" si="1"/>
        <v>0</v>
      </c>
      <c r="L38" s="27"/>
      <c r="N38" s="15">
        <v>10.89</v>
      </c>
    </row>
    <row r="39" spans="1:14" ht="20.25" customHeight="1" x14ac:dyDescent="0.15">
      <c r="A39" s="60"/>
      <c r="B39" s="9"/>
      <c r="C39" s="58"/>
      <c r="D39" s="11"/>
      <c r="E39" s="10"/>
      <c r="F39" s="10"/>
      <c r="G39" s="12"/>
      <c r="H39" s="12"/>
      <c r="I39" s="17"/>
      <c r="J39" s="18"/>
      <c r="K39" s="19">
        <f t="shared" si="1"/>
        <v>0</v>
      </c>
      <c r="L39" s="27"/>
      <c r="N39" s="15">
        <v>10.89</v>
      </c>
    </row>
    <row r="40" spans="1:14" ht="20.25" customHeight="1" x14ac:dyDescent="0.15">
      <c r="A40" s="60"/>
      <c r="B40" s="9"/>
      <c r="C40" s="58"/>
      <c r="D40" s="11"/>
      <c r="E40" s="10"/>
      <c r="F40" s="10"/>
      <c r="G40" s="12"/>
      <c r="H40" s="12"/>
      <c r="I40" s="17"/>
      <c r="J40" s="18"/>
      <c r="K40" s="19">
        <f t="shared" si="1"/>
        <v>0</v>
      </c>
      <c r="L40" s="27"/>
      <c r="N40" s="15">
        <v>10.89</v>
      </c>
    </row>
    <row r="41" spans="1:14" ht="20.25" customHeight="1" x14ac:dyDescent="0.15">
      <c r="A41" s="57"/>
      <c r="B41" s="28"/>
      <c r="C41" s="10"/>
      <c r="D41" s="29"/>
      <c r="E41" s="30"/>
      <c r="F41" s="30"/>
      <c r="G41" s="30"/>
      <c r="H41" s="30"/>
      <c r="I41" s="13"/>
      <c r="J41" s="48">
        <f>SUM(J25:J40)</f>
        <v>451</v>
      </c>
      <c r="K41" s="49">
        <f>SUM(K25:K40)</f>
        <v>5077.1358</v>
      </c>
      <c r="L41" s="31"/>
      <c r="N41" s="32"/>
    </row>
    <row r="42" spans="1:14" ht="20.25" customHeight="1" thickBot="1" x14ac:dyDescent="0.2">
      <c r="A42" s="55"/>
      <c r="B42" s="33"/>
      <c r="C42" s="33"/>
      <c r="D42" s="33"/>
      <c r="E42" s="33"/>
      <c r="F42" s="33"/>
      <c r="G42" s="33"/>
      <c r="H42" s="33"/>
      <c r="I42" s="33"/>
      <c r="J42" s="34"/>
      <c r="K42" s="35"/>
      <c r="L42" s="36"/>
    </row>
    <row r="43" spans="1:14" ht="20.25" customHeight="1" thickBot="1" x14ac:dyDescent="0.2">
      <c r="A43" s="37" t="s">
        <v>19</v>
      </c>
      <c r="B43" s="38" t="s">
        <v>20</v>
      </c>
      <c r="C43" s="77" t="s">
        <v>21</v>
      </c>
      <c r="D43" s="79"/>
      <c r="E43" s="77" t="s">
        <v>22</v>
      </c>
      <c r="F43" s="78"/>
      <c r="G43" s="79"/>
      <c r="H43" s="85" t="s">
        <v>23</v>
      </c>
      <c r="I43" s="86"/>
      <c r="J43" s="77" t="s">
        <v>24</v>
      </c>
      <c r="K43" s="79"/>
      <c r="L43" s="39" t="s">
        <v>13</v>
      </c>
    </row>
    <row r="44" spans="1:14" ht="20.25" customHeight="1" thickBot="1" x14ac:dyDescent="0.2">
      <c r="A44" s="40">
        <f>SUMIF($C$8:$C$42,"U1",$J$8:$J$42)</f>
        <v>0</v>
      </c>
      <c r="B44" s="41">
        <f>SUMIF($C$8:$C$42,"U2",$J$8:$J$42)</f>
        <v>7</v>
      </c>
      <c r="C44" s="77">
        <f>SUMIF($C$8:$C$42,"U3-1",$J$8:$J$42)</f>
        <v>0</v>
      </c>
      <c r="D44" s="79"/>
      <c r="E44" s="77">
        <f>SUMIF($C$8:$C$42,"U3",$J$8:$J$42)</f>
        <v>1052</v>
      </c>
      <c r="F44" s="78"/>
      <c r="G44" s="79"/>
      <c r="H44" s="77">
        <f>SUMIF($C$8:$C$42,"E5",$J$8:$J$42)</f>
        <v>0</v>
      </c>
      <c r="I44" s="79"/>
      <c r="J44" s="77">
        <f>SUM(A44:I44)</f>
        <v>1059</v>
      </c>
      <c r="K44" s="79"/>
      <c r="L44" s="42"/>
    </row>
    <row r="45" spans="1:14" ht="20.25" customHeight="1" thickBot="1" x14ac:dyDescent="0.2">
      <c r="A45" s="43" t="s">
        <v>25</v>
      </c>
      <c r="B45" s="44" t="s">
        <v>26</v>
      </c>
      <c r="C45" s="75">
        <v>13876</v>
      </c>
      <c r="D45" s="76"/>
      <c r="E45" s="77" t="s">
        <v>27</v>
      </c>
      <c r="F45" s="78"/>
      <c r="G45" s="78"/>
      <c r="H45" s="78"/>
      <c r="I45" s="79"/>
      <c r="J45" s="80">
        <v>146744.37</v>
      </c>
      <c r="K45" s="81"/>
      <c r="L45" s="82"/>
    </row>
    <row r="47" spans="1:14" x14ac:dyDescent="0.15">
      <c r="D47" s="45"/>
    </row>
  </sheetData>
  <mergeCells count="26">
    <mergeCell ref="L2:L4"/>
    <mergeCell ref="A1:G3"/>
    <mergeCell ref="H1:H4"/>
    <mergeCell ref="I2:I4"/>
    <mergeCell ref="J2:J4"/>
    <mergeCell ref="K2:K4"/>
    <mergeCell ref="B5:G5"/>
    <mergeCell ref="A6:A7"/>
    <mergeCell ref="B6:B7"/>
    <mergeCell ref="C6:C7"/>
    <mergeCell ref="D6:D7"/>
    <mergeCell ref="E6:E7"/>
    <mergeCell ref="F6:F7"/>
    <mergeCell ref="G6:K6"/>
    <mergeCell ref="C45:D45"/>
    <mergeCell ref="E45:I45"/>
    <mergeCell ref="J45:L45"/>
    <mergeCell ref="L6:L7"/>
    <mergeCell ref="C43:D43"/>
    <mergeCell ref="E43:G43"/>
    <mergeCell ref="H43:I43"/>
    <mergeCell ref="J43:K43"/>
    <mergeCell ref="C44:D44"/>
    <mergeCell ref="E44:G44"/>
    <mergeCell ref="H44:I44"/>
    <mergeCell ref="J44:K44"/>
  </mergeCells>
  <phoneticPr fontId="2" type="noConversion"/>
  <printOptions horizontalCentered="1"/>
  <pageMargins left="0.39370078740157483" right="0.39370078740157483" top="0.74803149606299213" bottom="0.19685039370078741" header="0.31496062992125984" footer="0.15748031496062992"/>
  <pageSetup paperSize="9" scale="84" orientation="portrait" r:id="rId1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3B7AF3-665B-4918-B8D6-D0B30C72921A}">
  <dimension ref="A1:N49"/>
  <sheetViews>
    <sheetView view="pageBreakPreview" topLeftCell="A28" zoomScaleSheetLayoutView="100" workbookViewId="0">
      <selection activeCell="B30" sqref="B30:D30"/>
    </sheetView>
  </sheetViews>
  <sheetFormatPr defaultColWidth="8.88671875" defaultRowHeight="13.5" x14ac:dyDescent="0.15"/>
  <cols>
    <col min="1" max="1" width="8.44140625" style="3" customWidth="1"/>
    <col min="2" max="2" width="14.77734375" style="3" customWidth="1"/>
    <col min="3" max="3" width="4.109375" style="3" customWidth="1"/>
    <col min="4" max="4" width="15.21875" style="3" customWidth="1"/>
    <col min="5" max="5" width="4.44140625" style="3" customWidth="1"/>
    <col min="6" max="6" width="4" style="3" customWidth="1"/>
    <col min="7" max="7" width="5.5546875" style="3" customWidth="1"/>
    <col min="8" max="8" width="5.44140625" style="3" customWidth="1"/>
    <col min="9" max="9" width="7.88671875" style="3" customWidth="1"/>
    <col min="10" max="10" width="7.109375" style="3" customWidth="1"/>
    <col min="11" max="11" width="7.21875" style="3" customWidth="1"/>
    <col min="12" max="12" width="6.77734375" style="3" customWidth="1"/>
    <col min="13" max="16384" width="8.88671875" style="3"/>
  </cols>
  <sheetData>
    <row r="1" spans="1:14" ht="18.75" customHeight="1" x14ac:dyDescent="0.15">
      <c r="A1" s="101" t="s">
        <v>0</v>
      </c>
      <c r="B1" s="102"/>
      <c r="C1" s="102"/>
      <c r="D1" s="102"/>
      <c r="E1" s="102"/>
      <c r="F1" s="102"/>
      <c r="G1" s="103"/>
      <c r="H1" s="107" t="s">
        <v>1</v>
      </c>
      <c r="I1" s="1" t="s">
        <v>2</v>
      </c>
      <c r="J1" s="1" t="s">
        <v>2</v>
      </c>
      <c r="K1" s="1" t="s">
        <v>3</v>
      </c>
      <c r="L1" s="2" t="s">
        <v>4</v>
      </c>
    </row>
    <row r="2" spans="1:14" ht="13.5" customHeight="1" x14ac:dyDescent="0.15">
      <c r="A2" s="104"/>
      <c r="B2" s="105"/>
      <c r="C2" s="105"/>
      <c r="D2" s="105"/>
      <c r="E2" s="105"/>
      <c r="F2" s="105"/>
      <c r="G2" s="106"/>
      <c r="H2" s="108"/>
      <c r="I2" s="110"/>
      <c r="J2" s="110"/>
      <c r="K2" s="110"/>
      <c r="L2" s="98"/>
    </row>
    <row r="3" spans="1:14" ht="13.5" customHeight="1" x14ac:dyDescent="0.15">
      <c r="A3" s="104"/>
      <c r="B3" s="105"/>
      <c r="C3" s="105"/>
      <c r="D3" s="105"/>
      <c r="E3" s="105"/>
      <c r="F3" s="105"/>
      <c r="G3" s="106"/>
      <c r="H3" s="108"/>
      <c r="I3" s="108"/>
      <c r="J3" s="108"/>
      <c r="K3" s="108"/>
      <c r="L3" s="99"/>
    </row>
    <row r="4" spans="1:14" ht="33" customHeight="1" x14ac:dyDescent="0.15">
      <c r="A4" s="4"/>
      <c r="B4" s="5"/>
      <c r="C4" s="5"/>
      <c r="D4" s="5"/>
      <c r="E4" s="5"/>
      <c r="F4" s="5"/>
      <c r="G4" s="5"/>
      <c r="H4" s="109"/>
      <c r="I4" s="109"/>
      <c r="J4" s="109"/>
      <c r="K4" s="109"/>
      <c r="L4" s="100"/>
    </row>
    <row r="5" spans="1:14" ht="17.25" customHeight="1" x14ac:dyDescent="0.15">
      <c r="A5" s="6" t="s">
        <v>5</v>
      </c>
      <c r="B5" s="87">
        <v>46141</v>
      </c>
      <c r="C5" s="88"/>
      <c r="D5" s="88"/>
      <c r="E5" s="88"/>
      <c r="F5" s="88"/>
      <c r="G5" s="88"/>
      <c r="H5" s="5"/>
      <c r="I5" s="5"/>
      <c r="J5" s="5"/>
      <c r="K5" s="5"/>
      <c r="L5" s="7"/>
    </row>
    <row r="6" spans="1:14" ht="13.5" customHeight="1" x14ac:dyDescent="0.15">
      <c r="A6" s="89" t="s">
        <v>6</v>
      </c>
      <c r="B6" s="91" t="s">
        <v>7</v>
      </c>
      <c r="C6" s="91" t="s">
        <v>8</v>
      </c>
      <c r="D6" s="91" t="s">
        <v>9</v>
      </c>
      <c r="E6" s="93" t="s">
        <v>10</v>
      </c>
      <c r="F6" s="93" t="s">
        <v>11</v>
      </c>
      <c r="G6" s="95" t="s">
        <v>12</v>
      </c>
      <c r="H6" s="96"/>
      <c r="I6" s="96"/>
      <c r="J6" s="96"/>
      <c r="K6" s="97"/>
      <c r="L6" s="83" t="s">
        <v>13</v>
      </c>
    </row>
    <row r="7" spans="1:14" x14ac:dyDescent="0.15">
      <c r="A7" s="90"/>
      <c r="B7" s="92"/>
      <c r="C7" s="92"/>
      <c r="D7" s="92"/>
      <c r="E7" s="94"/>
      <c r="F7" s="94"/>
      <c r="G7" s="8" t="s">
        <v>14</v>
      </c>
      <c r="H7" s="8" t="s">
        <v>15</v>
      </c>
      <c r="I7" s="8" t="s">
        <v>16</v>
      </c>
      <c r="J7" s="8" t="s">
        <v>17</v>
      </c>
      <c r="K7" s="8" t="s">
        <v>18</v>
      </c>
      <c r="L7" s="84"/>
    </row>
    <row r="8" spans="1:14" s="15" customFormat="1" ht="20.25" customHeight="1" x14ac:dyDescent="0.15">
      <c r="A8" s="60" t="s">
        <v>1849</v>
      </c>
      <c r="B8" s="9" t="s">
        <v>138</v>
      </c>
      <c r="C8" s="58" t="s">
        <v>29</v>
      </c>
      <c r="D8" s="11" t="s">
        <v>403</v>
      </c>
      <c r="E8" s="10">
        <v>24</v>
      </c>
      <c r="F8" s="58" t="s">
        <v>11</v>
      </c>
      <c r="G8" s="12">
        <v>1762</v>
      </c>
      <c r="H8" s="12">
        <v>1890</v>
      </c>
      <c r="I8" s="17">
        <v>5</v>
      </c>
      <c r="J8" s="18">
        <v>5</v>
      </c>
      <c r="K8" s="19">
        <f>+M8*N8</f>
        <v>181.3185</v>
      </c>
      <c r="L8" s="14"/>
      <c r="M8" s="15">
        <v>16.649999999999999</v>
      </c>
      <c r="N8" s="15">
        <v>10.89</v>
      </c>
    </row>
    <row r="9" spans="1:14" s="15" customFormat="1" ht="20.25" customHeight="1" x14ac:dyDescent="0.15">
      <c r="A9" s="60" t="s">
        <v>2242</v>
      </c>
      <c r="B9" s="9" t="s">
        <v>1950</v>
      </c>
      <c r="C9" s="58" t="s">
        <v>29</v>
      </c>
      <c r="D9" s="11" t="s">
        <v>217</v>
      </c>
      <c r="E9" s="10">
        <v>22</v>
      </c>
      <c r="F9" s="58" t="s">
        <v>11</v>
      </c>
      <c r="G9" s="12">
        <v>305</v>
      </c>
      <c r="H9" s="12">
        <v>950</v>
      </c>
      <c r="I9" s="17" t="s">
        <v>2259</v>
      </c>
      <c r="J9" s="18">
        <v>30</v>
      </c>
      <c r="K9" s="19">
        <f t="shared" ref="K9:K20" si="0">+M9*N9</f>
        <v>102.36600000000001</v>
      </c>
      <c r="L9" s="14"/>
      <c r="M9" s="15">
        <v>9.4</v>
      </c>
      <c r="N9" s="15">
        <v>10.89</v>
      </c>
    </row>
    <row r="10" spans="1:14" s="15" customFormat="1" ht="20.25" customHeight="1" x14ac:dyDescent="0.15">
      <c r="A10" s="60" t="s">
        <v>2260</v>
      </c>
      <c r="B10" s="9" t="s">
        <v>2261</v>
      </c>
      <c r="C10" s="58" t="s">
        <v>29</v>
      </c>
      <c r="D10" s="11" t="s">
        <v>2262</v>
      </c>
      <c r="E10" s="10">
        <v>24</v>
      </c>
      <c r="F10" s="58" t="s">
        <v>11</v>
      </c>
      <c r="G10" s="12">
        <v>1550</v>
      </c>
      <c r="H10" s="12">
        <v>1776</v>
      </c>
      <c r="I10" s="17">
        <v>1</v>
      </c>
      <c r="J10" s="18">
        <v>1</v>
      </c>
      <c r="K10" s="19">
        <f t="shared" si="0"/>
        <v>29.947500000000002</v>
      </c>
      <c r="L10" s="14"/>
      <c r="M10" s="15">
        <v>2.75</v>
      </c>
      <c r="N10" s="15">
        <v>10.89</v>
      </c>
    </row>
    <row r="11" spans="1:14" s="15" customFormat="1" ht="20.25" customHeight="1" x14ac:dyDescent="0.15">
      <c r="A11" s="60"/>
      <c r="B11" s="9"/>
      <c r="C11" s="58" t="s">
        <v>29</v>
      </c>
      <c r="D11" s="11" t="s">
        <v>2263</v>
      </c>
      <c r="E11" s="10">
        <v>24</v>
      </c>
      <c r="F11" s="58" t="s">
        <v>11</v>
      </c>
      <c r="G11" s="12">
        <v>1550</v>
      </c>
      <c r="H11" s="12">
        <v>1776</v>
      </c>
      <c r="I11" s="17">
        <v>1</v>
      </c>
      <c r="J11" s="18">
        <v>1</v>
      </c>
      <c r="K11" s="19">
        <f t="shared" si="0"/>
        <v>29.947500000000002</v>
      </c>
      <c r="L11" s="14"/>
      <c r="M11" s="15">
        <v>2.75</v>
      </c>
      <c r="N11" s="15">
        <v>10.89</v>
      </c>
    </row>
    <row r="12" spans="1:14" s="15" customFormat="1" ht="20.25" customHeight="1" x14ac:dyDescent="0.15">
      <c r="A12" s="60"/>
      <c r="B12" s="9"/>
      <c r="C12" s="58" t="s">
        <v>29</v>
      </c>
      <c r="D12" s="11" t="s">
        <v>224</v>
      </c>
      <c r="E12" s="10">
        <v>22</v>
      </c>
      <c r="F12" s="58" t="s">
        <v>11</v>
      </c>
      <c r="G12" s="12">
        <v>874</v>
      </c>
      <c r="H12" s="12">
        <v>1776</v>
      </c>
      <c r="I12" s="17" t="s">
        <v>563</v>
      </c>
      <c r="J12" s="18">
        <v>11</v>
      </c>
      <c r="K12" s="19">
        <f t="shared" si="0"/>
        <v>64.795500000000004</v>
      </c>
      <c r="L12" s="14"/>
      <c r="M12" s="15">
        <v>5.95</v>
      </c>
      <c r="N12" s="15">
        <v>10.89</v>
      </c>
    </row>
    <row r="13" spans="1:14" s="15" customFormat="1" ht="20.25" customHeight="1" x14ac:dyDescent="0.15">
      <c r="A13" s="60"/>
      <c r="B13" s="9"/>
      <c r="C13" s="58" t="s">
        <v>29</v>
      </c>
      <c r="D13" s="11" t="s">
        <v>217</v>
      </c>
      <c r="E13" s="10">
        <v>22</v>
      </c>
      <c r="F13" s="58" t="s">
        <v>11</v>
      </c>
      <c r="G13" s="12">
        <v>874</v>
      </c>
      <c r="H13" s="12">
        <v>1776</v>
      </c>
      <c r="I13" s="17" t="s">
        <v>563</v>
      </c>
      <c r="J13" s="18">
        <v>11</v>
      </c>
      <c r="K13" s="19">
        <f t="shared" si="0"/>
        <v>64.795500000000004</v>
      </c>
      <c r="L13" s="14"/>
      <c r="M13" s="15">
        <v>5.95</v>
      </c>
      <c r="N13" s="15">
        <v>10.89</v>
      </c>
    </row>
    <row r="14" spans="1:14" s="15" customFormat="1" ht="20.25" customHeight="1" x14ac:dyDescent="0.15">
      <c r="A14" s="60"/>
      <c r="B14" s="9"/>
      <c r="C14" s="58" t="s">
        <v>29</v>
      </c>
      <c r="D14" s="11" t="s">
        <v>201</v>
      </c>
      <c r="E14" s="10">
        <v>22</v>
      </c>
      <c r="F14" s="58"/>
      <c r="G14" s="12">
        <v>602</v>
      </c>
      <c r="H14" s="12">
        <v>1759</v>
      </c>
      <c r="I14" s="17">
        <v>2</v>
      </c>
      <c r="J14" s="18">
        <v>2</v>
      </c>
      <c r="K14" s="19">
        <f t="shared" si="0"/>
        <v>23.086800000000004</v>
      </c>
      <c r="L14" s="20"/>
      <c r="M14" s="15">
        <v>2.12</v>
      </c>
      <c r="N14" s="15">
        <v>10.89</v>
      </c>
    </row>
    <row r="15" spans="1:14" s="15" customFormat="1" ht="20.25" customHeight="1" x14ac:dyDescent="0.15">
      <c r="A15" s="60" t="s">
        <v>2264</v>
      </c>
      <c r="B15" s="9" t="s">
        <v>2261</v>
      </c>
      <c r="C15" s="58" t="s">
        <v>29</v>
      </c>
      <c r="D15" s="11" t="s">
        <v>2262</v>
      </c>
      <c r="E15" s="10">
        <v>24</v>
      </c>
      <c r="F15" s="58" t="s">
        <v>11</v>
      </c>
      <c r="G15" s="12">
        <v>1423</v>
      </c>
      <c r="H15" s="12">
        <v>1776</v>
      </c>
      <c r="I15" s="17">
        <v>1</v>
      </c>
      <c r="J15" s="18">
        <v>1</v>
      </c>
      <c r="K15" s="19">
        <f t="shared" si="0"/>
        <v>27.5517</v>
      </c>
      <c r="L15" s="20"/>
      <c r="M15" s="15">
        <v>2.5299999999999998</v>
      </c>
      <c r="N15" s="15">
        <v>10.89</v>
      </c>
    </row>
    <row r="16" spans="1:14" s="15" customFormat="1" ht="20.25" customHeight="1" x14ac:dyDescent="0.15">
      <c r="A16" s="60"/>
      <c r="B16" s="9"/>
      <c r="C16" s="58" t="s">
        <v>29</v>
      </c>
      <c r="D16" s="11" t="s">
        <v>2263</v>
      </c>
      <c r="E16" s="10">
        <v>24</v>
      </c>
      <c r="F16" s="58" t="s">
        <v>11</v>
      </c>
      <c r="G16" s="12">
        <v>1423</v>
      </c>
      <c r="H16" s="12">
        <v>1776</v>
      </c>
      <c r="I16" s="17">
        <v>1</v>
      </c>
      <c r="J16" s="18">
        <v>1</v>
      </c>
      <c r="K16" s="19">
        <f t="shared" si="0"/>
        <v>27.5517</v>
      </c>
      <c r="L16" s="20"/>
      <c r="M16" s="15">
        <v>2.5299999999999998</v>
      </c>
      <c r="N16" s="15">
        <v>10.89</v>
      </c>
    </row>
    <row r="17" spans="1:14" s="15" customFormat="1" ht="20.25" customHeight="1" x14ac:dyDescent="0.15">
      <c r="A17" s="60"/>
      <c r="B17" s="9"/>
      <c r="C17" s="58" t="s">
        <v>29</v>
      </c>
      <c r="D17" s="11" t="s">
        <v>224</v>
      </c>
      <c r="E17" s="10">
        <v>22</v>
      </c>
      <c r="F17" s="58" t="s">
        <v>11</v>
      </c>
      <c r="G17" s="12">
        <v>774</v>
      </c>
      <c r="H17" s="12">
        <v>1776</v>
      </c>
      <c r="I17" s="17" t="s">
        <v>295</v>
      </c>
      <c r="J17" s="18">
        <v>14</v>
      </c>
      <c r="K17" s="19">
        <f t="shared" si="0"/>
        <v>90.387000000000015</v>
      </c>
      <c r="L17" s="20"/>
      <c r="M17" s="15">
        <v>8.3000000000000007</v>
      </c>
      <c r="N17" s="15">
        <v>10.89</v>
      </c>
    </row>
    <row r="18" spans="1:14" s="15" customFormat="1" ht="20.25" customHeight="1" x14ac:dyDescent="0.15">
      <c r="A18" s="60"/>
      <c r="B18" s="9"/>
      <c r="C18" s="58" t="s">
        <v>29</v>
      </c>
      <c r="D18" s="11" t="s">
        <v>217</v>
      </c>
      <c r="E18" s="10">
        <v>22</v>
      </c>
      <c r="F18" s="58" t="s">
        <v>11</v>
      </c>
      <c r="G18" s="12">
        <v>774</v>
      </c>
      <c r="H18" s="12">
        <v>1776</v>
      </c>
      <c r="I18" s="17" t="s">
        <v>295</v>
      </c>
      <c r="J18" s="18">
        <v>14</v>
      </c>
      <c r="K18" s="19">
        <f t="shared" si="0"/>
        <v>90.387000000000015</v>
      </c>
      <c r="L18" s="20"/>
      <c r="M18" s="15">
        <v>8.3000000000000007</v>
      </c>
      <c r="N18" s="15">
        <v>10.89</v>
      </c>
    </row>
    <row r="19" spans="1:14" s="15" customFormat="1" ht="20.25" customHeight="1" x14ac:dyDescent="0.15">
      <c r="A19" s="60"/>
      <c r="B19" s="9"/>
      <c r="C19" s="58" t="s">
        <v>29</v>
      </c>
      <c r="D19" s="11" t="s">
        <v>201</v>
      </c>
      <c r="E19" s="10">
        <v>22</v>
      </c>
      <c r="F19" s="58"/>
      <c r="G19" s="12">
        <v>702</v>
      </c>
      <c r="H19" s="12">
        <v>1759</v>
      </c>
      <c r="I19" s="17">
        <v>2</v>
      </c>
      <c r="J19" s="18">
        <v>2</v>
      </c>
      <c r="K19" s="19">
        <f t="shared" si="0"/>
        <v>26.789400000000001</v>
      </c>
      <c r="L19" s="20"/>
      <c r="M19" s="15">
        <v>2.46</v>
      </c>
      <c r="N19" s="15">
        <v>10.89</v>
      </c>
    </row>
    <row r="20" spans="1:14" s="15" customFormat="1" ht="20.25" customHeight="1" x14ac:dyDescent="0.15">
      <c r="A20" s="60" t="s">
        <v>2265</v>
      </c>
      <c r="B20" s="9" t="s">
        <v>2261</v>
      </c>
      <c r="C20" s="58" t="s">
        <v>29</v>
      </c>
      <c r="D20" s="11" t="s">
        <v>2262</v>
      </c>
      <c r="E20" s="10">
        <v>24</v>
      </c>
      <c r="F20" s="58" t="s">
        <v>11</v>
      </c>
      <c r="G20" s="12">
        <v>1423</v>
      </c>
      <c r="H20" s="12">
        <v>1776</v>
      </c>
      <c r="I20" s="17">
        <v>1</v>
      </c>
      <c r="J20" s="18">
        <v>1</v>
      </c>
      <c r="K20" s="19">
        <f t="shared" si="0"/>
        <v>27.5517</v>
      </c>
      <c r="L20" s="20"/>
      <c r="M20" s="15">
        <v>2.5299999999999998</v>
      </c>
      <c r="N20" s="15">
        <v>10.89</v>
      </c>
    </row>
    <row r="21" spans="1:14" s="15" customFormat="1" ht="20.25" customHeight="1" x14ac:dyDescent="0.15">
      <c r="A21" s="60"/>
      <c r="B21" s="9"/>
      <c r="C21" s="58" t="s">
        <v>29</v>
      </c>
      <c r="D21" s="11" t="s">
        <v>2263</v>
      </c>
      <c r="E21" s="10">
        <v>24</v>
      </c>
      <c r="F21" s="58" t="s">
        <v>11</v>
      </c>
      <c r="G21" s="12">
        <v>1423</v>
      </c>
      <c r="H21" s="12">
        <v>1776</v>
      </c>
      <c r="I21" s="17">
        <v>1</v>
      </c>
      <c r="J21" s="18">
        <v>1</v>
      </c>
      <c r="K21" s="19">
        <f t="shared" ref="K21:K33" si="1">+M21*N21</f>
        <v>27.5517</v>
      </c>
      <c r="L21" s="20"/>
      <c r="M21" s="15">
        <v>2.5299999999999998</v>
      </c>
      <c r="N21" s="15">
        <v>10.89</v>
      </c>
    </row>
    <row r="22" spans="1:14" s="15" customFormat="1" ht="20.25" customHeight="1" x14ac:dyDescent="0.15">
      <c r="A22" s="60"/>
      <c r="B22" s="9"/>
      <c r="C22" s="58" t="s">
        <v>29</v>
      </c>
      <c r="D22" s="11" t="s">
        <v>224</v>
      </c>
      <c r="E22" s="10">
        <v>22</v>
      </c>
      <c r="F22" s="58" t="s">
        <v>11</v>
      </c>
      <c r="G22" s="12">
        <v>774</v>
      </c>
      <c r="H22" s="12">
        <v>1776</v>
      </c>
      <c r="I22" s="17" t="s">
        <v>478</v>
      </c>
      <c r="J22" s="18">
        <v>12</v>
      </c>
      <c r="K22" s="19">
        <f t="shared" si="1"/>
        <v>92.347200000000015</v>
      </c>
      <c r="L22" s="20"/>
      <c r="M22" s="15">
        <v>8.48</v>
      </c>
      <c r="N22" s="15">
        <v>10.89</v>
      </c>
    </row>
    <row r="23" spans="1:14" s="15" customFormat="1" ht="20.25" customHeight="1" x14ac:dyDescent="0.15">
      <c r="A23" s="60"/>
      <c r="B23" s="9"/>
      <c r="C23" s="58" t="s">
        <v>29</v>
      </c>
      <c r="D23" s="11" t="s">
        <v>217</v>
      </c>
      <c r="E23" s="10">
        <v>22</v>
      </c>
      <c r="F23" s="58" t="s">
        <v>11</v>
      </c>
      <c r="G23" s="12">
        <v>774</v>
      </c>
      <c r="H23" s="12">
        <v>1776</v>
      </c>
      <c r="I23" s="17" t="s">
        <v>478</v>
      </c>
      <c r="J23" s="18">
        <v>12</v>
      </c>
      <c r="K23" s="19">
        <f t="shared" si="1"/>
        <v>92.347200000000015</v>
      </c>
      <c r="L23" s="20"/>
      <c r="M23" s="15">
        <v>8.48</v>
      </c>
      <c r="N23" s="15">
        <v>10.89</v>
      </c>
    </row>
    <row r="24" spans="1:14" s="15" customFormat="1" ht="20.25" customHeight="1" x14ac:dyDescent="0.15">
      <c r="A24" s="60"/>
      <c r="B24" s="9"/>
      <c r="C24" s="58" t="s">
        <v>29</v>
      </c>
      <c r="D24" s="11" t="s">
        <v>201</v>
      </c>
      <c r="E24" s="10">
        <v>22</v>
      </c>
      <c r="F24" s="58"/>
      <c r="G24" s="12">
        <v>702</v>
      </c>
      <c r="H24" s="12">
        <v>1759</v>
      </c>
      <c r="I24" s="17">
        <v>2</v>
      </c>
      <c r="J24" s="18">
        <v>2</v>
      </c>
      <c r="K24" s="19">
        <f t="shared" si="1"/>
        <v>26.789400000000001</v>
      </c>
      <c r="L24" s="20"/>
      <c r="M24" s="15">
        <v>2.46</v>
      </c>
      <c r="N24" s="15">
        <v>10.89</v>
      </c>
    </row>
    <row r="25" spans="1:14" s="15" customFormat="1" ht="20.25" customHeight="1" x14ac:dyDescent="0.15">
      <c r="A25" s="60" t="s">
        <v>2266</v>
      </c>
      <c r="B25" s="9" t="s">
        <v>2261</v>
      </c>
      <c r="C25" s="58" t="s">
        <v>29</v>
      </c>
      <c r="D25" s="11" t="s">
        <v>2262</v>
      </c>
      <c r="E25" s="10">
        <v>24</v>
      </c>
      <c r="F25" s="58" t="s">
        <v>11</v>
      </c>
      <c r="G25" s="12">
        <v>1423</v>
      </c>
      <c r="H25" s="12">
        <v>1776</v>
      </c>
      <c r="I25" s="17">
        <v>1</v>
      </c>
      <c r="J25" s="18">
        <v>1</v>
      </c>
      <c r="K25" s="19">
        <f t="shared" si="1"/>
        <v>27.5517</v>
      </c>
      <c r="L25" s="20"/>
      <c r="M25" s="15">
        <v>2.5299999999999998</v>
      </c>
      <c r="N25" s="15">
        <v>10.89</v>
      </c>
    </row>
    <row r="26" spans="1:14" s="15" customFormat="1" ht="20.25" customHeight="1" x14ac:dyDescent="0.15">
      <c r="A26" s="60"/>
      <c r="B26" s="9"/>
      <c r="C26" s="58" t="s">
        <v>29</v>
      </c>
      <c r="D26" s="11" t="s">
        <v>2263</v>
      </c>
      <c r="E26" s="10">
        <v>24</v>
      </c>
      <c r="F26" s="58" t="s">
        <v>11</v>
      </c>
      <c r="G26" s="12">
        <v>1423</v>
      </c>
      <c r="H26" s="12">
        <v>1776</v>
      </c>
      <c r="I26" s="17">
        <v>1</v>
      </c>
      <c r="J26" s="18">
        <v>1</v>
      </c>
      <c r="K26" s="19">
        <f t="shared" si="1"/>
        <v>27.5517</v>
      </c>
      <c r="L26" s="20"/>
      <c r="M26" s="15">
        <v>2.5299999999999998</v>
      </c>
      <c r="N26" s="15">
        <v>10.89</v>
      </c>
    </row>
    <row r="27" spans="1:14" s="15" customFormat="1" ht="20.25" customHeight="1" x14ac:dyDescent="0.15">
      <c r="A27" s="60"/>
      <c r="B27" s="9"/>
      <c r="C27" s="58" t="s">
        <v>29</v>
      </c>
      <c r="D27" s="11" t="s">
        <v>224</v>
      </c>
      <c r="E27" s="10">
        <v>22</v>
      </c>
      <c r="F27" s="58" t="s">
        <v>11</v>
      </c>
      <c r="G27" s="12">
        <v>774</v>
      </c>
      <c r="H27" s="12">
        <v>1776</v>
      </c>
      <c r="I27" s="17" t="s">
        <v>295</v>
      </c>
      <c r="J27" s="18">
        <v>14</v>
      </c>
      <c r="K27" s="19">
        <f t="shared" si="1"/>
        <v>104.10840000000002</v>
      </c>
      <c r="L27" s="20"/>
      <c r="M27" s="15">
        <v>9.56</v>
      </c>
      <c r="N27" s="15">
        <v>10.89</v>
      </c>
    </row>
    <row r="28" spans="1:14" s="15" customFormat="1" ht="20.25" customHeight="1" x14ac:dyDescent="0.15">
      <c r="A28" s="60"/>
      <c r="B28" s="9"/>
      <c r="C28" s="58" t="s">
        <v>29</v>
      </c>
      <c r="D28" s="11" t="s">
        <v>217</v>
      </c>
      <c r="E28" s="10">
        <v>22</v>
      </c>
      <c r="F28" s="58" t="s">
        <v>11</v>
      </c>
      <c r="G28" s="12">
        <v>774</v>
      </c>
      <c r="H28" s="12">
        <v>1776</v>
      </c>
      <c r="I28" s="17" t="s">
        <v>295</v>
      </c>
      <c r="J28" s="18">
        <v>14</v>
      </c>
      <c r="K28" s="19">
        <f t="shared" si="1"/>
        <v>104.10840000000002</v>
      </c>
      <c r="L28" s="20"/>
      <c r="M28" s="15">
        <v>9.56</v>
      </c>
      <c r="N28" s="15">
        <v>10.89</v>
      </c>
    </row>
    <row r="29" spans="1:14" s="15" customFormat="1" ht="20.25" customHeight="1" x14ac:dyDescent="0.15">
      <c r="A29" s="60"/>
      <c r="B29" s="9"/>
      <c r="C29" s="58" t="s">
        <v>29</v>
      </c>
      <c r="D29" s="11" t="s">
        <v>201</v>
      </c>
      <c r="E29" s="10">
        <v>22</v>
      </c>
      <c r="F29" s="58"/>
      <c r="G29" s="12">
        <v>702</v>
      </c>
      <c r="H29" s="12">
        <v>1759</v>
      </c>
      <c r="I29" s="17">
        <v>2</v>
      </c>
      <c r="J29" s="18">
        <v>2</v>
      </c>
      <c r="K29" s="19">
        <f t="shared" si="1"/>
        <v>26.789400000000001</v>
      </c>
      <c r="L29" s="20"/>
      <c r="M29" s="15">
        <v>2.46</v>
      </c>
      <c r="N29" s="15">
        <v>10.89</v>
      </c>
    </row>
    <row r="30" spans="1:14" s="15" customFormat="1" ht="20.25" customHeight="1" x14ac:dyDescent="0.15">
      <c r="A30" s="60" t="s">
        <v>2267</v>
      </c>
      <c r="B30" s="9" t="s">
        <v>2254</v>
      </c>
      <c r="C30" s="58" t="s">
        <v>29</v>
      </c>
      <c r="D30" s="11" t="s">
        <v>276</v>
      </c>
      <c r="E30" s="10">
        <v>24</v>
      </c>
      <c r="F30" s="58" t="s">
        <v>11</v>
      </c>
      <c r="G30" s="12">
        <v>1015</v>
      </c>
      <c r="H30" s="12">
        <v>2775</v>
      </c>
      <c r="I30" s="17" t="s">
        <v>2268</v>
      </c>
      <c r="J30" s="18">
        <v>56</v>
      </c>
      <c r="K30" s="19">
        <f t="shared" si="1"/>
        <v>1044.7866000000001</v>
      </c>
      <c r="L30" s="20"/>
      <c r="M30" s="15">
        <v>95.94</v>
      </c>
      <c r="N30" s="15">
        <v>10.89</v>
      </c>
    </row>
    <row r="31" spans="1:14" s="15" customFormat="1" ht="20.25" customHeight="1" x14ac:dyDescent="0.15">
      <c r="A31" s="60" t="s">
        <v>2269</v>
      </c>
      <c r="B31" s="9" t="s">
        <v>2254</v>
      </c>
      <c r="C31" s="58" t="s">
        <v>29</v>
      </c>
      <c r="D31" s="11" t="s">
        <v>276</v>
      </c>
      <c r="E31" s="10">
        <v>24</v>
      </c>
      <c r="F31" s="58" t="s">
        <v>11</v>
      </c>
      <c r="G31" s="12">
        <v>895</v>
      </c>
      <c r="H31" s="12">
        <v>2775</v>
      </c>
      <c r="I31" s="17" t="s">
        <v>2270</v>
      </c>
      <c r="J31" s="18">
        <v>72</v>
      </c>
      <c r="K31" s="19">
        <f t="shared" si="1"/>
        <v>1412.1062999999999</v>
      </c>
      <c r="L31" s="20"/>
      <c r="M31" s="15">
        <v>129.66999999999999</v>
      </c>
      <c r="N31" s="15">
        <v>10.89</v>
      </c>
    </row>
    <row r="32" spans="1:14" s="15" customFormat="1" ht="20.25" customHeight="1" x14ac:dyDescent="0.15">
      <c r="A32" s="60" t="s">
        <v>2271</v>
      </c>
      <c r="B32" s="9" t="s">
        <v>1775</v>
      </c>
      <c r="C32" s="58" t="s">
        <v>29</v>
      </c>
      <c r="D32" s="11" t="s">
        <v>247</v>
      </c>
      <c r="E32" s="10">
        <v>24</v>
      </c>
      <c r="F32" s="58" t="s">
        <v>11</v>
      </c>
      <c r="G32" s="12">
        <v>1360</v>
      </c>
      <c r="H32" s="12">
        <v>2285</v>
      </c>
      <c r="I32" s="17" t="s">
        <v>993</v>
      </c>
      <c r="J32" s="18">
        <v>23</v>
      </c>
      <c r="K32" s="19">
        <f t="shared" si="1"/>
        <v>309.1671</v>
      </c>
      <c r="L32" s="20"/>
      <c r="M32" s="15">
        <v>28.39</v>
      </c>
      <c r="N32" s="15">
        <v>10.89</v>
      </c>
    </row>
    <row r="33" spans="1:14" s="15" customFormat="1" ht="20.25" customHeight="1" x14ac:dyDescent="0.15">
      <c r="A33" s="60"/>
      <c r="B33" s="9"/>
      <c r="C33" s="58" t="s">
        <v>29</v>
      </c>
      <c r="D33" s="11" t="s">
        <v>2272</v>
      </c>
      <c r="E33" s="10">
        <v>28</v>
      </c>
      <c r="F33" s="58" t="s">
        <v>11</v>
      </c>
      <c r="G33" s="12">
        <v>607</v>
      </c>
      <c r="H33" s="12">
        <v>2805</v>
      </c>
      <c r="I33" s="17" t="s">
        <v>2273</v>
      </c>
      <c r="J33" s="18">
        <v>17</v>
      </c>
      <c r="K33" s="19">
        <f t="shared" si="1"/>
        <v>306.22680000000003</v>
      </c>
      <c r="L33" s="20"/>
      <c r="M33" s="15">
        <v>28.12</v>
      </c>
      <c r="N33" s="15">
        <v>10.89</v>
      </c>
    </row>
    <row r="34" spans="1:14" ht="20.25" customHeight="1" thickBot="1" x14ac:dyDescent="0.2">
      <c r="A34" s="56"/>
      <c r="B34" s="21"/>
      <c r="C34" s="59"/>
      <c r="D34" s="22"/>
      <c r="E34" s="23"/>
      <c r="F34" s="23"/>
      <c r="G34" s="24"/>
      <c r="H34" s="24"/>
      <c r="I34" s="25"/>
      <c r="J34" s="46">
        <f>SUM(J8:J33)</f>
        <v>321</v>
      </c>
      <c r="K34" s="47">
        <f>SUM(K8:K33)</f>
        <v>4387.9077000000007</v>
      </c>
      <c r="L34" s="26"/>
    </row>
    <row r="35" spans="1:14" ht="20.25" customHeight="1" thickTop="1" x14ac:dyDescent="0.15">
      <c r="A35" s="60" t="s">
        <v>2054</v>
      </c>
      <c r="B35" s="9" t="s">
        <v>173</v>
      </c>
      <c r="C35" s="58" t="s">
        <v>29</v>
      </c>
      <c r="D35" s="11" t="s">
        <v>188</v>
      </c>
      <c r="E35" s="10">
        <v>22</v>
      </c>
      <c r="F35" s="10"/>
      <c r="G35" s="12">
        <v>1665</v>
      </c>
      <c r="H35" s="12">
        <v>1238</v>
      </c>
      <c r="I35" s="17">
        <v>1</v>
      </c>
      <c r="J35" s="18">
        <v>1</v>
      </c>
      <c r="K35" s="19">
        <f t="shared" ref="K35:K42" si="2">+M35*N35</f>
        <v>22.433400000000002</v>
      </c>
      <c r="L35" s="54"/>
      <c r="M35" s="3">
        <v>2.06</v>
      </c>
      <c r="N35" s="15">
        <v>10.89</v>
      </c>
    </row>
    <row r="36" spans="1:14" ht="20.25" customHeight="1" x14ac:dyDescent="0.15">
      <c r="A36" s="60" t="s">
        <v>2274</v>
      </c>
      <c r="B36" s="9" t="s">
        <v>173</v>
      </c>
      <c r="C36" s="58" t="s">
        <v>29</v>
      </c>
      <c r="D36" s="11" t="s">
        <v>195</v>
      </c>
      <c r="E36" s="10">
        <v>22</v>
      </c>
      <c r="F36" s="10"/>
      <c r="G36" s="12">
        <v>954</v>
      </c>
      <c r="H36" s="12">
        <v>1967</v>
      </c>
      <c r="I36" s="17" t="s">
        <v>2275</v>
      </c>
      <c r="J36" s="18">
        <v>168</v>
      </c>
      <c r="K36" s="19">
        <f t="shared" si="2"/>
        <v>1658.7647999999999</v>
      </c>
      <c r="L36" s="54"/>
      <c r="M36" s="3">
        <v>152.32</v>
      </c>
      <c r="N36" s="15">
        <v>10.89</v>
      </c>
    </row>
    <row r="37" spans="1:14" ht="20.25" customHeight="1" x14ac:dyDescent="0.15">
      <c r="A37" s="61" t="s">
        <v>2276</v>
      </c>
      <c r="B37" s="9" t="s">
        <v>173</v>
      </c>
      <c r="C37" s="58" t="s">
        <v>29</v>
      </c>
      <c r="D37" s="11" t="s">
        <v>195</v>
      </c>
      <c r="E37" s="10">
        <v>22</v>
      </c>
      <c r="F37" s="10"/>
      <c r="G37" s="12">
        <v>754</v>
      </c>
      <c r="H37" s="12">
        <v>1967</v>
      </c>
      <c r="I37" s="17" t="s">
        <v>408</v>
      </c>
      <c r="J37" s="18">
        <v>80</v>
      </c>
      <c r="K37" s="19">
        <f t="shared" si="2"/>
        <v>755.33040000000005</v>
      </c>
      <c r="L37" s="54"/>
      <c r="M37" s="3">
        <v>69.36</v>
      </c>
      <c r="N37" s="15">
        <v>10.89</v>
      </c>
    </row>
    <row r="38" spans="1:14" ht="20.25" customHeight="1" x14ac:dyDescent="0.15">
      <c r="A38" s="61" t="s">
        <v>2277</v>
      </c>
      <c r="B38" s="9" t="s">
        <v>173</v>
      </c>
      <c r="C38" s="58" t="s">
        <v>29</v>
      </c>
      <c r="D38" s="11" t="s">
        <v>195</v>
      </c>
      <c r="E38" s="10">
        <v>22</v>
      </c>
      <c r="F38" s="10"/>
      <c r="G38" s="12">
        <v>604</v>
      </c>
      <c r="H38" s="12">
        <v>1967</v>
      </c>
      <c r="I38" s="17" t="s">
        <v>2056</v>
      </c>
      <c r="J38" s="18">
        <f>88+8</f>
        <v>96</v>
      </c>
      <c r="K38" s="19">
        <f t="shared" si="2"/>
        <v>842.88600000000008</v>
      </c>
      <c r="L38" s="54"/>
      <c r="M38" s="3">
        <v>77.400000000000006</v>
      </c>
      <c r="N38" s="15">
        <v>10.89</v>
      </c>
    </row>
    <row r="39" spans="1:14" ht="20.25" customHeight="1" x14ac:dyDescent="0.15">
      <c r="A39" s="61" t="s">
        <v>2278</v>
      </c>
      <c r="B39" s="9" t="s">
        <v>173</v>
      </c>
      <c r="C39" s="58" t="s">
        <v>29</v>
      </c>
      <c r="D39" s="11" t="s">
        <v>195</v>
      </c>
      <c r="E39" s="10">
        <v>22</v>
      </c>
      <c r="F39" s="10"/>
      <c r="G39" s="12">
        <v>754</v>
      </c>
      <c r="H39" s="12">
        <v>1967</v>
      </c>
      <c r="I39" s="17" t="s">
        <v>1311</v>
      </c>
      <c r="J39" s="18">
        <v>88</v>
      </c>
      <c r="K39" s="19">
        <f t="shared" si="2"/>
        <v>902.56320000000005</v>
      </c>
      <c r="L39" s="54"/>
      <c r="M39" s="3">
        <v>82.88</v>
      </c>
      <c r="N39" s="15">
        <v>10.89</v>
      </c>
    </row>
    <row r="40" spans="1:14" ht="20.25" customHeight="1" x14ac:dyDescent="0.15">
      <c r="A40" s="61" t="s">
        <v>2279</v>
      </c>
      <c r="B40" s="9" t="s">
        <v>2254</v>
      </c>
      <c r="C40" s="58" t="s">
        <v>29</v>
      </c>
      <c r="D40" s="11" t="s">
        <v>276</v>
      </c>
      <c r="E40" s="10">
        <v>24</v>
      </c>
      <c r="F40" s="10" t="s">
        <v>11</v>
      </c>
      <c r="G40" s="12">
        <v>785</v>
      </c>
      <c r="H40" s="12">
        <v>1005</v>
      </c>
      <c r="I40" s="51" t="s">
        <v>300</v>
      </c>
      <c r="J40" s="52">
        <v>7</v>
      </c>
      <c r="K40" s="53">
        <f t="shared" si="2"/>
        <v>57.390299999999996</v>
      </c>
      <c r="L40" s="54"/>
      <c r="M40" s="3">
        <v>5.27</v>
      </c>
      <c r="N40" s="15">
        <v>10.89</v>
      </c>
    </row>
    <row r="41" spans="1:14" ht="20.25" customHeight="1" x14ac:dyDescent="0.15">
      <c r="A41" s="61" t="s">
        <v>2280</v>
      </c>
      <c r="B41" s="9" t="s">
        <v>2254</v>
      </c>
      <c r="C41" s="58" t="s">
        <v>29</v>
      </c>
      <c r="D41" s="11" t="s">
        <v>276</v>
      </c>
      <c r="E41" s="10">
        <v>24</v>
      </c>
      <c r="F41" s="10" t="s">
        <v>11</v>
      </c>
      <c r="G41" s="12">
        <v>2240</v>
      </c>
      <c r="H41" s="12">
        <v>1975</v>
      </c>
      <c r="I41" s="51" t="s">
        <v>2281</v>
      </c>
      <c r="J41" s="52">
        <v>42</v>
      </c>
      <c r="K41" s="53">
        <f t="shared" si="2"/>
        <v>852.4692</v>
      </c>
      <c r="L41" s="54"/>
      <c r="M41" s="3">
        <v>78.28</v>
      </c>
      <c r="N41" s="15">
        <v>10.89</v>
      </c>
    </row>
    <row r="42" spans="1:14" ht="20.25" customHeight="1" x14ac:dyDescent="0.15">
      <c r="A42" s="60" t="s">
        <v>2282</v>
      </c>
      <c r="B42" s="9" t="s">
        <v>1304</v>
      </c>
      <c r="C42" s="58" t="s">
        <v>29</v>
      </c>
      <c r="D42" s="11" t="s">
        <v>304</v>
      </c>
      <c r="E42" s="10">
        <v>28</v>
      </c>
      <c r="F42" s="10" t="s">
        <v>11</v>
      </c>
      <c r="G42" s="12">
        <v>1845</v>
      </c>
      <c r="H42" s="12">
        <v>1895</v>
      </c>
      <c r="I42" s="17">
        <v>4</v>
      </c>
      <c r="J42" s="18">
        <v>4</v>
      </c>
      <c r="K42" s="19">
        <f t="shared" si="2"/>
        <v>152.46</v>
      </c>
      <c r="L42" s="27"/>
      <c r="M42" s="3">
        <v>14</v>
      </c>
      <c r="N42" s="15">
        <v>10.89</v>
      </c>
    </row>
    <row r="43" spans="1:14" ht="20.25" customHeight="1" x14ac:dyDescent="0.15">
      <c r="A43" s="57"/>
      <c r="B43" s="28"/>
      <c r="C43" s="10"/>
      <c r="D43" s="29"/>
      <c r="E43" s="30"/>
      <c r="F43" s="30"/>
      <c r="G43" s="30"/>
      <c r="H43" s="30"/>
      <c r="I43" s="13"/>
      <c r="J43" s="48">
        <f>SUM(J35:J42)</f>
        <v>486</v>
      </c>
      <c r="K43" s="49">
        <f>SUM(K35:K42)</f>
        <v>5244.2972999999993</v>
      </c>
      <c r="L43" s="31"/>
      <c r="N43" s="32"/>
    </row>
    <row r="44" spans="1:14" ht="20.25" customHeight="1" thickBot="1" x14ac:dyDescent="0.2">
      <c r="A44" s="55"/>
      <c r="B44" s="33"/>
      <c r="C44" s="33"/>
      <c r="D44" s="33"/>
      <c r="E44" s="33"/>
      <c r="F44" s="33"/>
      <c r="G44" s="33"/>
      <c r="H44" s="33"/>
      <c r="I44" s="33"/>
      <c r="J44" s="34"/>
      <c r="K44" s="35"/>
      <c r="L44" s="36"/>
    </row>
    <row r="45" spans="1:14" ht="20.25" customHeight="1" thickBot="1" x14ac:dyDescent="0.2">
      <c r="A45" s="37" t="s">
        <v>19</v>
      </c>
      <c r="B45" s="38" t="s">
        <v>20</v>
      </c>
      <c r="C45" s="77" t="s">
        <v>21</v>
      </c>
      <c r="D45" s="79"/>
      <c r="E45" s="77" t="s">
        <v>22</v>
      </c>
      <c r="F45" s="78"/>
      <c r="G45" s="79"/>
      <c r="H45" s="85" t="s">
        <v>23</v>
      </c>
      <c r="I45" s="86"/>
      <c r="J45" s="77" t="s">
        <v>24</v>
      </c>
      <c r="K45" s="79"/>
      <c r="L45" s="39" t="s">
        <v>13</v>
      </c>
    </row>
    <row r="46" spans="1:14" ht="20.25" customHeight="1" thickBot="1" x14ac:dyDescent="0.2">
      <c r="A46" s="40">
        <f>SUMIF($C$8:$C$44,"U1",$J$8:$J$44)</f>
        <v>0</v>
      </c>
      <c r="B46" s="41">
        <f>SUMIF($C$8:$C$44,"U2",$J$8:$J$44)</f>
        <v>0</v>
      </c>
      <c r="C46" s="77">
        <f>SUMIF($C$8:$C$44,"U3-1",$J$8:$J$44)</f>
        <v>0</v>
      </c>
      <c r="D46" s="79"/>
      <c r="E46" s="77">
        <f>SUMIF($C$8:$C$44,"U3",$J$8:$J$44)</f>
        <v>807</v>
      </c>
      <c r="F46" s="78"/>
      <c r="G46" s="79"/>
      <c r="H46" s="77">
        <f>SUMIF($C$8:$C$44,"E5",$J$8:$J$44)</f>
        <v>0</v>
      </c>
      <c r="I46" s="79"/>
      <c r="J46" s="77">
        <f>SUM(A46:I46)</f>
        <v>807</v>
      </c>
      <c r="K46" s="79"/>
      <c r="L46" s="42"/>
    </row>
    <row r="47" spans="1:14" ht="20.25" customHeight="1" thickBot="1" x14ac:dyDescent="0.2">
      <c r="A47" s="43" t="s">
        <v>25</v>
      </c>
      <c r="B47" s="44" t="s">
        <v>26</v>
      </c>
      <c r="C47" s="75">
        <v>13876</v>
      </c>
      <c r="D47" s="76"/>
      <c r="E47" s="77" t="s">
        <v>27</v>
      </c>
      <c r="F47" s="78"/>
      <c r="G47" s="78"/>
      <c r="H47" s="78"/>
      <c r="I47" s="79"/>
      <c r="J47" s="80">
        <v>146744.37</v>
      </c>
      <c r="K47" s="81"/>
      <c r="L47" s="82"/>
    </row>
    <row r="49" spans="4:4" x14ac:dyDescent="0.15">
      <c r="D49" s="45"/>
    </row>
  </sheetData>
  <mergeCells count="26">
    <mergeCell ref="L2:L4"/>
    <mergeCell ref="A1:G3"/>
    <mergeCell ref="H1:H4"/>
    <mergeCell ref="I2:I4"/>
    <mergeCell ref="J2:J4"/>
    <mergeCell ref="K2:K4"/>
    <mergeCell ref="B5:G5"/>
    <mergeCell ref="A6:A7"/>
    <mergeCell ref="B6:B7"/>
    <mergeCell ref="C6:C7"/>
    <mergeCell ref="D6:D7"/>
    <mergeCell ref="E6:E7"/>
    <mergeCell ref="F6:F7"/>
    <mergeCell ref="G6:K6"/>
    <mergeCell ref="C47:D47"/>
    <mergeCell ref="E47:I47"/>
    <mergeCell ref="J47:L47"/>
    <mergeCell ref="L6:L7"/>
    <mergeCell ref="C45:D45"/>
    <mergeCell ref="E45:G45"/>
    <mergeCell ref="H45:I45"/>
    <mergeCell ref="J45:K45"/>
    <mergeCell ref="C46:D46"/>
    <mergeCell ref="E46:G46"/>
    <mergeCell ref="H46:I46"/>
    <mergeCell ref="J46:K46"/>
  </mergeCells>
  <phoneticPr fontId="2" type="noConversion"/>
  <printOptions horizontalCentered="1"/>
  <pageMargins left="0.39370078740157483" right="0.39370078740157483" top="0.55118110236220474" bottom="0" header="0.31496062992125984" footer="0.15748031496062992"/>
  <pageSetup paperSize="9" scale="84" orientation="portrait" r:id="rId1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CD7A90-ACF9-4C72-98BF-A51060F29CD3}">
  <dimension ref="A1:N47"/>
  <sheetViews>
    <sheetView view="pageBreakPreview" topLeftCell="A22" zoomScaleSheetLayoutView="100" workbookViewId="0">
      <selection activeCell="C13" sqref="C13:F14"/>
    </sheetView>
  </sheetViews>
  <sheetFormatPr defaultColWidth="8.88671875" defaultRowHeight="13.5" x14ac:dyDescent="0.15"/>
  <cols>
    <col min="1" max="1" width="8.44140625" style="3" customWidth="1"/>
    <col min="2" max="2" width="14.77734375" style="3" customWidth="1"/>
    <col min="3" max="3" width="4.109375" style="3" customWidth="1"/>
    <col min="4" max="4" width="15.21875" style="3" customWidth="1"/>
    <col min="5" max="5" width="4.44140625" style="3" customWidth="1"/>
    <col min="6" max="6" width="4" style="3" customWidth="1"/>
    <col min="7" max="7" width="5.5546875" style="3" customWidth="1"/>
    <col min="8" max="8" width="5.44140625" style="3" customWidth="1"/>
    <col min="9" max="9" width="7.88671875" style="3" customWidth="1"/>
    <col min="10" max="10" width="7.109375" style="3" customWidth="1"/>
    <col min="11" max="11" width="7.21875" style="3" customWidth="1"/>
    <col min="12" max="12" width="6.77734375" style="3" customWidth="1"/>
    <col min="13" max="16384" width="8.88671875" style="3"/>
  </cols>
  <sheetData>
    <row r="1" spans="1:14" ht="18.75" customHeight="1" x14ac:dyDescent="0.15">
      <c r="A1" s="101" t="s">
        <v>0</v>
      </c>
      <c r="B1" s="102"/>
      <c r="C1" s="102"/>
      <c r="D1" s="102"/>
      <c r="E1" s="102"/>
      <c r="F1" s="102"/>
      <c r="G1" s="103"/>
      <c r="H1" s="107" t="s">
        <v>1</v>
      </c>
      <c r="I1" s="1" t="s">
        <v>2</v>
      </c>
      <c r="J1" s="1" t="s">
        <v>2</v>
      </c>
      <c r="K1" s="1" t="s">
        <v>3</v>
      </c>
      <c r="L1" s="2" t="s">
        <v>4</v>
      </c>
    </row>
    <row r="2" spans="1:14" ht="13.5" customHeight="1" x14ac:dyDescent="0.15">
      <c r="A2" s="104"/>
      <c r="B2" s="105"/>
      <c r="C2" s="105"/>
      <c r="D2" s="105"/>
      <c r="E2" s="105"/>
      <c r="F2" s="105"/>
      <c r="G2" s="106"/>
      <c r="H2" s="108"/>
      <c r="I2" s="110"/>
      <c r="J2" s="110"/>
      <c r="K2" s="110"/>
      <c r="L2" s="98"/>
    </row>
    <row r="3" spans="1:14" ht="13.5" customHeight="1" x14ac:dyDescent="0.15">
      <c r="A3" s="104"/>
      <c r="B3" s="105"/>
      <c r="C3" s="105"/>
      <c r="D3" s="105"/>
      <c r="E3" s="105"/>
      <c r="F3" s="105"/>
      <c r="G3" s="106"/>
      <c r="H3" s="108"/>
      <c r="I3" s="108"/>
      <c r="J3" s="108"/>
      <c r="K3" s="108"/>
      <c r="L3" s="99"/>
    </row>
    <row r="4" spans="1:14" ht="33" customHeight="1" x14ac:dyDescent="0.15">
      <c r="A4" s="4"/>
      <c r="B4" s="5"/>
      <c r="C4" s="5"/>
      <c r="D4" s="5"/>
      <c r="E4" s="5"/>
      <c r="F4" s="5"/>
      <c r="G4" s="5"/>
      <c r="H4" s="109"/>
      <c r="I4" s="109"/>
      <c r="J4" s="109"/>
      <c r="K4" s="109"/>
      <c r="L4" s="100"/>
    </row>
    <row r="5" spans="1:14" ht="17.25" customHeight="1" x14ac:dyDescent="0.15">
      <c r="A5" s="6" t="s">
        <v>5</v>
      </c>
      <c r="B5" s="87">
        <v>46142</v>
      </c>
      <c r="C5" s="88"/>
      <c r="D5" s="88"/>
      <c r="E5" s="88"/>
      <c r="F5" s="88"/>
      <c r="G5" s="88"/>
      <c r="H5" s="5"/>
      <c r="I5" s="5"/>
      <c r="J5" s="5"/>
      <c r="K5" s="5"/>
      <c r="L5" s="7"/>
    </row>
    <row r="6" spans="1:14" ht="13.5" customHeight="1" x14ac:dyDescent="0.15">
      <c r="A6" s="89" t="s">
        <v>6</v>
      </c>
      <c r="B6" s="91" t="s">
        <v>7</v>
      </c>
      <c r="C6" s="91" t="s">
        <v>8</v>
      </c>
      <c r="D6" s="91" t="s">
        <v>9</v>
      </c>
      <c r="E6" s="93" t="s">
        <v>10</v>
      </c>
      <c r="F6" s="93" t="s">
        <v>11</v>
      </c>
      <c r="G6" s="95" t="s">
        <v>12</v>
      </c>
      <c r="H6" s="96"/>
      <c r="I6" s="96"/>
      <c r="J6" s="96"/>
      <c r="K6" s="97"/>
      <c r="L6" s="83" t="s">
        <v>13</v>
      </c>
    </row>
    <row r="7" spans="1:14" x14ac:dyDescent="0.15">
      <c r="A7" s="90"/>
      <c r="B7" s="92"/>
      <c r="C7" s="92"/>
      <c r="D7" s="92"/>
      <c r="E7" s="94"/>
      <c r="F7" s="94"/>
      <c r="G7" s="8" t="s">
        <v>14</v>
      </c>
      <c r="H7" s="8" t="s">
        <v>15</v>
      </c>
      <c r="I7" s="8" t="s">
        <v>16</v>
      </c>
      <c r="J7" s="8" t="s">
        <v>17</v>
      </c>
      <c r="K7" s="8" t="s">
        <v>18</v>
      </c>
      <c r="L7" s="84"/>
    </row>
    <row r="8" spans="1:14" s="15" customFormat="1" ht="20.25" customHeight="1" x14ac:dyDescent="0.15">
      <c r="A8" s="60" t="s">
        <v>1754</v>
      </c>
      <c r="B8" s="9" t="s">
        <v>80</v>
      </c>
      <c r="C8" s="58" t="s">
        <v>29</v>
      </c>
      <c r="D8" s="11" t="s">
        <v>195</v>
      </c>
      <c r="E8" s="10">
        <v>22</v>
      </c>
      <c r="F8" s="58"/>
      <c r="G8" s="12">
        <v>677</v>
      </c>
      <c r="H8" s="12">
        <v>2190</v>
      </c>
      <c r="I8" s="17">
        <v>346</v>
      </c>
      <c r="J8" s="18">
        <v>346</v>
      </c>
      <c r="K8" s="19">
        <f>+M8*N8</f>
        <v>5576.5512000000008</v>
      </c>
      <c r="L8" s="14"/>
      <c r="M8" s="15">
        <v>512.08000000000004</v>
      </c>
      <c r="N8" s="15">
        <v>10.89</v>
      </c>
    </row>
    <row r="9" spans="1:14" s="15" customFormat="1" ht="20.25" customHeight="1" x14ac:dyDescent="0.15">
      <c r="A9" s="60" t="s">
        <v>2283</v>
      </c>
      <c r="B9" s="9" t="s">
        <v>647</v>
      </c>
      <c r="C9" s="58" t="s">
        <v>29</v>
      </c>
      <c r="D9" s="11" t="s">
        <v>217</v>
      </c>
      <c r="E9" s="10">
        <v>22</v>
      </c>
      <c r="F9" s="58" t="s">
        <v>11</v>
      </c>
      <c r="G9" s="12">
        <v>2230</v>
      </c>
      <c r="H9" s="12">
        <v>1981</v>
      </c>
      <c r="I9" s="17" t="s">
        <v>396</v>
      </c>
      <c r="J9" s="18">
        <v>70</v>
      </c>
      <c r="K9" s="19">
        <f t="shared" ref="K9:K14" si="0">+M9*N9</f>
        <v>1548.558</v>
      </c>
      <c r="L9" s="14"/>
      <c r="M9" s="15">
        <v>142.19999999999999</v>
      </c>
      <c r="N9" s="15">
        <v>10.89</v>
      </c>
    </row>
    <row r="10" spans="1:14" s="15" customFormat="1" ht="20.25" customHeight="1" x14ac:dyDescent="0.15">
      <c r="A10" s="60" t="s">
        <v>2269</v>
      </c>
      <c r="B10" s="9" t="s">
        <v>2254</v>
      </c>
      <c r="C10" s="58" t="s">
        <v>29</v>
      </c>
      <c r="D10" s="11" t="s">
        <v>276</v>
      </c>
      <c r="E10" s="10">
        <v>24</v>
      </c>
      <c r="F10" s="58" t="s">
        <v>11</v>
      </c>
      <c r="G10" s="12">
        <v>480</v>
      </c>
      <c r="H10" s="12">
        <v>1505</v>
      </c>
      <c r="I10" s="17" t="s">
        <v>366</v>
      </c>
      <c r="J10" s="18">
        <v>4</v>
      </c>
      <c r="K10" s="19">
        <f t="shared" si="0"/>
        <v>21.562200000000001</v>
      </c>
      <c r="L10" s="14"/>
      <c r="M10" s="15">
        <v>1.98</v>
      </c>
      <c r="N10" s="15">
        <v>10.89</v>
      </c>
    </row>
    <row r="11" spans="1:14" s="15" customFormat="1" ht="20.25" customHeight="1" x14ac:dyDescent="0.15">
      <c r="A11" s="60" t="s">
        <v>2284</v>
      </c>
      <c r="B11" s="9" t="s">
        <v>2254</v>
      </c>
      <c r="C11" s="58" t="s">
        <v>29</v>
      </c>
      <c r="D11" s="11" t="s">
        <v>276</v>
      </c>
      <c r="E11" s="10">
        <v>24</v>
      </c>
      <c r="F11" s="58" t="s">
        <v>11</v>
      </c>
      <c r="G11" s="12">
        <v>1145</v>
      </c>
      <c r="H11" s="12">
        <v>2775</v>
      </c>
      <c r="I11" s="17" t="s">
        <v>2285</v>
      </c>
      <c r="J11" s="18">
        <v>32</v>
      </c>
      <c r="K11" s="19">
        <f t="shared" si="0"/>
        <v>614.84940000000006</v>
      </c>
      <c r="L11" s="14"/>
      <c r="M11" s="15">
        <v>56.46</v>
      </c>
      <c r="N11" s="15">
        <v>10.89</v>
      </c>
    </row>
    <row r="12" spans="1:14" s="15" customFormat="1" ht="20.25" customHeight="1" x14ac:dyDescent="0.15">
      <c r="A12" s="60" t="s">
        <v>2286</v>
      </c>
      <c r="B12" s="9" t="s">
        <v>2254</v>
      </c>
      <c r="C12" s="58" t="s">
        <v>29</v>
      </c>
      <c r="D12" s="11" t="s">
        <v>276</v>
      </c>
      <c r="E12" s="10">
        <v>24</v>
      </c>
      <c r="F12" s="58" t="s">
        <v>11</v>
      </c>
      <c r="G12" s="12">
        <v>1975</v>
      </c>
      <c r="H12" s="12">
        <v>2695</v>
      </c>
      <c r="I12" s="17" t="s">
        <v>2287</v>
      </c>
      <c r="J12" s="18">
        <v>37</v>
      </c>
      <c r="K12" s="19">
        <f t="shared" si="0"/>
        <v>480.9024</v>
      </c>
      <c r="L12" s="14"/>
      <c r="M12" s="15">
        <v>44.16</v>
      </c>
      <c r="N12" s="15">
        <v>10.89</v>
      </c>
    </row>
    <row r="13" spans="1:14" s="15" customFormat="1" ht="20.25" customHeight="1" x14ac:dyDescent="0.15">
      <c r="A13" s="60"/>
      <c r="B13" s="9"/>
      <c r="C13" s="58"/>
      <c r="D13" s="11"/>
      <c r="E13" s="10"/>
      <c r="F13" s="58"/>
      <c r="G13" s="50"/>
      <c r="H13" s="50"/>
      <c r="I13" s="17"/>
      <c r="J13" s="18"/>
      <c r="K13" s="19">
        <f t="shared" si="0"/>
        <v>0</v>
      </c>
      <c r="L13" s="20"/>
      <c r="N13" s="15">
        <v>10.89</v>
      </c>
    </row>
    <row r="14" spans="1:14" ht="20.25" customHeight="1" x14ac:dyDescent="0.15">
      <c r="A14" s="60"/>
      <c r="B14" s="9"/>
      <c r="C14" s="58"/>
      <c r="D14" s="11"/>
      <c r="E14" s="10"/>
      <c r="F14" s="58"/>
      <c r="G14" s="16"/>
      <c r="H14" s="16"/>
      <c r="I14" s="17"/>
      <c r="J14" s="18"/>
      <c r="K14" s="19">
        <f t="shared" si="0"/>
        <v>0</v>
      </c>
      <c r="L14" s="20"/>
      <c r="N14" s="15">
        <v>10.89</v>
      </c>
    </row>
    <row r="15" spans="1:14" ht="20.25" customHeight="1" thickBot="1" x14ac:dyDescent="0.2">
      <c r="A15" s="56"/>
      <c r="B15" s="21"/>
      <c r="C15" s="59"/>
      <c r="D15" s="22"/>
      <c r="E15" s="23"/>
      <c r="F15" s="23"/>
      <c r="G15" s="24"/>
      <c r="H15" s="24"/>
      <c r="I15" s="25"/>
      <c r="J15" s="46">
        <f>SUM(J8:J14)</f>
        <v>489</v>
      </c>
      <c r="K15" s="47">
        <f>SUM(K8:K14)</f>
        <v>8242.4232000000011</v>
      </c>
      <c r="L15" s="26"/>
    </row>
    <row r="16" spans="1:14" ht="20.25" customHeight="1" thickTop="1" x14ac:dyDescent="0.15">
      <c r="A16" s="60" t="s">
        <v>2274</v>
      </c>
      <c r="B16" s="9" t="s">
        <v>173</v>
      </c>
      <c r="C16" s="58" t="s">
        <v>29</v>
      </c>
      <c r="D16" s="11" t="s">
        <v>279</v>
      </c>
      <c r="E16" s="10">
        <v>25.76</v>
      </c>
      <c r="F16" s="10"/>
      <c r="G16" s="12">
        <v>1445</v>
      </c>
      <c r="H16" s="12">
        <v>690</v>
      </c>
      <c r="I16" s="17" t="s">
        <v>2288</v>
      </c>
      <c r="J16" s="18">
        <f>8+64</f>
        <v>72</v>
      </c>
      <c r="K16" s="19">
        <f t="shared" ref="K16:K36" si="1">+M16*N16</f>
        <v>454.76639999999998</v>
      </c>
      <c r="L16" s="54"/>
      <c r="M16" s="3">
        <v>41.76</v>
      </c>
      <c r="N16" s="15">
        <v>10.89</v>
      </c>
    </row>
    <row r="17" spans="1:14" ht="20.25" customHeight="1" x14ac:dyDescent="0.15">
      <c r="A17" s="60"/>
      <c r="B17" s="9"/>
      <c r="C17" s="58" t="s">
        <v>29</v>
      </c>
      <c r="D17" s="11" t="s">
        <v>188</v>
      </c>
      <c r="E17" s="10">
        <v>22</v>
      </c>
      <c r="F17" s="10"/>
      <c r="G17" s="12">
        <v>1440</v>
      </c>
      <c r="H17" s="12">
        <v>1238</v>
      </c>
      <c r="I17" s="17" t="s">
        <v>494</v>
      </c>
      <c r="J17" s="18">
        <v>12</v>
      </c>
      <c r="K17" s="19">
        <f t="shared" si="1"/>
        <v>143.74799999999999</v>
      </c>
      <c r="L17" s="54"/>
      <c r="M17" s="3">
        <v>13.2</v>
      </c>
      <c r="N17" s="15">
        <v>10.89</v>
      </c>
    </row>
    <row r="18" spans="1:14" ht="20.25" customHeight="1" x14ac:dyDescent="0.15">
      <c r="A18" s="61"/>
      <c r="B18" s="9"/>
      <c r="C18" s="58" t="s">
        <v>29</v>
      </c>
      <c r="D18" s="11" t="s">
        <v>364</v>
      </c>
      <c r="E18" s="10">
        <v>22</v>
      </c>
      <c r="F18" s="10"/>
      <c r="G18" s="12">
        <v>1440</v>
      </c>
      <c r="H18" s="12">
        <v>1238</v>
      </c>
      <c r="I18" s="17" t="s">
        <v>494</v>
      </c>
      <c r="J18" s="18">
        <v>12</v>
      </c>
      <c r="K18" s="19">
        <f t="shared" si="1"/>
        <v>143.74799999999999</v>
      </c>
      <c r="L18" s="54"/>
      <c r="M18" s="3">
        <v>13.2</v>
      </c>
      <c r="N18" s="15">
        <v>10.89</v>
      </c>
    </row>
    <row r="19" spans="1:14" ht="20.25" customHeight="1" x14ac:dyDescent="0.15">
      <c r="A19" s="61"/>
      <c r="B19" s="9"/>
      <c r="C19" s="58" t="s">
        <v>29</v>
      </c>
      <c r="D19" s="11" t="s">
        <v>280</v>
      </c>
      <c r="E19" s="10">
        <v>46.76</v>
      </c>
      <c r="F19" s="10" t="s">
        <v>11</v>
      </c>
      <c r="G19" s="12">
        <v>886</v>
      </c>
      <c r="H19" s="12">
        <v>508</v>
      </c>
      <c r="I19" s="17">
        <v>8</v>
      </c>
      <c r="J19" s="18">
        <v>8</v>
      </c>
      <c r="K19" s="19">
        <f t="shared" si="1"/>
        <v>39.204000000000001</v>
      </c>
      <c r="L19" s="54"/>
      <c r="M19" s="3">
        <v>3.6</v>
      </c>
      <c r="N19" s="15">
        <v>10.89</v>
      </c>
    </row>
    <row r="20" spans="1:14" ht="20.25" customHeight="1" x14ac:dyDescent="0.15">
      <c r="A20" s="61" t="s">
        <v>2276</v>
      </c>
      <c r="B20" s="9" t="s">
        <v>173</v>
      </c>
      <c r="C20" s="58" t="s">
        <v>29</v>
      </c>
      <c r="D20" s="11" t="s">
        <v>279</v>
      </c>
      <c r="E20" s="10">
        <v>25.76</v>
      </c>
      <c r="F20" s="10"/>
      <c r="G20" s="12">
        <v>952</v>
      </c>
      <c r="H20" s="12">
        <v>690</v>
      </c>
      <c r="I20" s="17" t="s">
        <v>1855</v>
      </c>
      <c r="J20" s="18">
        <f>28+8</f>
        <v>36</v>
      </c>
      <c r="K20" s="19">
        <f t="shared" si="1"/>
        <v>201.24720000000002</v>
      </c>
      <c r="L20" s="54"/>
      <c r="M20" s="3">
        <v>18.48</v>
      </c>
      <c r="N20" s="15">
        <v>10.89</v>
      </c>
    </row>
    <row r="21" spans="1:14" ht="20.25" customHeight="1" x14ac:dyDescent="0.15">
      <c r="A21" s="61"/>
      <c r="B21" s="9"/>
      <c r="C21" s="58" t="s">
        <v>29</v>
      </c>
      <c r="D21" s="11" t="s">
        <v>364</v>
      </c>
      <c r="E21" s="10">
        <v>22</v>
      </c>
      <c r="F21" s="10"/>
      <c r="G21" s="12">
        <v>1967</v>
      </c>
      <c r="H21" s="12">
        <v>1238</v>
      </c>
      <c r="I21" s="51" t="s">
        <v>252</v>
      </c>
      <c r="J21" s="52">
        <v>8</v>
      </c>
      <c r="K21" s="53">
        <f t="shared" si="1"/>
        <v>139.39200000000002</v>
      </c>
      <c r="L21" s="54"/>
      <c r="M21" s="3">
        <v>12.8</v>
      </c>
      <c r="N21" s="15">
        <v>10.89</v>
      </c>
    </row>
    <row r="22" spans="1:14" ht="20.25" customHeight="1" x14ac:dyDescent="0.15">
      <c r="A22" s="61"/>
      <c r="B22" s="9"/>
      <c r="C22" s="58" t="s">
        <v>29</v>
      </c>
      <c r="D22" s="11" t="s">
        <v>280</v>
      </c>
      <c r="E22" s="10">
        <v>46.76</v>
      </c>
      <c r="F22" s="10" t="s">
        <v>11</v>
      </c>
      <c r="G22" s="12">
        <v>786</v>
      </c>
      <c r="H22" s="12">
        <v>508</v>
      </c>
      <c r="I22" s="51">
        <v>4</v>
      </c>
      <c r="J22" s="52">
        <v>4</v>
      </c>
      <c r="K22" s="53">
        <f t="shared" si="1"/>
        <v>17.424000000000003</v>
      </c>
      <c r="L22" s="54"/>
      <c r="M22" s="3">
        <v>1.6</v>
      </c>
      <c r="N22" s="15">
        <v>10.89</v>
      </c>
    </row>
    <row r="23" spans="1:14" ht="20.25" customHeight="1" x14ac:dyDescent="0.15">
      <c r="A23" s="60" t="s">
        <v>2277</v>
      </c>
      <c r="B23" s="9" t="s">
        <v>173</v>
      </c>
      <c r="C23" s="58" t="s">
        <v>29</v>
      </c>
      <c r="D23" s="11" t="s">
        <v>279</v>
      </c>
      <c r="E23" s="10">
        <v>25.76</v>
      </c>
      <c r="F23" s="10"/>
      <c r="G23" s="12">
        <v>800</v>
      </c>
      <c r="H23" s="12">
        <v>690</v>
      </c>
      <c r="I23" s="17" t="s">
        <v>1857</v>
      </c>
      <c r="J23" s="18">
        <v>28</v>
      </c>
      <c r="K23" s="19">
        <f t="shared" si="1"/>
        <v>145.49039999999999</v>
      </c>
      <c r="L23" s="27"/>
      <c r="M23" s="3">
        <v>13.36</v>
      </c>
      <c r="N23" s="15">
        <v>10.89</v>
      </c>
    </row>
    <row r="24" spans="1:14" ht="20.25" customHeight="1" x14ac:dyDescent="0.15">
      <c r="A24" s="60"/>
      <c r="B24" s="9"/>
      <c r="C24" s="58" t="s">
        <v>29</v>
      </c>
      <c r="D24" s="11" t="s">
        <v>188</v>
      </c>
      <c r="E24" s="10">
        <v>22</v>
      </c>
      <c r="F24" s="10"/>
      <c r="G24" s="12">
        <v>1665</v>
      </c>
      <c r="H24" s="12">
        <v>1238</v>
      </c>
      <c r="I24" s="17" t="s">
        <v>252</v>
      </c>
      <c r="J24" s="18">
        <v>8</v>
      </c>
      <c r="K24" s="19">
        <f t="shared" si="1"/>
        <v>122.83920000000001</v>
      </c>
      <c r="L24" s="27"/>
      <c r="M24" s="3">
        <v>11.28</v>
      </c>
      <c r="N24" s="15">
        <v>10.89</v>
      </c>
    </row>
    <row r="25" spans="1:14" ht="20.25" customHeight="1" x14ac:dyDescent="0.15">
      <c r="A25" s="60"/>
      <c r="B25" s="9"/>
      <c r="C25" s="58" t="s">
        <v>29</v>
      </c>
      <c r="D25" s="11" t="s">
        <v>280</v>
      </c>
      <c r="E25" s="10">
        <v>46.76</v>
      </c>
      <c r="F25" s="10" t="s">
        <v>11</v>
      </c>
      <c r="G25" s="12">
        <v>886</v>
      </c>
      <c r="H25" s="12">
        <v>508</v>
      </c>
      <c r="I25" s="17">
        <v>4</v>
      </c>
      <c r="J25" s="18">
        <v>4</v>
      </c>
      <c r="K25" s="19">
        <f t="shared" si="1"/>
        <v>19.602</v>
      </c>
      <c r="L25" s="27"/>
      <c r="M25" s="3">
        <v>1.8</v>
      </c>
      <c r="N25" s="15">
        <v>10.89</v>
      </c>
    </row>
    <row r="26" spans="1:14" ht="20.25" customHeight="1" x14ac:dyDescent="0.15">
      <c r="A26" s="60" t="s">
        <v>2278</v>
      </c>
      <c r="B26" s="9" t="s">
        <v>173</v>
      </c>
      <c r="C26" s="58" t="s">
        <v>29</v>
      </c>
      <c r="D26" s="11" t="s">
        <v>279</v>
      </c>
      <c r="E26" s="10">
        <v>25.76</v>
      </c>
      <c r="F26" s="10"/>
      <c r="G26" s="12">
        <v>1445</v>
      </c>
      <c r="H26" s="12">
        <v>690</v>
      </c>
      <c r="I26" s="17" t="s">
        <v>2058</v>
      </c>
      <c r="J26" s="18">
        <v>28</v>
      </c>
      <c r="K26" s="19">
        <f t="shared" si="1"/>
        <v>181.20960000000002</v>
      </c>
      <c r="L26" s="27"/>
      <c r="M26" s="3">
        <v>16.64</v>
      </c>
      <c r="N26" s="15">
        <v>10.89</v>
      </c>
    </row>
    <row r="27" spans="1:14" ht="20.25" customHeight="1" x14ac:dyDescent="0.15">
      <c r="A27" s="60"/>
      <c r="B27" s="9"/>
      <c r="C27" s="58" t="s">
        <v>29</v>
      </c>
      <c r="D27" s="11" t="s">
        <v>188</v>
      </c>
      <c r="E27" s="10">
        <v>22</v>
      </c>
      <c r="F27" s="10"/>
      <c r="G27" s="12">
        <v>1440</v>
      </c>
      <c r="H27" s="12">
        <v>1238</v>
      </c>
      <c r="I27" s="17" t="s">
        <v>494</v>
      </c>
      <c r="J27" s="18">
        <v>12</v>
      </c>
      <c r="K27" s="19">
        <f t="shared" si="1"/>
        <v>143.74799999999999</v>
      </c>
      <c r="L27" s="27"/>
      <c r="M27" s="3">
        <v>13.2</v>
      </c>
      <c r="N27" s="15">
        <v>10.89</v>
      </c>
    </row>
    <row r="28" spans="1:14" ht="20.25" customHeight="1" x14ac:dyDescent="0.15">
      <c r="A28" s="60"/>
      <c r="B28" s="9"/>
      <c r="C28" s="58" t="s">
        <v>29</v>
      </c>
      <c r="D28" s="11" t="s">
        <v>195</v>
      </c>
      <c r="E28" s="10">
        <v>22</v>
      </c>
      <c r="F28" s="10"/>
      <c r="G28" s="12">
        <v>304</v>
      </c>
      <c r="H28" s="12">
        <v>967</v>
      </c>
      <c r="I28" s="17" t="s">
        <v>991</v>
      </c>
      <c r="J28" s="18">
        <v>20</v>
      </c>
      <c r="K28" s="19">
        <f>+M28*N28</f>
        <v>63.161999999999999</v>
      </c>
      <c r="L28" s="27"/>
      <c r="M28" s="3">
        <v>5.8</v>
      </c>
      <c r="N28" s="15">
        <v>10.89</v>
      </c>
    </row>
    <row r="29" spans="1:14" ht="20.25" customHeight="1" x14ac:dyDescent="0.15">
      <c r="A29" s="60"/>
      <c r="B29" s="9"/>
      <c r="C29" s="58" t="s">
        <v>29</v>
      </c>
      <c r="D29" s="11" t="s">
        <v>280</v>
      </c>
      <c r="E29" s="10">
        <v>46.76</v>
      </c>
      <c r="F29" s="10" t="s">
        <v>11</v>
      </c>
      <c r="G29" s="12">
        <v>886</v>
      </c>
      <c r="H29" s="12">
        <v>508</v>
      </c>
      <c r="I29" s="17">
        <v>4</v>
      </c>
      <c r="J29" s="18">
        <v>4</v>
      </c>
      <c r="K29" s="19">
        <f t="shared" si="1"/>
        <v>19.602</v>
      </c>
      <c r="L29" s="27"/>
      <c r="M29" s="3">
        <v>1.8</v>
      </c>
      <c r="N29" s="15">
        <v>10.89</v>
      </c>
    </row>
    <row r="30" spans="1:14" s="15" customFormat="1" ht="20.25" customHeight="1" x14ac:dyDescent="0.15">
      <c r="A30" s="60" t="s">
        <v>2289</v>
      </c>
      <c r="B30" s="9" t="s">
        <v>647</v>
      </c>
      <c r="C30" s="58" t="s">
        <v>29</v>
      </c>
      <c r="D30" s="11" t="s">
        <v>217</v>
      </c>
      <c r="E30" s="10">
        <v>22</v>
      </c>
      <c r="F30" s="58" t="s">
        <v>11</v>
      </c>
      <c r="G30" s="12">
        <v>1730</v>
      </c>
      <c r="H30" s="15">
        <v>1981</v>
      </c>
      <c r="I30" s="17" t="s">
        <v>2290</v>
      </c>
      <c r="J30" s="18">
        <v>220</v>
      </c>
      <c r="K30" s="19">
        <f>+M30*N30</f>
        <v>3443.4180000000001</v>
      </c>
      <c r="L30" s="14"/>
      <c r="M30" s="15">
        <v>316.2</v>
      </c>
      <c r="N30" s="15">
        <v>10.89</v>
      </c>
    </row>
    <row r="31" spans="1:14" s="15" customFormat="1" ht="20.25" customHeight="1" x14ac:dyDescent="0.15">
      <c r="A31" s="60"/>
      <c r="B31" s="9"/>
      <c r="C31" s="58" t="s">
        <v>29</v>
      </c>
      <c r="D31" s="11" t="s">
        <v>648</v>
      </c>
      <c r="E31" s="10">
        <v>24</v>
      </c>
      <c r="F31" s="58"/>
      <c r="G31" s="12">
        <v>720</v>
      </c>
      <c r="H31" s="12">
        <v>1981</v>
      </c>
      <c r="I31" s="17" t="s">
        <v>2291</v>
      </c>
      <c r="J31" s="18">
        <v>30</v>
      </c>
      <c r="K31" s="19">
        <f>+M31*N31</f>
        <v>255.91500000000002</v>
      </c>
      <c r="L31" s="20"/>
      <c r="M31" s="15">
        <v>23.5</v>
      </c>
      <c r="N31" s="15">
        <v>10.89</v>
      </c>
    </row>
    <row r="32" spans="1:14" s="15" customFormat="1" ht="20.25" customHeight="1" x14ac:dyDescent="0.15">
      <c r="A32" s="60" t="s">
        <v>2292</v>
      </c>
      <c r="B32" s="9" t="s">
        <v>56</v>
      </c>
      <c r="C32" s="58" t="s">
        <v>29</v>
      </c>
      <c r="D32" s="11" t="s">
        <v>279</v>
      </c>
      <c r="E32" s="10">
        <v>25.76</v>
      </c>
      <c r="F32" s="58" t="s">
        <v>11</v>
      </c>
      <c r="G32" s="12">
        <v>1724</v>
      </c>
      <c r="H32" s="12">
        <v>1738</v>
      </c>
      <c r="I32" s="17" t="s">
        <v>2293</v>
      </c>
      <c r="J32" s="18">
        <v>3</v>
      </c>
      <c r="K32" s="19">
        <f>+M32*N32</f>
        <v>74.269800000000004</v>
      </c>
      <c r="L32" s="20"/>
      <c r="M32" s="15">
        <v>6.82</v>
      </c>
      <c r="N32" s="15">
        <v>10.89</v>
      </c>
    </row>
    <row r="33" spans="1:14" s="15" customFormat="1" ht="20.25" customHeight="1" x14ac:dyDescent="0.15">
      <c r="A33" s="60"/>
      <c r="B33" s="9"/>
      <c r="C33" s="58" t="s">
        <v>29</v>
      </c>
      <c r="D33" s="11" t="s">
        <v>195</v>
      </c>
      <c r="E33" s="10">
        <v>22</v>
      </c>
      <c r="F33" s="58" t="s">
        <v>11</v>
      </c>
      <c r="G33" s="12">
        <v>2024</v>
      </c>
      <c r="H33" s="12">
        <v>1733</v>
      </c>
      <c r="I33" s="17" t="s">
        <v>2294</v>
      </c>
      <c r="J33" s="18">
        <v>7</v>
      </c>
      <c r="K33" s="19">
        <f>+M33*N33</f>
        <v>222.15600000000001</v>
      </c>
      <c r="L33" s="20"/>
      <c r="M33" s="15">
        <v>20.399999999999999</v>
      </c>
      <c r="N33" s="15">
        <v>10.89</v>
      </c>
    </row>
    <row r="34" spans="1:14" s="15" customFormat="1" ht="20.25" customHeight="1" x14ac:dyDescent="0.15">
      <c r="A34" s="60" t="s">
        <v>2295</v>
      </c>
      <c r="B34" s="9" t="s">
        <v>2296</v>
      </c>
      <c r="C34" s="58" t="s">
        <v>29</v>
      </c>
      <c r="D34" s="11" t="s">
        <v>2173</v>
      </c>
      <c r="E34" s="10">
        <v>24</v>
      </c>
      <c r="F34" s="58" t="s">
        <v>11</v>
      </c>
      <c r="G34" s="12">
        <v>450</v>
      </c>
      <c r="H34" s="12">
        <v>771</v>
      </c>
      <c r="I34" s="17" t="s">
        <v>2299</v>
      </c>
      <c r="J34" s="18">
        <v>12</v>
      </c>
      <c r="K34" s="19">
        <f>+M34*N34</f>
        <v>59.241600000000005</v>
      </c>
      <c r="L34" s="14"/>
      <c r="M34" s="15">
        <v>5.44</v>
      </c>
      <c r="N34" s="15">
        <v>10.89</v>
      </c>
    </row>
    <row r="35" spans="1:14" ht="20.25" customHeight="1" x14ac:dyDescent="0.15">
      <c r="A35" s="60"/>
      <c r="B35" s="9"/>
      <c r="C35" s="58" t="s">
        <v>29</v>
      </c>
      <c r="D35" s="11" t="s">
        <v>2297</v>
      </c>
      <c r="E35" s="10">
        <v>24</v>
      </c>
      <c r="F35" s="10"/>
      <c r="G35" s="12">
        <v>170</v>
      </c>
      <c r="H35" s="12">
        <v>381</v>
      </c>
      <c r="I35" s="17">
        <v>4</v>
      </c>
      <c r="J35" s="18">
        <v>4</v>
      </c>
      <c r="K35" s="19">
        <f t="shared" si="1"/>
        <v>12.196800000000001</v>
      </c>
      <c r="L35" s="27"/>
      <c r="M35" s="3">
        <v>1.1200000000000001</v>
      </c>
      <c r="N35" s="15">
        <v>10.89</v>
      </c>
    </row>
    <row r="36" spans="1:14" ht="20.25" customHeight="1" x14ac:dyDescent="0.15">
      <c r="A36" s="60"/>
      <c r="B36" s="9"/>
      <c r="C36" s="58" t="s">
        <v>29</v>
      </c>
      <c r="D36" s="11" t="s">
        <v>531</v>
      </c>
      <c r="E36" s="10">
        <v>24</v>
      </c>
      <c r="F36" s="10" t="s">
        <v>11</v>
      </c>
      <c r="G36" s="12">
        <v>450</v>
      </c>
      <c r="H36" s="12">
        <v>771</v>
      </c>
      <c r="I36" s="17" t="s">
        <v>2300</v>
      </c>
      <c r="J36" s="18">
        <v>19</v>
      </c>
      <c r="K36" s="19">
        <f t="shared" si="1"/>
        <v>151.37100000000001</v>
      </c>
      <c r="L36" s="27"/>
      <c r="M36" s="3">
        <v>13.9</v>
      </c>
      <c r="N36" s="15">
        <v>10.89</v>
      </c>
    </row>
    <row r="37" spans="1:14" s="15" customFormat="1" ht="20.25" customHeight="1" x14ac:dyDescent="0.15">
      <c r="A37" s="60"/>
      <c r="B37" s="9"/>
      <c r="C37" s="58" t="s">
        <v>29</v>
      </c>
      <c r="D37" s="11" t="s">
        <v>2298</v>
      </c>
      <c r="E37" s="10">
        <v>24</v>
      </c>
      <c r="F37" s="58"/>
      <c r="G37" s="12">
        <v>170</v>
      </c>
      <c r="H37" s="12">
        <v>381</v>
      </c>
      <c r="I37" s="17">
        <v>4</v>
      </c>
      <c r="J37" s="18">
        <v>4</v>
      </c>
      <c r="K37" s="19">
        <f>+M37*N37</f>
        <v>12.196800000000001</v>
      </c>
      <c r="L37" s="20"/>
      <c r="M37" s="15">
        <v>1.1200000000000001</v>
      </c>
      <c r="N37" s="15">
        <v>10.89</v>
      </c>
    </row>
    <row r="38" spans="1:14" s="15" customFormat="1" ht="20.25" customHeight="1" x14ac:dyDescent="0.15">
      <c r="A38" s="60" t="s">
        <v>2301</v>
      </c>
      <c r="B38" s="9" t="s">
        <v>1080</v>
      </c>
      <c r="C38" s="58" t="s">
        <v>29</v>
      </c>
      <c r="D38" s="11" t="s">
        <v>2252</v>
      </c>
      <c r="E38" s="10">
        <v>24</v>
      </c>
      <c r="F38" s="58" t="s">
        <v>11</v>
      </c>
      <c r="G38" s="12">
        <v>1445</v>
      </c>
      <c r="H38" s="12">
        <v>740</v>
      </c>
      <c r="I38" s="17">
        <v>2</v>
      </c>
      <c r="J38" s="18">
        <v>2</v>
      </c>
      <c r="K38" s="19">
        <f>+M38*N38</f>
        <v>23.304600000000004</v>
      </c>
      <c r="L38" s="20"/>
      <c r="M38" s="15">
        <v>2.14</v>
      </c>
      <c r="N38" s="15">
        <v>10.89</v>
      </c>
    </row>
    <row r="39" spans="1:14" s="15" customFormat="1" ht="20.25" customHeight="1" x14ac:dyDescent="0.15">
      <c r="A39" s="60"/>
      <c r="B39" s="9"/>
      <c r="C39" s="58" t="s">
        <v>29</v>
      </c>
      <c r="D39" s="11" t="s">
        <v>276</v>
      </c>
      <c r="E39" s="10">
        <v>24</v>
      </c>
      <c r="F39" s="58" t="s">
        <v>11</v>
      </c>
      <c r="G39" s="12">
        <v>1025</v>
      </c>
      <c r="H39" s="12">
        <v>2200</v>
      </c>
      <c r="I39" s="17">
        <v>1</v>
      </c>
      <c r="J39" s="18">
        <v>1</v>
      </c>
      <c r="K39" s="19">
        <f>+M39*N39</f>
        <v>24.6114</v>
      </c>
      <c r="L39" s="20"/>
      <c r="M39" s="15">
        <v>2.2599999999999998</v>
      </c>
      <c r="N39" s="15">
        <v>10.89</v>
      </c>
    </row>
    <row r="40" spans="1:14" s="15" customFormat="1" ht="20.25" customHeight="1" x14ac:dyDescent="0.15">
      <c r="A40" s="60" t="s">
        <v>2302</v>
      </c>
      <c r="B40" s="9" t="s">
        <v>2303</v>
      </c>
      <c r="C40" s="58" t="s">
        <v>29</v>
      </c>
      <c r="D40" s="11" t="s">
        <v>2304</v>
      </c>
      <c r="E40" s="10">
        <v>27</v>
      </c>
      <c r="F40" s="58" t="s">
        <v>11</v>
      </c>
      <c r="G40" s="50">
        <v>1305</v>
      </c>
      <c r="H40" s="50">
        <v>835</v>
      </c>
      <c r="I40" s="17" t="s">
        <v>2305</v>
      </c>
      <c r="J40" s="18">
        <v>19</v>
      </c>
      <c r="K40" s="19">
        <f>+M40*N40</f>
        <v>107.91990000000001</v>
      </c>
      <c r="L40" s="20"/>
      <c r="M40" s="15">
        <v>9.91</v>
      </c>
      <c r="N40" s="15">
        <v>10.89</v>
      </c>
    </row>
    <row r="41" spans="1:14" ht="20.25" customHeight="1" x14ac:dyDescent="0.15">
      <c r="A41" s="57"/>
      <c r="B41" s="28"/>
      <c r="C41" s="10"/>
      <c r="D41" s="29"/>
      <c r="E41" s="30"/>
      <c r="F41" s="30"/>
      <c r="G41" s="30"/>
      <c r="H41" s="30"/>
      <c r="I41" s="13"/>
      <c r="J41" s="48">
        <f>SUM(J16:J40)</f>
        <v>577</v>
      </c>
      <c r="K41" s="49">
        <f>SUM(K16:K36)</f>
        <v>6053.7510000000002</v>
      </c>
      <c r="L41" s="31"/>
      <c r="N41" s="32"/>
    </row>
    <row r="42" spans="1:14" ht="20.25" customHeight="1" thickBot="1" x14ac:dyDescent="0.2">
      <c r="A42" s="55"/>
      <c r="B42" s="33"/>
      <c r="C42" s="33"/>
      <c r="D42" s="33"/>
      <c r="E42" s="33"/>
      <c r="F42" s="33"/>
      <c r="G42" s="33"/>
      <c r="H42" s="33"/>
      <c r="I42" s="33"/>
      <c r="J42" s="34"/>
      <c r="K42" s="35"/>
      <c r="L42" s="36"/>
    </row>
    <row r="43" spans="1:14" ht="20.25" customHeight="1" thickBot="1" x14ac:dyDescent="0.2">
      <c r="A43" s="37" t="s">
        <v>19</v>
      </c>
      <c r="B43" s="38" t="s">
        <v>20</v>
      </c>
      <c r="C43" s="77" t="s">
        <v>21</v>
      </c>
      <c r="D43" s="79"/>
      <c r="E43" s="77" t="s">
        <v>22</v>
      </c>
      <c r="F43" s="78"/>
      <c r="G43" s="79"/>
      <c r="H43" s="85" t="s">
        <v>23</v>
      </c>
      <c r="I43" s="86"/>
      <c r="J43" s="77" t="s">
        <v>24</v>
      </c>
      <c r="K43" s="79"/>
      <c r="L43" s="39" t="s">
        <v>13</v>
      </c>
    </row>
    <row r="44" spans="1:14" ht="20.25" customHeight="1" thickBot="1" x14ac:dyDescent="0.2">
      <c r="A44" s="40">
        <f>SUMIF($C$8:$C$42,"U1",$J$8:$J$42)</f>
        <v>0</v>
      </c>
      <c r="B44" s="41">
        <f>SUMIF($C$8:$C$42,"U2",$J$8:$J$42)</f>
        <v>0</v>
      </c>
      <c r="C44" s="77">
        <f>SUMIF($C$8:$C$42,"U3-1",$J$8:$J$42)</f>
        <v>0</v>
      </c>
      <c r="D44" s="79"/>
      <c r="E44" s="77">
        <f>SUMIF($C$8:$C$42,"U3",$J$8:$J$42)</f>
        <v>1066</v>
      </c>
      <c r="F44" s="78"/>
      <c r="G44" s="79"/>
      <c r="H44" s="77">
        <f>SUMIF($C$8:$C$42,"E5",$J$8:$J$42)</f>
        <v>0</v>
      </c>
      <c r="I44" s="79"/>
      <c r="J44" s="77">
        <f>SUM(A44:I44)</f>
        <v>1066</v>
      </c>
      <c r="K44" s="79"/>
      <c r="L44" s="42"/>
    </row>
    <row r="45" spans="1:14" ht="20.25" customHeight="1" thickBot="1" x14ac:dyDescent="0.2">
      <c r="A45" s="43" t="s">
        <v>25</v>
      </c>
      <c r="B45" s="44" t="s">
        <v>26</v>
      </c>
      <c r="C45" s="75">
        <v>13876</v>
      </c>
      <c r="D45" s="76"/>
      <c r="E45" s="77" t="s">
        <v>27</v>
      </c>
      <c r="F45" s="78"/>
      <c r="G45" s="78"/>
      <c r="H45" s="78"/>
      <c r="I45" s="79"/>
      <c r="J45" s="80">
        <v>146744.37</v>
      </c>
      <c r="K45" s="81"/>
      <c r="L45" s="82"/>
    </row>
    <row r="47" spans="1:14" x14ac:dyDescent="0.15">
      <c r="D47" s="45"/>
    </row>
  </sheetData>
  <mergeCells count="26">
    <mergeCell ref="L2:L4"/>
    <mergeCell ref="A1:G3"/>
    <mergeCell ref="H1:H4"/>
    <mergeCell ref="I2:I4"/>
    <mergeCell ref="J2:J4"/>
    <mergeCell ref="K2:K4"/>
    <mergeCell ref="B5:G5"/>
    <mergeCell ref="A6:A7"/>
    <mergeCell ref="B6:B7"/>
    <mergeCell ref="C6:C7"/>
    <mergeCell ref="D6:D7"/>
    <mergeCell ref="E6:E7"/>
    <mergeCell ref="F6:F7"/>
    <mergeCell ref="G6:K6"/>
    <mergeCell ref="C45:D45"/>
    <mergeCell ref="E45:I45"/>
    <mergeCell ref="J45:L45"/>
    <mergeCell ref="L6:L7"/>
    <mergeCell ref="C43:D43"/>
    <mergeCell ref="E43:G43"/>
    <mergeCell ref="H43:I43"/>
    <mergeCell ref="J43:K43"/>
    <mergeCell ref="C44:D44"/>
    <mergeCell ref="E44:G44"/>
    <mergeCell ref="H44:I44"/>
    <mergeCell ref="J44:K44"/>
  </mergeCells>
  <phoneticPr fontId="2" type="noConversion"/>
  <printOptions horizontalCentered="1"/>
  <pageMargins left="0.39370078740157483" right="0.39370078740157483" top="0.74803149606299213" bottom="0.19685039370078741" header="0.31496062992125984" footer="0.15748031496062992"/>
  <pageSetup paperSize="9" scale="84" orientation="portrait" r:id="rId1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10524F-177D-454C-9398-68FF6D9D7094}">
  <dimension ref="A1:N47"/>
  <sheetViews>
    <sheetView view="pageBreakPreview" zoomScaleSheetLayoutView="100" workbookViewId="0">
      <selection activeCell="B8" sqref="B8:F9"/>
    </sheetView>
  </sheetViews>
  <sheetFormatPr defaultColWidth="8.88671875" defaultRowHeight="13.5" x14ac:dyDescent="0.15"/>
  <cols>
    <col min="1" max="1" width="8.44140625" style="3" customWidth="1"/>
    <col min="2" max="2" width="14.77734375" style="3" customWidth="1"/>
    <col min="3" max="3" width="4.109375" style="3" customWidth="1"/>
    <col min="4" max="4" width="15.21875" style="3" customWidth="1"/>
    <col min="5" max="5" width="4.44140625" style="3" customWidth="1"/>
    <col min="6" max="6" width="4" style="3" customWidth="1"/>
    <col min="7" max="7" width="5.5546875" style="3" customWidth="1"/>
    <col min="8" max="8" width="5.44140625" style="3" customWidth="1"/>
    <col min="9" max="9" width="7.88671875" style="3" customWidth="1"/>
    <col min="10" max="10" width="7.109375" style="3" customWidth="1"/>
    <col min="11" max="11" width="7.21875" style="3" customWidth="1"/>
    <col min="12" max="12" width="6.77734375" style="3" customWidth="1"/>
    <col min="13" max="16384" width="8.88671875" style="3"/>
  </cols>
  <sheetData>
    <row r="1" spans="1:14" ht="18.75" customHeight="1" x14ac:dyDescent="0.15">
      <c r="A1" s="101" t="s">
        <v>0</v>
      </c>
      <c r="B1" s="102"/>
      <c r="C1" s="102"/>
      <c r="D1" s="102"/>
      <c r="E1" s="102"/>
      <c r="F1" s="102"/>
      <c r="G1" s="103"/>
      <c r="H1" s="107" t="s">
        <v>1</v>
      </c>
      <c r="I1" s="1" t="s">
        <v>2</v>
      </c>
      <c r="J1" s="1" t="s">
        <v>2</v>
      </c>
      <c r="K1" s="1" t="s">
        <v>3</v>
      </c>
      <c r="L1" s="2" t="s">
        <v>4</v>
      </c>
    </row>
    <row r="2" spans="1:14" ht="13.5" customHeight="1" x14ac:dyDescent="0.15">
      <c r="A2" s="104"/>
      <c r="B2" s="105"/>
      <c r="C2" s="105"/>
      <c r="D2" s="105"/>
      <c r="E2" s="105"/>
      <c r="F2" s="105"/>
      <c r="G2" s="106"/>
      <c r="H2" s="108"/>
      <c r="I2" s="110"/>
      <c r="J2" s="110"/>
      <c r="K2" s="110"/>
      <c r="L2" s="98"/>
    </row>
    <row r="3" spans="1:14" ht="13.5" customHeight="1" x14ac:dyDescent="0.15">
      <c r="A3" s="104"/>
      <c r="B3" s="105"/>
      <c r="C3" s="105"/>
      <c r="D3" s="105"/>
      <c r="E3" s="105"/>
      <c r="F3" s="105"/>
      <c r="G3" s="106"/>
      <c r="H3" s="108"/>
      <c r="I3" s="108"/>
      <c r="J3" s="108"/>
      <c r="K3" s="108"/>
      <c r="L3" s="99"/>
    </row>
    <row r="4" spans="1:14" ht="33" customHeight="1" x14ac:dyDescent="0.15">
      <c r="A4" s="4"/>
      <c r="B4" s="5"/>
      <c r="C4" s="5"/>
      <c r="D4" s="5"/>
      <c r="E4" s="5"/>
      <c r="F4" s="5"/>
      <c r="G4" s="5"/>
      <c r="H4" s="109"/>
      <c r="I4" s="109"/>
      <c r="J4" s="109"/>
      <c r="K4" s="109"/>
      <c r="L4" s="100"/>
    </row>
    <row r="5" spans="1:14" ht="17.25" customHeight="1" x14ac:dyDescent="0.15">
      <c r="A5" s="6" t="s">
        <v>5</v>
      </c>
      <c r="B5" s="87">
        <v>46146</v>
      </c>
      <c r="C5" s="88"/>
      <c r="D5" s="88"/>
      <c r="E5" s="88"/>
      <c r="F5" s="88"/>
      <c r="G5" s="88"/>
      <c r="H5" s="5"/>
      <c r="I5" s="5"/>
      <c r="J5" s="5"/>
      <c r="K5" s="5"/>
      <c r="L5" s="7"/>
    </row>
    <row r="6" spans="1:14" ht="13.5" customHeight="1" x14ac:dyDescent="0.15">
      <c r="A6" s="89" t="s">
        <v>6</v>
      </c>
      <c r="B6" s="91" t="s">
        <v>7</v>
      </c>
      <c r="C6" s="91" t="s">
        <v>8</v>
      </c>
      <c r="D6" s="91" t="s">
        <v>9</v>
      </c>
      <c r="E6" s="93" t="s">
        <v>10</v>
      </c>
      <c r="F6" s="93" t="s">
        <v>11</v>
      </c>
      <c r="G6" s="95" t="s">
        <v>12</v>
      </c>
      <c r="H6" s="96"/>
      <c r="I6" s="96"/>
      <c r="J6" s="96"/>
      <c r="K6" s="97"/>
      <c r="L6" s="83" t="s">
        <v>13</v>
      </c>
    </row>
    <row r="7" spans="1:14" x14ac:dyDescent="0.15">
      <c r="A7" s="90"/>
      <c r="B7" s="92"/>
      <c r="C7" s="92"/>
      <c r="D7" s="92"/>
      <c r="E7" s="94"/>
      <c r="F7" s="94"/>
      <c r="G7" s="8" t="s">
        <v>14</v>
      </c>
      <c r="H7" s="8" t="s">
        <v>15</v>
      </c>
      <c r="I7" s="8" t="s">
        <v>16</v>
      </c>
      <c r="J7" s="8" t="s">
        <v>17</v>
      </c>
      <c r="K7" s="8" t="s">
        <v>18</v>
      </c>
      <c r="L7" s="84"/>
    </row>
    <row r="8" spans="1:14" s="15" customFormat="1" ht="20.25" customHeight="1" x14ac:dyDescent="0.15">
      <c r="A8" s="60" t="s">
        <v>2306</v>
      </c>
      <c r="B8" s="9" t="s">
        <v>647</v>
      </c>
      <c r="C8" s="58" t="s">
        <v>29</v>
      </c>
      <c r="D8" s="11" t="s">
        <v>217</v>
      </c>
      <c r="E8" s="10">
        <v>22</v>
      </c>
      <c r="F8" s="58" t="s">
        <v>11</v>
      </c>
      <c r="G8" s="12">
        <v>715</v>
      </c>
      <c r="H8" s="12">
        <v>985</v>
      </c>
      <c r="I8" s="17" t="s">
        <v>2307</v>
      </c>
      <c r="J8" s="18">
        <v>80</v>
      </c>
      <c r="K8" s="19">
        <f>+M8*N8</f>
        <v>446.49</v>
      </c>
      <c r="L8" s="14"/>
      <c r="M8" s="15">
        <v>41</v>
      </c>
      <c r="N8" s="15">
        <v>10.89</v>
      </c>
    </row>
    <row r="9" spans="1:14" s="15" customFormat="1" ht="20.25" customHeight="1" x14ac:dyDescent="0.15">
      <c r="A9" s="60"/>
      <c r="B9" s="9"/>
      <c r="C9" s="58" t="s">
        <v>29</v>
      </c>
      <c r="D9" s="11" t="s">
        <v>648</v>
      </c>
      <c r="E9" s="10">
        <v>24</v>
      </c>
      <c r="F9" s="58"/>
      <c r="G9" s="12">
        <v>770</v>
      </c>
      <c r="H9" s="12">
        <v>1981</v>
      </c>
      <c r="I9" s="17" t="s">
        <v>2308</v>
      </c>
      <c r="J9" s="18">
        <v>20</v>
      </c>
      <c r="K9" s="19">
        <f t="shared" ref="K9:K23" si="0">+M9*N9</f>
        <v>216.71099999999998</v>
      </c>
      <c r="L9" s="14"/>
      <c r="M9" s="15">
        <v>19.899999999999999</v>
      </c>
      <c r="N9" s="15">
        <v>10.89</v>
      </c>
    </row>
    <row r="10" spans="1:14" s="15" customFormat="1" ht="20.25" customHeight="1" x14ac:dyDescent="0.15">
      <c r="A10" s="60" t="s">
        <v>2309</v>
      </c>
      <c r="B10" s="9" t="s">
        <v>647</v>
      </c>
      <c r="C10" s="58" t="s">
        <v>29</v>
      </c>
      <c r="D10" s="11" t="s">
        <v>217</v>
      </c>
      <c r="E10" s="10">
        <v>22</v>
      </c>
      <c r="F10" s="58" t="s">
        <v>11</v>
      </c>
      <c r="G10" s="12">
        <v>1730</v>
      </c>
      <c r="H10" s="12">
        <v>1981</v>
      </c>
      <c r="I10" s="17" t="s">
        <v>2310</v>
      </c>
      <c r="J10" s="18">
        <v>220</v>
      </c>
      <c r="K10" s="19">
        <f t="shared" si="0"/>
        <v>3443.4180000000001</v>
      </c>
      <c r="L10" s="14"/>
      <c r="M10" s="15">
        <v>316.2</v>
      </c>
      <c r="N10" s="15">
        <v>10.89</v>
      </c>
    </row>
    <row r="11" spans="1:14" s="15" customFormat="1" ht="20.25" customHeight="1" x14ac:dyDescent="0.15">
      <c r="A11" s="60"/>
      <c r="B11" s="9"/>
      <c r="C11" s="58" t="s">
        <v>29</v>
      </c>
      <c r="D11" s="11" t="s">
        <v>648</v>
      </c>
      <c r="E11" s="10">
        <v>24</v>
      </c>
      <c r="F11" s="58"/>
      <c r="G11" s="12">
        <v>720</v>
      </c>
      <c r="H11" s="12">
        <v>1981</v>
      </c>
      <c r="I11" s="17" t="s">
        <v>2311</v>
      </c>
      <c r="J11" s="18">
        <v>30</v>
      </c>
      <c r="K11" s="19">
        <f t="shared" si="0"/>
        <v>255.91500000000002</v>
      </c>
      <c r="L11" s="14"/>
      <c r="M11" s="15">
        <v>23.5</v>
      </c>
      <c r="N11" s="15">
        <v>10.89</v>
      </c>
    </row>
    <row r="12" spans="1:14" s="15" customFormat="1" ht="20.25" customHeight="1" x14ac:dyDescent="0.15">
      <c r="A12" s="60" t="s">
        <v>2312</v>
      </c>
      <c r="B12" s="9" t="s">
        <v>138</v>
      </c>
      <c r="C12" s="58" t="s">
        <v>29</v>
      </c>
      <c r="D12" s="11" t="s">
        <v>403</v>
      </c>
      <c r="E12" s="10">
        <v>24</v>
      </c>
      <c r="F12" s="58"/>
      <c r="G12" s="12">
        <v>1662</v>
      </c>
      <c r="H12" s="12">
        <v>1890</v>
      </c>
      <c r="I12" s="17" t="s">
        <v>2313</v>
      </c>
      <c r="J12" s="18">
        <v>4</v>
      </c>
      <c r="K12" s="19">
        <f t="shared" si="0"/>
        <v>140.91659999999999</v>
      </c>
      <c r="L12" s="14"/>
      <c r="M12" s="15">
        <v>12.94</v>
      </c>
      <c r="N12" s="15">
        <v>10.89</v>
      </c>
    </row>
    <row r="13" spans="1:14" s="15" customFormat="1" ht="20.25" customHeight="1" x14ac:dyDescent="0.15">
      <c r="A13" s="60"/>
      <c r="B13" s="9"/>
      <c r="C13" s="58" t="s">
        <v>29</v>
      </c>
      <c r="D13" s="11" t="s">
        <v>372</v>
      </c>
      <c r="E13" s="10">
        <v>24</v>
      </c>
      <c r="F13" s="58"/>
      <c r="G13" s="12">
        <v>775</v>
      </c>
      <c r="H13" s="12">
        <v>1890</v>
      </c>
      <c r="I13" s="17" t="s">
        <v>2314</v>
      </c>
      <c r="J13" s="18">
        <v>32</v>
      </c>
      <c r="K13" s="19">
        <f t="shared" si="0"/>
        <v>310.58280000000002</v>
      </c>
      <c r="L13" s="14"/>
      <c r="M13" s="15">
        <v>28.52</v>
      </c>
      <c r="N13" s="15">
        <v>10.89</v>
      </c>
    </row>
    <row r="14" spans="1:14" s="15" customFormat="1" ht="20.25" customHeight="1" x14ac:dyDescent="0.15">
      <c r="A14" s="60"/>
      <c r="B14" s="9"/>
      <c r="C14" s="58" t="s">
        <v>29</v>
      </c>
      <c r="D14" s="11" t="s">
        <v>336</v>
      </c>
      <c r="E14" s="10">
        <v>24</v>
      </c>
      <c r="F14" s="58"/>
      <c r="G14" s="12">
        <v>1762</v>
      </c>
      <c r="H14" s="12">
        <v>1890</v>
      </c>
      <c r="I14" s="17" t="s">
        <v>2315</v>
      </c>
      <c r="J14" s="18">
        <v>36</v>
      </c>
      <c r="K14" s="19">
        <f t="shared" si="0"/>
        <v>451.49940000000004</v>
      </c>
      <c r="L14" s="20"/>
      <c r="M14" s="15">
        <v>41.46</v>
      </c>
      <c r="N14" s="15">
        <v>10.89</v>
      </c>
    </row>
    <row r="15" spans="1:14" s="15" customFormat="1" ht="20.25" customHeight="1" x14ac:dyDescent="0.15">
      <c r="A15" s="60"/>
      <c r="B15" s="9"/>
      <c r="C15" s="58" t="s">
        <v>29</v>
      </c>
      <c r="D15" s="11" t="s">
        <v>224</v>
      </c>
      <c r="E15" s="10">
        <v>22</v>
      </c>
      <c r="F15" s="58" t="s">
        <v>11</v>
      </c>
      <c r="G15" s="12">
        <v>618</v>
      </c>
      <c r="H15" s="12">
        <v>1890</v>
      </c>
      <c r="I15" s="17">
        <v>4</v>
      </c>
      <c r="J15" s="18">
        <v>4</v>
      </c>
      <c r="K15" s="19">
        <f t="shared" si="0"/>
        <v>50.965200000000003</v>
      </c>
      <c r="L15" s="20"/>
      <c r="M15" s="15">
        <v>4.68</v>
      </c>
      <c r="N15" s="15">
        <v>10.89</v>
      </c>
    </row>
    <row r="16" spans="1:14" s="15" customFormat="1" ht="20.25" customHeight="1" x14ac:dyDescent="0.15">
      <c r="A16" s="60" t="s">
        <v>2316</v>
      </c>
      <c r="B16" s="9" t="s">
        <v>138</v>
      </c>
      <c r="C16" s="58" t="s">
        <v>29</v>
      </c>
      <c r="D16" s="11" t="s">
        <v>403</v>
      </c>
      <c r="E16" s="10">
        <v>22</v>
      </c>
      <c r="F16" s="58"/>
      <c r="G16" s="12">
        <v>1662</v>
      </c>
      <c r="H16" s="12">
        <v>1890</v>
      </c>
      <c r="I16" s="17">
        <v>15</v>
      </c>
      <c r="J16" s="18">
        <v>15</v>
      </c>
      <c r="K16" s="19">
        <f t="shared" si="0"/>
        <v>512.9190000000001</v>
      </c>
      <c r="L16" s="20"/>
      <c r="M16" s="15">
        <v>47.1</v>
      </c>
      <c r="N16" s="15">
        <v>10.89</v>
      </c>
    </row>
    <row r="17" spans="1:14" s="15" customFormat="1" ht="20.25" customHeight="1" x14ac:dyDescent="0.15">
      <c r="A17" s="60" t="s">
        <v>2317</v>
      </c>
      <c r="B17" s="9" t="s">
        <v>2318</v>
      </c>
      <c r="C17" s="58" t="s">
        <v>29</v>
      </c>
      <c r="D17" s="11" t="s">
        <v>200</v>
      </c>
      <c r="E17" s="10">
        <v>22</v>
      </c>
      <c r="F17" s="58"/>
      <c r="G17" s="12">
        <v>1534</v>
      </c>
      <c r="H17" s="12">
        <v>1895</v>
      </c>
      <c r="I17" s="17">
        <v>1</v>
      </c>
      <c r="J17" s="18">
        <v>1</v>
      </c>
      <c r="K17" s="19">
        <f t="shared" si="0"/>
        <v>31.689900000000002</v>
      </c>
      <c r="L17" s="20"/>
      <c r="M17" s="15">
        <v>2.91</v>
      </c>
      <c r="N17" s="15">
        <v>10.89</v>
      </c>
    </row>
    <row r="18" spans="1:14" s="15" customFormat="1" ht="20.25" customHeight="1" x14ac:dyDescent="0.15">
      <c r="A18" s="60"/>
      <c r="B18" s="9"/>
      <c r="C18" s="58" t="s">
        <v>29</v>
      </c>
      <c r="D18" s="11" t="s">
        <v>201</v>
      </c>
      <c r="E18" s="10">
        <v>22</v>
      </c>
      <c r="F18" s="58"/>
      <c r="G18" s="12">
        <v>778</v>
      </c>
      <c r="H18" s="12">
        <v>1895</v>
      </c>
      <c r="I18" s="17" t="s">
        <v>2319</v>
      </c>
      <c r="J18" s="18">
        <v>14</v>
      </c>
      <c r="K18" s="19">
        <f t="shared" si="0"/>
        <v>120.2256</v>
      </c>
      <c r="L18" s="20"/>
      <c r="M18" s="15">
        <v>11.04</v>
      </c>
      <c r="N18" s="15">
        <v>10.89</v>
      </c>
    </row>
    <row r="19" spans="1:14" s="15" customFormat="1" ht="20.25" customHeight="1" x14ac:dyDescent="0.15">
      <c r="A19" s="60"/>
      <c r="B19" s="9"/>
      <c r="C19" s="58" t="s">
        <v>29</v>
      </c>
      <c r="D19" s="11" t="s">
        <v>195</v>
      </c>
      <c r="E19" s="10">
        <v>22</v>
      </c>
      <c r="F19" s="58"/>
      <c r="G19" s="12">
        <v>1534</v>
      </c>
      <c r="H19" s="12">
        <v>1895</v>
      </c>
      <c r="I19" s="17" t="s">
        <v>2320</v>
      </c>
      <c r="J19" s="18">
        <v>11</v>
      </c>
      <c r="K19" s="19">
        <f t="shared" si="0"/>
        <v>119.24549999999999</v>
      </c>
      <c r="L19" s="20"/>
      <c r="M19" s="15">
        <v>10.95</v>
      </c>
      <c r="N19" s="15">
        <v>10.89</v>
      </c>
    </row>
    <row r="20" spans="1:14" s="15" customFormat="1" ht="20.25" customHeight="1" x14ac:dyDescent="0.15">
      <c r="A20" s="60" t="s">
        <v>2321</v>
      </c>
      <c r="B20" s="9" t="s">
        <v>2086</v>
      </c>
      <c r="C20" s="58" t="s">
        <v>29</v>
      </c>
      <c r="D20" s="11" t="s">
        <v>2322</v>
      </c>
      <c r="E20" s="10">
        <v>24</v>
      </c>
      <c r="F20" s="58" t="s">
        <v>11</v>
      </c>
      <c r="G20" s="12">
        <v>668</v>
      </c>
      <c r="H20" s="12">
        <v>735</v>
      </c>
      <c r="I20" s="17" t="s">
        <v>2323</v>
      </c>
      <c r="J20" s="18">
        <v>44</v>
      </c>
      <c r="K20" s="19">
        <f t="shared" si="0"/>
        <v>216.4932</v>
      </c>
      <c r="L20" s="20"/>
      <c r="M20" s="15">
        <v>19.88</v>
      </c>
      <c r="N20" s="15">
        <v>10.89</v>
      </c>
    </row>
    <row r="21" spans="1:14" s="15" customFormat="1" ht="20.25" customHeight="1" x14ac:dyDescent="0.15">
      <c r="A21" s="60" t="s">
        <v>2324</v>
      </c>
      <c r="B21" s="9" t="s">
        <v>2318</v>
      </c>
      <c r="C21" s="58" t="s">
        <v>29</v>
      </c>
      <c r="D21" s="11" t="s">
        <v>200</v>
      </c>
      <c r="E21" s="10">
        <v>22</v>
      </c>
      <c r="F21" s="58"/>
      <c r="G21" s="50">
        <v>2034</v>
      </c>
      <c r="H21" s="12">
        <v>1895</v>
      </c>
      <c r="I21" s="17">
        <v>1</v>
      </c>
      <c r="J21" s="18">
        <v>1</v>
      </c>
      <c r="K21" s="19">
        <f t="shared" si="0"/>
        <v>41.926500000000004</v>
      </c>
      <c r="L21" s="20"/>
      <c r="M21" s="15">
        <v>3.85</v>
      </c>
      <c r="N21" s="15">
        <v>10.89</v>
      </c>
    </row>
    <row r="22" spans="1:14" s="15" customFormat="1" ht="20.25" customHeight="1" x14ac:dyDescent="0.15">
      <c r="A22" s="60"/>
      <c r="B22" s="9"/>
      <c r="C22" s="58" t="s">
        <v>29</v>
      </c>
      <c r="D22" s="11" t="s">
        <v>201</v>
      </c>
      <c r="E22" s="10">
        <v>22</v>
      </c>
      <c r="F22" s="58"/>
      <c r="G22" s="50">
        <v>778</v>
      </c>
      <c r="H22" s="12">
        <v>1895</v>
      </c>
      <c r="I22" s="17" t="s">
        <v>2325</v>
      </c>
      <c r="J22" s="18">
        <v>16</v>
      </c>
      <c r="K22" s="19">
        <f t="shared" si="0"/>
        <v>136.99620000000002</v>
      </c>
      <c r="L22" s="20"/>
      <c r="M22" s="15">
        <v>12.58</v>
      </c>
      <c r="N22" s="15">
        <v>10.89</v>
      </c>
    </row>
    <row r="23" spans="1:14" ht="20.25" customHeight="1" x14ac:dyDescent="0.15">
      <c r="A23" s="60"/>
      <c r="B23" s="9"/>
      <c r="C23" s="58" t="s">
        <v>29</v>
      </c>
      <c r="D23" s="11" t="s">
        <v>195</v>
      </c>
      <c r="E23" s="10">
        <v>22</v>
      </c>
      <c r="F23" s="58"/>
      <c r="G23" s="16">
        <v>2034</v>
      </c>
      <c r="H23" s="12">
        <v>1895</v>
      </c>
      <c r="I23" s="17" t="s">
        <v>2326</v>
      </c>
      <c r="J23" s="18">
        <v>13</v>
      </c>
      <c r="K23" s="19">
        <f t="shared" si="0"/>
        <v>140.15430000000001</v>
      </c>
      <c r="L23" s="20"/>
      <c r="M23" s="3">
        <v>12.87</v>
      </c>
      <c r="N23" s="15">
        <v>10.89</v>
      </c>
    </row>
    <row r="24" spans="1:14" ht="20.25" customHeight="1" thickBot="1" x14ac:dyDescent="0.2">
      <c r="A24" s="56"/>
      <c r="B24" s="21"/>
      <c r="C24" s="59"/>
      <c r="D24" s="22"/>
      <c r="E24" s="23"/>
      <c r="F24" s="23"/>
      <c r="G24" s="24"/>
      <c r="H24" s="24"/>
      <c r="I24" s="25"/>
      <c r="J24" s="46">
        <f>SUM(J8:J23)</f>
        <v>541</v>
      </c>
      <c r="K24" s="47">
        <f>SUM(K8:K23)</f>
        <v>6636.1481999999987</v>
      </c>
      <c r="L24" s="26"/>
    </row>
    <row r="25" spans="1:14" ht="20.25" customHeight="1" thickTop="1" x14ac:dyDescent="0.15">
      <c r="A25" s="60" t="s">
        <v>2327</v>
      </c>
      <c r="B25" s="9" t="s">
        <v>647</v>
      </c>
      <c r="C25" s="58" t="s">
        <v>29</v>
      </c>
      <c r="D25" s="11" t="s">
        <v>217</v>
      </c>
      <c r="E25" s="10">
        <v>22</v>
      </c>
      <c r="F25" s="58" t="s">
        <v>11</v>
      </c>
      <c r="G25" s="12">
        <v>1725</v>
      </c>
      <c r="H25" s="12">
        <v>1981</v>
      </c>
      <c r="I25" s="17" t="s">
        <v>2328</v>
      </c>
      <c r="J25" s="18">
        <v>134</v>
      </c>
      <c r="K25" s="19">
        <f t="shared" ref="K25:K40" si="1">+M25*N25</f>
        <v>2192.1570000000002</v>
      </c>
      <c r="L25" s="54"/>
      <c r="M25" s="3">
        <v>201.3</v>
      </c>
      <c r="N25" s="15">
        <v>10.89</v>
      </c>
    </row>
    <row r="26" spans="1:14" ht="20.25" customHeight="1" x14ac:dyDescent="0.15">
      <c r="A26" s="60" t="s">
        <v>2329</v>
      </c>
      <c r="B26" s="9" t="s">
        <v>1944</v>
      </c>
      <c r="C26" s="58" t="s">
        <v>29</v>
      </c>
      <c r="D26" s="11" t="s">
        <v>1945</v>
      </c>
      <c r="E26" s="10">
        <v>24</v>
      </c>
      <c r="F26" s="10" t="s">
        <v>11</v>
      </c>
      <c r="G26" s="12">
        <v>985</v>
      </c>
      <c r="H26" s="12">
        <v>2912</v>
      </c>
      <c r="I26" s="17" t="s">
        <v>2330</v>
      </c>
      <c r="J26" s="18">
        <v>208</v>
      </c>
      <c r="K26" s="19">
        <f t="shared" si="1"/>
        <v>6500.894400000001</v>
      </c>
      <c r="L26" s="54"/>
      <c r="M26" s="3">
        <v>596.96</v>
      </c>
      <c r="N26" s="15">
        <v>10.89</v>
      </c>
    </row>
    <row r="27" spans="1:14" ht="20.25" customHeight="1" x14ac:dyDescent="0.15">
      <c r="A27" s="61" t="s">
        <v>2331</v>
      </c>
      <c r="B27" s="9" t="s">
        <v>56</v>
      </c>
      <c r="C27" s="58" t="s">
        <v>29</v>
      </c>
      <c r="D27" s="11" t="s">
        <v>951</v>
      </c>
      <c r="E27" s="10">
        <v>47</v>
      </c>
      <c r="F27" s="10" t="s">
        <v>11</v>
      </c>
      <c r="G27" s="12">
        <v>893</v>
      </c>
      <c r="H27" s="12">
        <v>368</v>
      </c>
      <c r="I27" s="17" t="s">
        <v>2332</v>
      </c>
      <c r="J27" s="18">
        <v>2</v>
      </c>
      <c r="K27" s="19">
        <f t="shared" si="1"/>
        <v>7.1874000000000011</v>
      </c>
      <c r="L27" s="54"/>
      <c r="M27" s="3">
        <v>0.66</v>
      </c>
      <c r="N27" s="15">
        <v>10.89</v>
      </c>
    </row>
    <row r="28" spans="1:14" ht="20.25" customHeight="1" x14ac:dyDescent="0.15">
      <c r="A28" s="61"/>
      <c r="B28" s="9"/>
      <c r="C28" s="58" t="s">
        <v>273</v>
      </c>
      <c r="D28" s="11" t="s">
        <v>675</v>
      </c>
      <c r="E28" s="10">
        <v>16</v>
      </c>
      <c r="F28" s="10"/>
      <c r="G28" s="12">
        <v>680</v>
      </c>
      <c r="H28" s="12">
        <v>2137</v>
      </c>
      <c r="I28" s="17">
        <v>1</v>
      </c>
      <c r="J28" s="18">
        <v>1</v>
      </c>
      <c r="K28" s="19">
        <f t="shared" si="1"/>
        <v>15.7905</v>
      </c>
      <c r="L28" s="54"/>
      <c r="M28" s="3">
        <v>1.45</v>
      </c>
      <c r="N28" s="15">
        <v>10.89</v>
      </c>
    </row>
    <row r="29" spans="1:14" ht="20.25" customHeight="1" x14ac:dyDescent="0.15">
      <c r="A29" s="61"/>
      <c r="B29" s="9"/>
      <c r="C29" s="58" t="s">
        <v>29</v>
      </c>
      <c r="D29" s="11" t="s">
        <v>195</v>
      </c>
      <c r="E29" s="10">
        <v>22</v>
      </c>
      <c r="F29" s="10"/>
      <c r="G29" s="12">
        <v>738</v>
      </c>
      <c r="H29" s="12">
        <v>918</v>
      </c>
      <c r="I29" s="17" t="s">
        <v>2320</v>
      </c>
      <c r="J29" s="18">
        <v>11</v>
      </c>
      <c r="K29" s="19">
        <f t="shared" si="1"/>
        <v>71.873999999999995</v>
      </c>
      <c r="L29" s="54"/>
      <c r="M29" s="3">
        <v>6.6</v>
      </c>
      <c r="N29" s="15">
        <v>10.89</v>
      </c>
    </row>
    <row r="30" spans="1:14" ht="20.25" customHeight="1" x14ac:dyDescent="0.15">
      <c r="A30" s="61" t="s">
        <v>2333</v>
      </c>
      <c r="B30" s="9" t="s">
        <v>138</v>
      </c>
      <c r="C30" s="58" t="s">
        <v>29</v>
      </c>
      <c r="D30" s="11" t="s">
        <v>2334</v>
      </c>
      <c r="E30" s="10">
        <v>28</v>
      </c>
      <c r="F30" s="10" t="s">
        <v>11</v>
      </c>
      <c r="G30" s="12">
        <v>300</v>
      </c>
      <c r="H30" s="12">
        <v>300</v>
      </c>
      <c r="I30" s="51">
        <v>1</v>
      </c>
      <c r="J30" s="52">
        <v>1</v>
      </c>
      <c r="K30" s="53">
        <f t="shared" si="1"/>
        <v>3.0492000000000004</v>
      </c>
      <c r="L30" s="54"/>
      <c r="M30" s="3">
        <v>0.28000000000000003</v>
      </c>
      <c r="N30" s="15">
        <v>10.89</v>
      </c>
    </row>
    <row r="31" spans="1:14" ht="20.25" customHeight="1" x14ac:dyDescent="0.15">
      <c r="A31" s="61" t="s">
        <v>2335</v>
      </c>
      <c r="B31" s="9" t="s">
        <v>183</v>
      </c>
      <c r="C31" s="58" t="s">
        <v>29</v>
      </c>
      <c r="D31" s="11" t="s">
        <v>2336</v>
      </c>
      <c r="E31" s="10">
        <v>31.52</v>
      </c>
      <c r="F31" s="10" t="s">
        <v>11</v>
      </c>
      <c r="G31" s="12">
        <v>2195</v>
      </c>
      <c r="H31" s="12">
        <v>2085</v>
      </c>
      <c r="I31" s="51">
        <v>1</v>
      </c>
      <c r="J31" s="52">
        <v>1</v>
      </c>
      <c r="K31" s="53">
        <f t="shared" si="1"/>
        <v>49.876200000000004</v>
      </c>
      <c r="L31" s="54"/>
      <c r="M31" s="3">
        <v>4.58</v>
      </c>
      <c r="N31" s="15">
        <v>10.89</v>
      </c>
    </row>
    <row r="32" spans="1:14" ht="20.25" customHeight="1" x14ac:dyDescent="0.15">
      <c r="A32" s="60"/>
      <c r="B32" s="9"/>
      <c r="C32" s="58"/>
      <c r="D32" s="11"/>
      <c r="E32" s="10"/>
      <c r="F32" s="10"/>
      <c r="G32" s="12"/>
      <c r="H32" s="12"/>
      <c r="I32" s="17"/>
      <c r="J32" s="18"/>
      <c r="K32" s="19">
        <f t="shared" si="1"/>
        <v>0</v>
      </c>
      <c r="L32" s="27"/>
      <c r="N32" s="15">
        <v>10.89</v>
      </c>
    </row>
    <row r="33" spans="1:14" ht="20.25" customHeight="1" x14ac:dyDescent="0.15">
      <c r="A33" s="60"/>
      <c r="B33" s="9"/>
      <c r="C33" s="58"/>
      <c r="D33" s="11"/>
      <c r="E33" s="10"/>
      <c r="F33" s="10"/>
      <c r="G33" s="12"/>
      <c r="H33" s="12"/>
      <c r="I33" s="17"/>
      <c r="J33" s="18"/>
      <c r="K33" s="19">
        <f t="shared" si="1"/>
        <v>0</v>
      </c>
      <c r="L33" s="27"/>
      <c r="N33" s="15">
        <v>10.89</v>
      </c>
    </row>
    <row r="34" spans="1:14" ht="20.25" customHeight="1" x14ac:dyDescent="0.15">
      <c r="A34" s="60"/>
      <c r="B34" s="9"/>
      <c r="C34" s="58"/>
      <c r="D34" s="11"/>
      <c r="E34" s="10"/>
      <c r="F34" s="10"/>
      <c r="G34" s="12"/>
      <c r="H34" s="12"/>
      <c r="I34" s="17"/>
      <c r="J34" s="18"/>
      <c r="K34" s="19">
        <f t="shared" si="1"/>
        <v>0</v>
      </c>
      <c r="L34" s="27"/>
      <c r="N34" s="15">
        <v>10.89</v>
      </c>
    </row>
    <row r="35" spans="1:14" ht="20.25" customHeight="1" x14ac:dyDescent="0.15">
      <c r="A35" s="60"/>
      <c r="B35" s="9"/>
      <c r="C35" s="58"/>
      <c r="D35" s="11"/>
      <c r="E35" s="10"/>
      <c r="F35" s="10"/>
      <c r="G35" s="12"/>
      <c r="H35" s="12"/>
      <c r="I35" s="17"/>
      <c r="J35" s="18"/>
      <c r="K35" s="19">
        <f t="shared" si="1"/>
        <v>0</v>
      </c>
      <c r="L35" s="27"/>
      <c r="N35" s="15">
        <v>10.89</v>
      </c>
    </row>
    <row r="36" spans="1:14" ht="20.25" customHeight="1" x14ac:dyDescent="0.15">
      <c r="A36" s="60"/>
      <c r="B36" s="9"/>
      <c r="C36" s="58"/>
      <c r="D36" s="11"/>
      <c r="E36" s="10"/>
      <c r="F36" s="10"/>
      <c r="G36" s="12"/>
      <c r="H36" s="12"/>
      <c r="I36" s="17"/>
      <c r="J36" s="18"/>
      <c r="K36" s="19">
        <f t="shared" si="1"/>
        <v>0</v>
      </c>
      <c r="L36" s="27"/>
      <c r="N36" s="15">
        <v>10.89</v>
      </c>
    </row>
    <row r="37" spans="1:14" ht="20.25" customHeight="1" x14ac:dyDescent="0.15">
      <c r="A37" s="60"/>
      <c r="B37" s="9"/>
      <c r="C37" s="58"/>
      <c r="D37" s="11"/>
      <c r="E37" s="10"/>
      <c r="F37" s="10"/>
      <c r="G37" s="12"/>
      <c r="H37" s="12"/>
      <c r="I37" s="17"/>
      <c r="J37" s="18"/>
      <c r="K37" s="19">
        <f t="shared" si="1"/>
        <v>0</v>
      </c>
      <c r="L37" s="27"/>
      <c r="N37" s="15">
        <v>10.89</v>
      </c>
    </row>
    <row r="38" spans="1:14" ht="20.25" customHeight="1" x14ac:dyDescent="0.15">
      <c r="A38" s="60"/>
      <c r="B38" s="9"/>
      <c r="C38" s="58"/>
      <c r="D38" s="11"/>
      <c r="E38" s="10"/>
      <c r="F38" s="10"/>
      <c r="G38" s="12"/>
      <c r="H38" s="12"/>
      <c r="I38" s="17"/>
      <c r="J38" s="18"/>
      <c r="K38" s="19">
        <f t="shared" si="1"/>
        <v>0</v>
      </c>
      <c r="L38" s="27"/>
      <c r="N38" s="15">
        <v>10.89</v>
      </c>
    </row>
    <row r="39" spans="1:14" ht="20.25" customHeight="1" x14ac:dyDescent="0.15">
      <c r="A39" s="60"/>
      <c r="B39" s="9"/>
      <c r="C39" s="58"/>
      <c r="D39" s="11"/>
      <c r="E39" s="10"/>
      <c r="F39" s="10"/>
      <c r="G39" s="12"/>
      <c r="H39" s="12"/>
      <c r="I39" s="17"/>
      <c r="J39" s="18"/>
      <c r="K39" s="19">
        <f t="shared" si="1"/>
        <v>0</v>
      </c>
      <c r="L39" s="27"/>
      <c r="N39" s="15">
        <v>10.89</v>
      </c>
    </row>
    <row r="40" spans="1:14" ht="20.25" customHeight="1" x14ac:dyDescent="0.15">
      <c r="A40" s="60"/>
      <c r="B40" s="9"/>
      <c r="C40" s="58"/>
      <c r="D40" s="11"/>
      <c r="E40" s="10"/>
      <c r="F40" s="10"/>
      <c r="G40" s="12"/>
      <c r="H40" s="12"/>
      <c r="I40" s="17"/>
      <c r="J40" s="18"/>
      <c r="K40" s="19">
        <f t="shared" si="1"/>
        <v>0</v>
      </c>
      <c r="L40" s="27"/>
      <c r="N40" s="15">
        <v>10.89</v>
      </c>
    </row>
    <row r="41" spans="1:14" ht="20.25" customHeight="1" x14ac:dyDescent="0.15">
      <c r="A41" s="57"/>
      <c r="B41" s="28"/>
      <c r="C41" s="10"/>
      <c r="D41" s="29"/>
      <c r="E41" s="30"/>
      <c r="F41" s="30"/>
      <c r="G41" s="30"/>
      <c r="H41" s="30"/>
      <c r="I41" s="13"/>
      <c r="J41" s="48">
        <f>SUM(J25:J40)</f>
        <v>358</v>
      </c>
      <c r="K41" s="49">
        <f>SUM(K25:K40)</f>
        <v>8840.8287</v>
      </c>
      <c r="L41" s="31"/>
      <c r="N41" s="32"/>
    </row>
    <row r="42" spans="1:14" ht="20.25" customHeight="1" thickBot="1" x14ac:dyDescent="0.2">
      <c r="A42" s="55"/>
      <c r="B42" s="33"/>
      <c r="C42" s="33"/>
      <c r="D42" s="33"/>
      <c r="E42" s="33"/>
      <c r="F42" s="33"/>
      <c r="G42" s="33"/>
      <c r="H42" s="33"/>
      <c r="I42" s="33"/>
      <c r="J42" s="34"/>
      <c r="K42" s="35"/>
      <c r="L42" s="36"/>
    </row>
    <row r="43" spans="1:14" ht="20.25" customHeight="1" thickBot="1" x14ac:dyDescent="0.2">
      <c r="A43" s="37" t="s">
        <v>19</v>
      </c>
      <c r="B43" s="38" t="s">
        <v>20</v>
      </c>
      <c r="C43" s="77" t="s">
        <v>21</v>
      </c>
      <c r="D43" s="79"/>
      <c r="E43" s="77" t="s">
        <v>22</v>
      </c>
      <c r="F43" s="78"/>
      <c r="G43" s="79"/>
      <c r="H43" s="85" t="s">
        <v>23</v>
      </c>
      <c r="I43" s="86"/>
      <c r="J43" s="77" t="s">
        <v>24</v>
      </c>
      <c r="K43" s="79"/>
      <c r="L43" s="39" t="s">
        <v>13</v>
      </c>
    </row>
    <row r="44" spans="1:14" ht="20.25" customHeight="1" thickBot="1" x14ac:dyDescent="0.2">
      <c r="A44" s="40">
        <f>SUMIF($C$8:$C$42,"U1",$J$8:$J$42)</f>
        <v>1</v>
      </c>
      <c r="B44" s="41">
        <f>SUMIF($C$8:$C$42,"U2",$J$8:$J$42)</f>
        <v>0</v>
      </c>
      <c r="C44" s="77">
        <f>SUMIF($C$8:$C$42,"U3-1",$J$8:$J$42)</f>
        <v>0</v>
      </c>
      <c r="D44" s="79"/>
      <c r="E44" s="77">
        <f>SUMIF($C$8:$C$42,"U3",$J$8:$J$42)</f>
        <v>898</v>
      </c>
      <c r="F44" s="78"/>
      <c r="G44" s="79"/>
      <c r="H44" s="77">
        <f>SUMIF($C$8:$C$42,"E5",$J$8:$J$42)</f>
        <v>0</v>
      </c>
      <c r="I44" s="79"/>
      <c r="J44" s="77">
        <f>SUM(A44:I44)</f>
        <v>899</v>
      </c>
      <c r="K44" s="79"/>
      <c r="L44" s="42"/>
    </row>
    <row r="45" spans="1:14" ht="20.25" customHeight="1" thickBot="1" x14ac:dyDescent="0.2">
      <c r="A45" s="43" t="s">
        <v>25</v>
      </c>
      <c r="B45" s="44" t="s">
        <v>26</v>
      </c>
      <c r="C45" s="75">
        <v>13876</v>
      </c>
      <c r="D45" s="76"/>
      <c r="E45" s="77" t="s">
        <v>27</v>
      </c>
      <c r="F45" s="78"/>
      <c r="G45" s="78"/>
      <c r="H45" s="78"/>
      <c r="I45" s="79"/>
      <c r="J45" s="80">
        <v>146744.37</v>
      </c>
      <c r="K45" s="81"/>
      <c r="L45" s="82"/>
    </row>
    <row r="47" spans="1:14" x14ac:dyDescent="0.15">
      <c r="D47" s="45"/>
    </row>
  </sheetData>
  <mergeCells count="26">
    <mergeCell ref="L2:L4"/>
    <mergeCell ref="A1:G3"/>
    <mergeCell ref="H1:H4"/>
    <mergeCell ref="I2:I4"/>
    <mergeCell ref="J2:J4"/>
    <mergeCell ref="K2:K4"/>
    <mergeCell ref="B5:G5"/>
    <mergeCell ref="A6:A7"/>
    <mergeCell ref="B6:B7"/>
    <mergeCell ref="C6:C7"/>
    <mergeCell ref="D6:D7"/>
    <mergeCell ref="E6:E7"/>
    <mergeCell ref="F6:F7"/>
    <mergeCell ref="G6:K6"/>
    <mergeCell ref="C45:D45"/>
    <mergeCell ref="E45:I45"/>
    <mergeCell ref="J45:L45"/>
    <mergeCell ref="L6:L7"/>
    <mergeCell ref="C43:D43"/>
    <mergeCell ref="E43:G43"/>
    <mergeCell ref="H43:I43"/>
    <mergeCell ref="J43:K43"/>
    <mergeCell ref="C44:D44"/>
    <mergeCell ref="E44:G44"/>
    <mergeCell ref="H44:I44"/>
    <mergeCell ref="J44:K44"/>
  </mergeCells>
  <phoneticPr fontId="2" type="noConversion"/>
  <printOptions horizontalCentered="1"/>
  <pageMargins left="0.39370078740157483" right="0.39370078740157483" top="0.74803149606299213" bottom="0.19685039370078741" header="0.31496062992125984" footer="0.15748031496062992"/>
  <pageSetup paperSize="9" scale="84" orientation="portrait" r:id="rId1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5EE612-D724-4FD6-B98B-948B261F3120}">
  <dimension ref="A1:N47"/>
  <sheetViews>
    <sheetView view="pageBreakPreview" zoomScaleSheetLayoutView="100" workbookViewId="0">
      <selection activeCell="B28" sqref="B28"/>
    </sheetView>
  </sheetViews>
  <sheetFormatPr defaultColWidth="8.88671875" defaultRowHeight="13.5" x14ac:dyDescent="0.15"/>
  <cols>
    <col min="1" max="1" width="8.44140625" style="3" customWidth="1"/>
    <col min="2" max="2" width="14.77734375" style="3" customWidth="1"/>
    <col min="3" max="3" width="4.109375" style="3" customWidth="1"/>
    <col min="4" max="4" width="15.21875" style="3" customWidth="1"/>
    <col min="5" max="5" width="4.44140625" style="3" customWidth="1"/>
    <col min="6" max="6" width="4" style="3" customWidth="1"/>
    <col min="7" max="7" width="5.5546875" style="3" customWidth="1"/>
    <col min="8" max="8" width="5.44140625" style="3" customWidth="1"/>
    <col min="9" max="9" width="7.88671875" style="3" customWidth="1"/>
    <col min="10" max="10" width="7.109375" style="3" customWidth="1"/>
    <col min="11" max="11" width="7.21875" style="3" customWidth="1"/>
    <col min="12" max="12" width="6.77734375" style="3" customWidth="1"/>
    <col min="13" max="16384" width="8.88671875" style="3"/>
  </cols>
  <sheetData>
    <row r="1" spans="1:14" ht="18.75" customHeight="1" x14ac:dyDescent="0.15">
      <c r="A1" s="101" t="s">
        <v>0</v>
      </c>
      <c r="B1" s="102"/>
      <c r="C1" s="102"/>
      <c r="D1" s="102"/>
      <c r="E1" s="102"/>
      <c r="F1" s="102"/>
      <c r="G1" s="103"/>
      <c r="H1" s="107" t="s">
        <v>1</v>
      </c>
      <c r="I1" s="1" t="s">
        <v>2</v>
      </c>
      <c r="J1" s="1" t="s">
        <v>2</v>
      </c>
      <c r="K1" s="1" t="s">
        <v>3</v>
      </c>
      <c r="L1" s="2" t="s">
        <v>4</v>
      </c>
    </row>
    <row r="2" spans="1:14" ht="13.5" customHeight="1" x14ac:dyDescent="0.15">
      <c r="A2" s="104"/>
      <c r="B2" s="105"/>
      <c r="C2" s="105"/>
      <c r="D2" s="105"/>
      <c r="E2" s="105"/>
      <c r="F2" s="105"/>
      <c r="G2" s="106"/>
      <c r="H2" s="108"/>
      <c r="I2" s="110"/>
      <c r="J2" s="110"/>
      <c r="K2" s="110"/>
      <c r="L2" s="98"/>
    </row>
    <row r="3" spans="1:14" ht="13.5" customHeight="1" x14ac:dyDescent="0.15">
      <c r="A3" s="104"/>
      <c r="B3" s="105"/>
      <c r="C3" s="105"/>
      <c r="D3" s="105"/>
      <c r="E3" s="105"/>
      <c r="F3" s="105"/>
      <c r="G3" s="106"/>
      <c r="H3" s="108"/>
      <c r="I3" s="108"/>
      <c r="J3" s="108"/>
      <c r="K3" s="108"/>
      <c r="L3" s="99"/>
    </row>
    <row r="4" spans="1:14" ht="33" customHeight="1" x14ac:dyDescent="0.15">
      <c r="A4" s="4"/>
      <c r="B4" s="5"/>
      <c r="C4" s="5"/>
      <c r="D4" s="5"/>
      <c r="E4" s="5"/>
      <c r="F4" s="5"/>
      <c r="G4" s="5"/>
      <c r="H4" s="109"/>
      <c r="I4" s="109"/>
      <c r="J4" s="109"/>
      <c r="K4" s="109"/>
      <c r="L4" s="100"/>
    </row>
    <row r="5" spans="1:14" ht="17.25" customHeight="1" x14ac:dyDescent="0.15">
      <c r="A5" s="6" t="s">
        <v>5</v>
      </c>
      <c r="B5" s="87">
        <v>46147</v>
      </c>
      <c r="C5" s="88"/>
      <c r="D5" s="88"/>
      <c r="E5" s="88"/>
      <c r="F5" s="88"/>
      <c r="G5" s="88"/>
      <c r="H5" s="5"/>
      <c r="I5" s="5"/>
      <c r="J5" s="5"/>
      <c r="K5" s="5"/>
      <c r="L5" s="7"/>
    </row>
    <row r="6" spans="1:14" ht="13.5" customHeight="1" x14ac:dyDescent="0.15">
      <c r="A6" s="89" t="s">
        <v>6</v>
      </c>
      <c r="B6" s="91" t="s">
        <v>7</v>
      </c>
      <c r="C6" s="91" t="s">
        <v>8</v>
      </c>
      <c r="D6" s="91" t="s">
        <v>9</v>
      </c>
      <c r="E6" s="93" t="s">
        <v>10</v>
      </c>
      <c r="F6" s="93" t="s">
        <v>11</v>
      </c>
      <c r="G6" s="95" t="s">
        <v>12</v>
      </c>
      <c r="H6" s="96"/>
      <c r="I6" s="96"/>
      <c r="J6" s="96"/>
      <c r="K6" s="97"/>
      <c r="L6" s="83" t="s">
        <v>13</v>
      </c>
    </row>
    <row r="7" spans="1:14" x14ac:dyDescent="0.15">
      <c r="A7" s="90"/>
      <c r="B7" s="92"/>
      <c r="C7" s="92"/>
      <c r="D7" s="92"/>
      <c r="E7" s="94"/>
      <c r="F7" s="94"/>
      <c r="G7" s="8" t="s">
        <v>14</v>
      </c>
      <c r="H7" s="8" t="s">
        <v>15</v>
      </c>
      <c r="I7" s="8" t="s">
        <v>16</v>
      </c>
      <c r="J7" s="8" t="s">
        <v>17</v>
      </c>
      <c r="K7" s="8" t="s">
        <v>18</v>
      </c>
      <c r="L7" s="84"/>
    </row>
    <row r="8" spans="1:14" s="15" customFormat="1" ht="20.25" customHeight="1" x14ac:dyDescent="0.15">
      <c r="A8" s="60" t="s">
        <v>2337</v>
      </c>
      <c r="B8" s="9" t="s">
        <v>647</v>
      </c>
      <c r="C8" s="58" t="s">
        <v>29</v>
      </c>
      <c r="D8" s="11" t="s">
        <v>217</v>
      </c>
      <c r="E8" s="10">
        <v>22</v>
      </c>
      <c r="F8" s="58" t="s">
        <v>11</v>
      </c>
      <c r="G8" s="12">
        <v>2230</v>
      </c>
      <c r="H8" s="12">
        <v>1981</v>
      </c>
      <c r="I8" s="17" t="s">
        <v>2338</v>
      </c>
      <c r="J8" s="18">
        <v>145</v>
      </c>
      <c r="K8" s="19">
        <f>+M8*N8</f>
        <v>1979.8020000000001</v>
      </c>
      <c r="L8" s="14"/>
      <c r="M8" s="15">
        <v>181.8</v>
      </c>
      <c r="N8" s="15">
        <v>10.89</v>
      </c>
    </row>
    <row r="9" spans="1:14" s="15" customFormat="1" ht="20.25" customHeight="1" x14ac:dyDescent="0.15">
      <c r="A9" s="60" t="s">
        <v>2316</v>
      </c>
      <c r="B9" s="9" t="s">
        <v>138</v>
      </c>
      <c r="C9" s="58" t="s">
        <v>29</v>
      </c>
      <c r="D9" s="11" t="s">
        <v>372</v>
      </c>
      <c r="E9" s="10">
        <v>24</v>
      </c>
      <c r="F9" s="58"/>
      <c r="G9" s="12">
        <v>775</v>
      </c>
      <c r="H9" s="12">
        <v>1890</v>
      </c>
      <c r="I9" s="17" t="s">
        <v>2339</v>
      </c>
      <c r="J9" s="18">
        <f>15+110</f>
        <v>125</v>
      </c>
      <c r="K9" s="19">
        <f t="shared" ref="K9:K23" si="0">+M9*N9</f>
        <v>1176.1200000000001</v>
      </c>
      <c r="L9" s="14"/>
      <c r="M9" s="15">
        <v>108</v>
      </c>
      <c r="N9" s="15">
        <v>10.89</v>
      </c>
    </row>
    <row r="10" spans="1:14" s="15" customFormat="1" ht="20.25" customHeight="1" x14ac:dyDescent="0.15">
      <c r="A10" s="60"/>
      <c r="B10" s="9"/>
      <c r="C10" s="58" t="s">
        <v>29</v>
      </c>
      <c r="D10" s="11" t="s">
        <v>336</v>
      </c>
      <c r="E10" s="10">
        <v>24</v>
      </c>
      <c r="F10" s="58"/>
      <c r="G10" s="12">
        <v>1662</v>
      </c>
      <c r="H10" s="12">
        <v>1890</v>
      </c>
      <c r="I10" s="17" t="s">
        <v>2340</v>
      </c>
      <c r="J10" s="18">
        <v>140</v>
      </c>
      <c r="K10" s="19">
        <f t="shared" si="0"/>
        <v>1689.039</v>
      </c>
      <c r="L10" s="14"/>
      <c r="M10" s="15">
        <v>155.1</v>
      </c>
      <c r="N10" s="15">
        <v>10.89</v>
      </c>
    </row>
    <row r="11" spans="1:14" s="15" customFormat="1" ht="20.25" customHeight="1" x14ac:dyDescent="0.15">
      <c r="A11" s="60"/>
      <c r="B11" s="9"/>
      <c r="C11" s="58" t="s">
        <v>29</v>
      </c>
      <c r="D11" s="11" t="s">
        <v>224</v>
      </c>
      <c r="E11" s="10">
        <v>22</v>
      </c>
      <c r="F11" s="58" t="s">
        <v>11</v>
      </c>
      <c r="G11" s="12">
        <v>618</v>
      </c>
      <c r="H11" s="12">
        <v>1890</v>
      </c>
      <c r="I11" s="17">
        <v>20</v>
      </c>
      <c r="J11" s="18">
        <v>20</v>
      </c>
      <c r="K11" s="19">
        <f t="shared" si="0"/>
        <v>254.82599999999999</v>
      </c>
      <c r="L11" s="14"/>
      <c r="M11" s="15">
        <v>23.4</v>
      </c>
      <c r="N11" s="15">
        <v>10.89</v>
      </c>
    </row>
    <row r="12" spans="1:14" s="15" customFormat="1" ht="20.25" customHeight="1" x14ac:dyDescent="0.15">
      <c r="A12" s="60" t="s">
        <v>2341</v>
      </c>
      <c r="B12" s="9" t="s">
        <v>37</v>
      </c>
      <c r="C12" s="58" t="s">
        <v>29</v>
      </c>
      <c r="D12" s="11" t="s">
        <v>684</v>
      </c>
      <c r="E12" s="10">
        <v>22</v>
      </c>
      <c r="F12" s="58"/>
      <c r="G12" s="12">
        <v>1703</v>
      </c>
      <c r="H12" s="12">
        <v>1780</v>
      </c>
      <c r="I12" s="17" t="s">
        <v>2342</v>
      </c>
      <c r="J12" s="18">
        <v>5</v>
      </c>
      <c r="K12" s="19">
        <f t="shared" si="0"/>
        <v>116.4141</v>
      </c>
      <c r="L12" s="14"/>
      <c r="M12" s="15">
        <v>10.69</v>
      </c>
      <c r="N12" s="15">
        <v>10.89</v>
      </c>
    </row>
    <row r="13" spans="1:14" s="15" customFormat="1" ht="20.25" customHeight="1" x14ac:dyDescent="0.15">
      <c r="A13" s="60" t="s">
        <v>2343</v>
      </c>
      <c r="B13" s="9" t="s">
        <v>187</v>
      </c>
      <c r="C13" s="58" t="s">
        <v>29</v>
      </c>
      <c r="D13" s="11" t="s">
        <v>769</v>
      </c>
      <c r="E13" s="10">
        <v>24</v>
      </c>
      <c r="F13" s="58" t="s">
        <v>11</v>
      </c>
      <c r="G13" s="12">
        <v>1210</v>
      </c>
      <c r="H13" s="12">
        <v>2335</v>
      </c>
      <c r="I13" s="17" t="s">
        <v>2313</v>
      </c>
      <c r="J13" s="18">
        <v>4</v>
      </c>
      <c r="K13" s="19">
        <f t="shared" si="0"/>
        <v>120.2256</v>
      </c>
      <c r="L13" s="14"/>
      <c r="M13" s="15">
        <v>11.04</v>
      </c>
      <c r="N13" s="15">
        <v>10.89</v>
      </c>
    </row>
    <row r="14" spans="1:14" s="15" customFormat="1" ht="20.25" customHeight="1" x14ac:dyDescent="0.15">
      <c r="A14" s="60"/>
      <c r="B14" s="9"/>
      <c r="C14" s="58"/>
      <c r="D14" s="11"/>
      <c r="E14" s="10"/>
      <c r="F14" s="58"/>
      <c r="G14" s="12"/>
      <c r="H14" s="12"/>
      <c r="I14" s="17"/>
      <c r="J14" s="18"/>
      <c r="K14" s="19">
        <f t="shared" si="0"/>
        <v>0</v>
      </c>
      <c r="L14" s="20"/>
      <c r="N14" s="15">
        <v>10.89</v>
      </c>
    </row>
    <row r="15" spans="1:14" s="15" customFormat="1" ht="20.25" customHeight="1" x14ac:dyDescent="0.15">
      <c r="A15" s="60"/>
      <c r="B15" s="9"/>
      <c r="C15" s="58"/>
      <c r="D15" s="11"/>
      <c r="E15" s="10"/>
      <c r="F15" s="58"/>
      <c r="G15" s="12"/>
      <c r="H15" s="12"/>
      <c r="I15" s="17"/>
      <c r="J15" s="18"/>
      <c r="K15" s="19">
        <f t="shared" si="0"/>
        <v>0</v>
      </c>
      <c r="L15" s="20"/>
      <c r="N15" s="15">
        <v>10.89</v>
      </c>
    </row>
    <row r="16" spans="1:14" s="15" customFormat="1" ht="20.25" customHeight="1" x14ac:dyDescent="0.15">
      <c r="A16" s="60"/>
      <c r="B16" s="9"/>
      <c r="C16" s="58"/>
      <c r="D16" s="11"/>
      <c r="E16" s="10"/>
      <c r="F16" s="58"/>
      <c r="G16" s="12"/>
      <c r="H16" s="12"/>
      <c r="I16" s="17"/>
      <c r="J16" s="18"/>
      <c r="K16" s="19">
        <f t="shared" si="0"/>
        <v>0</v>
      </c>
      <c r="L16" s="20"/>
      <c r="N16" s="15">
        <v>10.89</v>
      </c>
    </row>
    <row r="17" spans="1:14" s="15" customFormat="1" ht="20.25" customHeight="1" x14ac:dyDescent="0.15">
      <c r="A17" s="60"/>
      <c r="B17" s="9"/>
      <c r="C17" s="58"/>
      <c r="D17" s="11"/>
      <c r="E17" s="10"/>
      <c r="F17" s="58"/>
      <c r="G17" s="12"/>
      <c r="H17" s="12"/>
      <c r="I17" s="17"/>
      <c r="J17" s="18"/>
      <c r="K17" s="19">
        <f t="shared" si="0"/>
        <v>0</v>
      </c>
      <c r="L17" s="20"/>
      <c r="N17" s="15">
        <v>10.89</v>
      </c>
    </row>
    <row r="18" spans="1:14" s="15" customFormat="1" ht="20.25" customHeight="1" x14ac:dyDescent="0.15">
      <c r="A18" s="60"/>
      <c r="B18" s="9"/>
      <c r="C18" s="58"/>
      <c r="D18" s="11"/>
      <c r="E18" s="10"/>
      <c r="F18" s="58"/>
      <c r="G18" s="12"/>
      <c r="H18" s="12"/>
      <c r="I18" s="17"/>
      <c r="J18" s="18"/>
      <c r="K18" s="19">
        <f t="shared" si="0"/>
        <v>0</v>
      </c>
      <c r="L18" s="20"/>
      <c r="N18" s="15">
        <v>10.89</v>
      </c>
    </row>
    <row r="19" spans="1:14" s="15" customFormat="1" ht="20.25" customHeight="1" x14ac:dyDescent="0.15">
      <c r="A19" s="60"/>
      <c r="B19" s="9"/>
      <c r="C19" s="58"/>
      <c r="D19" s="11"/>
      <c r="E19" s="10"/>
      <c r="F19" s="58"/>
      <c r="G19" s="12"/>
      <c r="H19" s="12"/>
      <c r="I19" s="17"/>
      <c r="J19" s="18"/>
      <c r="K19" s="19">
        <f t="shared" si="0"/>
        <v>0</v>
      </c>
      <c r="L19" s="20"/>
      <c r="N19" s="15">
        <v>10.89</v>
      </c>
    </row>
    <row r="20" spans="1:14" s="15" customFormat="1" ht="20.25" customHeight="1" x14ac:dyDescent="0.15">
      <c r="A20" s="60"/>
      <c r="B20" s="9"/>
      <c r="C20" s="58"/>
      <c r="D20" s="11"/>
      <c r="E20" s="10"/>
      <c r="F20" s="58"/>
      <c r="G20" s="12"/>
      <c r="H20" s="12"/>
      <c r="I20" s="17"/>
      <c r="J20" s="18"/>
      <c r="K20" s="19">
        <f t="shared" si="0"/>
        <v>0</v>
      </c>
      <c r="L20" s="20"/>
      <c r="N20" s="15">
        <v>10.89</v>
      </c>
    </row>
    <row r="21" spans="1:14" s="15" customFormat="1" ht="20.25" customHeight="1" x14ac:dyDescent="0.15">
      <c r="A21" s="60"/>
      <c r="B21" s="9"/>
      <c r="C21" s="58"/>
      <c r="D21" s="11"/>
      <c r="E21" s="10"/>
      <c r="F21" s="58"/>
      <c r="G21" s="50"/>
      <c r="H21" s="50"/>
      <c r="I21" s="17"/>
      <c r="J21" s="18"/>
      <c r="K21" s="19">
        <f t="shared" si="0"/>
        <v>0</v>
      </c>
      <c r="L21" s="20"/>
      <c r="N21" s="15">
        <v>10.89</v>
      </c>
    </row>
    <row r="22" spans="1:14" s="15" customFormat="1" ht="20.25" customHeight="1" x14ac:dyDescent="0.15">
      <c r="A22" s="60"/>
      <c r="B22" s="9"/>
      <c r="C22" s="58"/>
      <c r="D22" s="11"/>
      <c r="E22" s="10"/>
      <c r="F22" s="58"/>
      <c r="G22" s="50"/>
      <c r="H22" s="50"/>
      <c r="I22" s="17"/>
      <c r="J22" s="18"/>
      <c r="K22" s="19">
        <f t="shared" si="0"/>
        <v>0</v>
      </c>
      <c r="L22" s="20"/>
      <c r="N22" s="15">
        <v>10.89</v>
      </c>
    </row>
    <row r="23" spans="1:14" ht="20.25" customHeight="1" x14ac:dyDescent="0.15">
      <c r="A23" s="60"/>
      <c r="B23" s="9"/>
      <c r="C23" s="58"/>
      <c r="D23" s="11"/>
      <c r="E23" s="10"/>
      <c r="F23" s="58"/>
      <c r="G23" s="16"/>
      <c r="H23" s="16"/>
      <c r="I23" s="17"/>
      <c r="J23" s="18"/>
      <c r="K23" s="19">
        <f t="shared" si="0"/>
        <v>0</v>
      </c>
      <c r="L23" s="20"/>
      <c r="N23" s="15">
        <v>10.89</v>
      </c>
    </row>
    <row r="24" spans="1:14" ht="20.25" customHeight="1" thickBot="1" x14ac:dyDescent="0.2">
      <c r="A24" s="56"/>
      <c r="B24" s="21"/>
      <c r="C24" s="59"/>
      <c r="D24" s="22"/>
      <c r="E24" s="23"/>
      <c r="F24" s="23"/>
      <c r="G24" s="24"/>
      <c r="H24" s="24"/>
      <c r="I24" s="25"/>
      <c r="J24" s="46">
        <f>SUM(J8:J23)</f>
        <v>439</v>
      </c>
      <c r="K24" s="47">
        <f>SUM(K8:K23)</f>
        <v>5336.4267</v>
      </c>
      <c r="L24" s="26"/>
    </row>
    <row r="25" spans="1:14" ht="20.25" customHeight="1" thickTop="1" x14ac:dyDescent="0.15">
      <c r="A25" s="60" t="s">
        <v>2327</v>
      </c>
      <c r="B25" s="9" t="s">
        <v>647</v>
      </c>
      <c r="C25" s="58" t="s">
        <v>29</v>
      </c>
      <c r="D25" s="11" t="s">
        <v>217</v>
      </c>
      <c r="E25" s="10">
        <v>22</v>
      </c>
      <c r="F25" s="58" t="s">
        <v>11</v>
      </c>
      <c r="G25" s="12">
        <v>615</v>
      </c>
      <c r="H25" s="12">
        <v>1385</v>
      </c>
      <c r="I25" s="17" t="s">
        <v>2344</v>
      </c>
      <c r="J25" s="18">
        <v>126</v>
      </c>
      <c r="K25" s="19">
        <f t="shared" ref="K25:K40" si="1">+M25*N25</f>
        <v>525.98699999999997</v>
      </c>
      <c r="L25" s="54"/>
      <c r="M25" s="3">
        <v>48.3</v>
      </c>
      <c r="N25" s="15">
        <v>10.89</v>
      </c>
    </row>
    <row r="26" spans="1:14" ht="20.25" customHeight="1" x14ac:dyDescent="0.15">
      <c r="A26" s="60"/>
      <c r="B26" s="9"/>
      <c r="C26" s="58" t="s">
        <v>29</v>
      </c>
      <c r="D26" s="11" t="s">
        <v>648</v>
      </c>
      <c r="E26" s="10">
        <v>24</v>
      </c>
      <c r="F26" s="58"/>
      <c r="G26" s="12">
        <v>615</v>
      </c>
      <c r="H26" s="12">
        <v>1981</v>
      </c>
      <c r="I26" s="17" t="s">
        <v>2311</v>
      </c>
      <c r="J26" s="18">
        <v>30</v>
      </c>
      <c r="K26" s="19">
        <f t="shared" si="1"/>
        <v>233.04599999999999</v>
      </c>
      <c r="L26" s="54"/>
      <c r="M26" s="3">
        <v>21.4</v>
      </c>
      <c r="N26" s="15">
        <v>10.89</v>
      </c>
    </row>
    <row r="27" spans="1:14" ht="20.25" customHeight="1" x14ac:dyDescent="0.15">
      <c r="A27" s="61" t="s">
        <v>2345</v>
      </c>
      <c r="B27" s="9" t="s">
        <v>173</v>
      </c>
      <c r="C27" s="58" t="s">
        <v>29</v>
      </c>
      <c r="D27" s="11" t="s">
        <v>195</v>
      </c>
      <c r="E27" s="10">
        <v>22</v>
      </c>
      <c r="F27" s="10"/>
      <c r="G27" s="12">
        <v>954</v>
      </c>
      <c r="H27" s="12">
        <v>1967</v>
      </c>
      <c r="I27" s="17" t="s">
        <v>2346</v>
      </c>
      <c r="J27" s="18">
        <v>84</v>
      </c>
      <c r="K27" s="19">
        <f t="shared" si="1"/>
        <v>829.38239999999996</v>
      </c>
      <c r="L27" s="54"/>
      <c r="M27" s="3">
        <v>76.16</v>
      </c>
      <c r="N27" s="15">
        <v>10.89</v>
      </c>
    </row>
    <row r="28" spans="1:14" ht="20.25" customHeight="1" x14ac:dyDescent="0.15">
      <c r="A28" s="61" t="s">
        <v>2347</v>
      </c>
      <c r="B28" s="9" t="s">
        <v>173</v>
      </c>
      <c r="C28" s="58" t="s">
        <v>29</v>
      </c>
      <c r="D28" s="11" t="s">
        <v>195</v>
      </c>
      <c r="E28" s="10">
        <v>22</v>
      </c>
      <c r="F28" s="10"/>
      <c r="G28" s="12">
        <v>954</v>
      </c>
      <c r="H28" s="12">
        <v>1967</v>
      </c>
      <c r="I28" s="17" t="s">
        <v>2348</v>
      </c>
      <c r="J28" s="18">
        <v>88</v>
      </c>
      <c r="K28" s="19">
        <f t="shared" si="1"/>
        <v>1202.2560000000001</v>
      </c>
      <c r="L28" s="54"/>
      <c r="M28" s="3">
        <v>110.4</v>
      </c>
      <c r="N28" s="15">
        <v>10.89</v>
      </c>
    </row>
    <row r="29" spans="1:14" ht="20.25" customHeight="1" x14ac:dyDescent="0.15">
      <c r="A29" s="61" t="s">
        <v>2349</v>
      </c>
      <c r="B29" s="9" t="s">
        <v>110</v>
      </c>
      <c r="C29" s="58" t="s">
        <v>29</v>
      </c>
      <c r="D29" s="11" t="s">
        <v>1416</v>
      </c>
      <c r="E29" s="10">
        <v>28</v>
      </c>
      <c r="F29" s="10" t="s">
        <v>11</v>
      </c>
      <c r="G29" s="12">
        <v>350</v>
      </c>
      <c r="H29" s="12">
        <v>500</v>
      </c>
      <c r="I29" s="17">
        <v>15</v>
      </c>
      <c r="J29" s="18">
        <v>15</v>
      </c>
      <c r="K29" s="19">
        <f t="shared" si="1"/>
        <v>45.738000000000007</v>
      </c>
      <c r="L29" s="54"/>
      <c r="M29" s="3">
        <v>4.2</v>
      </c>
      <c r="N29" s="15">
        <v>10.89</v>
      </c>
    </row>
    <row r="30" spans="1:14" ht="20.25" customHeight="1" x14ac:dyDescent="0.15">
      <c r="A30" s="61"/>
      <c r="B30" s="9"/>
      <c r="C30" s="58" t="s">
        <v>29</v>
      </c>
      <c r="D30" s="11" t="s">
        <v>2350</v>
      </c>
      <c r="E30" s="10">
        <v>35.520000000000003</v>
      </c>
      <c r="F30" s="10" t="s">
        <v>11</v>
      </c>
      <c r="G30" s="12">
        <v>350</v>
      </c>
      <c r="H30" s="12">
        <v>500</v>
      </c>
      <c r="I30" s="51">
        <v>15</v>
      </c>
      <c r="J30" s="52">
        <v>15</v>
      </c>
      <c r="K30" s="53">
        <f t="shared" si="1"/>
        <v>45.738000000000007</v>
      </c>
      <c r="L30" s="54"/>
      <c r="M30" s="3">
        <v>4.2</v>
      </c>
      <c r="N30" s="15">
        <v>10.89</v>
      </c>
    </row>
    <row r="31" spans="1:14" ht="20.25" customHeight="1" x14ac:dyDescent="0.15">
      <c r="A31" s="61" t="s">
        <v>2351</v>
      </c>
      <c r="B31" s="9" t="s">
        <v>2352</v>
      </c>
      <c r="C31" s="58" t="s">
        <v>29</v>
      </c>
      <c r="D31" s="11" t="s">
        <v>2063</v>
      </c>
      <c r="E31" s="10">
        <v>43</v>
      </c>
      <c r="F31" s="10" t="s">
        <v>11</v>
      </c>
      <c r="G31" s="12">
        <v>579</v>
      </c>
      <c r="H31" s="12">
        <v>1029</v>
      </c>
      <c r="I31" s="51" t="s">
        <v>2353</v>
      </c>
      <c r="J31" s="52">
        <v>21</v>
      </c>
      <c r="K31" s="53">
        <f t="shared" si="1"/>
        <v>272.14109999999999</v>
      </c>
      <c r="L31" s="54"/>
      <c r="M31" s="3">
        <v>24.99</v>
      </c>
      <c r="N31" s="15">
        <v>10.89</v>
      </c>
    </row>
    <row r="32" spans="1:14" ht="20.25" customHeight="1" x14ac:dyDescent="0.15">
      <c r="A32" s="61" t="s">
        <v>2354</v>
      </c>
      <c r="B32" s="9" t="s">
        <v>2352</v>
      </c>
      <c r="C32" s="58" t="s">
        <v>29</v>
      </c>
      <c r="D32" s="11" t="s">
        <v>2063</v>
      </c>
      <c r="E32" s="10">
        <v>43</v>
      </c>
      <c r="F32" s="10" t="s">
        <v>11</v>
      </c>
      <c r="G32" s="12">
        <v>572</v>
      </c>
      <c r="H32" s="12">
        <v>1027</v>
      </c>
      <c r="I32" s="17" t="s">
        <v>2355</v>
      </c>
      <c r="J32" s="18">
        <v>23</v>
      </c>
      <c r="K32" s="19">
        <f t="shared" si="1"/>
        <v>290.00069999999999</v>
      </c>
      <c r="L32" s="27"/>
      <c r="M32" s="3">
        <v>26.63</v>
      </c>
      <c r="N32" s="15">
        <v>10.89</v>
      </c>
    </row>
    <row r="33" spans="1:14" ht="20.25" customHeight="1" x14ac:dyDescent="0.15">
      <c r="A33" s="60"/>
      <c r="B33" s="9"/>
      <c r="C33" s="58"/>
      <c r="D33" s="11"/>
      <c r="E33" s="10"/>
      <c r="F33" s="10"/>
      <c r="G33" s="12"/>
      <c r="H33" s="12"/>
      <c r="I33" s="17"/>
      <c r="J33" s="18"/>
      <c r="K33" s="19">
        <f t="shared" si="1"/>
        <v>0</v>
      </c>
      <c r="L33" s="27"/>
      <c r="N33" s="15">
        <v>10.89</v>
      </c>
    </row>
    <row r="34" spans="1:14" ht="20.25" customHeight="1" x14ac:dyDescent="0.15">
      <c r="A34" s="60"/>
      <c r="B34" s="9"/>
      <c r="C34" s="58"/>
      <c r="D34" s="11"/>
      <c r="E34" s="10"/>
      <c r="F34" s="10"/>
      <c r="G34" s="12"/>
      <c r="H34" s="12"/>
      <c r="I34" s="17"/>
      <c r="J34" s="18"/>
      <c r="K34" s="19">
        <f t="shared" si="1"/>
        <v>0</v>
      </c>
      <c r="L34" s="27"/>
      <c r="N34" s="15">
        <v>10.89</v>
      </c>
    </row>
    <row r="35" spans="1:14" ht="20.25" customHeight="1" x14ac:dyDescent="0.15">
      <c r="A35" s="60"/>
      <c r="B35" s="9"/>
      <c r="C35" s="58"/>
      <c r="D35" s="11"/>
      <c r="E35" s="10"/>
      <c r="F35" s="10"/>
      <c r="G35" s="12"/>
      <c r="H35" s="12"/>
      <c r="I35" s="17"/>
      <c r="J35" s="18"/>
      <c r="K35" s="19">
        <f t="shared" si="1"/>
        <v>0</v>
      </c>
      <c r="L35" s="27"/>
      <c r="N35" s="15">
        <v>10.89</v>
      </c>
    </row>
    <row r="36" spans="1:14" ht="20.25" customHeight="1" x14ac:dyDescent="0.15">
      <c r="A36" s="60"/>
      <c r="B36" s="9"/>
      <c r="C36" s="58"/>
      <c r="D36" s="11"/>
      <c r="E36" s="10"/>
      <c r="F36" s="10"/>
      <c r="G36" s="12"/>
      <c r="H36" s="12"/>
      <c r="I36" s="17"/>
      <c r="J36" s="18"/>
      <c r="K36" s="19">
        <f t="shared" si="1"/>
        <v>0</v>
      </c>
      <c r="L36" s="27"/>
      <c r="N36" s="15">
        <v>10.89</v>
      </c>
    </row>
    <row r="37" spans="1:14" ht="20.25" customHeight="1" x14ac:dyDescent="0.15">
      <c r="A37" s="60"/>
      <c r="B37" s="9"/>
      <c r="C37" s="58"/>
      <c r="D37" s="11"/>
      <c r="E37" s="10"/>
      <c r="F37" s="10"/>
      <c r="G37" s="12"/>
      <c r="H37" s="12"/>
      <c r="I37" s="17"/>
      <c r="J37" s="18"/>
      <c r="K37" s="19">
        <f t="shared" si="1"/>
        <v>0</v>
      </c>
      <c r="L37" s="27"/>
      <c r="N37" s="15">
        <v>10.89</v>
      </c>
    </row>
    <row r="38" spans="1:14" ht="20.25" customHeight="1" x14ac:dyDescent="0.15">
      <c r="A38" s="60"/>
      <c r="B38" s="9"/>
      <c r="C38" s="58"/>
      <c r="D38" s="11"/>
      <c r="E38" s="10"/>
      <c r="F38" s="10"/>
      <c r="G38" s="12"/>
      <c r="H38" s="12"/>
      <c r="I38" s="17"/>
      <c r="J38" s="18"/>
      <c r="K38" s="19">
        <f t="shared" si="1"/>
        <v>0</v>
      </c>
      <c r="L38" s="27"/>
      <c r="N38" s="15">
        <v>10.89</v>
      </c>
    </row>
    <row r="39" spans="1:14" ht="20.25" customHeight="1" x14ac:dyDescent="0.15">
      <c r="A39" s="60"/>
      <c r="B39" s="9"/>
      <c r="C39" s="58"/>
      <c r="D39" s="11"/>
      <c r="E39" s="10"/>
      <c r="F39" s="10"/>
      <c r="G39" s="12"/>
      <c r="H39" s="12"/>
      <c r="I39" s="17"/>
      <c r="J39" s="18"/>
      <c r="K39" s="19">
        <f t="shared" si="1"/>
        <v>0</v>
      </c>
      <c r="L39" s="27"/>
      <c r="N39" s="15">
        <v>10.89</v>
      </c>
    </row>
    <row r="40" spans="1:14" ht="20.25" customHeight="1" x14ac:dyDescent="0.15">
      <c r="A40" s="60"/>
      <c r="B40" s="9"/>
      <c r="C40" s="58"/>
      <c r="D40" s="11"/>
      <c r="E40" s="10"/>
      <c r="F40" s="10"/>
      <c r="G40" s="12"/>
      <c r="H40" s="12"/>
      <c r="I40" s="17"/>
      <c r="J40" s="18"/>
      <c r="K40" s="19">
        <f t="shared" si="1"/>
        <v>0</v>
      </c>
      <c r="L40" s="27"/>
      <c r="N40" s="15">
        <v>10.89</v>
      </c>
    </row>
    <row r="41" spans="1:14" ht="20.25" customHeight="1" x14ac:dyDescent="0.15">
      <c r="A41" s="57"/>
      <c r="B41" s="28"/>
      <c r="C41" s="10"/>
      <c r="D41" s="29"/>
      <c r="E41" s="30"/>
      <c r="F41" s="30"/>
      <c r="G41" s="30"/>
      <c r="H41" s="30"/>
      <c r="I41" s="13"/>
      <c r="J41" s="48">
        <f>SUM(J25:J40)</f>
        <v>402</v>
      </c>
      <c r="K41" s="49">
        <f>SUM(K25:K40)</f>
        <v>3444.2891999999997</v>
      </c>
      <c r="L41" s="31"/>
      <c r="N41" s="32"/>
    </row>
    <row r="42" spans="1:14" ht="20.25" customHeight="1" thickBot="1" x14ac:dyDescent="0.2">
      <c r="A42" s="55"/>
      <c r="B42" s="33"/>
      <c r="C42" s="33"/>
      <c r="D42" s="33"/>
      <c r="E42" s="33"/>
      <c r="F42" s="33"/>
      <c r="G42" s="33"/>
      <c r="H42" s="33"/>
      <c r="I42" s="33"/>
      <c r="J42" s="34"/>
      <c r="K42" s="35"/>
      <c r="L42" s="36"/>
    </row>
    <row r="43" spans="1:14" ht="20.25" customHeight="1" thickBot="1" x14ac:dyDescent="0.2">
      <c r="A43" s="37" t="s">
        <v>19</v>
      </c>
      <c r="B43" s="38" t="s">
        <v>20</v>
      </c>
      <c r="C43" s="77" t="s">
        <v>21</v>
      </c>
      <c r="D43" s="79"/>
      <c r="E43" s="77" t="s">
        <v>22</v>
      </c>
      <c r="F43" s="78"/>
      <c r="G43" s="79"/>
      <c r="H43" s="85" t="s">
        <v>23</v>
      </c>
      <c r="I43" s="86"/>
      <c r="J43" s="77" t="s">
        <v>24</v>
      </c>
      <c r="K43" s="79"/>
      <c r="L43" s="39" t="s">
        <v>13</v>
      </c>
    </row>
    <row r="44" spans="1:14" ht="20.25" customHeight="1" thickBot="1" x14ac:dyDescent="0.2">
      <c r="A44" s="40">
        <f>SUMIF($C$8:$C$42,"U1",$J$8:$J$42)</f>
        <v>0</v>
      </c>
      <c r="B44" s="41">
        <f>SUMIF($C$8:$C$42,"U2",$J$8:$J$42)</f>
        <v>0</v>
      </c>
      <c r="C44" s="77">
        <f>SUMIF($C$8:$C$42,"U3-1",$J$8:$J$42)</f>
        <v>0</v>
      </c>
      <c r="D44" s="79"/>
      <c r="E44" s="77">
        <f>SUMIF($C$8:$C$42,"U3",$J$8:$J$42)</f>
        <v>841</v>
      </c>
      <c r="F44" s="78"/>
      <c r="G44" s="79"/>
      <c r="H44" s="77">
        <f>SUMIF($C$8:$C$42,"E5",$J$8:$J$42)</f>
        <v>0</v>
      </c>
      <c r="I44" s="79"/>
      <c r="J44" s="77">
        <f>SUM(A44:I44)</f>
        <v>841</v>
      </c>
      <c r="K44" s="79"/>
      <c r="L44" s="42"/>
    </row>
    <row r="45" spans="1:14" ht="20.25" customHeight="1" thickBot="1" x14ac:dyDescent="0.2">
      <c r="A45" s="43" t="s">
        <v>25</v>
      </c>
      <c r="B45" s="44" t="s">
        <v>26</v>
      </c>
      <c r="C45" s="75">
        <v>13876</v>
      </c>
      <c r="D45" s="76"/>
      <c r="E45" s="77" t="s">
        <v>27</v>
      </c>
      <c r="F45" s="78"/>
      <c r="G45" s="78"/>
      <c r="H45" s="78"/>
      <c r="I45" s="79"/>
      <c r="J45" s="80">
        <v>146744.37</v>
      </c>
      <c r="K45" s="81"/>
      <c r="L45" s="82"/>
    </row>
    <row r="47" spans="1:14" x14ac:dyDescent="0.15">
      <c r="D47" s="45"/>
    </row>
  </sheetData>
  <mergeCells count="26">
    <mergeCell ref="L2:L4"/>
    <mergeCell ref="A1:G3"/>
    <mergeCell ref="H1:H4"/>
    <mergeCell ref="I2:I4"/>
    <mergeCell ref="J2:J4"/>
    <mergeCell ref="K2:K4"/>
    <mergeCell ref="B5:G5"/>
    <mergeCell ref="A6:A7"/>
    <mergeCell ref="B6:B7"/>
    <mergeCell ref="C6:C7"/>
    <mergeCell ref="D6:D7"/>
    <mergeCell ref="E6:E7"/>
    <mergeCell ref="F6:F7"/>
    <mergeCell ref="G6:K6"/>
    <mergeCell ref="C45:D45"/>
    <mergeCell ref="E45:I45"/>
    <mergeCell ref="J45:L45"/>
    <mergeCell ref="L6:L7"/>
    <mergeCell ref="C43:D43"/>
    <mergeCell ref="E43:G43"/>
    <mergeCell ref="H43:I43"/>
    <mergeCell ref="J43:K43"/>
    <mergeCell ref="C44:D44"/>
    <mergeCell ref="E44:G44"/>
    <mergeCell ref="H44:I44"/>
    <mergeCell ref="J44:K44"/>
  </mergeCells>
  <phoneticPr fontId="2" type="noConversion"/>
  <printOptions horizontalCentered="1"/>
  <pageMargins left="0.39370078740157483" right="0.39370078740157483" top="0.74803149606299213" bottom="0.19685039370078741" header="0.31496062992125984" footer="0.15748031496062992"/>
  <pageSetup paperSize="9" scale="84" orientation="portrait" r:id="rId1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35C991-73F4-493B-B17B-570B621F731E}">
  <dimension ref="A1:N47"/>
  <sheetViews>
    <sheetView view="pageBreakPreview" topLeftCell="A4" zoomScaleSheetLayoutView="100" workbookViewId="0">
      <selection activeCell="B20" sqref="B20:F20"/>
    </sheetView>
  </sheetViews>
  <sheetFormatPr defaultColWidth="8.88671875" defaultRowHeight="13.5" x14ac:dyDescent="0.15"/>
  <cols>
    <col min="1" max="1" width="8.44140625" style="3" customWidth="1"/>
    <col min="2" max="2" width="14.77734375" style="3" customWidth="1"/>
    <col min="3" max="3" width="4.109375" style="3" customWidth="1"/>
    <col min="4" max="4" width="15.21875" style="3" customWidth="1"/>
    <col min="5" max="5" width="4.44140625" style="3" customWidth="1"/>
    <col min="6" max="6" width="4" style="3" customWidth="1"/>
    <col min="7" max="7" width="5.5546875" style="3" customWidth="1"/>
    <col min="8" max="8" width="5.44140625" style="3" customWidth="1"/>
    <col min="9" max="9" width="7.88671875" style="3" customWidth="1"/>
    <col min="10" max="10" width="7.109375" style="3" customWidth="1"/>
    <col min="11" max="11" width="7.21875" style="3" customWidth="1"/>
    <col min="12" max="12" width="6.77734375" style="3" customWidth="1"/>
    <col min="13" max="16384" width="8.88671875" style="3"/>
  </cols>
  <sheetData>
    <row r="1" spans="1:14" ht="18.75" customHeight="1" x14ac:dyDescent="0.15">
      <c r="A1" s="101" t="s">
        <v>0</v>
      </c>
      <c r="B1" s="102"/>
      <c r="C1" s="102"/>
      <c r="D1" s="102"/>
      <c r="E1" s="102"/>
      <c r="F1" s="102"/>
      <c r="G1" s="103"/>
      <c r="H1" s="107" t="s">
        <v>1</v>
      </c>
      <c r="I1" s="1" t="s">
        <v>2</v>
      </c>
      <c r="J1" s="1" t="s">
        <v>2</v>
      </c>
      <c r="K1" s="1" t="s">
        <v>3</v>
      </c>
      <c r="L1" s="2" t="s">
        <v>4</v>
      </c>
    </row>
    <row r="2" spans="1:14" ht="13.5" customHeight="1" x14ac:dyDescent="0.15">
      <c r="A2" s="104"/>
      <c r="B2" s="105"/>
      <c r="C2" s="105"/>
      <c r="D2" s="105"/>
      <c r="E2" s="105"/>
      <c r="F2" s="105"/>
      <c r="G2" s="106"/>
      <c r="H2" s="108"/>
      <c r="I2" s="110"/>
      <c r="J2" s="110"/>
      <c r="K2" s="110"/>
      <c r="L2" s="98"/>
    </row>
    <row r="3" spans="1:14" ht="13.5" customHeight="1" x14ac:dyDescent="0.15">
      <c r="A3" s="104"/>
      <c r="B3" s="105"/>
      <c r="C3" s="105"/>
      <c r="D3" s="105"/>
      <c r="E3" s="105"/>
      <c r="F3" s="105"/>
      <c r="G3" s="106"/>
      <c r="H3" s="108"/>
      <c r="I3" s="108"/>
      <c r="J3" s="108"/>
      <c r="K3" s="108"/>
      <c r="L3" s="99"/>
    </row>
    <row r="4" spans="1:14" ht="33" customHeight="1" x14ac:dyDescent="0.15">
      <c r="A4" s="4"/>
      <c r="B4" s="5"/>
      <c r="C4" s="5"/>
      <c r="D4" s="5"/>
      <c r="E4" s="5"/>
      <c r="F4" s="5"/>
      <c r="G4" s="5"/>
      <c r="H4" s="109"/>
      <c r="I4" s="109"/>
      <c r="J4" s="109"/>
      <c r="K4" s="109"/>
      <c r="L4" s="100"/>
    </row>
    <row r="5" spans="1:14" ht="17.25" customHeight="1" x14ac:dyDescent="0.15">
      <c r="A5" s="6" t="s">
        <v>5</v>
      </c>
      <c r="B5" s="87">
        <v>46148</v>
      </c>
      <c r="C5" s="88"/>
      <c r="D5" s="88"/>
      <c r="E5" s="88"/>
      <c r="F5" s="88"/>
      <c r="G5" s="88"/>
      <c r="H5" s="5"/>
      <c r="I5" s="5"/>
      <c r="J5" s="5"/>
      <c r="K5" s="5"/>
      <c r="L5" s="7"/>
    </row>
    <row r="6" spans="1:14" ht="13.5" customHeight="1" x14ac:dyDescent="0.15">
      <c r="A6" s="89" t="s">
        <v>6</v>
      </c>
      <c r="B6" s="91" t="s">
        <v>7</v>
      </c>
      <c r="C6" s="91" t="s">
        <v>8</v>
      </c>
      <c r="D6" s="91" t="s">
        <v>9</v>
      </c>
      <c r="E6" s="93" t="s">
        <v>10</v>
      </c>
      <c r="F6" s="93" t="s">
        <v>11</v>
      </c>
      <c r="G6" s="95" t="s">
        <v>12</v>
      </c>
      <c r="H6" s="96"/>
      <c r="I6" s="96"/>
      <c r="J6" s="96"/>
      <c r="K6" s="97"/>
      <c r="L6" s="83" t="s">
        <v>13</v>
      </c>
    </row>
    <row r="7" spans="1:14" x14ac:dyDescent="0.15">
      <c r="A7" s="90"/>
      <c r="B7" s="92"/>
      <c r="C7" s="92"/>
      <c r="D7" s="92"/>
      <c r="E7" s="94"/>
      <c r="F7" s="94"/>
      <c r="G7" s="8" t="s">
        <v>14</v>
      </c>
      <c r="H7" s="8" t="s">
        <v>15</v>
      </c>
      <c r="I7" s="8" t="s">
        <v>16</v>
      </c>
      <c r="J7" s="8" t="s">
        <v>17</v>
      </c>
      <c r="K7" s="8" t="s">
        <v>18</v>
      </c>
      <c r="L7" s="84"/>
    </row>
    <row r="8" spans="1:14" ht="20.25" customHeight="1" x14ac:dyDescent="0.15">
      <c r="A8" s="60" t="s">
        <v>2368</v>
      </c>
      <c r="B8" s="9" t="s">
        <v>80</v>
      </c>
      <c r="C8" s="58" t="s">
        <v>29</v>
      </c>
      <c r="D8" s="11" t="s">
        <v>195</v>
      </c>
      <c r="E8" s="10">
        <v>22</v>
      </c>
      <c r="F8" s="10"/>
      <c r="G8" s="12">
        <v>677</v>
      </c>
      <c r="H8" s="12">
        <v>2190</v>
      </c>
      <c r="I8" s="17" t="s">
        <v>2369</v>
      </c>
      <c r="J8" s="18">
        <v>270</v>
      </c>
      <c r="K8" s="19">
        <f t="shared" ref="K8:K15" si="0">+M8*N8</f>
        <v>4351.6440000000002</v>
      </c>
      <c r="L8" s="54"/>
      <c r="M8" s="3">
        <v>399.6</v>
      </c>
      <c r="N8" s="15">
        <v>10.89</v>
      </c>
    </row>
    <row r="9" spans="1:14" ht="20.25" customHeight="1" x14ac:dyDescent="0.15">
      <c r="A9" s="60" t="s">
        <v>2337</v>
      </c>
      <c r="B9" s="9" t="s">
        <v>647</v>
      </c>
      <c r="C9" s="58" t="s">
        <v>29</v>
      </c>
      <c r="D9" s="11" t="s">
        <v>217</v>
      </c>
      <c r="E9" s="10">
        <v>22</v>
      </c>
      <c r="F9" s="58" t="s">
        <v>11</v>
      </c>
      <c r="G9" s="12">
        <v>270</v>
      </c>
      <c r="H9" s="12">
        <v>985</v>
      </c>
      <c r="I9" s="17">
        <v>5</v>
      </c>
      <c r="J9" s="18">
        <v>5</v>
      </c>
      <c r="K9" s="19">
        <f t="shared" si="0"/>
        <v>15.246</v>
      </c>
      <c r="L9" s="54"/>
      <c r="M9" s="3">
        <v>1.4</v>
      </c>
      <c r="N9" s="15">
        <v>10.89</v>
      </c>
    </row>
    <row r="10" spans="1:14" ht="20.25" customHeight="1" x14ac:dyDescent="0.15">
      <c r="A10" s="61"/>
      <c r="B10" s="9"/>
      <c r="C10" s="58" t="s">
        <v>29</v>
      </c>
      <c r="D10" s="11" t="s">
        <v>648</v>
      </c>
      <c r="E10" s="10">
        <v>24</v>
      </c>
      <c r="F10" s="58"/>
      <c r="G10" s="12">
        <v>770</v>
      </c>
      <c r="H10" s="12">
        <v>1981</v>
      </c>
      <c r="I10" s="17" t="s">
        <v>2308</v>
      </c>
      <c r="J10" s="18">
        <v>20</v>
      </c>
      <c r="K10" s="19">
        <f t="shared" si="0"/>
        <v>216.71099999999998</v>
      </c>
      <c r="L10" s="54"/>
      <c r="M10" s="3">
        <v>19.899999999999999</v>
      </c>
      <c r="N10" s="15">
        <v>10.89</v>
      </c>
    </row>
    <row r="11" spans="1:14" ht="20.25" customHeight="1" x14ac:dyDescent="0.15">
      <c r="A11" s="61" t="s">
        <v>2370</v>
      </c>
      <c r="B11" s="9" t="s">
        <v>647</v>
      </c>
      <c r="C11" s="58" t="s">
        <v>29</v>
      </c>
      <c r="D11" s="11" t="s">
        <v>217</v>
      </c>
      <c r="E11" s="10">
        <v>22</v>
      </c>
      <c r="F11" s="58" t="s">
        <v>11</v>
      </c>
      <c r="G11" s="12">
        <v>1725</v>
      </c>
      <c r="H11" s="12">
        <v>1981</v>
      </c>
      <c r="I11" s="17" t="s">
        <v>2371</v>
      </c>
      <c r="J11" s="18">
        <v>260</v>
      </c>
      <c r="K11" s="19">
        <f t="shared" si="0"/>
        <v>2718.1440000000002</v>
      </c>
      <c r="L11" s="54"/>
      <c r="M11" s="3">
        <v>249.6</v>
      </c>
      <c r="N11" s="15">
        <v>10.89</v>
      </c>
    </row>
    <row r="12" spans="1:14" ht="20.25" customHeight="1" x14ac:dyDescent="0.15">
      <c r="A12" s="61"/>
      <c r="B12" s="9"/>
      <c r="C12" s="58" t="s">
        <v>29</v>
      </c>
      <c r="D12" s="11" t="s">
        <v>648</v>
      </c>
      <c r="E12" s="10">
        <v>24</v>
      </c>
      <c r="F12" s="58"/>
      <c r="G12" s="12">
        <v>615</v>
      </c>
      <c r="H12" s="12">
        <v>1981</v>
      </c>
      <c r="I12" s="17" t="s">
        <v>2311</v>
      </c>
      <c r="J12" s="18">
        <v>30</v>
      </c>
      <c r="K12" s="19">
        <f t="shared" si="0"/>
        <v>233.04599999999999</v>
      </c>
      <c r="L12" s="54"/>
      <c r="M12" s="3">
        <v>21.4</v>
      </c>
      <c r="N12" s="15">
        <v>10.89</v>
      </c>
    </row>
    <row r="13" spans="1:14" ht="20.25" customHeight="1" x14ac:dyDescent="0.15">
      <c r="A13" s="61" t="s">
        <v>2372</v>
      </c>
      <c r="B13" s="9" t="s">
        <v>80</v>
      </c>
      <c r="C13" s="58" t="s">
        <v>29</v>
      </c>
      <c r="D13" s="11" t="s">
        <v>243</v>
      </c>
      <c r="E13" s="10">
        <v>24</v>
      </c>
      <c r="F13" s="10" t="s">
        <v>11</v>
      </c>
      <c r="G13" s="12">
        <v>1030</v>
      </c>
      <c r="H13" s="12">
        <v>2305</v>
      </c>
      <c r="I13" s="51">
        <v>1</v>
      </c>
      <c r="J13" s="52">
        <v>1</v>
      </c>
      <c r="K13" s="53">
        <f t="shared" si="0"/>
        <v>25.809300000000004</v>
      </c>
      <c r="L13" s="54"/>
      <c r="M13" s="3">
        <v>2.37</v>
      </c>
      <c r="N13" s="15">
        <v>10.89</v>
      </c>
    </row>
    <row r="14" spans="1:14" ht="20.25" customHeight="1" x14ac:dyDescent="0.15">
      <c r="A14" s="61" t="s">
        <v>2373</v>
      </c>
      <c r="B14" s="9" t="s">
        <v>2374</v>
      </c>
      <c r="C14" s="58" t="s">
        <v>29</v>
      </c>
      <c r="D14" s="11" t="s">
        <v>2173</v>
      </c>
      <c r="E14" s="10">
        <v>24</v>
      </c>
      <c r="F14" s="10" t="s">
        <v>11</v>
      </c>
      <c r="G14" s="12">
        <v>783</v>
      </c>
      <c r="H14" s="12">
        <v>669</v>
      </c>
      <c r="I14" s="51">
        <v>2</v>
      </c>
      <c r="J14" s="52">
        <v>2</v>
      </c>
      <c r="K14" s="53">
        <f t="shared" si="0"/>
        <v>11.325600000000001</v>
      </c>
      <c r="L14" s="54"/>
      <c r="M14" s="3">
        <v>1.04</v>
      </c>
      <c r="N14" s="15">
        <v>10.89</v>
      </c>
    </row>
    <row r="15" spans="1:14" ht="20.25" customHeight="1" x14ac:dyDescent="0.15">
      <c r="A15" s="60"/>
      <c r="B15" s="9"/>
      <c r="C15" s="58" t="s">
        <v>29</v>
      </c>
      <c r="D15" s="11" t="s">
        <v>2375</v>
      </c>
      <c r="E15" s="10">
        <v>24</v>
      </c>
      <c r="F15" s="10" t="s">
        <v>11</v>
      </c>
      <c r="G15" s="12">
        <v>708</v>
      </c>
      <c r="H15" s="12">
        <v>2264</v>
      </c>
      <c r="I15" s="17">
        <v>4</v>
      </c>
      <c r="J15" s="18">
        <v>4</v>
      </c>
      <c r="K15" s="19">
        <f t="shared" si="0"/>
        <v>69.696000000000012</v>
      </c>
      <c r="L15" s="27"/>
      <c r="M15" s="3">
        <v>6.4</v>
      </c>
      <c r="N15" s="15">
        <v>10.89</v>
      </c>
    </row>
    <row r="16" spans="1:14" s="15" customFormat="1" ht="20.25" customHeight="1" x14ac:dyDescent="0.15">
      <c r="A16" s="60"/>
      <c r="B16" s="9"/>
      <c r="C16" s="58"/>
      <c r="D16" s="11"/>
      <c r="E16" s="10"/>
      <c r="F16" s="58"/>
      <c r="G16" s="50"/>
      <c r="H16" s="50"/>
      <c r="I16" s="17"/>
      <c r="J16" s="18"/>
      <c r="K16" s="19">
        <f t="shared" ref="K16:K18" si="1">+M16*N16</f>
        <v>0</v>
      </c>
      <c r="L16" s="20"/>
      <c r="N16" s="15">
        <v>10.89</v>
      </c>
    </row>
    <row r="17" spans="1:14" s="15" customFormat="1" ht="20.25" customHeight="1" x14ac:dyDescent="0.15">
      <c r="A17" s="60"/>
      <c r="B17" s="9"/>
      <c r="C17" s="58"/>
      <c r="D17" s="11"/>
      <c r="E17" s="10"/>
      <c r="F17" s="58"/>
      <c r="G17" s="50"/>
      <c r="H17" s="50"/>
      <c r="I17" s="17"/>
      <c r="J17" s="18"/>
      <c r="K17" s="19">
        <f t="shared" si="1"/>
        <v>0</v>
      </c>
      <c r="L17" s="20"/>
      <c r="N17" s="15">
        <v>10.89</v>
      </c>
    </row>
    <row r="18" spans="1:14" ht="20.25" customHeight="1" x14ac:dyDescent="0.15">
      <c r="A18" s="60"/>
      <c r="B18" s="9"/>
      <c r="C18" s="58"/>
      <c r="D18" s="11"/>
      <c r="E18" s="10"/>
      <c r="F18" s="58"/>
      <c r="G18" s="16"/>
      <c r="H18" s="16"/>
      <c r="I18" s="17"/>
      <c r="J18" s="18"/>
      <c r="K18" s="19">
        <f t="shared" si="1"/>
        <v>0</v>
      </c>
      <c r="L18" s="20"/>
      <c r="N18" s="15">
        <v>10.89</v>
      </c>
    </row>
    <row r="19" spans="1:14" ht="20.25" customHeight="1" thickBot="1" x14ac:dyDescent="0.2">
      <c r="A19" s="56"/>
      <c r="B19" s="21"/>
      <c r="C19" s="59"/>
      <c r="D19" s="22"/>
      <c r="E19" s="23"/>
      <c r="F19" s="23"/>
      <c r="G19" s="24"/>
      <c r="H19" s="24"/>
      <c r="I19" s="25"/>
      <c r="J19" s="46">
        <f>SUM(J8:J18)</f>
        <v>592</v>
      </c>
      <c r="K19" s="47">
        <f>SUM(K8:K18)</f>
        <v>7641.621900000001</v>
      </c>
      <c r="L19" s="26"/>
    </row>
    <row r="20" spans="1:14" s="15" customFormat="1" ht="20.25" customHeight="1" thickTop="1" x14ac:dyDescent="0.15">
      <c r="A20" s="60" t="s">
        <v>2345</v>
      </c>
      <c r="B20" s="9" t="s">
        <v>173</v>
      </c>
      <c r="C20" s="58" t="s">
        <v>29</v>
      </c>
      <c r="D20" s="11" t="s">
        <v>279</v>
      </c>
      <c r="E20" s="10">
        <v>25.76</v>
      </c>
      <c r="F20" s="58"/>
      <c r="G20" s="12">
        <v>1445</v>
      </c>
      <c r="H20" s="12">
        <v>690</v>
      </c>
      <c r="I20" s="17" t="s">
        <v>2356</v>
      </c>
      <c r="J20" s="18">
        <v>20</v>
      </c>
      <c r="K20" s="19">
        <f t="shared" ref="K20:K32" si="2">+M20*N20</f>
        <v>135.036</v>
      </c>
      <c r="L20" s="14"/>
      <c r="M20" s="15">
        <v>12.4</v>
      </c>
      <c r="N20" s="15">
        <v>10.89</v>
      </c>
    </row>
    <row r="21" spans="1:14" s="15" customFormat="1" ht="20.25" customHeight="1" x14ac:dyDescent="0.15">
      <c r="A21" s="60"/>
      <c r="B21" s="9"/>
      <c r="C21" s="58" t="s">
        <v>29</v>
      </c>
      <c r="D21" s="11" t="s">
        <v>188</v>
      </c>
      <c r="E21" s="10">
        <v>22</v>
      </c>
      <c r="F21" s="58"/>
      <c r="G21" s="12">
        <v>1440</v>
      </c>
      <c r="H21" s="12">
        <v>1238</v>
      </c>
      <c r="I21" s="17" t="s">
        <v>2357</v>
      </c>
      <c r="J21" s="18">
        <v>12</v>
      </c>
      <c r="K21" s="19">
        <f t="shared" si="2"/>
        <v>143.74799999999999</v>
      </c>
      <c r="L21" s="14"/>
      <c r="M21" s="15">
        <v>13.2</v>
      </c>
      <c r="N21" s="15">
        <v>10.89</v>
      </c>
    </row>
    <row r="22" spans="1:14" s="15" customFormat="1" ht="20.25" customHeight="1" x14ac:dyDescent="0.15">
      <c r="A22" s="60" t="s">
        <v>2347</v>
      </c>
      <c r="B22" s="9" t="s">
        <v>173</v>
      </c>
      <c r="C22" s="58" t="s">
        <v>29</v>
      </c>
      <c r="D22" s="11" t="s">
        <v>279</v>
      </c>
      <c r="E22" s="10">
        <v>25.76</v>
      </c>
      <c r="F22" s="58"/>
      <c r="G22" s="12">
        <v>800</v>
      </c>
      <c r="H22" s="12">
        <v>690</v>
      </c>
      <c r="I22" s="17" t="s">
        <v>2358</v>
      </c>
      <c r="J22" s="18">
        <f>16+54</f>
        <v>70</v>
      </c>
      <c r="K22" s="19">
        <f t="shared" si="2"/>
        <v>373.96260000000007</v>
      </c>
      <c r="L22" s="14"/>
      <c r="M22" s="15">
        <v>34.340000000000003</v>
      </c>
      <c r="N22" s="15">
        <v>10.89</v>
      </c>
    </row>
    <row r="23" spans="1:14" s="15" customFormat="1" ht="20.25" customHeight="1" x14ac:dyDescent="0.15">
      <c r="A23" s="60"/>
      <c r="B23" s="9"/>
      <c r="C23" s="58" t="s">
        <v>29</v>
      </c>
      <c r="D23" s="11" t="s">
        <v>188</v>
      </c>
      <c r="E23" s="10">
        <v>22</v>
      </c>
      <c r="F23" s="58"/>
      <c r="G23" s="12">
        <v>1665</v>
      </c>
      <c r="H23" s="12">
        <v>1238</v>
      </c>
      <c r="I23" s="17" t="s">
        <v>2359</v>
      </c>
      <c r="J23" s="18">
        <v>16</v>
      </c>
      <c r="K23" s="19">
        <f t="shared" si="2"/>
        <v>245.67840000000001</v>
      </c>
      <c r="L23" s="14"/>
      <c r="M23" s="15">
        <v>22.56</v>
      </c>
      <c r="N23" s="15">
        <v>10.89</v>
      </c>
    </row>
    <row r="24" spans="1:14" s="15" customFormat="1" ht="20.25" customHeight="1" x14ac:dyDescent="0.15">
      <c r="A24" s="60"/>
      <c r="B24" s="9"/>
      <c r="C24" s="58" t="s">
        <v>29</v>
      </c>
      <c r="D24" s="11" t="s">
        <v>195</v>
      </c>
      <c r="E24" s="10">
        <v>22</v>
      </c>
      <c r="F24" s="58"/>
      <c r="G24" s="12">
        <v>564</v>
      </c>
      <c r="H24" s="12">
        <v>1181</v>
      </c>
      <c r="I24" s="17" t="s">
        <v>2360</v>
      </c>
      <c r="J24" s="18">
        <v>72</v>
      </c>
      <c r="K24" s="19">
        <f t="shared" si="2"/>
        <v>260.48880000000003</v>
      </c>
      <c r="L24" s="14"/>
      <c r="M24" s="15">
        <v>23.92</v>
      </c>
      <c r="N24" s="15">
        <v>10.89</v>
      </c>
    </row>
    <row r="25" spans="1:14" s="15" customFormat="1" ht="20.25" customHeight="1" x14ac:dyDescent="0.15">
      <c r="A25" s="60" t="s">
        <v>2361</v>
      </c>
      <c r="B25" s="9" t="s">
        <v>173</v>
      </c>
      <c r="C25" s="58" t="s">
        <v>29</v>
      </c>
      <c r="D25" s="11" t="s">
        <v>279</v>
      </c>
      <c r="E25" s="10">
        <v>25.76</v>
      </c>
      <c r="F25" s="58"/>
      <c r="G25" s="12">
        <v>1445</v>
      </c>
      <c r="H25" s="12">
        <v>690</v>
      </c>
      <c r="I25" s="17" t="s">
        <v>2362</v>
      </c>
      <c r="J25" s="18">
        <v>32</v>
      </c>
      <c r="K25" s="19">
        <f t="shared" si="2"/>
        <v>223.89840000000001</v>
      </c>
      <c r="L25" s="14"/>
      <c r="M25" s="15">
        <v>20.56</v>
      </c>
      <c r="N25" s="15">
        <v>10.89</v>
      </c>
    </row>
    <row r="26" spans="1:14" s="15" customFormat="1" ht="20.25" customHeight="1" x14ac:dyDescent="0.15">
      <c r="A26" s="60"/>
      <c r="B26" s="9"/>
      <c r="C26" s="58" t="s">
        <v>29</v>
      </c>
      <c r="D26" s="11" t="s">
        <v>188</v>
      </c>
      <c r="E26" s="10">
        <v>22</v>
      </c>
      <c r="F26" s="58"/>
      <c r="G26" s="12">
        <v>1440</v>
      </c>
      <c r="H26" s="12">
        <v>1238</v>
      </c>
      <c r="I26" s="17" t="s">
        <v>2363</v>
      </c>
      <c r="J26" s="18">
        <v>24</v>
      </c>
      <c r="K26" s="19">
        <f t="shared" si="2"/>
        <v>287.49599999999998</v>
      </c>
      <c r="L26" s="20"/>
      <c r="M26" s="15">
        <v>26.4</v>
      </c>
      <c r="N26" s="15">
        <v>10.89</v>
      </c>
    </row>
    <row r="27" spans="1:14" s="15" customFormat="1" ht="20.25" customHeight="1" x14ac:dyDescent="0.15">
      <c r="A27" s="60"/>
      <c r="B27" s="9"/>
      <c r="C27" s="58" t="s">
        <v>29</v>
      </c>
      <c r="D27" s="11" t="s">
        <v>195</v>
      </c>
      <c r="E27" s="10">
        <v>22</v>
      </c>
      <c r="F27" s="58"/>
      <c r="G27" s="12">
        <v>1435</v>
      </c>
      <c r="H27" s="12">
        <v>1967</v>
      </c>
      <c r="I27" s="17" t="s">
        <v>2364</v>
      </c>
      <c r="J27" s="18">
        <v>208</v>
      </c>
      <c r="K27" s="19">
        <f t="shared" si="2"/>
        <v>1852.6068000000002</v>
      </c>
      <c r="L27" s="20"/>
      <c r="M27" s="15">
        <v>170.12</v>
      </c>
      <c r="N27" s="15">
        <v>10.89</v>
      </c>
    </row>
    <row r="28" spans="1:14" s="15" customFormat="1" ht="20.25" customHeight="1" x14ac:dyDescent="0.15">
      <c r="A28" s="60" t="s">
        <v>2365</v>
      </c>
      <c r="B28" s="9" t="s">
        <v>173</v>
      </c>
      <c r="C28" s="58" t="s">
        <v>29</v>
      </c>
      <c r="D28" s="11" t="s">
        <v>279</v>
      </c>
      <c r="E28" s="10">
        <v>25.76</v>
      </c>
      <c r="F28" s="58"/>
      <c r="G28" s="12">
        <v>1445</v>
      </c>
      <c r="H28" s="12">
        <v>690</v>
      </c>
      <c r="I28" s="17" t="s">
        <v>2366</v>
      </c>
      <c r="J28" s="18">
        <v>33</v>
      </c>
      <c r="K28" s="19">
        <f t="shared" si="2"/>
        <v>194.7132</v>
      </c>
      <c r="L28" s="20"/>
      <c r="M28" s="15">
        <v>17.88</v>
      </c>
      <c r="N28" s="15">
        <v>10.89</v>
      </c>
    </row>
    <row r="29" spans="1:14" s="15" customFormat="1" ht="20.25" customHeight="1" x14ac:dyDescent="0.15">
      <c r="A29" s="60"/>
      <c r="B29" s="9"/>
      <c r="C29" s="58" t="s">
        <v>29</v>
      </c>
      <c r="D29" s="11" t="s">
        <v>188</v>
      </c>
      <c r="E29" s="10">
        <v>22</v>
      </c>
      <c r="F29" s="58"/>
      <c r="G29" s="12">
        <v>1440</v>
      </c>
      <c r="H29" s="12">
        <v>1238</v>
      </c>
      <c r="I29" s="17" t="s">
        <v>2357</v>
      </c>
      <c r="J29" s="18">
        <v>12</v>
      </c>
      <c r="K29" s="19">
        <f t="shared" si="2"/>
        <v>143.74799999999999</v>
      </c>
      <c r="L29" s="20"/>
      <c r="M29" s="15">
        <v>13.2</v>
      </c>
      <c r="N29" s="15">
        <v>10.89</v>
      </c>
    </row>
    <row r="30" spans="1:14" s="15" customFormat="1" ht="20.25" customHeight="1" x14ac:dyDescent="0.15">
      <c r="A30" s="60"/>
      <c r="B30" s="9"/>
      <c r="C30" s="58" t="s">
        <v>29</v>
      </c>
      <c r="D30" s="11" t="s">
        <v>195</v>
      </c>
      <c r="E30" s="10">
        <v>22</v>
      </c>
      <c r="F30" s="58"/>
      <c r="G30" s="12">
        <v>954</v>
      </c>
      <c r="H30" s="12">
        <v>1967</v>
      </c>
      <c r="I30" s="17" t="s">
        <v>2346</v>
      </c>
      <c r="J30" s="18">
        <v>84</v>
      </c>
      <c r="K30" s="19">
        <f t="shared" si="2"/>
        <v>829.38239999999996</v>
      </c>
      <c r="L30" s="20"/>
      <c r="M30" s="15">
        <v>76.16</v>
      </c>
      <c r="N30" s="15">
        <v>10.89</v>
      </c>
    </row>
    <row r="31" spans="1:14" s="15" customFormat="1" ht="20.25" customHeight="1" x14ac:dyDescent="0.15">
      <c r="A31" s="60" t="s">
        <v>2331</v>
      </c>
      <c r="B31" s="9" t="s">
        <v>56</v>
      </c>
      <c r="C31" s="58" t="s">
        <v>29</v>
      </c>
      <c r="D31" s="11" t="s">
        <v>279</v>
      </c>
      <c r="E31" s="10">
        <v>25.76</v>
      </c>
      <c r="F31" s="58"/>
      <c r="G31" s="12">
        <v>660</v>
      </c>
      <c r="H31" s="12">
        <v>1780</v>
      </c>
      <c r="I31" s="17">
        <v>1</v>
      </c>
      <c r="J31" s="18">
        <v>1</v>
      </c>
      <c r="K31" s="19">
        <f t="shared" si="2"/>
        <v>12.741300000000001</v>
      </c>
      <c r="L31" s="20"/>
      <c r="M31" s="15">
        <v>1.17</v>
      </c>
      <c r="N31" s="15">
        <v>10.89</v>
      </c>
    </row>
    <row r="32" spans="1:14" s="15" customFormat="1" ht="20.25" customHeight="1" x14ac:dyDescent="0.15">
      <c r="A32" s="60" t="s">
        <v>2367</v>
      </c>
      <c r="B32" s="9" t="s">
        <v>2352</v>
      </c>
      <c r="C32" s="58" t="s">
        <v>29</v>
      </c>
      <c r="D32" s="11" t="s">
        <v>2063</v>
      </c>
      <c r="E32" s="10">
        <v>43</v>
      </c>
      <c r="F32" s="58" t="s">
        <v>11</v>
      </c>
      <c r="G32" s="12">
        <v>2355</v>
      </c>
      <c r="H32" s="12">
        <v>1910</v>
      </c>
      <c r="I32" s="17" t="s">
        <v>2332</v>
      </c>
      <c r="J32" s="18">
        <v>2</v>
      </c>
      <c r="K32" s="19">
        <f t="shared" si="2"/>
        <v>86.793300000000002</v>
      </c>
      <c r="L32" s="20"/>
      <c r="M32" s="15">
        <v>7.97</v>
      </c>
      <c r="N32" s="15">
        <v>10.89</v>
      </c>
    </row>
    <row r="33" spans="1:14" ht="20.25" customHeight="1" x14ac:dyDescent="0.15">
      <c r="A33" s="60"/>
      <c r="B33" s="9"/>
      <c r="C33" s="58"/>
      <c r="D33" s="11"/>
      <c r="E33" s="10"/>
      <c r="F33" s="10"/>
      <c r="G33" s="12"/>
      <c r="H33" s="12"/>
      <c r="I33" s="17"/>
      <c r="J33" s="18"/>
      <c r="K33" s="19">
        <f t="shared" ref="K33:K40" si="3">+M33*N33</f>
        <v>0</v>
      </c>
      <c r="L33" s="27"/>
      <c r="N33" s="15">
        <v>10.89</v>
      </c>
    </row>
    <row r="34" spans="1:14" ht="20.25" customHeight="1" x14ac:dyDescent="0.15">
      <c r="A34" s="60"/>
      <c r="B34" s="9"/>
      <c r="C34" s="58"/>
      <c r="D34" s="11"/>
      <c r="E34" s="10"/>
      <c r="F34" s="10"/>
      <c r="G34" s="12"/>
      <c r="H34" s="12"/>
      <c r="I34" s="17"/>
      <c r="J34" s="18"/>
      <c r="K34" s="19">
        <f t="shared" si="3"/>
        <v>0</v>
      </c>
      <c r="L34" s="27"/>
      <c r="N34" s="15">
        <v>10.89</v>
      </c>
    </row>
    <row r="35" spans="1:14" ht="20.25" customHeight="1" x14ac:dyDescent="0.15">
      <c r="A35" s="60"/>
      <c r="B35" s="9"/>
      <c r="C35" s="58"/>
      <c r="D35" s="11"/>
      <c r="E35" s="10"/>
      <c r="F35" s="10"/>
      <c r="G35" s="12"/>
      <c r="H35" s="12"/>
      <c r="I35" s="17"/>
      <c r="J35" s="18"/>
      <c r="K35" s="19">
        <f t="shared" si="3"/>
        <v>0</v>
      </c>
      <c r="L35" s="27"/>
      <c r="N35" s="15">
        <v>10.89</v>
      </c>
    </row>
    <row r="36" spans="1:14" ht="20.25" customHeight="1" x14ac:dyDescent="0.15">
      <c r="A36" s="60"/>
      <c r="B36" s="9"/>
      <c r="C36" s="58"/>
      <c r="D36" s="11"/>
      <c r="E36" s="10"/>
      <c r="F36" s="10"/>
      <c r="G36" s="12"/>
      <c r="H36" s="12"/>
      <c r="I36" s="17"/>
      <c r="J36" s="18"/>
      <c r="K36" s="19">
        <f t="shared" si="3"/>
        <v>0</v>
      </c>
      <c r="L36" s="27"/>
      <c r="N36" s="15">
        <v>10.89</v>
      </c>
    </row>
    <row r="37" spans="1:14" ht="20.25" customHeight="1" x14ac:dyDescent="0.15">
      <c r="A37" s="60"/>
      <c r="B37" s="9"/>
      <c r="C37" s="58"/>
      <c r="D37" s="11"/>
      <c r="E37" s="10"/>
      <c r="F37" s="10"/>
      <c r="G37" s="12"/>
      <c r="H37" s="12"/>
      <c r="I37" s="17"/>
      <c r="J37" s="18"/>
      <c r="K37" s="19">
        <f t="shared" si="3"/>
        <v>0</v>
      </c>
      <c r="L37" s="27"/>
      <c r="N37" s="15">
        <v>10.89</v>
      </c>
    </row>
    <row r="38" spans="1:14" ht="20.25" customHeight="1" x14ac:dyDescent="0.15">
      <c r="A38" s="60"/>
      <c r="B38" s="9"/>
      <c r="C38" s="58"/>
      <c r="D38" s="11"/>
      <c r="E38" s="10"/>
      <c r="F38" s="10"/>
      <c r="G38" s="12"/>
      <c r="H38" s="12"/>
      <c r="I38" s="17"/>
      <c r="J38" s="18"/>
      <c r="K38" s="19">
        <f t="shared" si="3"/>
        <v>0</v>
      </c>
      <c r="L38" s="27"/>
      <c r="N38" s="15">
        <v>10.89</v>
      </c>
    </row>
    <row r="39" spans="1:14" ht="20.25" customHeight="1" x14ac:dyDescent="0.15">
      <c r="A39" s="60"/>
      <c r="B39" s="9"/>
      <c r="C39" s="58"/>
      <c r="D39" s="11"/>
      <c r="E39" s="10"/>
      <c r="F39" s="10"/>
      <c r="G39" s="12"/>
      <c r="H39" s="12"/>
      <c r="I39" s="17"/>
      <c r="J39" s="18"/>
      <c r="K39" s="19">
        <f t="shared" si="3"/>
        <v>0</v>
      </c>
      <c r="L39" s="27"/>
      <c r="N39" s="15">
        <v>10.89</v>
      </c>
    </row>
    <row r="40" spans="1:14" ht="20.25" customHeight="1" x14ac:dyDescent="0.15">
      <c r="A40" s="60"/>
      <c r="B40" s="9"/>
      <c r="C40" s="58"/>
      <c r="D40" s="11"/>
      <c r="E40" s="10"/>
      <c r="F40" s="10"/>
      <c r="G40" s="12"/>
      <c r="H40" s="12"/>
      <c r="I40" s="17"/>
      <c r="J40" s="18"/>
      <c r="K40" s="19">
        <f t="shared" si="3"/>
        <v>0</v>
      </c>
      <c r="L40" s="27"/>
      <c r="N40" s="15">
        <v>10.89</v>
      </c>
    </row>
    <row r="41" spans="1:14" ht="20.25" customHeight="1" x14ac:dyDescent="0.15">
      <c r="A41" s="57"/>
      <c r="B41" s="28"/>
      <c r="C41" s="10"/>
      <c r="D41" s="29"/>
      <c r="E41" s="30"/>
      <c r="F41" s="30"/>
      <c r="G41" s="30"/>
      <c r="H41" s="30"/>
      <c r="I41" s="13"/>
      <c r="J41" s="48">
        <f>SUM(J20:J40)</f>
        <v>586</v>
      </c>
      <c r="K41" s="49">
        <f>SUM(K20:K40)</f>
        <v>4790.2932000000001</v>
      </c>
      <c r="L41" s="31"/>
      <c r="N41" s="32"/>
    </row>
    <row r="42" spans="1:14" ht="20.25" customHeight="1" thickBot="1" x14ac:dyDescent="0.2">
      <c r="A42" s="55"/>
      <c r="B42" s="33"/>
      <c r="C42" s="33"/>
      <c r="D42" s="33"/>
      <c r="E42" s="33"/>
      <c r="F42" s="33"/>
      <c r="G42" s="33"/>
      <c r="H42" s="33"/>
      <c r="I42" s="33"/>
      <c r="J42" s="34"/>
      <c r="K42" s="35"/>
      <c r="L42" s="36"/>
    </row>
    <row r="43" spans="1:14" ht="20.25" customHeight="1" thickBot="1" x14ac:dyDescent="0.2">
      <c r="A43" s="37" t="s">
        <v>19</v>
      </c>
      <c r="B43" s="38" t="s">
        <v>20</v>
      </c>
      <c r="C43" s="77" t="s">
        <v>21</v>
      </c>
      <c r="D43" s="79"/>
      <c r="E43" s="77" t="s">
        <v>22</v>
      </c>
      <c r="F43" s="78"/>
      <c r="G43" s="79"/>
      <c r="H43" s="85" t="s">
        <v>23</v>
      </c>
      <c r="I43" s="86"/>
      <c r="J43" s="77" t="s">
        <v>24</v>
      </c>
      <c r="K43" s="79"/>
      <c r="L43" s="39" t="s">
        <v>13</v>
      </c>
    </row>
    <row r="44" spans="1:14" ht="20.25" customHeight="1" thickBot="1" x14ac:dyDescent="0.2">
      <c r="A44" s="40">
        <f>SUMIF($C$16:$C$42,"U1",$J$16:$J$42)</f>
        <v>0</v>
      </c>
      <c r="B44" s="41">
        <f>SUMIF($C$16:$C$42,"U2",$J$16:$J$42)</f>
        <v>0</v>
      </c>
      <c r="C44" s="77">
        <f>SUMIF($C$16:$C$42,"U3-1",$J$16:$J$42)</f>
        <v>0</v>
      </c>
      <c r="D44" s="79"/>
      <c r="E44" s="77">
        <f>SUMIF($C$16:$C$42,"U3",$J$16:$J$42)</f>
        <v>586</v>
      </c>
      <c r="F44" s="78"/>
      <c r="G44" s="79"/>
      <c r="H44" s="77">
        <f>SUMIF($C$16:$C$42,"E5",$J$16:$J$42)</f>
        <v>0</v>
      </c>
      <c r="I44" s="79"/>
      <c r="J44" s="77">
        <f>SUM(A44:I44)</f>
        <v>586</v>
      </c>
      <c r="K44" s="79"/>
      <c r="L44" s="42"/>
    </row>
    <row r="45" spans="1:14" ht="20.25" customHeight="1" thickBot="1" x14ac:dyDescent="0.2">
      <c r="A45" s="43" t="s">
        <v>25</v>
      </c>
      <c r="B45" s="44" t="s">
        <v>26</v>
      </c>
      <c r="C45" s="75">
        <v>13876</v>
      </c>
      <c r="D45" s="76"/>
      <c r="E45" s="77" t="s">
        <v>27</v>
      </c>
      <c r="F45" s="78"/>
      <c r="G45" s="78"/>
      <c r="H45" s="78"/>
      <c r="I45" s="79"/>
      <c r="J45" s="80">
        <v>146744.37</v>
      </c>
      <c r="K45" s="81"/>
      <c r="L45" s="82"/>
    </row>
    <row r="47" spans="1:14" x14ac:dyDescent="0.15">
      <c r="D47" s="45"/>
    </row>
  </sheetData>
  <mergeCells count="26">
    <mergeCell ref="L2:L4"/>
    <mergeCell ref="A1:G3"/>
    <mergeCell ref="H1:H4"/>
    <mergeCell ref="I2:I4"/>
    <mergeCell ref="J2:J4"/>
    <mergeCell ref="K2:K4"/>
    <mergeCell ref="B5:G5"/>
    <mergeCell ref="A6:A7"/>
    <mergeCell ref="B6:B7"/>
    <mergeCell ref="C6:C7"/>
    <mergeCell ref="D6:D7"/>
    <mergeCell ref="E6:E7"/>
    <mergeCell ref="F6:F7"/>
    <mergeCell ref="G6:K6"/>
    <mergeCell ref="C45:D45"/>
    <mergeCell ref="E45:I45"/>
    <mergeCell ref="J45:L45"/>
    <mergeCell ref="L6:L7"/>
    <mergeCell ref="C43:D43"/>
    <mergeCell ref="E43:G43"/>
    <mergeCell ref="H43:I43"/>
    <mergeCell ref="J43:K43"/>
    <mergeCell ref="C44:D44"/>
    <mergeCell ref="E44:G44"/>
    <mergeCell ref="H44:I44"/>
    <mergeCell ref="J44:K44"/>
  </mergeCells>
  <phoneticPr fontId="2" type="noConversion"/>
  <printOptions horizontalCentered="1"/>
  <pageMargins left="0.39370078740157483" right="0.39370078740157483" top="0.74803149606299213" bottom="0.19685039370078741" header="0.31496062992125984" footer="0.15748031496062992"/>
  <pageSetup paperSize="9" scale="84" orientation="portrait" r:id="rId1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535940-F79C-4424-A892-03EF9F57A5E5}">
  <dimension ref="A1:N47"/>
  <sheetViews>
    <sheetView view="pageBreakPreview" zoomScaleSheetLayoutView="100" workbookViewId="0">
      <selection activeCell="C25" sqref="C25:E25"/>
    </sheetView>
  </sheetViews>
  <sheetFormatPr defaultColWidth="8.88671875" defaultRowHeight="13.5" x14ac:dyDescent="0.15"/>
  <cols>
    <col min="1" max="1" width="8.44140625" style="3" customWidth="1"/>
    <col min="2" max="2" width="14.77734375" style="3" customWidth="1"/>
    <col min="3" max="3" width="4.109375" style="3" customWidth="1"/>
    <col min="4" max="4" width="15.21875" style="3" customWidth="1"/>
    <col min="5" max="5" width="4.44140625" style="3" customWidth="1"/>
    <col min="6" max="6" width="4" style="3" customWidth="1"/>
    <col min="7" max="7" width="5.5546875" style="3" customWidth="1"/>
    <col min="8" max="8" width="5.44140625" style="3" customWidth="1"/>
    <col min="9" max="9" width="7.88671875" style="3" customWidth="1"/>
    <col min="10" max="10" width="7.109375" style="3" customWidth="1"/>
    <col min="11" max="11" width="7.21875" style="3" customWidth="1"/>
    <col min="12" max="12" width="6.77734375" style="3" customWidth="1"/>
    <col min="13" max="16384" width="8.88671875" style="3"/>
  </cols>
  <sheetData>
    <row r="1" spans="1:14" ht="18.75" customHeight="1" x14ac:dyDescent="0.15">
      <c r="A1" s="101" t="s">
        <v>0</v>
      </c>
      <c r="B1" s="102"/>
      <c r="C1" s="102"/>
      <c r="D1" s="102"/>
      <c r="E1" s="102"/>
      <c r="F1" s="102"/>
      <c r="G1" s="103"/>
      <c r="H1" s="107" t="s">
        <v>1</v>
      </c>
      <c r="I1" s="1" t="s">
        <v>2</v>
      </c>
      <c r="J1" s="1" t="s">
        <v>2</v>
      </c>
      <c r="K1" s="1" t="s">
        <v>3</v>
      </c>
      <c r="L1" s="2" t="s">
        <v>4</v>
      </c>
    </row>
    <row r="2" spans="1:14" ht="13.5" customHeight="1" x14ac:dyDescent="0.15">
      <c r="A2" s="104"/>
      <c r="B2" s="105"/>
      <c r="C2" s="105"/>
      <c r="D2" s="105"/>
      <c r="E2" s="105"/>
      <c r="F2" s="105"/>
      <c r="G2" s="106"/>
      <c r="H2" s="108"/>
      <c r="I2" s="110"/>
      <c r="J2" s="110"/>
      <c r="K2" s="110"/>
      <c r="L2" s="98"/>
    </row>
    <row r="3" spans="1:14" ht="13.5" customHeight="1" x14ac:dyDescent="0.15">
      <c r="A3" s="104"/>
      <c r="B3" s="105"/>
      <c r="C3" s="105"/>
      <c r="D3" s="105"/>
      <c r="E3" s="105"/>
      <c r="F3" s="105"/>
      <c r="G3" s="106"/>
      <c r="H3" s="108"/>
      <c r="I3" s="108"/>
      <c r="J3" s="108"/>
      <c r="K3" s="108"/>
      <c r="L3" s="99"/>
    </row>
    <row r="4" spans="1:14" ht="33" customHeight="1" x14ac:dyDescent="0.15">
      <c r="A4" s="4"/>
      <c r="B4" s="5"/>
      <c r="C4" s="5"/>
      <c r="D4" s="5"/>
      <c r="E4" s="5"/>
      <c r="F4" s="5"/>
      <c r="G4" s="5"/>
      <c r="H4" s="109"/>
      <c r="I4" s="109"/>
      <c r="J4" s="109"/>
      <c r="K4" s="109"/>
      <c r="L4" s="100"/>
    </row>
    <row r="5" spans="1:14" ht="17.25" customHeight="1" x14ac:dyDescent="0.15">
      <c r="A5" s="6" t="s">
        <v>5</v>
      </c>
      <c r="B5" s="87">
        <v>46149</v>
      </c>
      <c r="C5" s="88"/>
      <c r="D5" s="88"/>
      <c r="E5" s="88"/>
      <c r="F5" s="88"/>
      <c r="G5" s="88"/>
      <c r="H5" s="5"/>
      <c r="I5" s="5"/>
      <c r="J5" s="5"/>
      <c r="K5" s="5"/>
      <c r="L5" s="7"/>
    </row>
    <row r="6" spans="1:14" ht="13.5" customHeight="1" x14ac:dyDescent="0.15">
      <c r="A6" s="89" t="s">
        <v>6</v>
      </c>
      <c r="B6" s="91" t="s">
        <v>7</v>
      </c>
      <c r="C6" s="91" t="s">
        <v>8</v>
      </c>
      <c r="D6" s="91" t="s">
        <v>9</v>
      </c>
      <c r="E6" s="93" t="s">
        <v>10</v>
      </c>
      <c r="F6" s="93" t="s">
        <v>11</v>
      </c>
      <c r="G6" s="95" t="s">
        <v>12</v>
      </c>
      <c r="H6" s="96"/>
      <c r="I6" s="96"/>
      <c r="J6" s="96"/>
      <c r="K6" s="97"/>
      <c r="L6" s="83" t="s">
        <v>13</v>
      </c>
    </row>
    <row r="7" spans="1:14" x14ac:dyDescent="0.15">
      <c r="A7" s="90"/>
      <c r="B7" s="92"/>
      <c r="C7" s="92"/>
      <c r="D7" s="92"/>
      <c r="E7" s="94"/>
      <c r="F7" s="94"/>
      <c r="G7" s="8" t="s">
        <v>14</v>
      </c>
      <c r="H7" s="8" t="s">
        <v>15</v>
      </c>
      <c r="I7" s="8" t="s">
        <v>16</v>
      </c>
      <c r="J7" s="8" t="s">
        <v>17</v>
      </c>
      <c r="K7" s="8" t="s">
        <v>18</v>
      </c>
      <c r="L7" s="84"/>
    </row>
    <row r="8" spans="1:14" s="15" customFormat="1" ht="20.25" customHeight="1" x14ac:dyDescent="0.15">
      <c r="A8" s="60" t="s">
        <v>1754</v>
      </c>
      <c r="B8" s="9" t="s">
        <v>80</v>
      </c>
      <c r="C8" s="58" t="s">
        <v>29</v>
      </c>
      <c r="D8" s="11" t="s">
        <v>195</v>
      </c>
      <c r="E8" s="10">
        <v>22</v>
      </c>
      <c r="F8" s="10"/>
      <c r="G8" s="12">
        <v>677</v>
      </c>
      <c r="H8" s="12">
        <v>2190</v>
      </c>
      <c r="I8" s="17" t="s">
        <v>2376</v>
      </c>
      <c r="J8" s="18">
        <v>355</v>
      </c>
      <c r="K8" s="19">
        <f>+M8*N8</f>
        <v>5721.6059999999998</v>
      </c>
      <c r="L8" s="14"/>
      <c r="M8" s="15">
        <v>525.4</v>
      </c>
      <c r="N8" s="15">
        <v>10.89</v>
      </c>
    </row>
    <row r="9" spans="1:14" s="15" customFormat="1" ht="20.25" customHeight="1" x14ac:dyDescent="0.15">
      <c r="A9" s="60" t="s">
        <v>2377</v>
      </c>
      <c r="B9" s="9" t="s">
        <v>1259</v>
      </c>
      <c r="C9" s="58" t="s">
        <v>29</v>
      </c>
      <c r="D9" s="11" t="s">
        <v>684</v>
      </c>
      <c r="E9" s="10">
        <v>22</v>
      </c>
      <c r="F9" s="58"/>
      <c r="G9" s="12">
        <v>1545</v>
      </c>
      <c r="H9" s="12">
        <v>1973</v>
      </c>
      <c r="I9" s="17" t="s">
        <v>2378</v>
      </c>
      <c r="J9" s="18">
        <v>148</v>
      </c>
      <c r="K9" s="19">
        <f t="shared" ref="K9:K21" si="0">+M9*N9</f>
        <v>3902.9760000000001</v>
      </c>
      <c r="L9" s="14"/>
      <c r="M9" s="15">
        <v>358.4</v>
      </c>
      <c r="N9" s="15">
        <v>10.89</v>
      </c>
    </row>
    <row r="10" spans="1:14" s="15" customFormat="1" ht="20.25" customHeight="1" x14ac:dyDescent="0.15">
      <c r="A10" s="60" t="s">
        <v>2379</v>
      </c>
      <c r="B10" s="9" t="s">
        <v>1175</v>
      </c>
      <c r="C10" s="58" t="s">
        <v>29</v>
      </c>
      <c r="D10" s="11" t="s">
        <v>2093</v>
      </c>
      <c r="E10" s="10">
        <v>24</v>
      </c>
      <c r="F10" s="58" t="s">
        <v>11</v>
      </c>
      <c r="G10" s="12">
        <v>2315</v>
      </c>
      <c r="H10" s="12">
        <v>1675</v>
      </c>
      <c r="I10" s="17" t="s">
        <v>337</v>
      </c>
      <c r="J10" s="18">
        <v>2</v>
      </c>
      <c r="K10" s="19">
        <f t="shared" si="0"/>
        <v>62.944200000000009</v>
      </c>
      <c r="L10" s="14"/>
      <c r="M10" s="15">
        <v>5.78</v>
      </c>
      <c r="N10" s="15">
        <v>10.89</v>
      </c>
    </row>
    <row r="11" spans="1:14" s="15" customFormat="1" ht="20.25" customHeight="1" x14ac:dyDescent="0.15">
      <c r="A11" s="60" t="s">
        <v>2380</v>
      </c>
      <c r="B11" s="9" t="s">
        <v>421</v>
      </c>
      <c r="C11" s="58" t="s">
        <v>29</v>
      </c>
      <c r="D11" s="11" t="s">
        <v>383</v>
      </c>
      <c r="E11" s="10">
        <v>16</v>
      </c>
      <c r="F11" s="58"/>
      <c r="G11" s="12">
        <v>810</v>
      </c>
      <c r="H11" s="12">
        <v>1112</v>
      </c>
      <c r="I11" s="17">
        <v>1</v>
      </c>
      <c r="J11" s="18">
        <v>1</v>
      </c>
      <c r="K11" s="19">
        <f t="shared" si="0"/>
        <v>9.8010000000000002</v>
      </c>
      <c r="L11" s="14"/>
      <c r="M11" s="15">
        <v>0.9</v>
      </c>
      <c r="N11" s="15">
        <v>10.89</v>
      </c>
    </row>
    <row r="12" spans="1:14" s="15" customFormat="1" ht="20.25" customHeight="1" x14ac:dyDescent="0.15">
      <c r="A12" s="60" t="s">
        <v>2381</v>
      </c>
      <c r="B12" s="9" t="s">
        <v>1682</v>
      </c>
      <c r="C12" s="58" t="s">
        <v>29</v>
      </c>
      <c r="D12" s="11" t="s">
        <v>2382</v>
      </c>
      <c r="E12" s="10">
        <v>16</v>
      </c>
      <c r="F12" s="58"/>
      <c r="G12" s="12">
        <v>633</v>
      </c>
      <c r="H12" s="12">
        <v>875</v>
      </c>
      <c r="I12" s="17" t="s">
        <v>1073</v>
      </c>
      <c r="J12" s="18">
        <v>14</v>
      </c>
      <c r="K12" s="19">
        <f t="shared" si="0"/>
        <v>86.793300000000002</v>
      </c>
      <c r="L12" s="14"/>
      <c r="M12" s="15">
        <v>7.97</v>
      </c>
      <c r="N12" s="15">
        <v>10.89</v>
      </c>
    </row>
    <row r="13" spans="1:14" s="15" customFormat="1" ht="20.25" customHeight="1" x14ac:dyDescent="0.15">
      <c r="A13" s="60"/>
      <c r="B13" s="9"/>
      <c r="C13" s="58"/>
      <c r="D13" s="11"/>
      <c r="E13" s="10"/>
      <c r="F13" s="58"/>
      <c r="G13" s="12"/>
      <c r="H13" s="12"/>
      <c r="I13" s="17"/>
      <c r="J13" s="18"/>
      <c r="K13" s="19">
        <f t="shared" si="0"/>
        <v>0</v>
      </c>
      <c r="L13" s="14"/>
      <c r="N13" s="15">
        <v>10.89</v>
      </c>
    </row>
    <row r="14" spans="1:14" s="15" customFormat="1" ht="20.25" customHeight="1" x14ac:dyDescent="0.15">
      <c r="A14" s="60"/>
      <c r="B14" s="9"/>
      <c r="C14" s="58"/>
      <c r="D14" s="11"/>
      <c r="E14" s="10"/>
      <c r="F14" s="58"/>
      <c r="G14" s="12"/>
      <c r="H14" s="12"/>
      <c r="I14" s="17"/>
      <c r="J14" s="18"/>
      <c r="K14" s="19">
        <f t="shared" si="0"/>
        <v>0</v>
      </c>
      <c r="L14" s="20"/>
      <c r="N14" s="15">
        <v>10.89</v>
      </c>
    </row>
    <row r="15" spans="1:14" s="15" customFormat="1" ht="20.25" customHeight="1" x14ac:dyDescent="0.15">
      <c r="A15" s="60"/>
      <c r="B15" s="9"/>
      <c r="C15" s="58"/>
      <c r="D15" s="11"/>
      <c r="E15" s="10"/>
      <c r="F15" s="58"/>
      <c r="G15" s="12"/>
      <c r="H15" s="12"/>
      <c r="I15" s="17"/>
      <c r="J15" s="18"/>
      <c r="K15" s="19">
        <f t="shared" si="0"/>
        <v>0</v>
      </c>
      <c r="L15" s="20"/>
      <c r="N15" s="15">
        <v>10.89</v>
      </c>
    </row>
    <row r="16" spans="1:14" s="15" customFormat="1" ht="20.25" customHeight="1" x14ac:dyDescent="0.15">
      <c r="A16" s="60"/>
      <c r="B16" s="9"/>
      <c r="C16" s="58"/>
      <c r="D16" s="11"/>
      <c r="E16" s="10"/>
      <c r="F16" s="58"/>
      <c r="G16" s="12"/>
      <c r="H16" s="12"/>
      <c r="I16" s="17"/>
      <c r="J16" s="18"/>
      <c r="K16" s="19">
        <f t="shared" si="0"/>
        <v>0</v>
      </c>
      <c r="L16" s="20"/>
      <c r="N16" s="15">
        <v>10.89</v>
      </c>
    </row>
    <row r="17" spans="1:14" s="15" customFormat="1" ht="20.25" customHeight="1" x14ac:dyDescent="0.15">
      <c r="A17" s="60"/>
      <c r="B17" s="9"/>
      <c r="C17" s="58"/>
      <c r="D17" s="11"/>
      <c r="E17" s="10"/>
      <c r="F17" s="58"/>
      <c r="G17" s="12"/>
      <c r="H17" s="12"/>
      <c r="I17" s="17"/>
      <c r="J17" s="18"/>
      <c r="K17" s="19">
        <f t="shared" si="0"/>
        <v>0</v>
      </c>
      <c r="L17" s="20"/>
      <c r="N17" s="15">
        <v>10.89</v>
      </c>
    </row>
    <row r="18" spans="1:14" s="15" customFormat="1" ht="20.25" customHeight="1" x14ac:dyDescent="0.15">
      <c r="A18" s="60"/>
      <c r="B18" s="9"/>
      <c r="C18" s="58"/>
      <c r="D18" s="11"/>
      <c r="E18" s="10"/>
      <c r="F18" s="58"/>
      <c r="G18" s="12"/>
      <c r="H18" s="12"/>
      <c r="I18" s="17"/>
      <c r="J18" s="18"/>
      <c r="K18" s="19">
        <f t="shared" si="0"/>
        <v>0</v>
      </c>
      <c r="L18" s="20"/>
      <c r="N18" s="15">
        <v>10.89</v>
      </c>
    </row>
    <row r="19" spans="1:14" s="15" customFormat="1" ht="20.25" customHeight="1" x14ac:dyDescent="0.15">
      <c r="A19" s="60"/>
      <c r="B19" s="9"/>
      <c r="C19" s="58"/>
      <c r="D19" s="11"/>
      <c r="E19" s="10"/>
      <c r="F19" s="58"/>
      <c r="G19" s="50"/>
      <c r="H19" s="50"/>
      <c r="I19" s="17"/>
      <c r="J19" s="18"/>
      <c r="K19" s="19">
        <f t="shared" si="0"/>
        <v>0</v>
      </c>
      <c r="L19" s="20"/>
      <c r="N19" s="15">
        <v>10.89</v>
      </c>
    </row>
    <row r="20" spans="1:14" s="15" customFormat="1" ht="20.25" customHeight="1" x14ac:dyDescent="0.15">
      <c r="A20" s="60"/>
      <c r="B20" s="9"/>
      <c r="C20" s="58"/>
      <c r="D20" s="11"/>
      <c r="E20" s="10"/>
      <c r="F20" s="58"/>
      <c r="G20" s="50"/>
      <c r="H20" s="50"/>
      <c r="I20" s="17"/>
      <c r="J20" s="18"/>
      <c r="K20" s="19">
        <f t="shared" si="0"/>
        <v>0</v>
      </c>
      <c r="L20" s="20"/>
      <c r="N20" s="15">
        <v>10.89</v>
      </c>
    </row>
    <row r="21" spans="1:14" ht="20.25" customHeight="1" x14ac:dyDescent="0.15">
      <c r="A21" s="60"/>
      <c r="B21" s="9"/>
      <c r="C21" s="58"/>
      <c r="D21" s="11"/>
      <c r="E21" s="10"/>
      <c r="F21" s="58"/>
      <c r="G21" s="16"/>
      <c r="H21" s="16"/>
      <c r="I21" s="17"/>
      <c r="J21" s="18"/>
      <c r="K21" s="19">
        <f t="shared" si="0"/>
        <v>0</v>
      </c>
      <c r="L21" s="20"/>
      <c r="N21" s="15">
        <v>10.89</v>
      </c>
    </row>
    <row r="22" spans="1:14" ht="20.25" customHeight="1" thickBot="1" x14ac:dyDescent="0.2">
      <c r="A22" s="56"/>
      <c r="B22" s="21"/>
      <c r="C22" s="59"/>
      <c r="D22" s="22"/>
      <c r="E22" s="23"/>
      <c r="F22" s="23"/>
      <c r="G22" s="24"/>
      <c r="H22" s="24"/>
      <c r="I22" s="25"/>
      <c r="J22" s="46">
        <f>SUM(J8:J21)</f>
        <v>520</v>
      </c>
      <c r="K22" s="47">
        <f>SUM(K8:K21)</f>
        <v>9784.1204999999991</v>
      </c>
      <c r="L22" s="26"/>
    </row>
    <row r="23" spans="1:14" ht="20.25" customHeight="1" thickTop="1" x14ac:dyDescent="0.15">
      <c r="A23" s="60" t="s">
        <v>2383</v>
      </c>
      <c r="B23" s="9" t="s">
        <v>173</v>
      </c>
      <c r="C23" s="58" t="s">
        <v>29</v>
      </c>
      <c r="D23" s="11" t="s">
        <v>279</v>
      </c>
      <c r="E23" s="10">
        <v>25.76</v>
      </c>
      <c r="F23" s="58"/>
      <c r="G23" s="12">
        <v>790</v>
      </c>
      <c r="H23" s="12">
        <v>670</v>
      </c>
      <c r="I23" s="17">
        <v>16</v>
      </c>
      <c r="J23" s="18">
        <v>16</v>
      </c>
      <c r="K23" s="19">
        <f t="shared" ref="K23:K40" si="1">+M23*N23</f>
        <v>92.347200000000015</v>
      </c>
      <c r="L23" s="54"/>
      <c r="M23" s="3">
        <v>8.48</v>
      </c>
      <c r="N23" s="15">
        <v>10.89</v>
      </c>
    </row>
    <row r="24" spans="1:14" ht="20.25" customHeight="1" x14ac:dyDescent="0.15">
      <c r="A24" s="60" t="s">
        <v>2384</v>
      </c>
      <c r="B24" s="9" t="s">
        <v>173</v>
      </c>
      <c r="C24" s="58" t="s">
        <v>29</v>
      </c>
      <c r="D24" s="11" t="s">
        <v>279</v>
      </c>
      <c r="E24" s="10">
        <v>25.76</v>
      </c>
      <c r="F24" s="58"/>
      <c r="G24" s="12">
        <v>640</v>
      </c>
      <c r="H24" s="12">
        <v>670</v>
      </c>
      <c r="I24" s="17">
        <v>1</v>
      </c>
      <c r="J24" s="18">
        <v>1</v>
      </c>
      <c r="K24" s="19">
        <f t="shared" si="1"/>
        <v>4.6827000000000005</v>
      </c>
      <c r="L24" s="54"/>
      <c r="M24" s="3">
        <v>0.43</v>
      </c>
      <c r="N24" s="15">
        <v>10.89</v>
      </c>
    </row>
    <row r="25" spans="1:14" ht="20.25" customHeight="1" x14ac:dyDescent="0.15">
      <c r="A25" s="61"/>
      <c r="B25" s="9"/>
      <c r="C25" s="58" t="s">
        <v>29</v>
      </c>
      <c r="D25" s="11" t="s">
        <v>280</v>
      </c>
      <c r="E25" s="10">
        <v>46.76</v>
      </c>
      <c r="F25" s="10" t="s">
        <v>11</v>
      </c>
      <c r="G25" s="12">
        <v>786</v>
      </c>
      <c r="H25" s="12">
        <v>508</v>
      </c>
      <c r="I25" s="17">
        <v>8</v>
      </c>
      <c r="J25" s="18">
        <v>8</v>
      </c>
      <c r="K25" s="19">
        <f t="shared" si="1"/>
        <v>34.848000000000006</v>
      </c>
      <c r="L25" s="54"/>
      <c r="M25" s="3">
        <v>3.2</v>
      </c>
      <c r="N25" s="15">
        <v>10.89</v>
      </c>
    </row>
    <row r="26" spans="1:14" ht="20.25" customHeight="1" x14ac:dyDescent="0.15">
      <c r="A26" s="61" t="s">
        <v>2385</v>
      </c>
      <c r="B26" s="9" t="s">
        <v>173</v>
      </c>
      <c r="C26" s="58" t="s">
        <v>29</v>
      </c>
      <c r="D26" s="11" t="s">
        <v>279</v>
      </c>
      <c r="E26" s="10">
        <v>25.76</v>
      </c>
      <c r="F26" s="58"/>
      <c r="G26" s="12">
        <v>790</v>
      </c>
      <c r="H26" s="12">
        <v>670</v>
      </c>
      <c r="I26" s="17">
        <v>16</v>
      </c>
      <c r="J26" s="18">
        <v>16</v>
      </c>
      <c r="K26" s="19">
        <f t="shared" si="1"/>
        <v>92.347200000000015</v>
      </c>
      <c r="L26" s="54"/>
      <c r="M26" s="3">
        <v>8.48</v>
      </c>
      <c r="N26" s="15">
        <v>10.89</v>
      </c>
    </row>
    <row r="27" spans="1:14" ht="20.25" customHeight="1" x14ac:dyDescent="0.15">
      <c r="A27" s="61"/>
      <c r="B27" s="9"/>
      <c r="C27" s="58" t="s">
        <v>29</v>
      </c>
      <c r="D27" s="11" t="s">
        <v>280</v>
      </c>
      <c r="E27" s="10">
        <v>46.76</v>
      </c>
      <c r="F27" s="10" t="s">
        <v>11</v>
      </c>
      <c r="G27" s="12">
        <v>886</v>
      </c>
      <c r="H27" s="12">
        <v>508</v>
      </c>
      <c r="I27" s="17">
        <v>8</v>
      </c>
      <c r="J27" s="18">
        <v>8</v>
      </c>
      <c r="K27" s="19">
        <f t="shared" si="1"/>
        <v>39.204000000000001</v>
      </c>
      <c r="L27" s="54"/>
      <c r="M27" s="3">
        <v>3.6</v>
      </c>
      <c r="N27" s="15">
        <v>10.89</v>
      </c>
    </row>
    <row r="28" spans="1:14" ht="20.25" customHeight="1" x14ac:dyDescent="0.15">
      <c r="A28" s="61" t="s">
        <v>2386</v>
      </c>
      <c r="B28" s="9" t="s">
        <v>173</v>
      </c>
      <c r="C28" s="58" t="s">
        <v>29</v>
      </c>
      <c r="D28" s="11" t="s">
        <v>279</v>
      </c>
      <c r="E28" s="10">
        <v>25.76</v>
      </c>
      <c r="F28" s="58"/>
      <c r="G28" s="12">
        <v>1445</v>
      </c>
      <c r="H28" s="12">
        <v>690</v>
      </c>
      <c r="I28" s="51">
        <v>3</v>
      </c>
      <c r="J28" s="52">
        <v>3</v>
      </c>
      <c r="K28" s="53">
        <f t="shared" si="1"/>
        <v>32.67</v>
      </c>
      <c r="L28" s="54"/>
      <c r="M28" s="3">
        <v>3</v>
      </c>
      <c r="N28" s="15">
        <v>10.89</v>
      </c>
    </row>
    <row r="29" spans="1:14" ht="20.25" customHeight="1" x14ac:dyDescent="0.15">
      <c r="A29" s="61"/>
      <c r="B29" s="9"/>
      <c r="C29" s="58" t="s">
        <v>29</v>
      </c>
      <c r="D29" s="11" t="s">
        <v>280</v>
      </c>
      <c r="E29" s="10">
        <v>46.76</v>
      </c>
      <c r="F29" s="10" t="s">
        <v>11</v>
      </c>
      <c r="G29" s="12">
        <v>886</v>
      </c>
      <c r="H29" s="12">
        <v>508</v>
      </c>
      <c r="I29" s="51">
        <v>4</v>
      </c>
      <c r="J29" s="52">
        <v>4</v>
      </c>
      <c r="K29" s="53">
        <f t="shared" si="1"/>
        <v>19.602</v>
      </c>
      <c r="L29" s="54"/>
      <c r="M29" s="3">
        <v>1.8</v>
      </c>
      <c r="N29" s="15">
        <v>10.89</v>
      </c>
    </row>
    <row r="30" spans="1:14" ht="20.25" customHeight="1" x14ac:dyDescent="0.15">
      <c r="A30" s="60" t="s">
        <v>2387</v>
      </c>
      <c r="B30" s="9" t="s">
        <v>173</v>
      </c>
      <c r="C30" s="58" t="s">
        <v>29</v>
      </c>
      <c r="D30" s="11" t="s">
        <v>279</v>
      </c>
      <c r="E30" s="10">
        <v>25.76</v>
      </c>
      <c r="F30" s="58"/>
      <c r="G30" s="12">
        <v>952</v>
      </c>
      <c r="H30" s="12">
        <v>690</v>
      </c>
      <c r="I30" s="17" t="s">
        <v>1855</v>
      </c>
      <c r="J30" s="18">
        <f>8+28</f>
        <v>36</v>
      </c>
      <c r="K30" s="19">
        <f t="shared" si="1"/>
        <v>201.24720000000002</v>
      </c>
      <c r="L30" s="27"/>
      <c r="M30" s="3">
        <v>18.48</v>
      </c>
      <c r="N30" s="15">
        <v>10.89</v>
      </c>
    </row>
    <row r="31" spans="1:14" ht="20.25" customHeight="1" x14ac:dyDescent="0.15">
      <c r="A31" s="60"/>
      <c r="B31" s="9"/>
      <c r="C31" s="58" t="s">
        <v>29</v>
      </c>
      <c r="D31" s="11" t="s">
        <v>188</v>
      </c>
      <c r="E31" s="10">
        <v>22</v>
      </c>
      <c r="F31" s="10"/>
      <c r="G31" s="12">
        <v>1967</v>
      </c>
      <c r="H31" s="12">
        <v>1238</v>
      </c>
      <c r="I31" s="17" t="s">
        <v>252</v>
      </c>
      <c r="J31" s="18">
        <v>8</v>
      </c>
      <c r="K31" s="19">
        <f t="shared" si="1"/>
        <v>139.39200000000002</v>
      </c>
      <c r="L31" s="27"/>
      <c r="M31" s="3">
        <v>12.8</v>
      </c>
      <c r="N31" s="15">
        <v>10.89</v>
      </c>
    </row>
    <row r="32" spans="1:14" ht="20.25" customHeight="1" x14ac:dyDescent="0.15">
      <c r="A32" s="60"/>
      <c r="B32" s="9"/>
      <c r="C32" s="58" t="s">
        <v>29</v>
      </c>
      <c r="D32" s="11" t="s">
        <v>195</v>
      </c>
      <c r="E32" s="10">
        <v>22</v>
      </c>
      <c r="F32" s="10"/>
      <c r="G32" s="12">
        <v>754</v>
      </c>
      <c r="H32" s="12">
        <v>1967</v>
      </c>
      <c r="I32" s="17" t="s">
        <v>408</v>
      </c>
      <c r="J32" s="18">
        <v>80</v>
      </c>
      <c r="K32" s="19">
        <f t="shared" si="1"/>
        <v>755.33040000000005</v>
      </c>
      <c r="L32" s="27"/>
      <c r="M32" s="3">
        <v>69.36</v>
      </c>
      <c r="N32" s="15">
        <v>10.89</v>
      </c>
    </row>
    <row r="33" spans="1:14" ht="20.25" customHeight="1" x14ac:dyDescent="0.15">
      <c r="A33" s="60"/>
      <c r="B33" s="9"/>
      <c r="C33" s="58" t="s">
        <v>29</v>
      </c>
      <c r="D33" s="11" t="s">
        <v>280</v>
      </c>
      <c r="E33" s="10">
        <v>46.76</v>
      </c>
      <c r="F33" s="10" t="s">
        <v>11</v>
      </c>
      <c r="G33" s="12">
        <v>786</v>
      </c>
      <c r="H33" s="12">
        <v>508</v>
      </c>
      <c r="I33" s="17">
        <v>4</v>
      </c>
      <c r="J33" s="18">
        <v>4</v>
      </c>
      <c r="K33" s="19">
        <f t="shared" si="1"/>
        <v>17.424000000000003</v>
      </c>
      <c r="L33" s="27"/>
      <c r="M33" s="3">
        <v>1.6</v>
      </c>
      <c r="N33" s="15">
        <v>10.89</v>
      </c>
    </row>
    <row r="34" spans="1:14" ht="20.25" customHeight="1" x14ac:dyDescent="0.15">
      <c r="A34" s="60" t="s">
        <v>2388</v>
      </c>
      <c r="B34" s="9" t="s">
        <v>173</v>
      </c>
      <c r="C34" s="58" t="s">
        <v>29</v>
      </c>
      <c r="D34" s="11" t="s">
        <v>279</v>
      </c>
      <c r="E34" s="10">
        <v>25.76</v>
      </c>
      <c r="F34" s="58"/>
      <c r="G34" s="12">
        <v>800</v>
      </c>
      <c r="H34" s="12">
        <v>690</v>
      </c>
      <c r="I34" s="17" t="s">
        <v>1857</v>
      </c>
      <c r="J34" s="18">
        <v>28</v>
      </c>
      <c r="K34" s="19">
        <f t="shared" si="1"/>
        <v>145.49039999999999</v>
      </c>
      <c r="L34" s="27"/>
      <c r="M34" s="3">
        <v>13.36</v>
      </c>
      <c r="N34" s="15">
        <v>10.89</v>
      </c>
    </row>
    <row r="35" spans="1:14" ht="20.25" customHeight="1" x14ac:dyDescent="0.15">
      <c r="A35" s="60"/>
      <c r="B35" s="9"/>
      <c r="C35" s="58" t="s">
        <v>29</v>
      </c>
      <c r="D35" s="11" t="s">
        <v>188</v>
      </c>
      <c r="E35" s="10">
        <v>22</v>
      </c>
      <c r="F35" s="10"/>
      <c r="G35" s="12">
        <v>1665</v>
      </c>
      <c r="H35" s="12">
        <v>1238</v>
      </c>
      <c r="I35" s="17" t="s">
        <v>252</v>
      </c>
      <c r="J35" s="18">
        <v>8</v>
      </c>
      <c r="K35" s="19">
        <f t="shared" si="1"/>
        <v>122.83920000000001</v>
      </c>
      <c r="L35" s="27"/>
      <c r="M35" s="3">
        <v>11.28</v>
      </c>
      <c r="N35" s="15">
        <v>10.89</v>
      </c>
    </row>
    <row r="36" spans="1:14" ht="20.25" customHeight="1" x14ac:dyDescent="0.15">
      <c r="A36" s="60"/>
      <c r="B36" s="9"/>
      <c r="C36" s="58" t="s">
        <v>29</v>
      </c>
      <c r="D36" s="11" t="s">
        <v>195</v>
      </c>
      <c r="E36" s="10">
        <v>22</v>
      </c>
      <c r="F36" s="10"/>
      <c r="G36" s="12">
        <v>604</v>
      </c>
      <c r="H36" s="12">
        <v>1967</v>
      </c>
      <c r="I36" s="17" t="s">
        <v>1687</v>
      </c>
      <c r="J36" s="18">
        <v>64</v>
      </c>
      <c r="K36" s="19">
        <f t="shared" si="1"/>
        <v>523.15560000000005</v>
      </c>
      <c r="L36" s="27"/>
      <c r="M36" s="3">
        <v>48.04</v>
      </c>
      <c r="N36" s="15">
        <v>10.89</v>
      </c>
    </row>
    <row r="37" spans="1:14" s="15" customFormat="1" ht="20.25" customHeight="1" x14ac:dyDescent="0.15">
      <c r="A37" s="60" t="s">
        <v>2390</v>
      </c>
      <c r="B37" s="9" t="s">
        <v>173</v>
      </c>
      <c r="C37" s="58" t="s">
        <v>29</v>
      </c>
      <c r="D37" s="11" t="s">
        <v>279</v>
      </c>
      <c r="E37" s="10">
        <v>25.76</v>
      </c>
      <c r="F37" s="58"/>
      <c r="G37" s="12">
        <v>1445</v>
      </c>
      <c r="H37" s="12">
        <v>690</v>
      </c>
      <c r="I37" s="17" t="s">
        <v>1858</v>
      </c>
      <c r="J37" s="18">
        <f>8+48</f>
        <v>56</v>
      </c>
      <c r="K37" s="19">
        <f>+M37*N37</f>
        <v>362.41920000000005</v>
      </c>
      <c r="L37" s="20"/>
      <c r="M37" s="15">
        <v>33.28</v>
      </c>
      <c r="N37" s="15">
        <v>10.89</v>
      </c>
    </row>
    <row r="38" spans="1:14" s="15" customFormat="1" ht="20.25" customHeight="1" x14ac:dyDescent="0.15">
      <c r="A38" s="60"/>
      <c r="B38" s="9"/>
      <c r="C38" s="58" t="s">
        <v>29</v>
      </c>
      <c r="D38" s="11" t="s">
        <v>188</v>
      </c>
      <c r="E38" s="10">
        <v>22</v>
      </c>
      <c r="F38" s="10"/>
      <c r="G38" s="12">
        <v>1440</v>
      </c>
      <c r="H38" s="12">
        <v>1238</v>
      </c>
      <c r="I38" s="17" t="s">
        <v>2391</v>
      </c>
      <c r="J38" s="18">
        <v>24</v>
      </c>
      <c r="K38" s="19">
        <f>+M38*N38</f>
        <v>287.49599999999998</v>
      </c>
      <c r="L38" s="14"/>
      <c r="M38" s="15">
        <v>26.4</v>
      </c>
      <c r="N38" s="15">
        <v>10.89</v>
      </c>
    </row>
    <row r="39" spans="1:14" ht="20.25" customHeight="1" x14ac:dyDescent="0.15">
      <c r="A39" s="60"/>
      <c r="B39" s="9"/>
      <c r="C39" s="58" t="s">
        <v>29</v>
      </c>
      <c r="D39" s="11" t="s">
        <v>195</v>
      </c>
      <c r="E39" s="10">
        <v>22</v>
      </c>
      <c r="F39" s="10"/>
      <c r="G39" s="12">
        <v>754</v>
      </c>
      <c r="H39" s="12">
        <v>1967</v>
      </c>
      <c r="I39" s="17" t="s">
        <v>2392</v>
      </c>
      <c r="J39" s="18">
        <v>216</v>
      </c>
      <c r="K39" s="19">
        <f t="shared" si="1"/>
        <v>1931.4504000000002</v>
      </c>
      <c r="L39" s="27"/>
      <c r="M39" s="3">
        <v>177.36</v>
      </c>
      <c r="N39" s="15">
        <v>10.89</v>
      </c>
    </row>
    <row r="40" spans="1:14" ht="20.25" customHeight="1" x14ac:dyDescent="0.15">
      <c r="A40" s="60"/>
      <c r="B40" s="9"/>
      <c r="C40" s="58"/>
      <c r="D40" s="11"/>
      <c r="E40" s="10"/>
      <c r="F40" s="10"/>
      <c r="G40" s="12"/>
      <c r="H40" s="12"/>
      <c r="I40" s="17"/>
      <c r="J40" s="18"/>
      <c r="K40" s="19">
        <f t="shared" si="1"/>
        <v>0</v>
      </c>
      <c r="L40" s="27"/>
      <c r="N40" s="15">
        <v>10.89</v>
      </c>
    </row>
    <row r="41" spans="1:14" ht="20.25" customHeight="1" x14ac:dyDescent="0.15">
      <c r="A41" s="57"/>
      <c r="B41" s="28"/>
      <c r="C41" s="10"/>
      <c r="D41" s="29"/>
      <c r="E41" s="30"/>
      <c r="F41" s="30"/>
      <c r="G41" s="30"/>
      <c r="H41" s="30"/>
      <c r="I41" s="13"/>
      <c r="J41" s="48">
        <f>SUM(J23:J40)</f>
        <v>580</v>
      </c>
      <c r="K41" s="49">
        <f>SUM(K23:K40)</f>
        <v>4801.9454999999998</v>
      </c>
      <c r="L41" s="31"/>
      <c r="N41" s="32"/>
    </row>
    <row r="42" spans="1:14" ht="20.25" customHeight="1" thickBot="1" x14ac:dyDescent="0.2">
      <c r="A42" s="55"/>
      <c r="B42" s="33"/>
      <c r="C42" s="33"/>
      <c r="D42" s="33"/>
      <c r="E42" s="33"/>
      <c r="F42" s="33"/>
      <c r="G42" s="33"/>
      <c r="H42" s="33"/>
      <c r="I42" s="33"/>
      <c r="J42" s="34"/>
      <c r="K42" s="35"/>
      <c r="L42" s="36"/>
    </row>
    <row r="43" spans="1:14" ht="20.25" customHeight="1" thickBot="1" x14ac:dyDescent="0.2">
      <c r="A43" s="37" t="s">
        <v>19</v>
      </c>
      <c r="B43" s="38" t="s">
        <v>20</v>
      </c>
      <c r="C43" s="77" t="s">
        <v>21</v>
      </c>
      <c r="D43" s="79"/>
      <c r="E43" s="77" t="s">
        <v>22</v>
      </c>
      <c r="F43" s="78"/>
      <c r="G43" s="79"/>
      <c r="H43" s="85" t="s">
        <v>23</v>
      </c>
      <c r="I43" s="86"/>
      <c r="J43" s="77" t="s">
        <v>24</v>
      </c>
      <c r="K43" s="79"/>
      <c r="L43" s="39" t="s">
        <v>13</v>
      </c>
    </row>
    <row r="44" spans="1:14" ht="20.25" customHeight="1" thickBot="1" x14ac:dyDescent="0.2">
      <c r="A44" s="40">
        <f>SUMIF($C$8:$C$42,"U1",$J$8:$J$42)</f>
        <v>0</v>
      </c>
      <c r="B44" s="41">
        <f>SUMIF($C$8:$C$42,"U2",$J$8:$J$42)</f>
        <v>0</v>
      </c>
      <c r="C44" s="77">
        <f>SUMIF($C$8:$C$42,"U3-1",$J$8:$J$42)</f>
        <v>0</v>
      </c>
      <c r="D44" s="79"/>
      <c r="E44" s="77">
        <f>SUMIF($C$8:$C$42,"U3",$J$8:$J$42)</f>
        <v>1100</v>
      </c>
      <c r="F44" s="78"/>
      <c r="G44" s="79"/>
      <c r="H44" s="77">
        <f>SUMIF($C$8:$C$42,"E5",$J$8:$J$42)</f>
        <v>0</v>
      </c>
      <c r="I44" s="79"/>
      <c r="J44" s="77">
        <f>SUM(A44:I44)</f>
        <v>1100</v>
      </c>
      <c r="K44" s="79"/>
      <c r="L44" s="42"/>
    </row>
    <row r="45" spans="1:14" ht="20.25" customHeight="1" thickBot="1" x14ac:dyDescent="0.2">
      <c r="A45" s="43" t="s">
        <v>25</v>
      </c>
      <c r="B45" s="44" t="s">
        <v>26</v>
      </c>
      <c r="C45" s="75">
        <v>13876</v>
      </c>
      <c r="D45" s="76"/>
      <c r="E45" s="77" t="s">
        <v>27</v>
      </c>
      <c r="F45" s="78"/>
      <c r="G45" s="78"/>
      <c r="H45" s="78"/>
      <c r="I45" s="79"/>
      <c r="J45" s="80">
        <v>146744.37</v>
      </c>
      <c r="K45" s="81"/>
      <c r="L45" s="82"/>
    </row>
    <row r="47" spans="1:14" x14ac:dyDescent="0.15">
      <c r="D47" s="45"/>
    </row>
  </sheetData>
  <mergeCells count="26">
    <mergeCell ref="L2:L4"/>
    <mergeCell ref="A1:G3"/>
    <mergeCell ref="H1:H4"/>
    <mergeCell ref="I2:I4"/>
    <mergeCell ref="J2:J4"/>
    <mergeCell ref="K2:K4"/>
    <mergeCell ref="B5:G5"/>
    <mergeCell ref="A6:A7"/>
    <mergeCell ref="B6:B7"/>
    <mergeCell ref="C6:C7"/>
    <mergeCell ref="D6:D7"/>
    <mergeCell ref="E6:E7"/>
    <mergeCell ref="F6:F7"/>
    <mergeCell ref="G6:K6"/>
    <mergeCell ref="C45:D45"/>
    <mergeCell ref="E45:I45"/>
    <mergeCell ref="J45:L45"/>
    <mergeCell ref="L6:L7"/>
    <mergeCell ref="C43:D43"/>
    <mergeCell ref="E43:G43"/>
    <mergeCell ref="H43:I43"/>
    <mergeCell ref="J43:K43"/>
    <mergeCell ref="C44:D44"/>
    <mergeCell ref="E44:G44"/>
    <mergeCell ref="H44:I44"/>
    <mergeCell ref="J44:K44"/>
  </mergeCells>
  <phoneticPr fontId="2" type="noConversion"/>
  <printOptions horizontalCentered="1"/>
  <pageMargins left="0.39370078740157483" right="0.39370078740157483" top="0.74803149606299213" bottom="0.19685039370078741" header="0.31496062992125984" footer="0.15748031496062992"/>
  <pageSetup paperSize="9" scale="84" orientation="portrait" r:id="rId1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99F35A-F88B-4885-A981-2A519E87D9B7}">
  <dimension ref="A1:N47"/>
  <sheetViews>
    <sheetView view="pageBreakPreview" topLeftCell="A19" zoomScaleSheetLayoutView="100" workbookViewId="0">
      <selection activeCell="D32" sqref="D32"/>
    </sheetView>
  </sheetViews>
  <sheetFormatPr defaultColWidth="8.88671875" defaultRowHeight="13.5" x14ac:dyDescent="0.15"/>
  <cols>
    <col min="1" max="1" width="8.44140625" style="3" customWidth="1"/>
    <col min="2" max="2" width="14.77734375" style="3" customWidth="1"/>
    <col min="3" max="3" width="4.109375" style="3" customWidth="1"/>
    <col min="4" max="4" width="15.21875" style="3" customWidth="1"/>
    <col min="5" max="5" width="4.44140625" style="3" customWidth="1"/>
    <col min="6" max="6" width="4" style="3" customWidth="1"/>
    <col min="7" max="7" width="5.5546875" style="3" customWidth="1"/>
    <col min="8" max="8" width="5.44140625" style="3" customWidth="1"/>
    <col min="9" max="9" width="7.88671875" style="3" customWidth="1"/>
    <col min="10" max="10" width="7.109375" style="3" customWidth="1"/>
    <col min="11" max="11" width="7.21875" style="3" customWidth="1"/>
    <col min="12" max="12" width="6.77734375" style="3" customWidth="1"/>
    <col min="13" max="16384" width="8.88671875" style="3"/>
  </cols>
  <sheetData>
    <row r="1" spans="1:14" ht="18.75" customHeight="1" x14ac:dyDescent="0.15">
      <c r="A1" s="101" t="s">
        <v>0</v>
      </c>
      <c r="B1" s="102"/>
      <c r="C1" s="102"/>
      <c r="D1" s="102"/>
      <c r="E1" s="102"/>
      <c r="F1" s="102"/>
      <c r="G1" s="103"/>
      <c r="H1" s="107" t="s">
        <v>1</v>
      </c>
      <c r="I1" s="1" t="s">
        <v>2</v>
      </c>
      <c r="J1" s="1" t="s">
        <v>2</v>
      </c>
      <c r="K1" s="1" t="s">
        <v>3</v>
      </c>
      <c r="L1" s="2" t="s">
        <v>4</v>
      </c>
    </row>
    <row r="2" spans="1:14" ht="13.5" customHeight="1" x14ac:dyDescent="0.15">
      <c r="A2" s="104"/>
      <c r="B2" s="105"/>
      <c r="C2" s="105"/>
      <c r="D2" s="105"/>
      <c r="E2" s="105"/>
      <c r="F2" s="105"/>
      <c r="G2" s="106"/>
      <c r="H2" s="108"/>
      <c r="I2" s="110"/>
      <c r="J2" s="110"/>
      <c r="K2" s="110"/>
      <c r="L2" s="98"/>
    </row>
    <row r="3" spans="1:14" ht="13.5" customHeight="1" x14ac:dyDescent="0.15">
      <c r="A3" s="104"/>
      <c r="B3" s="105"/>
      <c r="C3" s="105"/>
      <c r="D3" s="105"/>
      <c r="E3" s="105"/>
      <c r="F3" s="105"/>
      <c r="G3" s="106"/>
      <c r="H3" s="108"/>
      <c r="I3" s="108"/>
      <c r="J3" s="108"/>
      <c r="K3" s="108"/>
      <c r="L3" s="99"/>
    </row>
    <row r="4" spans="1:14" ht="33" customHeight="1" x14ac:dyDescent="0.15">
      <c r="A4" s="4"/>
      <c r="B4" s="5"/>
      <c r="C4" s="5"/>
      <c r="D4" s="5"/>
      <c r="E4" s="5"/>
      <c r="F4" s="5"/>
      <c r="G4" s="5"/>
      <c r="H4" s="109"/>
      <c r="I4" s="109"/>
      <c r="J4" s="109"/>
      <c r="K4" s="109"/>
      <c r="L4" s="100"/>
    </row>
    <row r="5" spans="1:14" ht="17.25" customHeight="1" x14ac:dyDescent="0.15">
      <c r="A5" s="6" t="s">
        <v>5</v>
      </c>
      <c r="B5" s="87">
        <v>46150</v>
      </c>
      <c r="C5" s="88"/>
      <c r="D5" s="88"/>
      <c r="E5" s="88"/>
      <c r="F5" s="88"/>
      <c r="G5" s="88"/>
      <c r="H5" s="5"/>
      <c r="I5" s="5"/>
      <c r="J5" s="5"/>
      <c r="K5" s="5"/>
      <c r="L5" s="7"/>
    </row>
    <row r="6" spans="1:14" ht="13.5" customHeight="1" x14ac:dyDescent="0.15">
      <c r="A6" s="89" t="s">
        <v>6</v>
      </c>
      <c r="B6" s="91" t="s">
        <v>7</v>
      </c>
      <c r="C6" s="91" t="s">
        <v>8</v>
      </c>
      <c r="D6" s="91" t="s">
        <v>9</v>
      </c>
      <c r="E6" s="93" t="s">
        <v>10</v>
      </c>
      <c r="F6" s="93" t="s">
        <v>11</v>
      </c>
      <c r="G6" s="95" t="s">
        <v>12</v>
      </c>
      <c r="H6" s="96"/>
      <c r="I6" s="96"/>
      <c r="J6" s="96"/>
      <c r="K6" s="97"/>
      <c r="L6" s="83" t="s">
        <v>13</v>
      </c>
    </row>
    <row r="7" spans="1:14" x14ac:dyDescent="0.15">
      <c r="A7" s="90"/>
      <c r="B7" s="92"/>
      <c r="C7" s="92"/>
      <c r="D7" s="92"/>
      <c r="E7" s="94"/>
      <c r="F7" s="94"/>
      <c r="G7" s="8" t="s">
        <v>14</v>
      </c>
      <c r="H7" s="8" t="s">
        <v>15</v>
      </c>
      <c r="I7" s="8" t="s">
        <v>16</v>
      </c>
      <c r="J7" s="8" t="s">
        <v>17</v>
      </c>
      <c r="K7" s="8" t="s">
        <v>18</v>
      </c>
      <c r="L7" s="84"/>
    </row>
    <row r="8" spans="1:14" s="15" customFormat="1" ht="20.25" customHeight="1" x14ac:dyDescent="0.15">
      <c r="A8" s="60" t="s">
        <v>2377</v>
      </c>
      <c r="B8" s="9" t="s">
        <v>1259</v>
      </c>
      <c r="C8" s="58" t="s">
        <v>29</v>
      </c>
      <c r="D8" s="11" t="s">
        <v>684</v>
      </c>
      <c r="E8" s="10">
        <v>22</v>
      </c>
      <c r="F8" s="58"/>
      <c r="G8" s="12">
        <v>759</v>
      </c>
      <c r="H8" s="12">
        <v>1973</v>
      </c>
      <c r="I8" s="17" t="s">
        <v>2393</v>
      </c>
      <c r="J8" s="18">
        <v>220</v>
      </c>
      <c r="K8" s="19">
        <f>+M8*N8</f>
        <v>3594.5711999999999</v>
      </c>
      <c r="L8" s="14"/>
      <c r="M8" s="15">
        <v>330.08</v>
      </c>
      <c r="N8" s="15">
        <v>10.89</v>
      </c>
    </row>
    <row r="9" spans="1:14" s="15" customFormat="1" ht="20.25" customHeight="1" x14ac:dyDescent="0.15">
      <c r="A9" s="60" t="s">
        <v>2394</v>
      </c>
      <c r="B9" s="9" t="s">
        <v>1259</v>
      </c>
      <c r="C9" s="58" t="s">
        <v>29</v>
      </c>
      <c r="D9" s="11" t="s">
        <v>684</v>
      </c>
      <c r="E9" s="10">
        <v>22</v>
      </c>
      <c r="F9" s="58"/>
      <c r="G9" s="12">
        <v>1545</v>
      </c>
      <c r="H9" s="12">
        <v>1973</v>
      </c>
      <c r="I9" s="17" t="s">
        <v>2395</v>
      </c>
      <c r="J9" s="18">
        <v>118</v>
      </c>
      <c r="K9" s="19">
        <f t="shared" ref="K9:K23" si="0">+M9*N9</f>
        <v>3412.9259999999999</v>
      </c>
      <c r="L9" s="14"/>
      <c r="M9" s="15">
        <v>313.39999999999998</v>
      </c>
      <c r="N9" s="15">
        <v>10.89</v>
      </c>
    </row>
    <row r="10" spans="1:14" s="15" customFormat="1" ht="20.25" customHeight="1" x14ac:dyDescent="0.15">
      <c r="A10" s="60" t="s">
        <v>2396</v>
      </c>
      <c r="B10" s="9" t="s">
        <v>1944</v>
      </c>
      <c r="C10" s="58" t="s">
        <v>29</v>
      </c>
      <c r="D10" s="11" t="s">
        <v>1946</v>
      </c>
      <c r="E10" s="10">
        <v>24</v>
      </c>
      <c r="F10" s="58" t="s">
        <v>11</v>
      </c>
      <c r="G10" s="12">
        <v>980</v>
      </c>
      <c r="H10" s="12">
        <v>2532</v>
      </c>
      <c r="I10" s="17" t="s">
        <v>731</v>
      </c>
      <c r="J10" s="18">
        <v>14</v>
      </c>
      <c r="K10" s="19">
        <f t="shared" si="0"/>
        <v>318.96809999999999</v>
      </c>
      <c r="L10" s="14"/>
      <c r="M10" s="15">
        <v>29.29</v>
      </c>
      <c r="N10" s="15">
        <v>10.89</v>
      </c>
    </row>
    <row r="11" spans="1:14" s="15" customFormat="1" ht="20.25" customHeight="1" x14ac:dyDescent="0.15">
      <c r="A11" s="60"/>
      <c r="B11" s="9"/>
      <c r="C11" s="58" t="s">
        <v>29</v>
      </c>
      <c r="D11" s="11" t="s">
        <v>2107</v>
      </c>
      <c r="E11" s="10">
        <v>24</v>
      </c>
      <c r="F11" s="58" t="s">
        <v>11</v>
      </c>
      <c r="G11" s="12">
        <v>1067</v>
      </c>
      <c r="H11" s="12">
        <v>985</v>
      </c>
      <c r="I11" s="17" t="s">
        <v>366</v>
      </c>
      <c r="J11" s="18">
        <v>4</v>
      </c>
      <c r="K11" s="19">
        <f t="shared" si="0"/>
        <v>45.520200000000003</v>
      </c>
      <c r="L11" s="14"/>
      <c r="M11" s="15">
        <v>4.18</v>
      </c>
      <c r="N11" s="15">
        <v>10.89</v>
      </c>
    </row>
    <row r="12" spans="1:14" s="15" customFormat="1" ht="20.25" customHeight="1" x14ac:dyDescent="0.15">
      <c r="A12" s="60"/>
      <c r="B12" s="9"/>
      <c r="C12" s="58" t="s">
        <v>29</v>
      </c>
      <c r="D12" s="11" t="s">
        <v>2397</v>
      </c>
      <c r="E12" s="10">
        <v>24</v>
      </c>
      <c r="F12" s="58" t="s">
        <v>11</v>
      </c>
      <c r="G12" s="12">
        <v>905</v>
      </c>
      <c r="H12" s="12">
        <v>2380</v>
      </c>
      <c r="I12" s="17" t="s">
        <v>366</v>
      </c>
      <c r="J12" s="18">
        <v>4</v>
      </c>
      <c r="K12" s="19">
        <f t="shared" si="0"/>
        <v>97.792200000000008</v>
      </c>
      <c r="L12" s="14"/>
      <c r="M12" s="15">
        <v>8.98</v>
      </c>
      <c r="N12" s="15">
        <v>10.89</v>
      </c>
    </row>
    <row r="13" spans="1:14" s="15" customFormat="1" ht="20.25" customHeight="1" x14ac:dyDescent="0.15">
      <c r="A13" s="60"/>
      <c r="B13" s="9"/>
      <c r="C13" s="58" t="s">
        <v>29</v>
      </c>
      <c r="D13" s="11" t="s">
        <v>1945</v>
      </c>
      <c r="E13" s="10">
        <v>24</v>
      </c>
      <c r="F13" s="58" t="s">
        <v>11</v>
      </c>
      <c r="G13" s="12">
        <v>775</v>
      </c>
      <c r="H13" s="12">
        <v>585</v>
      </c>
      <c r="I13" s="17" t="s">
        <v>170</v>
      </c>
      <c r="J13" s="18">
        <v>4</v>
      </c>
      <c r="K13" s="19">
        <f t="shared" si="0"/>
        <v>15.8994</v>
      </c>
      <c r="L13" s="14"/>
      <c r="M13" s="15">
        <v>1.46</v>
      </c>
      <c r="N13" s="15">
        <v>10.89</v>
      </c>
    </row>
    <row r="14" spans="1:14" s="15" customFormat="1" ht="20.25" customHeight="1" x14ac:dyDescent="0.15">
      <c r="A14" s="60"/>
      <c r="B14" s="9"/>
      <c r="C14" s="58"/>
      <c r="D14" s="11"/>
      <c r="E14" s="10"/>
      <c r="F14" s="58"/>
      <c r="G14" s="12"/>
      <c r="H14" s="12"/>
      <c r="I14" s="17"/>
      <c r="J14" s="18"/>
      <c r="K14" s="19">
        <f t="shared" si="0"/>
        <v>0</v>
      </c>
      <c r="L14" s="20"/>
      <c r="N14" s="15">
        <v>10.89</v>
      </c>
    </row>
    <row r="15" spans="1:14" s="15" customFormat="1" ht="20.25" customHeight="1" x14ac:dyDescent="0.15">
      <c r="A15" s="60"/>
      <c r="B15" s="9"/>
      <c r="C15" s="58"/>
      <c r="D15" s="11"/>
      <c r="E15" s="10"/>
      <c r="F15" s="58"/>
      <c r="G15" s="12"/>
      <c r="H15" s="12"/>
      <c r="I15" s="17"/>
      <c r="J15" s="18"/>
      <c r="K15" s="19">
        <f t="shared" si="0"/>
        <v>0</v>
      </c>
      <c r="L15" s="20"/>
      <c r="N15" s="15">
        <v>10.89</v>
      </c>
    </row>
    <row r="16" spans="1:14" s="15" customFormat="1" ht="20.25" customHeight="1" x14ac:dyDescent="0.15">
      <c r="A16" s="60"/>
      <c r="B16" s="9"/>
      <c r="C16" s="58"/>
      <c r="D16" s="11"/>
      <c r="E16" s="10"/>
      <c r="F16" s="58"/>
      <c r="G16" s="12"/>
      <c r="H16" s="12"/>
      <c r="I16" s="17"/>
      <c r="J16" s="18"/>
      <c r="K16" s="19">
        <f t="shared" si="0"/>
        <v>0</v>
      </c>
      <c r="L16" s="20"/>
      <c r="N16" s="15">
        <v>10.89</v>
      </c>
    </row>
    <row r="17" spans="1:14" s="15" customFormat="1" ht="20.25" customHeight="1" x14ac:dyDescent="0.15">
      <c r="A17" s="60"/>
      <c r="B17" s="9"/>
      <c r="C17" s="58"/>
      <c r="D17" s="11"/>
      <c r="E17" s="10"/>
      <c r="F17" s="58"/>
      <c r="G17" s="12"/>
      <c r="H17" s="12"/>
      <c r="I17" s="17"/>
      <c r="J17" s="18"/>
      <c r="K17" s="19">
        <f t="shared" si="0"/>
        <v>0</v>
      </c>
      <c r="L17" s="20"/>
      <c r="N17" s="15">
        <v>10.89</v>
      </c>
    </row>
    <row r="18" spans="1:14" s="15" customFormat="1" ht="20.25" customHeight="1" x14ac:dyDescent="0.15">
      <c r="A18" s="60"/>
      <c r="B18" s="9"/>
      <c r="C18" s="58"/>
      <c r="D18" s="11"/>
      <c r="E18" s="10"/>
      <c r="F18" s="58"/>
      <c r="G18" s="12"/>
      <c r="H18" s="12"/>
      <c r="I18" s="17"/>
      <c r="J18" s="18"/>
      <c r="K18" s="19">
        <f t="shared" si="0"/>
        <v>0</v>
      </c>
      <c r="L18" s="20"/>
      <c r="N18" s="15">
        <v>10.89</v>
      </c>
    </row>
    <row r="19" spans="1:14" s="15" customFormat="1" ht="20.25" customHeight="1" x14ac:dyDescent="0.15">
      <c r="A19" s="60"/>
      <c r="B19" s="9"/>
      <c r="C19" s="58"/>
      <c r="D19" s="11"/>
      <c r="E19" s="10"/>
      <c r="F19" s="58"/>
      <c r="G19" s="12"/>
      <c r="H19" s="12"/>
      <c r="I19" s="17"/>
      <c r="J19" s="18"/>
      <c r="K19" s="19">
        <f t="shared" si="0"/>
        <v>0</v>
      </c>
      <c r="L19" s="20"/>
      <c r="N19" s="15">
        <v>10.89</v>
      </c>
    </row>
    <row r="20" spans="1:14" s="15" customFormat="1" ht="20.25" customHeight="1" x14ac:dyDescent="0.15">
      <c r="A20" s="60"/>
      <c r="B20" s="9"/>
      <c r="C20" s="58"/>
      <c r="D20" s="11"/>
      <c r="E20" s="10"/>
      <c r="F20" s="58"/>
      <c r="G20" s="12"/>
      <c r="H20" s="12"/>
      <c r="I20" s="17"/>
      <c r="J20" s="18"/>
      <c r="K20" s="19">
        <f t="shared" si="0"/>
        <v>0</v>
      </c>
      <c r="L20" s="20"/>
      <c r="N20" s="15">
        <v>10.89</v>
      </c>
    </row>
    <row r="21" spans="1:14" s="15" customFormat="1" ht="20.25" customHeight="1" x14ac:dyDescent="0.15">
      <c r="A21" s="60"/>
      <c r="B21" s="9"/>
      <c r="C21" s="58"/>
      <c r="D21" s="11"/>
      <c r="E21" s="10"/>
      <c r="F21" s="58"/>
      <c r="G21" s="50"/>
      <c r="H21" s="50"/>
      <c r="I21" s="17"/>
      <c r="J21" s="18"/>
      <c r="K21" s="19">
        <f t="shared" si="0"/>
        <v>0</v>
      </c>
      <c r="L21" s="20"/>
      <c r="N21" s="15">
        <v>10.89</v>
      </c>
    </row>
    <row r="22" spans="1:14" s="15" customFormat="1" ht="20.25" customHeight="1" x14ac:dyDescent="0.15">
      <c r="A22" s="60"/>
      <c r="B22" s="9"/>
      <c r="C22" s="58"/>
      <c r="D22" s="11"/>
      <c r="E22" s="10"/>
      <c r="F22" s="58"/>
      <c r="G22" s="50"/>
      <c r="H22" s="50"/>
      <c r="I22" s="17"/>
      <c r="J22" s="18"/>
      <c r="K22" s="19">
        <f t="shared" si="0"/>
        <v>0</v>
      </c>
      <c r="L22" s="20"/>
      <c r="N22" s="15">
        <v>10.89</v>
      </c>
    </row>
    <row r="23" spans="1:14" ht="20.25" customHeight="1" x14ac:dyDescent="0.15">
      <c r="A23" s="60"/>
      <c r="B23" s="9"/>
      <c r="C23" s="58"/>
      <c r="D23" s="11"/>
      <c r="E23" s="10"/>
      <c r="F23" s="58"/>
      <c r="G23" s="16"/>
      <c r="H23" s="16"/>
      <c r="I23" s="17"/>
      <c r="J23" s="18"/>
      <c r="K23" s="19">
        <f t="shared" si="0"/>
        <v>0</v>
      </c>
      <c r="L23" s="20"/>
      <c r="N23" s="15">
        <v>10.89</v>
      </c>
    </row>
    <row r="24" spans="1:14" ht="20.25" customHeight="1" thickBot="1" x14ac:dyDescent="0.2">
      <c r="A24" s="56"/>
      <c r="B24" s="21"/>
      <c r="C24" s="59"/>
      <c r="D24" s="22"/>
      <c r="E24" s="23"/>
      <c r="F24" s="23"/>
      <c r="G24" s="24"/>
      <c r="H24" s="24"/>
      <c r="I24" s="25"/>
      <c r="J24" s="46">
        <f>SUM(J8:J23)</f>
        <v>364</v>
      </c>
      <c r="K24" s="47">
        <f>SUM(K8:K23)</f>
        <v>7485.6770999999999</v>
      </c>
      <c r="L24" s="26"/>
    </row>
    <row r="25" spans="1:14" ht="20.25" customHeight="1" thickTop="1" x14ac:dyDescent="0.15">
      <c r="A25" s="60" t="s">
        <v>2387</v>
      </c>
      <c r="B25" s="9" t="s">
        <v>173</v>
      </c>
      <c r="C25" s="58" t="s">
        <v>29</v>
      </c>
      <c r="D25" s="11" t="s">
        <v>280</v>
      </c>
      <c r="E25" s="10">
        <v>46.76</v>
      </c>
      <c r="F25" s="10" t="s">
        <v>11</v>
      </c>
      <c r="G25" s="12">
        <v>786</v>
      </c>
      <c r="H25" s="12">
        <v>508</v>
      </c>
      <c r="I25" s="17">
        <v>4</v>
      </c>
      <c r="J25" s="18">
        <v>4</v>
      </c>
      <c r="K25" s="19">
        <f t="shared" ref="K25:K40" si="1">+M25*N25</f>
        <v>17.424000000000003</v>
      </c>
      <c r="L25" s="54"/>
      <c r="M25" s="3">
        <v>1.6</v>
      </c>
      <c r="N25" s="15">
        <v>10.89</v>
      </c>
    </row>
    <row r="26" spans="1:14" ht="20.25" customHeight="1" x14ac:dyDescent="0.15">
      <c r="A26" s="60" t="s">
        <v>2388</v>
      </c>
      <c r="B26" s="9" t="s">
        <v>173</v>
      </c>
      <c r="C26" s="58" t="s">
        <v>29</v>
      </c>
      <c r="D26" s="11" t="s">
        <v>280</v>
      </c>
      <c r="E26" s="10">
        <v>46.76</v>
      </c>
      <c r="F26" s="10" t="s">
        <v>11</v>
      </c>
      <c r="G26" s="12">
        <v>786</v>
      </c>
      <c r="H26" s="12">
        <v>508</v>
      </c>
      <c r="I26" s="17">
        <v>4</v>
      </c>
      <c r="J26" s="18">
        <v>4</v>
      </c>
      <c r="K26" s="19">
        <f t="shared" si="1"/>
        <v>17.424000000000003</v>
      </c>
      <c r="L26" s="54"/>
      <c r="M26" s="3">
        <v>1.6</v>
      </c>
      <c r="N26" s="15">
        <v>10.89</v>
      </c>
    </row>
    <row r="27" spans="1:14" ht="20.25" customHeight="1" x14ac:dyDescent="0.15">
      <c r="A27" s="60" t="s">
        <v>2389</v>
      </c>
      <c r="B27" s="9" t="s">
        <v>173</v>
      </c>
      <c r="C27" s="58" t="s">
        <v>29</v>
      </c>
      <c r="D27" s="11" t="s">
        <v>280</v>
      </c>
      <c r="E27" s="10">
        <v>46.76</v>
      </c>
      <c r="F27" s="10" t="s">
        <v>11</v>
      </c>
      <c r="G27" s="12">
        <v>886</v>
      </c>
      <c r="H27" s="12">
        <v>508</v>
      </c>
      <c r="I27" s="17">
        <v>8</v>
      </c>
      <c r="J27" s="18">
        <v>8</v>
      </c>
      <c r="K27" s="19">
        <f t="shared" si="1"/>
        <v>39.204000000000001</v>
      </c>
      <c r="L27" s="54"/>
      <c r="M27" s="3">
        <v>3.6</v>
      </c>
      <c r="N27" s="15">
        <v>10.89</v>
      </c>
    </row>
    <row r="28" spans="1:14" ht="20.25" customHeight="1" x14ac:dyDescent="0.15">
      <c r="A28" s="61" t="s">
        <v>2398</v>
      </c>
      <c r="B28" s="9" t="s">
        <v>1175</v>
      </c>
      <c r="C28" s="58" t="s">
        <v>29</v>
      </c>
      <c r="D28" s="11" t="s">
        <v>2092</v>
      </c>
      <c r="E28" s="10">
        <v>24</v>
      </c>
      <c r="F28" s="10" t="s">
        <v>11</v>
      </c>
      <c r="G28" s="12">
        <v>1395</v>
      </c>
      <c r="H28" s="12">
        <v>525</v>
      </c>
      <c r="I28" s="17" t="s">
        <v>2399</v>
      </c>
      <c r="J28" s="18">
        <v>44</v>
      </c>
      <c r="K28" s="19">
        <f t="shared" si="1"/>
        <v>270.83430000000004</v>
      </c>
      <c r="L28" s="54"/>
      <c r="M28" s="3">
        <v>24.87</v>
      </c>
      <c r="N28" s="15">
        <v>10.89</v>
      </c>
    </row>
    <row r="29" spans="1:14" ht="20.25" customHeight="1" x14ac:dyDescent="0.15">
      <c r="A29" s="61" t="s">
        <v>2400</v>
      </c>
      <c r="B29" s="9" t="s">
        <v>1175</v>
      </c>
      <c r="C29" s="58" t="s">
        <v>29</v>
      </c>
      <c r="D29" s="11" t="s">
        <v>1009</v>
      </c>
      <c r="E29" s="10">
        <v>24</v>
      </c>
      <c r="F29" s="10" t="s">
        <v>11</v>
      </c>
      <c r="G29" s="12">
        <v>665</v>
      </c>
      <c r="H29" s="12">
        <v>937</v>
      </c>
      <c r="I29" s="17" t="s">
        <v>1979</v>
      </c>
      <c r="J29" s="18">
        <v>19</v>
      </c>
      <c r="K29" s="19">
        <f t="shared" si="1"/>
        <v>113.8005</v>
      </c>
      <c r="L29" s="54"/>
      <c r="M29" s="3">
        <v>10.45</v>
      </c>
      <c r="N29" s="15">
        <v>10.89</v>
      </c>
    </row>
    <row r="30" spans="1:14" ht="20.25" customHeight="1" x14ac:dyDescent="0.15">
      <c r="A30" s="61"/>
      <c r="B30" s="9"/>
      <c r="C30" s="58" t="s">
        <v>29</v>
      </c>
      <c r="D30" s="11" t="s">
        <v>1176</v>
      </c>
      <c r="E30" s="10">
        <v>39</v>
      </c>
      <c r="F30" s="10" t="s">
        <v>11</v>
      </c>
      <c r="G30" s="12">
        <v>1600</v>
      </c>
      <c r="H30" s="12">
        <v>1685</v>
      </c>
      <c r="I30" s="51" t="s">
        <v>843</v>
      </c>
      <c r="J30" s="52">
        <v>88</v>
      </c>
      <c r="K30" s="53">
        <f t="shared" si="1"/>
        <v>1151.6175000000001</v>
      </c>
      <c r="L30" s="54"/>
      <c r="M30" s="3">
        <v>105.75</v>
      </c>
      <c r="N30" s="15">
        <v>10.89</v>
      </c>
    </row>
    <row r="31" spans="1:14" ht="20.25" customHeight="1" x14ac:dyDescent="0.15">
      <c r="A31" s="61" t="s">
        <v>2401</v>
      </c>
      <c r="B31" s="9" t="s">
        <v>1175</v>
      </c>
      <c r="C31" s="58" t="s">
        <v>29</v>
      </c>
      <c r="D31" s="11" t="s">
        <v>1009</v>
      </c>
      <c r="E31" s="10">
        <v>24</v>
      </c>
      <c r="F31" s="10" t="s">
        <v>11</v>
      </c>
      <c r="G31" s="12">
        <v>665</v>
      </c>
      <c r="H31" s="12">
        <v>937</v>
      </c>
      <c r="I31" s="51" t="s">
        <v>2402</v>
      </c>
      <c r="J31" s="52">
        <v>18</v>
      </c>
      <c r="K31" s="53">
        <f t="shared" si="1"/>
        <v>110.64240000000001</v>
      </c>
      <c r="L31" s="54"/>
      <c r="M31" s="3">
        <v>10.16</v>
      </c>
      <c r="N31" s="15">
        <v>10.89</v>
      </c>
    </row>
    <row r="32" spans="1:14" ht="20.25" customHeight="1" x14ac:dyDescent="0.15">
      <c r="A32" s="60"/>
      <c r="B32" s="9"/>
      <c r="C32" s="58" t="s">
        <v>29</v>
      </c>
      <c r="D32" s="11" t="s">
        <v>1176</v>
      </c>
      <c r="E32" s="10">
        <v>39</v>
      </c>
      <c r="F32" s="10" t="s">
        <v>11</v>
      </c>
      <c r="G32" s="12">
        <v>1600</v>
      </c>
      <c r="H32" s="12">
        <v>1685</v>
      </c>
      <c r="I32" s="17" t="s">
        <v>599</v>
      </c>
      <c r="J32" s="18">
        <v>17</v>
      </c>
      <c r="K32" s="19">
        <f t="shared" si="1"/>
        <v>384.85260000000005</v>
      </c>
      <c r="L32" s="27"/>
      <c r="M32" s="3">
        <v>35.340000000000003</v>
      </c>
      <c r="N32" s="15">
        <v>10.89</v>
      </c>
    </row>
    <row r="33" spans="1:14" ht="20.25" customHeight="1" x14ac:dyDescent="0.15">
      <c r="A33" s="60"/>
      <c r="B33" s="9"/>
      <c r="C33" s="58"/>
      <c r="D33" s="11"/>
      <c r="E33" s="10"/>
      <c r="F33" s="10"/>
      <c r="G33" s="12"/>
      <c r="H33" s="12"/>
      <c r="I33" s="17"/>
      <c r="J33" s="18"/>
      <c r="K33" s="19">
        <f t="shared" si="1"/>
        <v>0</v>
      </c>
      <c r="L33" s="27"/>
      <c r="N33" s="15">
        <v>10.89</v>
      </c>
    </row>
    <row r="34" spans="1:14" ht="20.25" customHeight="1" x14ac:dyDescent="0.15">
      <c r="A34" s="60"/>
      <c r="B34" s="9"/>
      <c r="C34" s="58"/>
      <c r="D34" s="11"/>
      <c r="E34" s="10"/>
      <c r="F34" s="10"/>
      <c r="G34" s="12"/>
      <c r="H34" s="12"/>
      <c r="I34" s="17"/>
      <c r="J34" s="18"/>
      <c r="K34" s="19">
        <f t="shared" si="1"/>
        <v>0</v>
      </c>
      <c r="L34" s="27"/>
      <c r="N34" s="15">
        <v>10.89</v>
      </c>
    </row>
    <row r="35" spans="1:14" ht="20.25" customHeight="1" x14ac:dyDescent="0.15">
      <c r="A35" s="60"/>
      <c r="B35" s="9"/>
      <c r="C35" s="58"/>
      <c r="D35" s="11"/>
      <c r="E35" s="10"/>
      <c r="F35" s="10"/>
      <c r="G35" s="12"/>
      <c r="H35" s="12"/>
      <c r="I35" s="17"/>
      <c r="J35" s="18"/>
      <c r="K35" s="19">
        <f t="shared" si="1"/>
        <v>0</v>
      </c>
      <c r="L35" s="27"/>
      <c r="N35" s="15">
        <v>10.89</v>
      </c>
    </row>
    <row r="36" spans="1:14" ht="20.25" customHeight="1" x14ac:dyDescent="0.15">
      <c r="A36" s="60"/>
      <c r="B36" s="9"/>
      <c r="C36" s="58"/>
      <c r="D36" s="11"/>
      <c r="E36" s="10"/>
      <c r="F36" s="10"/>
      <c r="G36" s="12"/>
      <c r="H36" s="12"/>
      <c r="I36" s="17"/>
      <c r="J36" s="18"/>
      <c r="K36" s="19">
        <f t="shared" si="1"/>
        <v>0</v>
      </c>
      <c r="L36" s="27"/>
      <c r="N36" s="15">
        <v>10.89</v>
      </c>
    </row>
    <row r="37" spans="1:14" ht="20.25" customHeight="1" x14ac:dyDescent="0.15">
      <c r="A37" s="60"/>
      <c r="B37" s="9"/>
      <c r="C37" s="58"/>
      <c r="D37" s="11"/>
      <c r="E37" s="10"/>
      <c r="F37" s="10"/>
      <c r="G37" s="12"/>
      <c r="H37" s="12"/>
      <c r="I37" s="17"/>
      <c r="J37" s="18"/>
      <c r="K37" s="19">
        <f t="shared" si="1"/>
        <v>0</v>
      </c>
      <c r="L37" s="27"/>
      <c r="N37" s="15">
        <v>10.89</v>
      </c>
    </row>
    <row r="38" spans="1:14" ht="20.25" customHeight="1" x14ac:dyDescent="0.15">
      <c r="A38" s="60"/>
      <c r="B38" s="9"/>
      <c r="C38" s="58"/>
      <c r="D38" s="11"/>
      <c r="E38" s="10"/>
      <c r="F38" s="10"/>
      <c r="G38" s="12"/>
      <c r="H38" s="12"/>
      <c r="I38" s="17"/>
      <c r="J38" s="18"/>
      <c r="K38" s="19">
        <f t="shared" si="1"/>
        <v>0</v>
      </c>
      <c r="L38" s="27"/>
      <c r="N38" s="15">
        <v>10.89</v>
      </c>
    </row>
    <row r="39" spans="1:14" ht="20.25" customHeight="1" x14ac:dyDescent="0.15">
      <c r="A39" s="60"/>
      <c r="B39" s="9"/>
      <c r="C39" s="58"/>
      <c r="D39" s="11"/>
      <c r="E39" s="10"/>
      <c r="F39" s="10"/>
      <c r="G39" s="12"/>
      <c r="H39" s="12"/>
      <c r="I39" s="17"/>
      <c r="J39" s="18"/>
      <c r="K39" s="19">
        <f t="shared" si="1"/>
        <v>0</v>
      </c>
      <c r="L39" s="27"/>
      <c r="N39" s="15">
        <v>10.89</v>
      </c>
    </row>
    <row r="40" spans="1:14" ht="20.25" customHeight="1" x14ac:dyDescent="0.15">
      <c r="A40" s="60"/>
      <c r="B40" s="9"/>
      <c r="C40" s="58"/>
      <c r="D40" s="11"/>
      <c r="E40" s="10"/>
      <c r="F40" s="10"/>
      <c r="G40" s="12"/>
      <c r="H40" s="12"/>
      <c r="I40" s="17"/>
      <c r="J40" s="18"/>
      <c r="K40" s="19">
        <f t="shared" si="1"/>
        <v>0</v>
      </c>
      <c r="L40" s="27"/>
      <c r="N40" s="15">
        <v>10.89</v>
      </c>
    </row>
    <row r="41" spans="1:14" ht="20.25" customHeight="1" x14ac:dyDescent="0.15">
      <c r="A41" s="57"/>
      <c r="B41" s="28"/>
      <c r="C41" s="10"/>
      <c r="D41" s="29"/>
      <c r="E41" s="30"/>
      <c r="F41" s="30"/>
      <c r="G41" s="30"/>
      <c r="H41" s="30"/>
      <c r="I41" s="13"/>
      <c r="J41" s="48">
        <f>SUM(J25:J40)</f>
        <v>202</v>
      </c>
      <c r="K41" s="49">
        <f>SUM(K25:K40)</f>
        <v>2105.7993000000001</v>
      </c>
      <c r="L41" s="31"/>
      <c r="N41" s="32"/>
    </row>
    <row r="42" spans="1:14" ht="20.25" customHeight="1" thickBot="1" x14ac:dyDescent="0.2">
      <c r="A42" s="55"/>
      <c r="B42" s="33"/>
      <c r="C42" s="33"/>
      <c r="D42" s="33"/>
      <c r="E42" s="33"/>
      <c r="F42" s="33"/>
      <c r="G42" s="33"/>
      <c r="H42" s="33"/>
      <c r="I42" s="33"/>
      <c r="J42" s="34"/>
      <c r="K42" s="35"/>
      <c r="L42" s="36"/>
    </row>
    <row r="43" spans="1:14" ht="20.25" customHeight="1" thickBot="1" x14ac:dyDescent="0.2">
      <c r="A43" s="37" t="s">
        <v>19</v>
      </c>
      <c r="B43" s="38" t="s">
        <v>20</v>
      </c>
      <c r="C43" s="77" t="s">
        <v>21</v>
      </c>
      <c r="D43" s="79"/>
      <c r="E43" s="77" t="s">
        <v>22</v>
      </c>
      <c r="F43" s="78"/>
      <c r="G43" s="79"/>
      <c r="H43" s="85" t="s">
        <v>23</v>
      </c>
      <c r="I43" s="86"/>
      <c r="J43" s="77" t="s">
        <v>24</v>
      </c>
      <c r="K43" s="79"/>
      <c r="L43" s="39" t="s">
        <v>13</v>
      </c>
    </row>
    <row r="44" spans="1:14" ht="20.25" customHeight="1" thickBot="1" x14ac:dyDescent="0.2">
      <c r="A44" s="40">
        <f>SUMIF($C$8:$C$42,"U1",$J$8:$J$42)</f>
        <v>0</v>
      </c>
      <c r="B44" s="41">
        <f>SUMIF($C$8:$C$42,"U2",$J$8:$J$42)</f>
        <v>0</v>
      </c>
      <c r="C44" s="77">
        <f>SUMIF($C$8:$C$42,"U3-1",$J$8:$J$42)</f>
        <v>0</v>
      </c>
      <c r="D44" s="79"/>
      <c r="E44" s="77">
        <f>SUMIF($C$8:$C$42,"U3",$J$8:$J$42)</f>
        <v>566</v>
      </c>
      <c r="F44" s="78"/>
      <c r="G44" s="79"/>
      <c r="H44" s="77">
        <f>SUMIF($C$8:$C$42,"E5",$J$8:$J$42)</f>
        <v>0</v>
      </c>
      <c r="I44" s="79"/>
      <c r="J44" s="77">
        <f>SUM(A44:I44)</f>
        <v>566</v>
      </c>
      <c r="K44" s="79"/>
      <c r="L44" s="42"/>
    </row>
    <row r="45" spans="1:14" ht="20.25" customHeight="1" thickBot="1" x14ac:dyDescent="0.2">
      <c r="A45" s="43" t="s">
        <v>25</v>
      </c>
      <c r="B45" s="44" t="s">
        <v>26</v>
      </c>
      <c r="C45" s="75">
        <v>13876</v>
      </c>
      <c r="D45" s="76"/>
      <c r="E45" s="77" t="s">
        <v>27</v>
      </c>
      <c r="F45" s="78"/>
      <c r="G45" s="78"/>
      <c r="H45" s="78"/>
      <c r="I45" s="79"/>
      <c r="J45" s="80">
        <v>146744.37</v>
      </c>
      <c r="K45" s="81"/>
      <c r="L45" s="82"/>
    </row>
    <row r="47" spans="1:14" x14ac:dyDescent="0.15">
      <c r="D47" s="45"/>
    </row>
  </sheetData>
  <mergeCells count="26">
    <mergeCell ref="L2:L4"/>
    <mergeCell ref="A1:G3"/>
    <mergeCell ref="H1:H4"/>
    <mergeCell ref="I2:I4"/>
    <mergeCell ref="J2:J4"/>
    <mergeCell ref="K2:K4"/>
    <mergeCell ref="B5:G5"/>
    <mergeCell ref="A6:A7"/>
    <mergeCell ref="B6:B7"/>
    <mergeCell ref="C6:C7"/>
    <mergeCell ref="D6:D7"/>
    <mergeCell ref="E6:E7"/>
    <mergeCell ref="F6:F7"/>
    <mergeCell ref="G6:K6"/>
    <mergeCell ref="C45:D45"/>
    <mergeCell ref="E45:I45"/>
    <mergeCell ref="J45:L45"/>
    <mergeCell ref="L6:L7"/>
    <mergeCell ref="C43:D43"/>
    <mergeCell ref="E43:G43"/>
    <mergeCell ref="H43:I43"/>
    <mergeCell ref="J43:K43"/>
    <mergeCell ref="C44:D44"/>
    <mergeCell ref="E44:G44"/>
    <mergeCell ref="H44:I44"/>
    <mergeCell ref="J44:K44"/>
  </mergeCells>
  <phoneticPr fontId="2" type="noConversion"/>
  <printOptions horizontalCentered="1"/>
  <pageMargins left="0.39370078740157483" right="0.39370078740157483" top="0.74803149606299213" bottom="0.19685039370078741" header="0.31496062992125984" footer="0.15748031496062992"/>
  <pageSetup paperSize="9" scale="84" orientation="portrait" r:id="rId1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CD1773-C7AF-4B9C-83C2-FF39951CA9DB}">
  <dimension ref="A1:N47"/>
  <sheetViews>
    <sheetView view="pageBreakPreview" zoomScaleSheetLayoutView="100" workbookViewId="0">
      <selection activeCell="B8" sqref="B8"/>
    </sheetView>
  </sheetViews>
  <sheetFormatPr defaultColWidth="8.88671875" defaultRowHeight="13.5" x14ac:dyDescent="0.15"/>
  <cols>
    <col min="1" max="1" width="8.44140625" style="3" customWidth="1"/>
    <col min="2" max="2" width="14.77734375" style="3" customWidth="1"/>
    <col min="3" max="3" width="4.109375" style="3" customWidth="1"/>
    <col min="4" max="4" width="15.21875" style="3" customWidth="1"/>
    <col min="5" max="5" width="4.44140625" style="3" customWidth="1"/>
    <col min="6" max="6" width="4" style="3" customWidth="1"/>
    <col min="7" max="7" width="5.5546875" style="3" customWidth="1"/>
    <col min="8" max="8" width="5.44140625" style="3" customWidth="1"/>
    <col min="9" max="9" width="7.88671875" style="3" customWidth="1"/>
    <col min="10" max="10" width="7.109375" style="3" customWidth="1"/>
    <col min="11" max="11" width="7.21875" style="3" customWidth="1"/>
    <col min="12" max="12" width="6.77734375" style="3" customWidth="1"/>
    <col min="13" max="16384" width="8.88671875" style="3"/>
  </cols>
  <sheetData>
    <row r="1" spans="1:14" ht="18.75" customHeight="1" x14ac:dyDescent="0.15">
      <c r="A1" s="101" t="s">
        <v>0</v>
      </c>
      <c r="B1" s="102"/>
      <c r="C1" s="102"/>
      <c r="D1" s="102"/>
      <c r="E1" s="102"/>
      <c r="F1" s="102"/>
      <c r="G1" s="103"/>
      <c r="H1" s="107" t="s">
        <v>1</v>
      </c>
      <c r="I1" s="1" t="s">
        <v>2</v>
      </c>
      <c r="J1" s="1" t="s">
        <v>2</v>
      </c>
      <c r="K1" s="1" t="s">
        <v>3</v>
      </c>
      <c r="L1" s="2" t="s">
        <v>4</v>
      </c>
    </row>
    <row r="2" spans="1:14" ht="13.5" customHeight="1" x14ac:dyDescent="0.15">
      <c r="A2" s="104"/>
      <c r="B2" s="105"/>
      <c r="C2" s="105"/>
      <c r="D2" s="105"/>
      <c r="E2" s="105"/>
      <c r="F2" s="105"/>
      <c r="G2" s="106"/>
      <c r="H2" s="108"/>
      <c r="I2" s="110"/>
      <c r="J2" s="110"/>
      <c r="K2" s="110"/>
      <c r="L2" s="98"/>
    </row>
    <row r="3" spans="1:14" ht="13.5" customHeight="1" x14ac:dyDescent="0.15">
      <c r="A3" s="104"/>
      <c r="B3" s="105"/>
      <c r="C3" s="105"/>
      <c r="D3" s="105"/>
      <c r="E3" s="105"/>
      <c r="F3" s="105"/>
      <c r="G3" s="106"/>
      <c r="H3" s="108"/>
      <c r="I3" s="108"/>
      <c r="J3" s="108"/>
      <c r="K3" s="108"/>
      <c r="L3" s="99"/>
    </row>
    <row r="4" spans="1:14" ht="33" customHeight="1" x14ac:dyDescent="0.15">
      <c r="A4" s="4"/>
      <c r="B4" s="5"/>
      <c r="C4" s="5"/>
      <c r="D4" s="5"/>
      <c r="E4" s="5"/>
      <c r="F4" s="5"/>
      <c r="G4" s="5"/>
      <c r="H4" s="109"/>
      <c r="I4" s="109"/>
      <c r="J4" s="109"/>
      <c r="K4" s="109"/>
      <c r="L4" s="100"/>
    </row>
    <row r="5" spans="1:14" ht="17.25" customHeight="1" x14ac:dyDescent="0.15">
      <c r="A5" s="6" t="s">
        <v>5</v>
      </c>
      <c r="B5" s="87">
        <v>46151</v>
      </c>
      <c r="C5" s="88"/>
      <c r="D5" s="88"/>
      <c r="E5" s="88"/>
      <c r="F5" s="88"/>
      <c r="G5" s="88"/>
      <c r="H5" s="5"/>
      <c r="I5" s="5"/>
      <c r="J5" s="5"/>
      <c r="K5" s="5"/>
      <c r="L5" s="7"/>
    </row>
    <row r="6" spans="1:14" ht="13.5" customHeight="1" x14ac:dyDescent="0.15">
      <c r="A6" s="89" t="s">
        <v>6</v>
      </c>
      <c r="B6" s="91" t="s">
        <v>7</v>
      </c>
      <c r="C6" s="91" t="s">
        <v>8</v>
      </c>
      <c r="D6" s="91" t="s">
        <v>9</v>
      </c>
      <c r="E6" s="93" t="s">
        <v>10</v>
      </c>
      <c r="F6" s="93" t="s">
        <v>11</v>
      </c>
      <c r="G6" s="95" t="s">
        <v>12</v>
      </c>
      <c r="H6" s="96"/>
      <c r="I6" s="96"/>
      <c r="J6" s="96"/>
      <c r="K6" s="97"/>
      <c r="L6" s="83" t="s">
        <v>13</v>
      </c>
    </row>
    <row r="7" spans="1:14" x14ac:dyDescent="0.15">
      <c r="A7" s="90"/>
      <c r="B7" s="92"/>
      <c r="C7" s="92"/>
      <c r="D7" s="92"/>
      <c r="E7" s="94"/>
      <c r="F7" s="94"/>
      <c r="G7" s="8" t="s">
        <v>14</v>
      </c>
      <c r="H7" s="8" t="s">
        <v>15</v>
      </c>
      <c r="I7" s="8" t="s">
        <v>16</v>
      </c>
      <c r="J7" s="8" t="s">
        <v>17</v>
      </c>
      <c r="K7" s="8" t="s">
        <v>18</v>
      </c>
      <c r="L7" s="84"/>
    </row>
    <row r="8" spans="1:14" s="15" customFormat="1" ht="20.25" customHeight="1" x14ac:dyDescent="0.15">
      <c r="A8" s="60" t="s">
        <v>2403</v>
      </c>
      <c r="B8" s="9" t="s">
        <v>1304</v>
      </c>
      <c r="C8" s="58" t="s">
        <v>29</v>
      </c>
      <c r="D8" s="11" t="s">
        <v>1305</v>
      </c>
      <c r="E8" s="10">
        <v>28</v>
      </c>
      <c r="F8" s="58"/>
      <c r="G8" s="12">
        <v>1800</v>
      </c>
      <c r="H8" s="12">
        <v>1635</v>
      </c>
      <c r="I8" s="17" t="s">
        <v>1178</v>
      </c>
      <c r="J8" s="18">
        <v>23</v>
      </c>
      <c r="K8" s="19">
        <f>+M8*N8</f>
        <v>541.23300000000006</v>
      </c>
      <c r="L8" s="14"/>
      <c r="M8" s="15">
        <v>49.7</v>
      </c>
      <c r="N8" s="15">
        <v>10.89</v>
      </c>
    </row>
    <row r="9" spans="1:14" s="15" customFormat="1" ht="20.25" customHeight="1" x14ac:dyDescent="0.15">
      <c r="A9" s="60"/>
      <c r="B9" s="9"/>
      <c r="C9" s="58" t="s">
        <v>29</v>
      </c>
      <c r="D9" s="11" t="s">
        <v>1316</v>
      </c>
      <c r="E9" s="10">
        <v>28</v>
      </c>
      <c r="F9" s="58" t="s">
        <v>11</v>
      </c>
      <c r="G9" s="12">
        <v>1800</v>
      </c>
      <c r="H9" s="12">
        <v>1635</v>
      </c>
      <c r="I9" s="17" t="s">
        <v>2404</v>
      </c>
      <c r="J9" s="18">
        <v>30</v>
      </c>
      <c r="K9" s="19">
        <f t="shared" ref="K9:K23" si="0">+M9*N9</f>
        <v>854.64720000000011</v>
      </c>
      <c r="L9" s="14"/>
      <c r="M9" s="15">
        <v>78.48</v>
      </c>
      <c r="N9" s="15">
        <v>10.89</v>
      </c>
    </row>
    <row r="10" spans="1:14" s="15" customFormat="1" ht="20.25" customHeight="1" x14ac:dyDescent="0.15">
      <c r="A10" s="60" t="s">
        <v>2405</v>
      </c>
      <c r="B10" s="9" t="s">
        <v>1950</v>
      </c>
      <c r="C10" s="58" t="s">
        <v>29</v>
      </c>
      <c r="D10" s="11" t="s">
        <v>224</v>
      </c>
      <c r="E10" s="10">
        <v>22</v>
      </c>
      <c r="F10" s="58" t="s">
        <v>11</v>
      </c>
      <c r="G10" s="12">
        <v>1719</v>
      </c>
      <c r="H10" s="12">
        <v>1820</v>
      </c>
      <c r="I10" s="17" t="s">
        <v>790</v>
      </c>
      <c r="J10" s="18">
        <v>75</v>
      </c>
      <c r="K10" s="19">
        <f t="shared" si="0"/>
        <v>627.80849999999998</v>
      </c>
      <c r="L10" s="14"/>
      <c r="M10" s="15">
        <v>57.65</v>
      </c>
      <c r="N10" s="15">
        <v>10.89</v>
      </c>
    </row>
    <row r="11" spans="1:14" s="15" customFormat="1" ht="20.25" customHeight="1" x14ac:dyDescent="0.15">
      <c r="A11" s="60"/>
      <c r="B11" s="9"/>
      <c r="C11" s="58" t="s">
        <v>29</v>
      </c>
      <c r="D11" s="11" t="s">
        <v>217</v>
      </c>
      <c r="E11" s="10">
        <v>22</v>
      </c>
      <c r="F11" s="58" t="s">
        <v>11</v>
      </c>
      <c r="G11" s="12">
        <v>1719</v>
      </c>
      <c r="H11" s="12">
        <v>1820</v>
      </c>
      <c r="I11" s="17" t="s">
        <v>790</v>
      </c>
      <c r="J11" s="18">
        <v>75</v>
      </c>
      <c r="K11" s="19">
        <f t="shared" si="0"/>
        <v>627.80849999999998</v>
      </c>
      <c r="L11" s="14"/>
      <c r="M11" s="15">
        <v>57.65</v>
      </c>
      <c r="N11" s="15">
        <v>10.89</v>
      </c>
    </row>
    <row r="12" spans="1:14" s="15" customFormat="1" ht="20.25" customHeight="1" x14ac:dyDescent="0.15">
      <c r="A12" s="60"/>
      <c r="B12" s="9"/>
      <c r="C12" s="58" t="s">
        <v>29</v>
      </c>
      <c r="D12" s="11" t="s">
        <v>201</v>
      </c>
      <c r="E12" s="10">
        <v>22</v>
      </c>
      <c r="F12" s="58"/>
      <c r="G12" s="12">
        <v>405</v>
      </c>
      <c r="H12" s="12">
        <v>950</v>
      </c>
      <c r="I12" s="17">
        <v>10</v>
      </c>
      <c r="J12" s="18">
        <v>10</v>
      </c>
      <c r="K12" s="19">
        <f t="shared" si="0"/>
        <v>41.381999999999998</v>
      </c>
      <c r="L12" s="14"/>
      <c r="M12" s="15">
        <v>3.8</v>
      </c>
      <c r="N12" s="15">
        <v>10.89</v>
      </c>
    </row>
    <row r="13" spans="1:14" s="15" customFormat="1" ht="20.25" customHeight="1" x14ac:dyDescent="0.15">
      <c r="A13" s="60"/>
      <c r="B13" s="9"/>
      <c r="C13" s="58"/>
      <c r="D13" s="11"/>
      <c r="E13" s="10"/>
      <c r="F13" s="58"/>
      <c r="G13" s="12"/>
      <c r="H13" s="12"/>
      <c r="I13" s="17"/>
      <c r="J13" s="18"/>
      <c r="K13" s="19">
        <f t="shared" si="0"/>
        <v>0</v>
      </c>
      <c r="L13" s="14"/>
      <c r="N13" s="15">
        <v>10.89</v>
      </c>
    </row>
    <row r="14" spans="1:14" s="15" customFormat="1" ht="20.25" customHeight="1" x14ac:dyDescent="0.15">
      <c r="A14" s="60"/>
      <c r="B14" s="9"/>
      <c r="C14" s="58"/>
      <c r="D14" s="11"/>
      <c r="E14" s="10"/>
      <c r="F14" s="58"/>
      <c r="G14" s="12"/>
      <c r="H14" s="12"/>
      <c r="I14" s="17"/>
      <c r="J14" s="18"/>
      <c r="K14" s="19">
        <f t="shared" si="0"/>
        <v>0</v>
      </c>
      <c r="L14" s="20"/>
      <c r="N14" s="15">
        <v>10.89</v>
      </c>
    </row>
    <row r="15" spans="1:14" s="15" customFormat="1" ht="20.25" customHeight="1" x14ac:dyDescent="0.15">
      <c r="A15" s="60"/>
      <c r="B15" s="9"/>
      <c r="C15" s="58"/>
      <c r="D15" s="11"/>
      <c r="E15" s="10"/>
      <c r="F15" s="58"/>
      <c r="G15" s="12"/>
      <c r="H15" s="12"/>
      <c r="I15" s="17"/>
      <c r="J15" s="18"/>
      <c r="K15" s="19">
        <f t="shared" si="0"/>
        <v>0</v>
      </c>
      <c r="L15" s="20"/>
      <c r="N15" s="15">
        <v>10.89</v>
      </c>
    </row>
    <row r="16" spans="1:14" s="15" customFormat="1" ht="20.25" customHeight="1" x14ac:dyDescent="0.15">
      <c r="A16" s="60"/>
      <c r="B16" s="9"/>
      <c r="C16" s="58"/>
      <c r="D16" s="11"/>
      <c r="E16" s="10"/>
      <c r="F16" s="58"/>
      <c r="G16" s="12"/>
      <c r="H16" s="12"/>
      <c r="I16" s="17"/>
      <c r="J16" s="18"/>
      <c r="K16" s="19">
        <f t="shared" si="0"/>
        <v>0</v>
      </c>
      <c r="L16" s="20"/>
      <c r="N16" s="15">
        <v>10.89</v>
      </c>
    </row>
    <row r="17" spans="1:14" s="15" customFormat="1" ht="20.25" customHeight="1" x14ac:dyDescent="0.15">
      <c r="A17" s="60"/>
      <c r="B17" s="9"/>
      <c r="C17" s="58"/>
      <c r="D17" s="11"/>
      <c r="E17" s="10"/>
      <c r="F17" s="58"/>
      <c r="G17" s="12"/>
      <c r="H17" s="12"/>
      <c r="I17" s="17"/>
      <c r="J17" s="18"/>
      <c r="K17" s="19">
        <f t="shared" si="0"/>
        <v>0</v>
      </c>
      <c r="L17" s="20"/>
      <c r="N17" s="15">
        <v>10.89</v>
      </c>
    </row>
    <row r="18" spans="1:14" s="15" customFormat="1" ht="20.25" customHeight="1" x14ac:dyDescent="0.15">
      <c r="A18" s="60"/>
      <c r="B18" s="9"/>
      <c r="C18" s="58"/>
      <c r="D18" s="11"/>
      <c r="E18" s="10"/>
      <c r="F18" s="58"/>
      <c r="G18" s="12"/>
      <c r="H18" s="12"/>
      <c r="I18" s="17"/>
      <c r="J18" s="18"/>
      <c r="K18" s="19">
        <f t="shared" si="0"/>
        <v>0</v>
      </c>
      <c r="L18" s="20"/>
      <c r="N18" s="15">
        <v>10.89</v>
      </c>
    </row>
    <row r="19" spans="1:14" s="15" customFormat="1" ht="20.25" customHeight="1" x14ac:dyDescent="0.15">
      <c r="A19" s="60"/>
      <c r="B19" s="9"/>
      <c r="C19" s="58"/>
      <c r="D19" s="11"/>
      <c r="E19" s="10"/>
      <c r="F19" s="58"/>
      <c r="G19" s="12"/>
      <c r="H19" s="12"/>
      <c r="I19" s="17"/>
      <c r="J19" s="18"/>
      <c r="K19" s="19">
        <f t="shared" si="0"/>
        <v>0</v>
      </c>
      <c r="L19" s="20"/>
      <c r="N19" s="15">
        <v>10.89</v>
      </c>
    </row>
    <row r="20" spans="1:14" s="15" customFormat="1" ht="20.25" customHeight="1" x14ac:dyDescent="0.15">
      <c r="A20" s="60"/>
      <c r="B20" s="9"/>
      <c r="C20" s="58"/>
      <c r="D20" s="11"/>
      <c r="E20" s="10"/>
      <c r="F20" s="58"/>
      <c r="G20" s="12"/>
      <c r="H20" s="12"/>
      <c r="I20" s="17"/>
      <c r="J20" s="18"/>
      <c r="K20" s="19">
        <f t="shared" si="0"/>
        <v>0</v>
      </c>
      <c r="L20" s="20"/>
      <c r="N20" s="15">
        <v>10.89</v>
      </c>
    </row>
    <row r="21" spans="1:14" s="15" customFormat="1" ht="20.25" customHeight="1" x14ac:dyDescent="0.15">
      <c r="A21" s="60"/>
      <c r="B21" s="9"/>
      <c r="C21" s="58"/>
      <c r="D21" s="11"/>
      <c r="E21" s="10"/>
      <c r="F21" s="58"/>
      <c r="G21" s="50"/>
      <c r="H21" s="50"/>
      <c r="I21" s="17"/>
      <c r="J21" s="18"/>
      <c r="K21" s="19">
        <f t="shared" si="0"/>
        <v>0</v>
      </c>
      <c r="L21" s="20"/>
      <c r="N21" s="15">
        <v>10.89</v>
      </c>
    </row>
    <row r="22" spans="1:14" s="15" customFormat="1" ht="20.25" customHeight="1" x14ac:dyDescent="0.15">
      <c r="A22" s="60"/>
      <c r="B22" s="9"/>
      <c r="C22" s="58"/>
      <c r="D22" s="11"/>
      <c r="E22" s="10"/>
      <c r="F22" s="58"/>
      <c r="G22" s="50"/>
      <c r="H22" s="50"/>
      <c r="I22" s="17"/>
      <c r="J22" s="18"/>
      <c r="K22" s="19">
        <f t="shared" si="0"/>
        <v>0</v>
      </c>
      <c r="L22" s="20"/>
      <c r="N22" s="15">
        <v>10.89</v>
      </c>
    </row>
    <row r="23" spans="1:14" ht="20.25" customHeight="1" x14ac:dyDescent="0.15">
      <c r="A23" s="60"/>
      <c r="B23" s="9"/>
      <c r="C23" s="58"/>
      <c r="D23" s="11"/>
      <c r="E23" s="10"/>
      <c r="F23" s="58"/>
      <c r="G23" s="16"/>
      <c r="H23" s="16"/>
      <c r="I23" s="17"/>
      <c r="J23" s="18"/>
      <c r="K23" s="19">
        <f t="shared" si="0"/>
        <v>0</v>
      </c>
      <c r="L23" s="20"/>
      <c r="N23" s="15">
        <v>10.89</v>
      </c>
    </row>
    <row r="24" spans="1:14" ht="20.25" customHeight="1" thickBot="1" x14ac:dyDescent="0.2">
      <c r="A24" s="56"/>
      <c r="B24" s="21"/>
      <c r="C24" s="59"/>
      <c r="D24" s="22"/>
      <c r="E24" s="23"/>
      <c r="F24" s="23"/>
      <c r="G24" s="24"/>
      <c r="H24" s="24"/>
      <c r="I24" s="25"/>
      <c r="J24" s="46">
        <f>SUM(J8:J23)</f>
        <v>213</v>
      </c>
      <c r="K24" s="47">
        <f>SUM(K8:K23)</f>
        <v>2692.8792000000003</v>
      </c>
      <c r="L24" s="26"/>
    </row>
    <row r="25" spans="1:14" ht="20.25" customHeight="1" thickTop="1" x14ac:dyDescent="0.15">
      <c r="A25" s="60" t="s">
        <v>2406</v>
      </c>
      <c r="B25" s="9" t="s">
        <v>1950</v>
      </c>
      <c r="C25" s="58" t="s">
        <v>29</v>
      </c>
      <c r="D25" s="11" t="s">
        <v>224</v>
      </c>
      <c r="E25" s="10">
        <v>22</v>
      </c>
      <c r="F25" s="58" t="s">
        <v>11</v>
      </c>
      <c r="G25" s="12">
        <v>1719</v>
      </c>
      <c r="H25" s="12">
        <v>1820</v>
      </c>
      <c r="I25" s="17" t="s">
        <v>790</v>
      </c>
      <c r="J25" s="18">
        <v>75</v>
      </c>
      <c r="K25" s="19">
        <f t="shared" ref="K25:K40" si="1">+M25*N25</f>
        <v>653.94449999999995</v>
      </c>
      <c r="L25" s="54"/>
      <c r="M25" s="3">
        <v>60.05</v>
      </c>
      <c r="N25" s="15">
        <v>10.89</v>
      </c>
    </row>
    <row r="26" spans="1:14" ht="20.25" customHeight="1" x14ac:dyDescent="0.15">
      <c r="A26" s="60"/>
      <c r="B26" s="9"/>
      <c r="C26" s="58" t="s">
        <v>29</v>
      </c>
      <c r="D26" s="11" t="s">
        <v>217</v>
      </c>
      <c r="E26" s="10">
        <v>22</v>
      </c>
      <c r="F26" s="58" t="s">
        <v>11</v>
      </c>
      <c r="G26" s="12">
        <v>1719</v>
      </c>
      <c r="H26" s="12">
        <v>1820</v>
      </c>
      <c r="I26" s="17" t="s">
        <v>790</v>
      </c>
      <c r="J26" s="18">
        <v>75</v>
      </c>
      <c r="K26" s="19">
        <f t="shared" si="1"/>
        <v>653.94449999999995</v>
      </c>
      <c r="L26" s="54"/>
      <c r="M26" s="3">
        <v>60.05</v>
      </c>
      <c r="N26" s="15">
        <v>10.89</v>
      </c>
    </row>
    <row r="27" spans="1:14" ht="20.25" customHeight="1" x14ac:dyDescent="0.15">
      <c r="A27" s="61"/>
      <c r="B27" s="9"/>
      <c r="C27" s="58" t="s">
        <v>29</v>
      </c>
      <c r="D27" s="11" t="s">
        <v>201</v>
      </c>
      <c r="E27" s="10">
        <v>22</v>
      </c>
      <c r="F27" s="58"/>
      <c r="G27" s="12">
        <v>855</v>
      </c>
      <c r="H27" s="12">
        <v>1820</v>
      </c>
      <c r="I27" s="17" t="s">
        <v>205</v>
      </c>
      <c r="J27" s="18">
        <v>20</v>
      </c>
      <c r="K27" s="19">
        <f t="shared" si="1"/>
        <v>211.26599999999999</v>
      </c>
      <c r="L27" s="54"/>
      <c r="M27" s="3">
        <v>19.399999999999999</v>
      </c>
      <c r="N27" s="15">
        <v>10.89</v>
      </c>
    </row>
    <row r="28" spans="1:14" ht="20.25" customHeight="1" x14ac:dyDescent="0.15">
      <c r="A28" s="61" t="s">
        <v>2407</v>
      </c>
      <c r="B28" s="9" t="s">
        <v>1950</v>
      </c>
      <c r="C28" s="58" t="s">
        <v>29</v>
      </c>
      <c r="D28" s="11" t="s">
        <v>224</v>
      </c>
      <c r="E28" s="10">
        <v>22</v>
      </c>
      <c r="F28" s="58" t="s">
        <v>11</v>
      </c>
      <c r="G28" s="12">
        <v>1719</v>
      </c>
      <c r="H28" s="12">
        <v>1820</v>
      </c>
      <c r="I28" s="17" t="s">
        <v>790</v>
      </c>
      <c r="J28" s="18">
        <v>75</v>
      </c>
      <c r="K28" s="19">
        <f t="shared" si="1"/>
        <v>627.80849999999998</v>
      </c>
      <c r="L28" s="54"/>
      <c r="M28" s="3">
        <v>57.65</v>
      </c>
      <c r="N28" s="15">
        <v>10.89</v>
      </c>
    </row>
    <row r="29" spans="1:14" ht="20.25" customHeight="1" x14ac:dyDescent="0.15">
      <c r="A29" s="61"/>
      <c r="B29" s="9"/>
      <c r="C29" s="58" t="s">
        <v>29</v>
      </c>
      <c r="D29" s="11" t="s">
        <v>217</v>
      </c>
      <c r="E29" s="10">
        <v>22</v>
      </c>
      <c r="F29" s="58" t="s">
        <v>11</v>
      </c>
      <c r="G29" s="12">
        <v>1719</v>
      </c>
      <c r="H29" s="12">
        <v>1820</v>
      </c>
      <c r="I29" s="17" t="s">
        <v>790</v>
      </c>
      <c r="J29" s="18">
        <v>75</v>
      </c>
      <c r="K29" s="19">
        <f t="shared" si="1"/>
        <v>627.80849999999998</v>
      </c>
      <c r="L29" s="54"/>
      <c r="M29" s="3">
        <v>57.65</v>
      </c>
      <c r="N29" s="15">
        <v>10.89</v>
      </c>
    </row>
    <row r="30" spans="1:14" ht="20.25" customHeight="1" x14ac:dyDescent="0.15">
      <c r="A30" s="61"/>
      <c r="B30" s="9"/>
      <c r="C30" s="58" t="s">
        <v>29</v>
      </c>
      <c r="D30" s="11" t="s">
        <v>201</v>
      </c>
      <c r="E30" s="10">
        <v>22</v>
      </c>
      <c r="F30" s="58"/>
      <c r="G30" s="12">
        <v>705</v>
      </c>
      <c r="H30" s="12">
        <v>1820</v>
      </c>
      <c r="I30" s="51" t="s">
        <v>205</v>
      </c>
      <c r="J30" s="52">
        <v>20</v>
      </c>
      <c r="K30" s="53">
        <f t="shared" si="1"/>
        <v>180.77400000000003</v>
      </c>
      <c r="L30" s="54"/>
      <c r="M30" s="3">
        <v>16.600000000000001</v>
      </c>
      <c r="N30" s="15">
        <v>10.89</v>
      </c>
    </row>
    <row r="31" spans="1:14" ht="20.25" customHeight="1" x14ac:dyDescent="0.15">
      <c r="A31" s="61" t="s">
        <v>2408</v>
      </c>
      <c r="B31" s="9" t="s">
        <v>1950</v>
      </c>
      <c r="C31" s="58" t="s">
        <v>29</v>
      </c>
      <c r="D31" s="11" t="s">
        <v>224</v>
      </c>
      <c r="E31" s="10">
        <v>22</v>
      </c>
      <c r="F31" s="58" t="s">
        <v>11</v>
      </c>
      <c r="G31" s="12">
        <v>1719</v>
      </c>
      <c r="H31" s="12">
        <v>1820</v>
      </c>
      <c r="I31" s="51">
        <v>5</v>
      </c>
      <c r="J31" s="52">
        <v>5</v>
      </c>
      <c r="K31" s="53">
        <f t="shared" si="1"/>
        <v>170.42850000000001</v>
      </c>
      <c r="L31" s="54"/>
      <c r="M31" s="3">
        <v>15.65</v>
      </c>
      <c r="N31" s="15">
        <v>10.89</v>
      </c>
    </row>
    <row r="32" spans="1:14" ht="20.25" customHeight="1" x14ac:dyDescent="0.15">
      <c r="A32" s="60"/>
      <c r="B32" s="9"/>
      <c r="C32" s="58" t="s">
        <v>29</v>
      </c>
      <c r="D32" s="11" t="s">
        <v>201</v>
      </c>
      <c r="E32" s="10">
        <v>22</v>
      </c>
      <c r="F32" s="58"/>
      <c r="G32" s="12">
        <v>705</v>
      </c>
      <c r="H32" s="12">
        <v>18200</v>
      </c>
      <c r="I32" s="17">
        <v>10</v>
      </c>
      <c r="J32" s="18">
        <v>10</v>
      </c>
      <c r="K32" s="19">
        <f t="shared" si="1"/>
        <v>139.39200000000002</v>
      </c>
      <c r="L32" s="27"/>
      <c r="M32" s="3">
        <v>12.8</v>
      </c>
      <c r="N32" s="15">
        <v>10.89</v>
      </c>
    </row>
    <row r="33" spans="1:14" ht="20.25" customHeight="1" x14ac:dyDescent="0.15">
      <c r="A33" s="60" t="s">
        <v>2409</v>
      </c>
      <c r="B33" s="9" t="s">
        <v>1944</v>
      </c>
      <c r="C33" s="58" t="s">
        <v>29</v>
      </c>
      <c r="D33" s="11" t="s">
        <v>1945</v>
      </c>
      <c r="E33" s="10">
        <v>24</v>
      </c>
      <c r="F33" s="10" t="s">
        <v>11</v>
      </c>
      <c r="G33" s="12">
        <v>985</v>
      </c>
      <c r="H33" s="12">
        <v>2912</v>
      </c>
      <c r="I33" s="17">
        <v>9</v>
      </c>
      <c r="J33" s="18">
        <v>9</v>
      </c>
      <c r="K33" s="19">
        <f t="shared" si="1"/>
        <v>281.28870000000001</v>
      </c>
      <c r="L33" s="27"/>
      <c r="M33" s="3">
        <v>25.83</v>
      </c>
      <c r="N33" s="15">
        <v>10.89</v>
      </c>
    </row>
    <row r="34" spans="1:14" ht="20.25" customHeight="1" x14ac:dyDescent="0.15">
      <c r="A34" s="60" t="s">
        <v>2401</v>
      </c>
      <c r="B34" s="9" t="s">
        <v>1175</v>
      </c>
      <c r="C34" s="58" t="s">
        <v>29</v>
      </c>
      <c r="D34" s="11" t="s">
        <v>1176</v>
      </c>
      <c r="E34" s="10">
        <v>39</v>
      </c>
      <c r="F34" s="10" t="s">
        <v>11</v>
      </c>
      <c r="G34" s="12">
        <v>1280</v>
      </c>
      <c r="H34" s="12">
        <v>1685</v>
      </c>
      <c r="I34" s="17" t="s">
        <v>1105</v>
      </c>
      <c r="J34" s="18">
        <v>36</v>
      </c>
      <c r="K34" s="19">
        <f t="shared" si="1"/>
        <v>291.1986</v>
      </c>
      <c r="L34" s="27"/>
      <c r="M34" s="3">
        <v>26.74</v>
      </c>
      <c r="N34" s="15">
        <v>10.89</v>
      </c>
    </row>
    <row r="35" spans="1:14" ht="20.25" customHeight="1" x14ac:dyDescent="0.15">
      <c r="A35" s="60" t="s">
        <v>2410</v>
      </c>
      <c r="B35" s="9" t="s">
        <v>268</v>
      </c>
      <c r="C35" s="58" t="s">
        <v>273</v>
      </c>
      <c r="D35" s="11" t="s">
        <v>383</v>
      </c>
      <c r="E35" s="10">
        <v>16</v>
      </c>
      <c r="F35" s="10"/>
      <c r="G35" s="12">
        <v>840</v>
      </c>
      <c r="H35" s="12">
        <v>975</v>
      </c>
      <c r="I35" s="17" t="s">
        <v>218</v>
      </c>
      <c r="J35" s="18">
        <v>3</v>
      </c>
      <c r="K35" s="19">
        <f t="shared" si="1"/>
        <v>0</v>
      </c>
      <c r="L35" s="27"/>
      <c r="N35" s="15">
        <v>10.89</v>
      </c>
    </row>
    <row r="36" spans="1:14" ht="20.25" customHeight="1" x14ac:dyDescent="0.15">
      <c r="A36" s="60"/>
      <c r="B36" s="9"/>
      <c r="C36" s="58"/>
      <c r="D36" s="11"/>
      <c r="E36" s="10"/>
      <c r="F36" s="10"/>
      <c r="G36" s="12"/>
      <c r="H36" s="12"/>
      <c r="I36" s="17"/>
      <c r="J36" s="18"/>
      <c r="K36" s="19">
        <f t="shared" si="1"/>
        <v>0</v>
      </c>
      <c r="L36" s="27"/>
      <c r="N36" s="15">
        <v>10.89</v>
      </c>
    </row>
    <row r="37" spans="1:14" ht="20.25" customHeight="1" x14ac:dyDescent="0.15">
      <c r="A37" s="60"/>
      <c r="B37" s="9"/>
      <c r="C37" s="58"/>
      <c r="D37" s="11"/>
      <c r="E37" s="10"/>
      <c r="F37" s="10"/>
      <c r="G37" s="12"/>
      <c r="H37" s="12"/>
      <c r="I37" s="17"/>
      <c r="J37" s="18"/>
      <c r="K37" s="19">
        <f t="shared" si="1"/>
        <v>0</v>
      </c>
      <c r="L37" s="27"/>
      <c r="N37" s="15">
        <v>10.89</v>
      </c>
    </row>
    <row r="38" spans="1:14" ht="20.25" customHeight="1" x14ac:dyDescent="0.15">
      <c r="A38" s="60"/>
      <c r="B38" s="9"/>
      <c r="C38" s="58"/>
      <c r="D38" s="11"/>
      <c r="E38" s="10"/>
      <c r="F38" s="10"/>
      <c r="G38" s="12"/>
      <c r="H38" s="12"/>
      <c r="I38" s="17"/>
      <c r="J38" s="18"/>
      <c r="K38" s="19">
        <f t="shared" si="1"/>
        <v>0</v>
      </c>
      <c r="L38" s="27"/>
      <c r="N38" s="15">
        <v>10.89</v>
      </c>
    </row>
    <row r="39" spans="1:14" ht="20.25" customHeight="1" x14ac:dyDescent="0.15">
      <c r="A39" s="60"/>
      <c r="B39" s="9"/>
      <c r="C39" s="58"/>
      <c r="D39" s="11"/>
      <c r="E39" s="10"/>
      <c r="F39" s="10"/>
      <c r="G39" s="12"/>
      <c r="H39" s="12"/>
      <c r="I39" s="17"/>
      <c r="J39" s="18"/>
      <c r="K39" s="19">
        <f t="shared" si="1"/>
        <v>0</v>
      </c>
      <c r="L39" s="27"/>
      <c r="N39" s="15">
        <v>10.89</v>
      </c>
    </row>
    <row r="40" spans="1:14" ht="20.25" customHeight="1" x14ac:dyDescent="0.15">
      <c r="A40" s="60"/>
      <c r="B40" s="9"/>
      <c r="C40" s="58"/>
      <c r="D40" s="11"/>
      <c r="E40" s="10"/>
      <c r="F40" s="10"/>
      <c r="G40" s="12"/>
      <c r="H40" s="12"/>
      <c r="I40" s="17"/>
      <c r="J40" s="18"/>
      <c r="K40" s="19">
        <f t="shared" si="1"/>
        <v>0</v>
      </c>
      <c r="L40" s="27"/>
      <c r="N40" s="15">
        <v>10.89</v>
      </c>
    </row>
    <row r="41" spans="1:14" ht="20.25" customHeight="1" x14ac:dyDescent="0.15">
      <c r="A41" s="57"/>
      <c r="B41" s="28"/>
      <c r="C41" s="10"/>
      <c r="D41" s="29"/>
      <c r="E41" s="30"/>
      <c r="F41" s="30"/>
      <c r="G41" s="30"/>
      <c r="H41" s="30"/>
      <c r="I41" s="13"/>
      <c r="J41" s="48">
        <f>SUM(J25:J40)</f>
        <v>403</v>
      </c>
      <c r="K41" s="49">
        <f>SUM(K25:K40)</f>
        <v>3837.8537999999999</v>
      </c>
      <c r="L41" s="31"/>
      <c r="N41" s="32"/>
    </row>
    <row r="42" spans="1:14" ht="20.25" customHeight="1" thickBot="1" x14ac:dyDescent="0.2">
      <c r="A42" s="55"/>
      <c r="B42" s="33"/>
      <c r="C42" s="33"/>
      <c r="D42" s="33"/>
      <c r="E42" s="33"/>
      <c r="F42" s="33"/>
      <c r="G42" s="33"/>
      <c r="H42" s="33"/>
      <c r="I42" s="33"/>
      <c r="J42" s="34"/>
      <c r="K42" s="35"/>
      <c r="L42" s="36"/>
    </row>
    <row r="43" spans="1:14" ht="20.25" customHeight="1" thickBot="1" x14ac:dyDescent="0.2">
      <c r="A43" s="37" t="s">
        <v>19</v>
      </c>
      <c r="B43" s="38" t="s">
        <v>20</v>
      </c>
      <c r="C43" s="77" t="s">
        <v>21</v>
      </c>
      <c r="D43" s="79"/>
      <c r="E43" s="77" t="s">
        <v>22</v>
      </c>
      <c r="F43" s="78"/>
      <c r="G43" s="79"/>
      <c r="H43" s="85" t="s">
        <v>23</v>
      </c>
      <c r="I43" s="86"/>
      <c r="J43" s="77" t="s">
        <v>24</v>
      </c>
      <c r="K43" s="79"/>
      <c r="L43" s="39" t="s">
        <v>13</v>
      </c>
    </row>
    <row r="44" spans="1:14" ht="20.25" customHeight="1" thickBot="1" x14ac:dyDescent="0.2">
      <c r="A44" s="40">
        <f>SUMIF($C$8:$C$42,"U1",$J$8:$J$42)</f>
        <v>3</v>
      </c>
      <c r="B44" s="41">
        <f>SUMIF($C$8:$C$42,"U2",$J$8:$J$42)</f>
        <v>0</v>
      </c>
      <c r="C44" s="77">
        <f>SUMIF($C$8:$C$42,"U3-1",$J$8:$J$42)</f>
        <v>0</v>
      </c>
      <c r="D44" s="79"/>
      <c r="E44" s="77">
        <f>SUMIF($C$8:$C$42,"U3",$J$8:$J$42)</f>
        <v>613</v>
      </c>
      <c r="F44" s="78"/>
      <c r="G44" s="79"/>
      <c r="H44" s="77">
        <f>SUMIF($C$8:$C$42,"E5",$J$8:$J$42)</f>
        <v>0</v>
      </c>
      <c r="I44" s="79"/>
      <c r="J44" s="77">
        <f>SUM(A44:I44)</f>
        <v>616</v>
      </c>
      <c r="K44" s="79"/>
      <c r="L44" s="42"/>
    </row>
    <row r="45" spans="1:14" ht="20.25" customHeight="1" thickBot="1" x14ac:dyDescent="0.2">
      <c r="A45" s="43" t="s">
        <v>25</v>
      </c>
      <c r="B45" s="44" t="s">
        <v>26</v>
      </c>
      <c r="C45" s="75">
        <v>13876</v>
      </c>
      <c r="D45" s="76"/>
      <c r="E45" s="77" t="s">
        <v>27</v>
      </c>
      <c r="F45" s="78"/>
      <c r="G45" s="78"/>
      <c r="H45" s="78"/>
      <c r="I45" s="79"/>
      <c r="J45" s="80">
        <v>146744.37</v>
      </c>
      <c r="K45" s="81"/>
      <c r="L45" s="82"/>
    </row>
    <row r="47" spans="1:14" x14ac:dyDescent="0.15">
      <c r="D47" s="45"/>
    </row>
  </sheetData>
  <mergeCells count="26">
    <mergeCell ref="L2:L4"/>
    <mergeCell ref="A1:G3"/>
    <mergeCell ref="H1:H4"/>
    <mergeCell ref="I2:I4"/>
    <mergeCell ref="J2:J4"/>
    <mergeCell ref="K2:K4"/>
    <mergeCell ref="B5:G5"/>
    <mergeCell ref="A6:A7"/>
    <mergeCell ref="B6:B7"/>
    <mergeCell ref="C6:C7"/>
    <mergeCell ref="D6:D7"/>
    <mergeCell ref="E6:E7"/>
    <mergeCell ref="F6:F7"/>
    <mergeCell ref="G6:K6"/>
    <mergeCell ref="C45:D45"/>
    <mergeCell ref="E45:I45"/>
    <mergeCell ref="J45:L45"/>
    <mergeCell ref="L6:L7"/>
    <mergeCell ref="C43:D43"/>
    <mergeCell ref="E43:G43"/>
    <mergeCell ref="H43:I43"/>
    <mergeCell ref="J43:K43"/>
    <mergeCell ref="C44:D44"/>
    <mergeCell ref="E44:G44"/>
    <mergeCell ref="H44:I44"/>
    <mergeCell ref="J44:K44"/>
  </mergeCells>
  <phoneticPr fontId="2" type="noConversion"/>
  <printOptions horizontalCentered="1"/>
  <pageMargins left="0.39370078740157483" right="0.39370078740157483" top="0.74803149606299213" bottom="0.19685039370078741" header="0.31496062992125984" footer="0.15748031496062992"/>
  <pageSetup paperSize="9" scale="84" orientation="portrait" r:id="rId1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C361B7-6978-4BEF-8489-5897746FF229}">
  <dimension ref="A1:N47"/>
  <sheetViews>
    <sheetView view="pageBreakPreview" zoomScaleSheetLayoutView="100" workbookViewId="0">
      <selection activeCell="B8" sqref="B8:E9"/>
    </sheetView>
  </sheetViews>
  <sheetFormatPr defaultColWidth="8.88671875" defaultRowHeight="13.5" x14ac:dyDescent="0.15"/>
  <cols>
    <col min="1" max="1" width="8.44140625" style="3" customWidth="1"/>
    <col min="2" max="2" width="14.77734375" style="3" customWidth="1"/>
    <col min="3" max="3" width="4.109375" style="3" customWidth="1"/>
    <col min="4" max="4" width="15.21875" style="3" customWidth="1"/>
    <col min="5" max="5" width="4.44140625" style="3" customWidth="1"/>
    <col min="6" max="6" width="4" style="3" customWidth="1"/>
    <col min="7" max="7" width="5.5546875" style="3" customWidth="1"/>
    <col min="8" max="8" width="5.44140625" style="3" customWidth="1"/>
    <col min="9" max="9" width="7.88671875" style="3" customWidth="1"/>
    <col min="10" max="10" width="7.109375" style="3" customWidth="1"/>
    <col min="11" max="11" width="7.21875" style="3" customWidth="1"/>
    <col min="12" max="12" width="6.77734375" style="3" customWidth="1"/>
    <col min="13" max="16384" width="8.88671875" style="3"/>
  </cols>
  <sheetData>
    <row r="1" spans="1:14" ht="18.75" customHeight="1" x14ac:dyDescent="0.15">
      <c r="A1" s="101" t="s">
        <v>0</v>
      </c>
      <c r="B1" s="102"/>
      <c r="C1" s="102"/>
      <c r="D1" s="102"/>
      <c r="E1" s="102"/>
      <c r="F1" s="102"/>
      <c r="G1" s="103"/>
      <c r="H1" s="107" t="s">
        <v>1</v>
      </c>
      <c r="I1" s="1" t="s">
        <v>2</v>
      </c>
      <c r="J1" s="1" t="s">
        <v>2</v>
      </c>
      <c r="K1" s="1" t="s">
        <v>3</v>
      </c>
      <c r="L1" s="2" t="s">
        <v>4</v>
      </c>
    </row>
    <row r="2" spans="1:14" ht="13.5" customHeight="1" x14ac:dyDescent="0.15">
      <c r="A2" s="104"/>
      <c r="B2" s="105"/>
      <c r="C2" s="105"/>
      <c r="D2" s="105"/>
      <c r="E2" s="105"/>
      <c r="F2" s="105"/>
      <c r="G2" s="106"/>
      <c r="H2" s="108"/>
      <c r="I2" s="110"/>
      <c r="J2" s="110"/>
      <c r="K2" s="110"/>
      <c r="L2" s="98"/>
    </row>
    <row r="3" spans="1:14" ht="13.5" customHeight="1" x14ac:dyDescent="0.15">
      <c r="A3" s="104"/>
      <c r="B3" s="105"/>
      <c r="C3" s="105"/>
      <c r="D3" s="105"/>
      <c r="E3" s="105"/>
      <c r="F3" s="105"/>
      <c r="G3" s="106"/>
      <c r="H3" s="108"/>
      <c r="I3" s="108"/>
      <c r="J3" s="108"/>
      <c r="K3" s="108"/>
      <c r="L3" s="99"/>
    </row>
    <row r="4" spans="1:14" ht="33" customHeight="1" x14ac:dyDescent="0.15">
      <c r="A4" s="4"/>
      <c r="B4" s="5"/>
      <c r="C4" s="5"/>
      <c r="D4" s="5"/>
      <c r="E4" s="5"/>
      <c r="F4" s="5"/>
      <c r="G4" s="5"/>
      <c r="H4" s="109"/>
      <c r="I4" s="109"/>
      <c r="J4" s="109"/>
      <c r="K4" s="109"/>
      <c r="L4" s="100"/>
    </row>
    <row r="5" spans="1:14" ht="17.25" customHeight="1" x14ac:dyDescent="0.15">
      <c r="A5" s="6" t="s">
        <v>5</v>
      </c>
      <c r="B5" s="87">
        <v>46153</v>
      </c>
      <c r="C5" s="88"/>
      <c r="D5" s="88"/>
      <c r="E5" s="88"/>
      <c r="F5" s="88"/>
      <c r="G5" s="88"/>
      <c r="H5" s="5"/>
      <c r="I5" s="5"/>
      <c r="J5" s="5"/>
      <c r="K5" s="5"/>
      <c r="L5" s="7"/>
    </row>
    <row r="6" spans="1:14" ht="13.5" customHeight="1" x14ac:dyDescent="0.15">
      <c r="A6" s="89" t="s">
        <v>6</v>
      </c>
      <c r="B6" s="91" t="s">
        <v>7</v>
      </c>
      <c r="C6" s="91" t="s">
        <v>8</v>
      </c>
      <c r="D6" s="91" t="s">
        <v>9</v>
      </c>
      <c r="E6" s="93" t="s">
        <v>10</v>
      </c>
      <c r="F6" s="93" t="s">
        <v>11</v>
      </c>
      <c r="G6" s="95" t="s">
        <v>12</v>
      </c>
      <c r="H6" s="96"/>
      <c r="I6" s="96"/>
      <c r="J6" s="96"/>
      <c r="K6" s="97"/>
      <c r="L6" s="83" t="s">
        <v>13</v>
      </c>
    </row>
    <row r="7" spans="1:14" x14ac:dyDescent="0.15">
      <c r="A7" s="90"/>
      <c r="B7" s="92"/>
      <c r="C7" s="92"/>
      <c r="D7" s="92"/>
      <c r="E7" s="94"/>
      <c r="F7" s="94"/>
      <c r="G7" s="8" t="s">
        <v>14</v>
      </c>
      <c r="H7" s="8" t="s">
        <v>15</v>
      </c>
      <c r="I7" s="8" t="s">
        <v>16</v>
      </c>
      <c r="J7" s="8" t="s">
        <v>17</v>
      </c>
      <c r="K7" s="8" t="s">
        <v>18</v>
      </c>
      <c r="L7" s="84"/>
    </row>
    <row r="8" spans="1:14" s="15" customFormat="1" ht="20.25" customHeight="1" x14ac:dyDescent="0.15">
      <c r="A8" s="60" t="s">
        <v>2403</v>
      </c>
      <c r="B8" s="9" t="s">
        <v>1304</v>
      </c>
      <c r="C8" s="58" t="s">
        <v>29</v>
      </c>
      <c r="D8" s="11" t="s">
        <v>1305</v>
      </c>
      <c r="E8" s="10">
        <v>28</v>
      </c>
      <c r="F8" s="58" t="s">
        <v>11</v>
      </c>
      <c r="G8" s="12">
        <v>1800</v>
      </c>
      <c r="H8" s="12">
        <v>805</v>
      </c>
      <c r="I8" s="17" t="s">
        <v>523</v>
      </c>
      <c r="J8" s="18">
        <v>42</v>
      </c>
      <c r="K8" s="19">
        <f>+M8*N8</f>
        <v>612.5625</v>
      </c>
      <c r="L8" s="14"/>
      <c r="M8" s="15">
        <v>56.25</v>
      </c>
      <c r="N8" s="15">
        <v>10.89</v>
      </c>
    </row>
    <row r="9" spans="1:14" s="15" customFormat="1" ht="20.25" customHeight="1" x14ac:dyDescent="0.15">
      <c r="A9" s="60"/>
      <c r="B9" s="9"/>
      <c r="C9" s="58" t="s">
        <v>29</v>
      </c>
      <c r="D9" s="11" t="s">
        <v>1306</v>
      </c>
      <c r="E9" s="10">
        <v>28</v>
      </c>
      <c r="F9" s="58" t="s">
        <v>11</v>
      </c>
      <c r="G9" s="12">
        <v>1800</v>
      </c>
      <c r="H9" s="12">
        <v>1185</v>
      </c>
      <c r="I9" s="17" t="s">
        <v>1614</v>
      </c>
      <c r="J9" s="18">
        <v>56</v>
      </c>
      <c r="K9" s="19">
        <f t="shared" ref="K9:K23" si="0">+M9*N9</f>
        <v>510.30540000000002</v>
      </c>
      <c r="L9" s="14"/>
      <c r="M9" s="15">
        <v>46.86</v>
      </c>
      <c r="N9" s="15">
        <v>10.89</v>
      </c>
    </row>
    <row r="10" spans="1:14" s="15" customFormat="1" ht="20.25" customHeight="1" x14ac:dyDescent="0.15">
      <c r="A10" s="60" t="s">
        <v>2411</v>
      </c>
      <c r="B10" s="9" t="s">
        <v>1304</v>
      </c>
      <c r="C10" s="58" t="s">
        <v>29</v>
      </c>
      <c r="D10" s="11" t="s">
        <v>1305</v>
      </c>
      <c r="E10" s="10">
        <v>28</v>
      </c>
      <c r="F10" s="58" t="s">
        <v>11</v>
      </c>
      <c r="G10" s="12">
        <v>1800</v>
      </c>
      <c r="H10" s="12">
        <v>1125</v>
      </c>
      <c r="I10" s="17" t="s">
        <v>2412</v>
      </c>
      <c r="J10" s="18">
        <v>65</v>
      </c>
      <c r="K10" s="19">
        <f t="shared" si="0"/>
        <v>1011.4632</v>
      </c>
      <c r="L10" s="14"/>
      <c r="M10" s="15">
        <v>92.88</v>
      </c>
      <c r="N10" s="15">
        <v>10.89</v>
      </c>
    </row>
    <row r="11" spans="1:14" s="15" customFormat="1" ht="20.25" customHeight="1" x14ac:dyDescent="0.15">
      <c r="A11" s="60"/>
      <c r="B11" s="9"/>
      <c r="C11" s="58" t="s">
        <v>29</v>
      </c>
      <c r="D11" s="11" t="s">
        <v>1306</v>
      </c>
      <c r="E11" s="10">
        <v>28</v>
      </c>
      <c r="F11" s="58" t="s">
        <v>11</v>
      </c>
      <c r="G11" s="12">
        <v>1800</v>
      </c>
      <c r="H11" s="12">
        <v>1635</v>
      </c>
      <c r="I11" s="17" t="s">
        <v>557</v>
      </c>
      <c r="J11" s="18">
        <v>20</v>
      </c>
      <c r="K11" s="19">
        <f t="shared" si="0"/>
        <v>324.7398</v>
      </c>
      <c r="L11" s="14"/>
      <c r="M11" s="15">
        <v>29.82</v>
      </c>
      <c r="N11" s="15">
        <v>10.89</v>
      </c>
    </row>
    <row r="12" spans="1:14" s="15" customFormat="1" ht="20.25" customHeight="1" x14ac:dyDescent="0.15">
      <c r="A12" s="60"/>
      <c r="B12" s="9"/>
      <c r="C12" s="58" t="s">
        <v>29</v>
      </c>
      <c r="D12" s="11" t="s">
        <v>1316</v>
      </c>
      <c r="E12" s="10">
        <v>28</v>
      </c>
      <c r="F12" s="58" t="s">
        <v>11</v>
      </c>
      <c r="G12" s="12">
        <v>1800</v>
      </c>
      <c r="H12" s="12">
        <v>1635</v>
      </c>
      <c r="I12" s="17" t="s">
        <v>2413</v>
      </c>
      <c r="J12" s="18">
        <v>39</v>
      </c>
      <c r="K12" s="19">
        <f t="shared" si="0"/>
        <v>1089.8712</v>
      </c>
      <c r="L12" s="14"/>
      <c r="M12" s="15">
        <v>100.08</v>
      </c>
      <c r="N12" s="15">
        <v>10.89</v>
      </c>
    </row>
    <row r="13" spans="1:14" s="15" customFormat="1" ht="20.25" customHeight="1" x14ac:dyDescent="0.15">
      <c r="A13" s="60" t="s">
        <v>2106</v>
      </c>
      <c r="B13" s="9" t="s">
        <v>1944</v>
      </c>
      <c r="C13" s="58" t="s">
        <v>29</v>
      </c>
      <c r="D13" s="11" t="s">
        <v>2110</v>
      </c>
      <c r="E13" s="10">
        <v>24</v>
      </c>
      <c r="F13" s="58" t="s">
        <v>11</v>
      </c>
      <c r="G13" s="12">
        <v>1067</v>
      </c>
      <c r="H13" s="12">
        <v>585</v>
      </c>
      <c r="I13" s="17">
        <v>1</v>
      </c>
      <c r="J13" s="18">
        <v>1</v>
      </c>
      <c r="K13" s="19">
        <f t="shared" si="0"/>
        <v>6.7518000000000002</v>
      </c>
      <c r="L13" s="14"/>
      <c r="M13" s="15">
        <v>0.62</v>
      </c>
      <c r="N13" s="15">
        <v>10.89</v>
      </c>
    </row>
    <row r="14" spans="1:14" s="15" customFormat="1" ht="20.25" customHeight="1" x14ac:dyDescent="0.15">
      <c r="A14" s="60" t="s">
        <v>2229</v>
      </c>
      <c r="B14" s="9" t="s">
        <v>1944</v>
      </c>
      <c r="C14" s="58" t="s">
        <v>29</v>
      </c>
      <c r="D14" s="11" t="s">
        <v>1945</v>
      </c>
      <c r="E14" s="10">
        <v>24</v>
      </c>
      <c r="F14" s="58" t="s">
        <v>11</v>
      </c>
      <c r="G14" s="12">
        <v>985</v>
      </c>
      <c r="H14" s="12">
        <v>2910</v>
      </c>
      <c r="I14" s="17">
        <v>1</v>
      </c>
      <c r="J14" s="18">
        <v>1</v>
      </c>
      <c r="K14" s="19">
        <f t="shared" si="0"/>
        <v>31.254300000000004</v>
      </c>
      <c r="L14" s="20"/>
      <c r="M14" s="15">
        <v>2.87</v>
      </c>
      <c r="N14" s="15">
        <v>10.89</v>
      </c>
    </row>
    <row r="15" spans="1:14" s="15" customFormat="1" ht="20.25" customHeight="1" x14ac:dyDescent="0.15">
      <c r="A15" s="60"/>
      <c r="B15" s="9"/>
      <c r="C15" s="58"/>
      <c r="D15" s="11"/>
      <c r="E15" s="10"/>
      <c r="F15" s="58"/>
      <c r="G15" s="12"/>
      <c r="H15" s="12"/>
      <c r="I15" s="17"/>
      <c r="J15" s="18"/>
      <c r="K15" s="19">
        <f t="shared" si="0"/>
        <v>0</v>
      </c>
      <c r="L15" s="20"/>
      <c r="N15" s="15">
        <v>10.89</v>
      </c>
    </row>
    <row r="16" spans="1:14" s="15" customFormat="1" ht="20.25" customHeight="1" x14ac:dyDescent="0.15">
      <c r="A16" s="60"/>
      <c r="B16" s="9"/>
      <c r="C16" s="58"/>
      <c r="D16" s="11"/>
      <c r="E16" s="10"/>
      <c r="F16" s="58"/>
      <c r="G16" s="12"/>
      <c r="H16" s="12"/>
      <c r="I16" s="17"/>
      <c r="J16" s="18"/>
      <c r="K16" s="19">
        <f t="shared" si="0"/>
        <v>0</v>
      </c>
      <c r="L16" s="20"/>
      <c r="N16" s="15">
        <v>10.89</v>
      </c>
    </row>
    <row r="17" spans="1:14" s="15" customFormat="1" ht="20.25" customHeight="1" x14ac:dyDescent="0.15">
      <c r="A17" s="60"/>
      <c r="B17" s="9"/>
      <c r="C17" s="58"/>
      <c r="D17" s="11"/>
      <c r="E17" s="10"/>
      <c r="F17" s="58"/>
      <c r="G17" s="12"/>
      <c r="H17" s="12"/>
      <c r="I17" s="17"/>
      <c r="J17" s="18"/>
      <c r="K17" s="19">
        <f t="shared" si="0"/>
        <v>0</v>
      </c>
      <c r="L17" s="20"/>
      <c r="N17" s="15">
        <v>10.89</v>
      </c>
    </row>
    <row r="18" spans="1:14" s="15" customFormat="1" ht="20.25" customHeight="1" x14ac:dyDescent="0.15">
      <c r="A18" s="60"/>
      <c r="B18" s="9"/>
      <c r="C18" s="58"/>
      <c r="D18" s="11"/>
      <c r="E18" s="10"/>
      <c r="F18" s="58"/>
      <c r="G18" s="12"/>
      <c r="H18" s="12"/>
      <c r="I18" s="17"/>
      <c r="J18" s="18"/>
      <c r="K18" s="19">
        <f t="shared" si="0"/>
        <v>0</v>
      </c>
      <c r="L18" s="20"/>
      <c r="N18" s="15">
        <v>10.89</v>
      </c>
    </row>
    <row r="19" spans="1:14" s="15" customFormat="1" ht="20.25" customHeight="1" x14ac:dyDescent="0.15">
      <c r="A19" s="60"/>
      <c r="B19" s="9"/>
      <c r="C19" s="58"/>
      <c r="D19" s="11"/>
      <c r="E19" s="10"/>
      <c r="F19" s="58"/>
      <c r="G19" s="12"/>
      <c r="H19" s="12"/>
      <c r="I19" s="17"/>
      <c r="J19" s="18"/>
      <c r="K19" s="19">
        <f t="shared" si="0"/>
        <v>0</v>
      </c>
      <c r="L19" s="20"/>
      <c r="N19" s="15">
        <v>10.89</v>
      </c>
    </row>
    <row r="20" spans="1:14" s="15" customFormat="1" ht="20.25" customHeight="1" x14ac:dyDescent="0.15">
      <c r="A20" s="60"/>
      <c r="B20" s="9"/>
      <c r="C20" s="58"/>
      <c r="D20" s="11"/>
      <c r="E20" s="10"/>
      <c r="F20" s="58"/>
      <c r="G20" s="12"/>
      <c r="H20" s="12"/>
      <c r="I20" s="17"/>
      <c r="J20" s="18"/>
      <c r="K20" s="19">
        <f t="shared" si="0"/>
        <v>0</v>
      </c>
      <c r="L20" s="20"/>
      <c r="N20" s="15">
        <v>10.89</v>
      </c>
    </row>
    <row r="21" spans="1:14" s="15" customFormat="1" ht="20.25" customHeight="1" x14ac:dyDescent="0.15">
      <c r="A21" s="60"/>
      <c r="B21" s="9"/>
      <c r="C21" s="58"/>
      <c r="D21" s="11"/>
      <c r="E21" s="10"/>
      <c r="F21" s="58"/>
      <c r="G21" s="50"/>
      <c r="H21" s="50"/>
      <c r="I21" s="17"/>
      <c r="J21" s="18"/>
      <c r="K21" s="19">
        <f t="shared" si="0"/>
        <v>0</v>
      </c>
      <c r="L21" s="20"/>
      <c r="N21" s="15">
        <v>10.89</v>
      </c>
    </row>
    <row r="22" spans="1:14" s="15" customFormat="1" ht="20.25" customHeight="1" x14ac:dyDescent="0.15">
      <c r="A22" s="60"/>
      <c r="B22" s="9"/>
      <c r="C22" s="58"/>
      <c r="D22" s="11"/>
      <c r="E22" s="10"/>
      <c r="F22" s="58"/>
      <c r="G22" s="50"/>
      <c r="H22" s="50"/>
      <c r="I22" s="17"/>
      <c r="J22" s="18"/>
      <c r="K22" s="19">
        <f t="shared" si="0"/>
        <v>0</v>
      </c>
      <c r="L22" s="20"/>
      <c r="N22" s="15">
        <v>10.89</v>
      </c>
    </row>
    <row r="23" spans="1:14" ht="20.25" customHeight="1" x14ac:dyDescent="0.15">
      <c r="A23" s="60"/>
      <c r="B23" s="9"/>
      <c r="C23" s="58"/>
      <c r="D23" s="11"/>
      <c r="E23" s="10"/>
      <c r="F23" s="58"/>
      <c r="G23" s="16"/>
      <c r="H23" s="16"/>
      <c r="I23" s="17"/>
      <c r="J23" s="18"/>
      <c r="K23" s="19">
        <f t="shared" si="0"/>
        <v>0</v>
      </c>
      <c r="L23" s="20"/>
      <c r="N23" s="15">
        <v>10.89</v>
      </c>
    </row>
    <row r="24" spans="1:14" ht="20.25" customHeight="1" thickBot="1" x14ac:dyDescent="0.2">
      <c r="A24" s="56"/>
      <c r="B24" s="21"/>
      <c r="C24" s="59"/>
      <c r="D24" s="22"/>
      <c r="E24" s="23"/>
      <c r="F24" s="23"/>
      <c r="G24" s="24"/>
      <c r="H24" s="24"/>
      <c r="I24" s="25"/>
      <c r="J24" s="46">
        <f>SUM(J8:J23)</f>
        <v>224</v>
      </c>
      <c r="K24" s="47">
        <f>SUM(K8:K23)</f>
        <v>3586.9481999999998</v>
      </c>
      <c r="L24" s="26"/>
    </row>
    <row r="25" spans="1:14" ht="20.25" customHeight="1" thickTop="1" x14ac:dyDescent="0.15">
      <c r="A25" s="60" t="s">
        <v>2394</v>
      </c>
      <c r="B25" s="9" t="s">
        <v>1259</v>
      </c>
      <c r="C25" s="58" t="s">
        <v>29</v>
      </c>
      <c r="D25" s="11" t="s">
        <v>684</v>
      </c>
      <c r="E25" s="10">
        <v>22</v>
      </c>
      <c r="F25" s="10"/>
      <c r="G25" s="12">
        <v>759</v>
      </c>
      <c r="H25" s="12">
        <v>1973</v>
      </c>
      <c r="I25" s="17" t="s">
        <v>2414</v>
      </c>
      <c r="J25" s="18">
        <v>250</v>
      </c>
      <c r="K25" s="19">
        <f t="shared" ref="K25:K40" si="1">+M25*N25</f>
        <v>4084.6212</v>
      </c>
      <c r="L25" s="54"/>
      <c r="M25" s="3">
        <v>375.08</v>
      </c>
      <c r="N25" s="15">
        <v>10.89</v>
      </c>
    </row>
    <row r="26" spans="1:14" ht="20.25" customHeight="1" x14ac:dyDescent="0.15">
      <c r="A26" s="60" t="s">
        <v>2415</v>
      </c>
      <c r="B26" s="9" t="s">
        <v>487</v>
      </c>
      <c r="C26" s="58" t="s">
        <v>29</v>
      </c>
      <c r="D26" s="11" t="s">
        <v>2416</v>
      </c>
      <c r="E26" s="10">
        <v>22</v>
      </c>
      <c r="F26" s="10" t="s">
        <v>11</v>
      </c>
      <c r="G26" s="12">
        <v>350</v>
      </c>
      <c r="H26" s="12">
        <v>500</v>
      </c>
      <c r="I26" s="17">
        <v>3</v>
      </c>
      <c r="J26" s="18">
        <v>3</v>
      </c>
      <c r="K26" s="19">
        <f t="shared" si="1"/>
        <v>9.1476000000000006</v>
      </c>
      <c r="L26" s="54"/>
      <c r="M26" s="3">
        <v>0.84</v>
      </c>
      <c r="N26" s="15">
        <v>10.89</v>
      </c>
    </row>
    <row r="27" spans="1:14" ht="20.25" customHeight="1" x14ac:dyDescent="0.15">
      <c r="A27" s="61"/>
      <c r="B27" s="9"/>
      <c r="C27" s="58" t="s">
        <v>29</v>
      </c>
      <c r="D27" s="11" t="s">
        <v>476</v>
      </c>
      <c r="E27" s="10">
        <v>22</v>
      </c>
      <c r="F27" s="10"/>
      <c r="G27" s="12">
        <v>350</v>
      </c>
      <c r="H27" s="12">
        <v>500</v>
      </c>
      <c r="I27" s="17">
        <v>8</v>
      </c>
      <c r="J27" s="18">
        <v>8</v>
      </c>
      <c r="K27" s="19">
        <f t="shared" si="1"/>
        <v>24.393600000000003</v>
      </c>
      <c r="L27" s="54"/>
      <c r="M27" s="3">
        <v>2.2400000000000002</v>
      </c>
      <c r="N27" s="15">
        <v>10.89</v>
      </c>
    </row>
    <row r="28" spans="1:14" ht="20.25" customHeight="1" x14ac:dyDescent="0.15">
      <c r="A28" s="61" t="s">
        <v>2417</v>
      </c>
      <c r="B28" s="9" t="s">
        <v>1950</v>
      </c>
      <c r="C28" s="58" t="s">
        <v>29</v>
      </c>
      <c r="D28" s="11" t="s">
        <v>224</v>
      </c>
      <c r="E28" s="10">
        <v>22</v>
      </c>
      <c r="F28" s="10" t="s">
        <v>11</v>
      </c>
      <c r="G28" s="12">
        <v>1719</v>
      </c>
      <c r="H28" s="12">
        <v>1820</v>
      </c>
      <c r="I28" s="17" t="s">
        <v>1967</v>
      </c>
      <c r="J28" s="18">
        <v>65</v>
      </c>
      <c r="K28" s="19">
        <f t="shared" si="1"/>
        <v>611.47350000000006</v>
      </c>
      <c r="L28" s="54"/>
      <c r="M28" s="3">
        <v>56.15</v>
      </c>
      <c r="N28" s="15">
        <v>10.89</v>
      </c>
    </row>
    <row r="29" spans="1:14" ht="20.25" customHeight="1" x14ac:dyDescent="0.15">
      <c r="A29" s="61"/>
      <c r="B29" s="9"/>
      <c r="C29" s="58" t="s">
        <v>29</v>
      </c>
      <c r="D29" s="11" t="s">
        <v>217</v>
      </c>
      <c r="E29" s="10">
        <v>22</v>
      </c>
      <c r="F29" s="10" t="s">
        <v>11</v>
      </c>
      <c r="G29" s="12">
        <v>1719</v>
      </c>
      <c r="H29" s="12">
        <v>1820</v>
      </c>
      <c r="I29" s="17" t="s">
        <v>2418</v>
      </c>
      <c r="J29" s="18">
        <v>20</v>
      </c>
      <c r="K29" s="19">
        <f t="shared" si="1"/>
        <v>361.00350000000003</v>
      </c>
      <c r="L29" s="54"/>
      <c r="M29" s="3">
        <v>33.15</v>
      </c>
      <c r="N29" s="15">
        <v>10.89</v>
      </c>
    </row>
    <row r="30" spans="1:14" ht="20.25" customHeight="1" x14ac:dyDescent="0.15">
      <c r="A30" s="61"/>
      <c r="B30" s="9"/>
      <c r="C30" s="58" t="s">
        <v>29</v>
      </c>
      <c r="D30" s="11" t="s">
        <v>201</v>
      </c>
      <c r="E30" s="10">
        <v>22</v>
      </c>
      <c r="F30" s="10"/>
      <c r="G30" s="12">
        <v>705</v>
      </c>
      <c r="H30" s="12">
        <v>1820</v>
      </c>
      <c r="I30" s="51" t="s">
        <v>205</v>
      </c>
      <c r="J30" s="52">
        <v>20</v>
      </c>
      <c r="K30" s="53">
        <f t="shared" si="1"/>
        <v>180.77400000000003</v>
      </c>
      <c r="L30" s="54"/>
      <c r="M30" s="3">
        <v>16.600000000000001</v>
      </c>
      <c r="N30" s="15">
        <v>10.89</v>
      </c>
    </row>
    <row r="31" spans="1:14" ht="20.25" customHeight="1" x14ac:dyDescent="0.15">
      <c r="A31" s="61" t="s">
        <v>2408</v>
      </c>
      <c r="B31" s="9" t="s">
        <v>1950</v>
      </c>
      <c r="C31" s="58" t="s">
        <v>29</v>
      </c>
      <c r="D31" s="11" t="s">
        <v>224</v>
      </c>
      <c r="E31" s="10">
        <v>22</v>
      </c>
      <c r="F31" s="10" t="s">
        <v>11</v>
      </c>
      <c r="G31" s="12">
        <v>763</v>
      </c>
      <c r="H31" s="12">
        <v>1820</v>
      </c>
      <c r="I31" s="51" t="s">
        <v>396</v>
      </c>
      <c r="J31" s="52">
        <v>70</v>
      </c>
      <c r="K31" s="53">
        <f t="shared" si="1"/>
        <v>457.38</v>
      </c>
      <c r="L31" s="54"/>
      <c r="M31" s="3">
        <v>42</v>
      </c>
      <c r="N31" s="15">
        <v>10.89</v>
      </c>
    </row>
    <row r="32" spans="1:14" ht="20.25" customHeight="1" x14ac:dyDescent="0.15">
      <c r="A32" s="60"/>
      <c r="B32" s="9"/>
      <c r="C32" s="58" t="s">
        <v>29</v>
      </c>
      <c r="D32" s="11" t="s">
        <v>217</v>
      </c>
      <c r="E32" s="10">
        <v>22</v>
      </c>
      <c r="F32" s="10" t="s">
        <v>11</v>
      </c>
      <c r="G32" s="12">
        <v>1719</v>
      </c>
      <c r="H32" s="12">
        <v>1820</v>
      </c>
      <c r="I32" s="17" t="s">
        <v>790</v>
      </c>
      <c r="J32" s="18">
        <v>75</v>
      </c>
      <c r="K32" s="19">
        <f t="shared" si="1"/>
        <v>627.80849999999998</v>
      </c>
      <c r="L32" s="27"/>
      <c r="M32" s="3">
        <v>57.65</v>
      </c>
      <c r="N32" s="15">
        <v>10.89</v>
      </c>
    </row>
    <row r="33" spans="1:14" ht="20.25" customHeight="1" x14ac:dyDescent="0.15">
      <c r="A33" s="60"/>
      <c r="B33" s="9"/>
      <c r="C33" s="58" t="s">
        <v>29</v>
      </c>
      <c r="D33" s="11" t="s">
        <v>201</v>
      </c>
      <c r="E33" s="10">
        <v>22</v>
      </c>
      <c r="F33" s="10"/>
      <c r="G33" s="12">
        <v>405</v>
      </c>
      <c r="H33" s="12">
        <v>950</v>
      </c>
      <c r="I33" s="17">
        <v>10</v>
      </c>
      <c r="J33" s="18">
        <v>10</v>
      </c>
      <c r="K33" s="19">
        <f t="shared" si="1"/>
        <v>41.381999999999998</v>
      </c>
      <c r="L33" s="27"/>
      <c r="M33" s="3">
        <v>3.8</v>
      </c>
      <c r="N33" s="15">
        <v>10.89</v>
      </c>
    </row>
    <row r="34" spans="1:14" ht="20.25" customHeight="1" x14ac:dyDescent="0.15">
      <c r="A34" s="60" t="s">
        <v>2419</v>
      </c>
      <c r="B34" s="9" t="s">
        <v>2420</v>
      </c>
      <c r="C34" s="58" t="s">
        <v>273</v>
      </c>
      <c r="D34" s="11" t="s">
        <v>383</v>
      </c>
      <c r="E34" s="10">
        <v>16</v>
      </c>
      <c r="F34" s="10"/>
      <c r="G34" s="12">
        <v>945</v>
      </c>
      <c r="H34" s="12">
        <v>1088</v>
      </c>
      <c r="I34" s="17">
        <v>1</v>
      </c>
      <c r="J34" s="18">
        <v>1</v>
      </c>
      <c r="K34" s="19">
        <f t="shared" si="1"/>
        <v>10.998900000000001</v>
      </c>
      <c r="L34" s="27"/>
      <c r="M34" s="3">
        <v>1.01</v>
      </c>
      <c r="N34" s="15">
        <v>10.89</v>
      </c>
    </row>
    <row r="35" spans="1:14" ht="20.25" customHeight="1" x14ac:dyDescent="0.15">
      <c r="A35" s="60"/>
      <c r="B35" s="9"/>
      <c r="C35" s="58"/>
      <c r="D35" s="11"/>
      <c r="E35" s="10"/>
      <c r="F35" s="10"/>
      <c r="G35" s="12"/>
      <c r="H35" s="12"/>
      <c r="I35" s="17"/>
      <c r="J35" s="18"/>
      <c r="K35" s="19">
        <f t="shared" si="1"/>
        <v>0</v>
      </c>
      <c r="L35" s="27"/>
      <c r="N35" s="15">
        <v>10.89</v>
      </c>
    </row>
    <row r="36" spans="1:14" ht="20.25" customHeight="1" x14ac:dyDescent="0.15">
      <c r="A36" s="60"/>
      <c r="B36" s="9"/>
      <c r="C36" s="58"/>
      <c r="D36" s="11"/>
      <c r="E36" s="10"/>
      <c r="F36" s="10"/>
      <c r="G36" s="12"/>
      <c r="H36" s="12"/>
      <c r="I36" s="17"/>
      <c r="J36" s="18"/>
      <c r="K36" s="19">
        <f t="shared" si="1"/>
        <v>0</v>
      </c>
      <c r="L36" s="27"/>
      <c r="N36" s="15">
        <v>10.89</v>
      </c>
    </row>
    <row r="37" spans="1:14" ht="20.25" customHeight="1" x14ac:dyDescent="0.15">
      <c r="A37" s="60"/>
      <c r="B37" s="9"/>
      <c r="C37" s="58"/>
      <c r="D37" s="11"/>
      <c r="E37" s="10"/>
      <c r="F37" s="10"/>
      <c r="G37" s="12"/>
      <c r="H37" s="12"/>
      <c r="I37" s="17"/>
      <c r="J37" s="18"/>
      <c r="K37" s="19">
        <f t="shared" si="1"/>
        <v>0</v>
      </c>
      <c r="L37" s="27"/>
      <c r="N37" s="15">
        <v>10.89</v>
      </c>
    </row>
    <row r="38" spans="1:14" ht="20.25" customHeight="1" x14ac:dyDescent="0.15">
      <c r="A38" s="60"/>
      <c r="B38" s="9"/>
      <c r="C38" s="58"/>
      <c r="D38" s="11"/>
      <c r="E38" s="10"/>
      <c r="F38" s="10"/>
      <c r="G38" s="12"/>
      <c r="H38" s="12"/>
      <c r="I38" s="17"/>
      <c r="J38" s="18"/>
      <c r="K38" s="19">
        <f t="shared" si="1"/>
        <v>0</v>
      </c>
      <c r="L38" s="27"/>
      <c r="N38" s="15">
        <v>10.89</v>
      </c>
    </row>
    <row r="39" spans="1:14" ht="20.25" customHeight="1" x14ac:dyDescent="0.15">
      <c r="A39" s="60"/>
      <c r="B39" s="9"/>
      <c r="C39" s="58"/>
      <c r="D39" s="11"/>
      <c r="E39" s="10"/>
      <c r="F39" s="10"/>
      <c r="G39" s="12"/>
      <c r="H39" s="12"/>
      <c r="I39" s="17"/>
      <c r="J39" s="18"/>
      <c r="K39" s="19">
        <f t="shared" si="1"/>
        <v>0</v>
      </c>
      <c r="L39" s="27"/>
      <c r="N39" s="15">
        <v>10.89</v>
      </c>
    </row>
    <row r="40" spans="1:14" ht="20.25" customHeight="1" x14ac:dyDescent="0.15">
      <c r="A40" s="60"/>
      <c r="B40" s="9"/>
      <c r="C40" s="58"/>
      <c r="D40" s="11"/>
      <c r="E40" s="10"/>
      <c r="F40" s="10"/>
      <c r="G40" s="12"/>
      <c r="H40" s="12"/>
      <c r="I40" s="17"/>
      <c r="J40" s="18"/>
      <c r="K40" s="19">
        <f t="shared" si="1"/>
        <v>0</v>
      </c>
      <c r="L40" s="27"/>
      <c r="N40" s="15">
        <v>10.89</v>
      </c>
    </row>
    <row r="41" spans="1:14" ht="20.25" customHeight="1" x14ac:dyDescent="0.15">
      <c r="A41" s="57"/>
      <c r="B41" s="28"/>
      <c r="C41" s="10"/>
      <c r="D41" s="29"/>
      <c r="E41" s="30"/>
      <c r="F41" s="30"/>
      <c r="G41" s="30"/>
      <c r="H41" s="30"/>
      <c r="I41" s="13"/>
      <c r="J41" s="48">
        <f>SUM(J25:J40)</f>
        <v>522</v>
      </c>
      <c r="K41" s="49">
        <f>SUM(K25:K40)</f>
        <v>6408.9827999999998</v>
      </c>
      <c r="L41" s="31"/>
      <c r="N41" s="32"/>
    </row>
    <row r="42" spans="1:14" ht="20.25" customHeight="1" thickBot="1" x14ac:dyDescent="0.2">
      <c r="A42" s="55"/>
      <c r="B42" s="33"/>
      <c r="C42" s="33"/>
      <c r="D42" s="33"/>
      <c r="E42" s="33"/>
      <c r="F42" s="33"/>
      <c r="G42" s="33"/>
      <c r="H42" s="33"/>
      <c r="I42" s="33"/>
      <c r="J42" s="34"/>
      <c r="K42" s="35"/>
      <c r="L42" s="36"/>
    </row>
    <row r="43" spans="1:14" ht="20.25" customHeight="1" thickBot="1" x14ac:dyDescent="0.2">
      <c r="A43" s="37" t="s">
        <v>19</v>
      </c>
      <c r="B43" s="38" t="s">
        <v>20</v>
      </c>
      <c r="C43" s="77" t="s">
        <v>21</v>
      </c>
      <c r="D43" s="79"/>
      <c r="E43" s="77" t="s">
        <v>22</v>
      </c>
      <c r="F43" s="78"/>
      <c r="G43" s="79"/>
      <c r="H43" s="85" t="s">
        <v>23</v>
      </c>
      <c r="I43" s="86"/>
      <c r="J43" s="77" t="s">
        <v>24</v>
      </c>
      <c r="K43" s="79"/>
      <c r="L43" s="39" t="s">
        <v>13</v>
      </c>
    </row>
    <row r="44" spans="1:14" ht="20.25" customHeight="1" thickBot="1" x14ac:dyDescent="0.2">
      <c r="A44" s="40">
        <f>SUMIF($C$8:$C$42,"U1",$J$8:$J$42)</f>
        <v>1</v>
      </c>
      <c r="B44" s="41">
        <f>SUMIF($C$8:$C$42,"U2",$J$8:$J$42)</f>
        <v>0</v>
      </c>
      <c r="C44" s="77">
        <f>SUMIF($C$8:$C$42,"U3-1",$J$8:$J$42)</f>
        <v>0</v>
      </c>
      <c r="D44" s="79"/>
      <c r="E44" s="77">
        <f>SUMIF($C$8:$C$42,"U3",$J$8:$J$42)</f>
        <v>745</v>
      </c>
      <c r="F44" s="78"/>
      <c r="G44" s="79"/>
      <c r="H44" s="77">
        <f>SUMIF($C$8:$C$42,"E5",$J$8:$J$42)</f>
        <v>0</v>
      </c>
      <c r="I44" s="79"/>
      <c r="J44" s="77">
        <f>SUM(A44:I44)</f>
        <v>746</v>
      </c>
      <c r="K44" s="79"/>
      <c r="L44" s="42"/>
    </row>
    <row r="45" spans="1:14" ht="20.25" customHeight="1" thickBot="1" x14ac:dyDescent="0.2">
      <c r="A45" s="43" t="s">
        <v>25</v>
      </c>
      <c r="B45" s="44" t="s">
        <v>26</v>
      </c>
      <c r="C45" s="75">
        <v>13876</v>
      </c>
      <c r="D45" s="76"/>
      <c r="E45" s="77" t="s">
        <v>27</v>
      </c>
      <c r="F45" s="78"/>
      <c r="G45" s="78"/>
      <c r="H45" s="78"/>
      <c r="I45" s="79"/>
      <c r="J45" s="80">
        <v>146744.37</v>
      </c>
      <c r="K45" s="81"/>
      <c r="L45" s="82"/>
    </row>
    <row r="47" spans="1:14" x14ac:dyDescent="0.15">
      <c r="D47" s="45"/>
    </row>
  </sheetData>
  <mergeCells count="26">
    <mergeCell ref="L2:L4"/>
    <mergeCell ref="A1:G3"/>
    <mergeCell ref="H1:H4"/>
    <mergeCell ref="I2:I4"/>
    <mergeCell ref="J2:J4"/>
    <mergeCell ref="K2:K4"/>
    <mergeCell ref="B5:G5"/>
    <mergeCell ref="A6:A7"/>
    <mergeCell ref="B6:B7"/>
    <mergeCell ref="C6:C7"/>
    <mergeCell ref="D6:D7"/>
    <mergeCell ref="E6:E7"/>
    <mergeCell ref="F6:F7"/>
    <mergeCell ref="G6:K6"/>
    <mergeCell ref="C45:D45"/>
    <mergeCell ref="E45:I45"/>
    <mergeCell ref="J45:L45"/>
    <mergeCell ref="L6:L7"/>
    <mergeCell ref="C43:D43"/>
    <mergeCell ref="E43:G43"/>
    <mergeCell ref="H43:I43"/>
    <mergeCell ref="J43:K43"/>
    <mergeCell ref="C44:D44"/>
    <mergeCell ref="E44:G44"/>
    <mergeCell ref="H44:I44"/>
    <mergeCell ref="J44:K44"/>
  </mergeCells>
  <phoneticPr fontId="2" type="noConversion"/>
  <printOptions horizontalCentered="1"/>
  <pageMargins left="0.39370078740157483" right="0.39370078740157483" top="0.74803149606299213" bottom="0.19685039370078741" header="0.31496062992125984" footer="0.15748031496062992"/>
  <pageSetup paperSize="9" scale="84" orientation="portrait" r:id="rId1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9AEBB6-19C8-420E-985F-52F596BCF903}">
  <dimension ref="A1:N47"/>
  <sheetViews>
    <sheetView view="pageBreakPreview" topLeftCell="A13" zoomScaleSheetLayoutView="100" workbookViewId="0">
      <selection activeCell="B15" sqref="B15:F16"/>
    </sheetView>
  </sheetViews>
  <sheetFormatPr defaultColWidth="8.88671875" defaultRowHeight="13.5" x14ac:dyDescent="0.15"/>
  <cols>
    <col min="1" max="1" width="8.44140625" style="3" customWidth="1"/>
    <col min="2" max="2" width="14.77734375" style="3" customWidth="1"/>
    <col min="3" max="3" width="4.109375" style="3" customWidth="1"/>
    <col min="4" max="4" width="15.21875" style="3" customWidth="1"/>
    <col min="5" max="5" width="4.44140625" style="3" customWidth="1"/>
    <col min="6" max="6" width="4" style="3" customWidth="1"/>
    <col min="7" max="7" width="5.5546875" style="3" customWidth="1"/>
    <col min="8" max="8" width="5.44140625" style="3" customWidth="1"/>
    <col min="9" max="9" width="7.88671875" style="3" customWidth="1"/>
    <col min="10" max="10" width="7.109375" style="3" customWidth="1"/>
    <col min="11" max="11" width="7.21875" style="3" customWidth="1"/>
    <col min="12" max="12" width="6.77734375" style="3" customWidth="1"/>
    <col min="13" max="16384" width="8.88671875" style="3"/>
  </cols>
  <sheetData>
    <row r="1" spans="1:14" ht="18.75" customHeight="1" x14ac:dyDescent="0.15">
      <c r="A1" s="101" t="s">
        <v>0</v>
      </c>
      <c r="B1" s="102"/>
      <c r="C1" s="102"/>
      <c r="D1" s="102"/>
      <c r="E1" s="102"/>
      <c r="F1" s="102"/>
      <c r="G1" s="103"/>
      <c r="H1" s="107" t="s">
        <v>1</v>
      </c>
      <c r="I1" s="1" t="s">
        <v>2</v>
      </c>
      <c r="J1" s="1" t="s">
        <v>2</v>
      </c>
      <c r="K1" s="1" t="s">
        <v>3</v>
      </c>
      <c r="L1" s="2" t="s">
        <v>4</v>
      </c>
    </row>
    <row r="2" spans="1:14" ht="13.5" customHeight="1" x14ac:dyDescent="0.15">
      <c r="A2" s="104"/>
      <c r="B2" s="105"/>
      <c r="C2" s="105"/>
      <c r="D2" s="105"/>
      <c r="E2" s="105"/>
      <c r="F2" s="105"/>
      <c r="G2" s="106"/>
      <c r="H2" s="108"/>
      <c r="I2" s="110"/>
      <c r="J2" s="110"/>
      <c r="K2" s="110"/>
      <c r="L2" s="98"/>
    </row>
    <row r="3" spans="1:14" ht="13.5" customHeight="1" x14ac:dyDescent="0.15">
      <c r="A3" s="104"/>
      <c r="B3" s="105"/>
      <c r="C3" s="105"/>
      <c r="D3" s="105"/>
      <c r="E3" s="105"/>
      <c r="F3" s="105"/>
      <c r="G3" s="106"/>
      <c r="H3" s="108"/>
      <c r="I3" s="108"/>
      <c r="J3" s="108"/>
      <c r="K3" s="108"/>
      <c r="L3" s="99"/>
    </row>
    <row r="4" spans="1:14" ht="33" customHeight="1" x14ac:dyDescent="0.15">
      <c r="A4" s="4"/>
      <c r="B4" s="5"/>
      <c r="C4" s="5"/>
      <c r="D4" s="5"/>
      <c r="E4" s="5"/>
      <c r="F4" s="5"/>
      <c r="G4" s="5"/>
      <c r="H4" s="109"/>
      <c r="I4" s="109"/>
      <c r="J4" s="109"/>
      <c r="K4" s="109"/>
      <c r="L4" s="100"/>
    </row>
    <row r="5" spans="1:14" ht="17.25" customHeight="1" x14ac:dyDescent="0.15">
      <c r="A5" s="6" t="s">
        <v>5</v>
      </c>
      <c r="B5" s="87">
        <v>46154</v>
      </c>
      <c r="C5" s="88"/>
      <c r="D5" s="88"/>
      <c r="E5" s="88"/>
      <c r="F5" s="88"/>
      <c r="G5" s="88"/>
      <c r="H5" s="5"/>
      <c r="I5" s="5"/>
      <c r="J5" s="5"/>
      <c r="K5" s="5"/>
      <c r="L5" s="7"/>
    </row>
    <row r="6" spans="1:14" ht="13.5" customHeight="1" x14ac:dyDescent="0.15">
      <c r="A6" s="89" t="s">
        <v>6</v>
      </c>
      <c r="B6" s="91" t="s">
        <v>7</v>
      </c>
      <c r="C6" s="91" t="s">
        <v>8</v>
      </c>
      <c r="D6" s="91" t="s">
        <v>9</v>
      </c>
      <c r="E6" s="93" t="s">
        <v>10</v>
      </c>
      <c r="F6" s="93" t="s">
        <v>11</v>
      </c>
      <c r="G6" s="95" t="s">
        <v>12</v>
      </c>
      <c r="H6" s="96"/>
      <c r="I6" s="96"/>
      <c r="J6" s="96"/>
      <c r="K6" s="97"/>
      <c r="L6" s="83" t="s">
        <v>13</v>
      </c>
    </row>
    <row r="7" spans="1:14" x14ac:dyDescent="0.15">
      <c r="A7" s="90"/>
      <c r="B7" s="92"/>
      <c r="C7" s="92"/>
      <c r="D7" s="92"/>
      <c r="E7" s="94"/>
      <c r="F7" s="94"/>
      <c r="G7" s="8" t="s">
        <v>14</v>
      </c>
      <c r="H7" s="8" t="s">
        <v>15</v>
      </c>
      <c r="I7" s="8" t="s">
        <v>16</v>
      </c>
      <c r="J7" s="8" t="s">
        <v>17</v>
      </c>
      <c r="K7" s="8" t="s">
        <v>18</v>
      </c>
      <c r="L7" s="84"/>
    </row>
    <row r="8" spans="1:14" s="15" customFormat="1" ht="20.25" customHeight="1" x14ac:dyDescent="0.15">
      <c r="A8" s="60" t="s">
        <v>2411</v>
      </c>
      <c r="B8" s="9" t="s">
        <v>1304</v>
      </c>
      <c r="C8" s="58" t="s">
        <v>29</v>
      </c>
      <c r="D8" s="11" t="s">
        <v>1306</v>
      </c>
      <c r="E8" s="10">
        <v>28</v>
      </c>
      <c r="F8" s="58" t="s">
        <v>11</v>
      </c>
      <c r="G8" s="12">
        <v>1800</v>
      </c>
      <c r="H8" s="12">
        <v>795</v>
      </c>
      <c r="I8" s="17" t="s">
        <v>715</v>
      </c>
      <c r="J8" s="18">
        <v>52</v>
      </c>
      <c r="K8" s="19">
        <f>+M8*N8</f>
        <v>257.87520000000001</v>
      </c>
      <c r="L8" s="14"/>
      <c r="M8" s="15">
        <v>23.68</v>
      </c>
      <c r="N8" s="15">
        <v>10.89</v>
      </c>
    </row>
    <row r="9" spans="1:14" s="15" customFormat="1" ht="20.25" customHeight="1" x14ac:dyDescent="0.15">
      <c r="A9" s="60" t="s">
        <v>2421</v>
      </c>
      <c r="B9" s="9" t="s">
        <v>2422</v>
      </c>
      <c r="C9" s="58" t="s">
        <v>29</v>
      </c>
      <c r="D9" s="11" t="s">
        <v>2423</v>
      </c>
      <c r="E9" s="10">
        <v>24</v>
      </c>
      <c r="F9" s="58" t="s">
        <v>11</v>
      </c>
      <c r="G9" s="12">
        <v>1085</v>
      </c>
      <c r="H9" s="12">
        <v>1715</v>
      </c>
      <c r="I9" s="17" t="s">
        <v>470</v>
      </c>
      <c r="J9" s="18">
        <v>83</v>
      </c>
      <c r="K9" s="19">
        <f t="shared" ref="K9:K23" si="0">+M9*N9</f>
        <v>1221.6402</v>
      </c>
      <c r="L9" s="14"/>
      <c r="M9" s="15">
        <v>112.18</v>
      </c>
      <c r="N9" s="15">
        <v>10.89</v>
      </c>
    </row>
    <row r="10" spans="1:14" s="15" customFormat="1" ht="20.25" customHeight="1" x14ac:dyDescent="0.15">
      <c r="A10" s="60" t="s">
        <v>2424</v>
      </c>
      <c r="B10" s="9" t="s">
        <v>2422</v>
      </c>
      <c r="C10" s="58" t="s">
        <v>29</v>
      </c>
      <c r="D10" s="11" t="s">
        <v>2425</v>
      </c>
      <c r="E10" s="10">
        <v>24</v>
      </c>
      <c r="F10" s="58" t="s">
        <v>11</v>
      </c>
      <c r="G10" s="12">
        <v>775</v>
      </c>
      <c r="H10" s="12">
        <v>3080</v>
      </c>
      <c r="I10" s="17" t="s">
        <v>715</v>
      </c>
      <c r="J10" s="18">
        <v>6</v>
      </c>
      <c r="K10" s="19">
        <f t="shared" si="0"/>
        <v>81.348299999999995</v>
      </c>
      <c r="L10" s="14"/>
      <c r="M10" s="15">
        <v>7.47</v>
      </c>
      <c r="N10" s="15">
        <v>10.89</v>
      </c>
    </row>
    <row r="11" spans="1:14" s="15" customFormat="1" ht="20.25" customHeight="1" x14ac:dyDescent="0.15">
      <c r="A11" s="60"/>
      <c r="B11" s="9"/>
      <c r="C11" s="58" t="s">
        <v>29</v>
      </c>
      <c r="D11" s="11" t="s">
        <v>2426</v>
      </c>
      <c r="E11" s="10">
        <v>24</v>
      </c>
      <c r="F11" s="58" t="s">
        <v>11</v>
      </c>
      <c r="G11" s="12">
        <v>775</v>
      </c>
      <c r="H11" s="12">
        <v>2265</v>
      </c>
      <c r="I11" s="17" t="s">
        <v>337</v>
      </c>
      <c r="J11" s="18">
        <v>2</v>
      </c>
      <c r="K11" s="19">
        <f t="shared" si="0"/>
        <v>38.2239</v>
      </c>
      <c r="L11" s="14"/>
      <c r="M11" s="15">
        <v>3.51</v>
      </c>
      <c r="N11" s="15">
        <v>10.89</v>
      </c>
    </row>
    <row r="12" spans="1:14" s="15" customFormat="1" ht="20.25" customHeight="1" x14ac:dyDescent="0.15">
      <c r="A12" s="60" t="s">
        <v>2427</v>
      </c>
      <c r="B12" s="9" t="s">
        <v>138</v>
      </c>
      <c r="C12" s="58" t="s">
        <v>29</v>
      </c>
      <c r="D12" s="11" t="s">
        <v>372</v>
      </c>
      <c r="E12" s="10">
        <v>24</v>
      </c>
      <c r="F12" s="58"/>
      <c r="G12" s="12">
        <v>775</v>
      </c>
      <c r="H12" s="12">
        <v>1890</v>
      </c>
      <c r="I12" s="17" t="s">
        <v>480</v>
      </c>
      <c r="J12" s="18">
        <v>80</v>
      </c>
      <c r="K12" s="19">
        <f t="shared" si="0"/>
        <v>776.45699999999999</v>
      </c>
      <c r="L12" s="14"/>
      <c r="M12" s="15">
        <v>71.3</v>
      </c>
      <c r="N12" s="15">
        <v>10.89</v>
      </c>
    </row>
    <row r="13" spans="1:14" s="15" customFormat="1" ht="20.25" customHeight="1" x14ac:dyDescent="0.15">
      <c r="A13" s="60"/>
      <c r="B13" s="9"/>
      <c r="C13" s="58" t="s">
        <v>29</v>
      </c>
      <c r="D13" s="11" t="s">
        <v>336</v>
      </c>
      <c r="E13" s="10">
        <v>24</v>
      </c>
      <c r="F13" s="58"/>
      <c r="G13" s="12">
        <v>1662</v>
      </c>
      <c r="H13" s="12">
        <v>1890</v>
      </c>
      <c r="I13" s="17" t="s">
        <v>196</v>
      </c>
      <c r="J13" s="18">
        <v>90</v>
      </c>
      <c r="K13" s="19">
        <f t="shared" si="0"/>
        <v>1118.403</v>
      </c>
      <c r="L13" s="14"/>
      <c r="M13" s="15">
        <v>102.7</v>
      </c>
      <c r="N13" s="15">
        <v>10.89</v>
      </c>
    </row>
    <row r="14" spans="1:14" s="15" customFormat="1" ht="20.25" customHeight="1" x14ac:dyDescent="0.15">
      <c r="A14" s="60"/>
      <c r="B14" s="9"/>
      <c r="C14" s="58" t="s">
        <v>29</v>
      </c>
      <c r="D14" s="11" t="s">
        <v>224</v>
      </c>
      <c r="E14" s="10">
        <v>22</v>
      </c>
      <c r="F14" s="58" t="s">
        <v>11</v>
      </c>
      <c r="G14" s="12">
        <v>618</v>
      </c>
      <c r="H14" s="12">
        <v>1890</v>
      </c>
      <c r="I14" s="17">
        <v>10</v>
      </c>
      <c r="J14" s="18">
        <v>10</v>
      </c>
      <c r="K14" s="19">
        <f t="shared" si="0"/>
        <v>127.413</v>
      </c>
      <c r="L14" s="20"/>
      <c r="M14" s="15">
        <v>11.7</v>
      </c>
      <c r="N14" s="15">
        <v>10.89</v>
      </c>
    </row>
    <row r="15" spans="1:14" s="15" customFormat="1" ht="20.25" customHeight="1" x14ac:dyDescent="0.15">
      <c r="A15" s="60" t="s">
        <v>2428</v>
      </c>
      <c r="B15" s="9" t="s">
        <v>138</v>
      </c>
      <c r="C15" s="58" t="s">
        <v>29</v>
      </c>
      <c r="D15" s="11" t="s">
        <v>372</v>
      </c>
      <c r="E15" s="10">
        <v>24</v>
      </c>
      <c r="F15" s="58"/>
      <c r="G15" s="12">
        <v>775</v>
      </c>
      <c r="H15" s="12">
        <v>1890</v>
      </c>
      <c r="I15" s="17" t="s">
        <v>2429</v>
      </c>
      <c r="J15" s="18">
        <v>75</v>
      </c>
      <c r="K15" s="19">
        <f t="shared" si="0"/>
        <v>1002.9689999999999</v>
      </c>
      <c r="L15" s="20"/>
      <c r="M15" s="15">
        <v>92.1</v>
      </c>
      <c r="N15" s="15">
        <v>10.89</v>
      </c>
    </row>
    <row r="16" spans="1:14" s="15" customFormat="1" ht="20.25" customHeight="1" x14ac:dyDescent="0.15">
      <c r="A16" s="60"/>
      <c r="B16" s="9"/>
      <c r="C16" s="58" t="s">
        <v>29</v>
      </c>
      <c r="D16" s="11" t="s">
        <v>224</v>
      </c>
      <c r="E16" s="10">
        <v>22</v>
      </c>
      <c r="F16" s="58" t="s">
        <v>11</v>
      </c>
      <c r="G16" s="12">
        <v>618</v>
      </c>
      <c r="H16" s="12">
        <v>1890</v>
      </c>
      <c r="I16" s="17">
        <v>5</v>
      </c>
      <c r="J16" s="18">
        <v>5</v>
      </c>
      <c r="K16" s="19">
        <f t="shared" si="0"/>
        <v>63.706499999999998</v>
      </c>
      <c r="L16" s="20"/>
      <c r="M16" s="15">
        <v>5.85</v>
      </c>
      <c r="N16" s="15">
        <v>10.89</v>
      </c>
    </row>
    <row r="17" spans="1:14" s="15" customFormat="1" ht="20.25" customHeight="1" x14ac:dyDescent="0.15">
      <c r="A17" s="60" t="s">
        <v>2430</v>
      </c>
      <c r="B17" s="9" t="s">
        <v>2254</v>
      </c>
      <c r="C17" s="58" t="s">
        <v>29</v>
      </c>
      <c r="D17" s="11" t="s">
        <v>276</v>
      </c>
      <c r="E17" s="10">
        <v>24</v>
      </c>
      <c r="F17" s="58" t="s">
        <v>11</v>
      </c>
      <c r="G17" s="12">
        <v>820</v>
      </c>
      <c r="H17" s="12">
        <v>1874</v>
      </c>
      <c r="I17" s="17" t="s">
        <v>941</v>
      </c>
      <c r="J17" s="18">
        <v>6</v>
      </c>
      <c r="K17" s="19">
        <f t="shared" si="0"/>
        <v>95.505300000000005</v>
      </c>
      <c r="L17" s="20"/>
      <c r="M17" s="15">
        <v>8.77</v>
      </c>
      <c r="N17" s="15">
        <v>10.89</v>
      </c>
    </row>
    <row r="18" spans="1:14" s="15" customFormat="1" ht="20.25" customHeight="1" x14ac:dyDescent="0.15">
      <c r="A18" s="60" t="s">
        <v>2431</v>
      </c>
      <c r="B18" s="9" t="s">
        <v>1775</v>
      </c>
      <c r="C18" s="58" t="s">
        <v>29</v>
      </c>
      <c r="D18" s="11" t="s">
        <v>1776</v>
      </c>
      <c r="E18" s="10">
        <v>24</v>
      </c>
      <c r="F18" s="58" t="s">
        <v>11</v>
      </c>
      <c r="G18" s="12">
        <v>1035</v>
      </c>
      <c r="H18" s="12">
        <v>2804</v>
      </c>
      <c r="I18" s="17">
        <v>2</v>
      </c>
      <c r="J18" s="18">
        <v>2</v>
      </c>
      <c r="K18" s="19">
        <f t="shared" si="0"/>
        <v>63.161999999999999</v>
      </c>
      <c r="L18" s="20"/>
      <c r="M18" s="15">
        <v>5.8</v>
      </c>
      <c r="N18" s="15">
        <v>10.89</v>
      </c>
    </row>
    <row r="19" spans="1:14" s="15" customFormat="1" ht="20.25" customHeight="1" x14ac:dyDescent="0.15">
      <c r="A19" s="60"/>
      <c r="B19" s="9"/>
      <c r="C19" s="58" t="s">
        <v>29</v>
      </c>
      <c r="D19" s="11" t="s">
        <v>2272</v>
      </c>
      <c r="E19" s="10">
        <v>28</v>
      </c>
      <c r="F19" s="58" t="s">
        <v>11</v>
      </c>
      <c r="G19" s="12">
        <v>607</v>
      </c>
      <c r="H19" s="12">
        <v>2805</v>
      </c>
      <c r="I19" s="17">
        <v>1</v>
      </c>
      <c r="J19" s="18">
        <v>1</v>
      </c>
      <c r="K19" s="19">
        <f t="shared" si="0"/>
        <v>18.513000000000002</v>
      </c>
      <c r="L19" s="20"/>
      <c r="M19" s="15">
        <v>1.7</v>
      </c>
      <c r="N19" s="15">
        <v>10.89</v>
      </c>
    </row>
    <row r="20" spans="1:14" s="15" customFormat="1" ht="20.25" customHeight="1" x14ac:dyDescent="0.15">
      <c r="A20" s="60" t="s">
        <v>2432</v>
      </c>
      <c r="B20" s="9" t="s">
        <v>1080</v>
      </c>
      <c r="C20" s="58" t="s">
        <v>29</v>
      </c>
      <c r="D20" s="11" t="s">
        <v>2433</v>
      </c>
      <c r="E20" s="10">
        <v>24</v>
      </c>
      <c r="F20" s="58" t="s">
        <v>11</v>
      </c>
      <c r="G20" s="12">
        <v>1870</v>
      </c>
      <c r="H20" s="12">
        <v>1845</v>
      </c>
      <c r="I20" s="17">
        <v>1</v>
      </c>
      <c r="J20" s="18">
        <v>1</v>
      </c>
      <c r="K20" s="19">
        <f t="shared" si="0"/>
        <v>37.570500000000003</v>
      </c>
      <c r="L20" s="20"/>
      <c r="M20" s="15">
        <v>3.45</v>
      </c>
      <c r="N20" s="15">
        <v>10.89</v>
      </c>
    </row>
    <row r="21" spans="1:14" s="15" customFormat="1" ht="20.25" customHeight="1" x14ac:dyDescent="0.15">
      <c r="A21" s="60"/>
      <c r="B21" s="9"/>
      <c r="C21" s="58" t="s">
        <v>29</v>
      </c>
      <c r="D21" s="11" t="s">
        <v>276</v>
      </c>
      <c r="E21" s="10">
        <v>24</v>
      </c>
      <c r="F21" s="58" t="s">
        <v>11</v>
      </c>
      <c r="G21" s="50">
        <v>657</v>
      </c>
      <c r="H21" s="50">
        <v>2110</v>
      </c>
      <c r="I21" s="17" t="s">
        <v>2434</v>
      </c>
      <c r="J21" s="18">
        <v>4</v>
      </c>
      <c r="K21" s="19">
        <f t="shared" si="0"/>
        <v>61.746300000000005</v>
      </c>
      <c r="L21" s="20"/>
      <c r="M21" s="15">
        <v>5.67</v>
      </c>
      <c r="N21" s="15">
        <v>10.89</v>
      </c>
    </row>
    <row r="22" spans="1:14" s="15" customFormat="1" ht="20.25" customHeight="1" x14ac:dyDescent="0.15">
      <c r="A22" s="60"/>
      <c r="B22" s="9"/>
      <c r="C22" s="58" t="s">
        <v>29</v>
      </c>
      <c r="D22" s="11" t="s">
        <v>276</v>
      </c>
      <c r="E22" s="10">
        <v>24</v>
      </c>
      <c r="F22" s="58" t="s">
        <v>11</v>
      </c>
      <c r="G22" s="50">
        <v>985</v>
      </c>
      <c r="H22" s="50">
        <v>2875</v>
      </c>
      <c r="I22" s="17">
        <v>1</v>
      </c>
      <c r="J22" s="18">
        <v>1</v>
      </c>
      <c r="K22" s="19">
        <f t="shared" si="0"/>
        <v>30.818700000000003</v>
      </c>
      <c r="L22" s="20"/>
      <c r="M22" s="15">
        <v>2.83</v>
      </c>
      <c r="N22" s="15">
        <v>10.89</v>
      </c>
    </row>
    <row r="23" spans="1:14" ht="20.25" customHeight="1" x14ac:dyDescent="0.15">
      <c r="A23" s="60" t="s">
        <v>2435</v>
      </c>
      <c r="B23" s="9" t="s">
        <v>487</v>
      </c>
      <c r="C23" s="58" t="s">
        <v>231</v>
      </c>
      <c r="D23" s="11" t="s">
        <v>841</v>
      </c>
      <c r="E23" s="10">
        <v>22</v>
      </c>
      <c r="F23" s="58"/>
      <c r="G23" s="16">
        <v>2320</v>
      </c>
      <c r="H23" s="16">
        <v>1955</v>
      </c>
      <c r="I23" s="17">
        <v>1</v>
      </c>
      <c r="J23" s="18">
        <v>1</v>
      </c>
      <c r="K23" s="19">
        <f t="shared" si="0"/>
        <v>0</v>
      </c>
      <c r="L23" s="20"/>
      <c r="N23" s="15">
        <v>10.89</v>
      </c>
    </row>
    <row r="24" spans="1:14" ht="20.25" customHeight="1" thickBot="1" x14ac:dyDescent="0.2">
      <c r="A24" s="56"/>
      <c r="B24" s="21"/>
      <c r="C24" s="59"/>
      <c r="D24" s="22"/>
      <c r="E24" s="23"/>
      <c r="F24" s="23"/>
      <c r="G24" s="24"/>
      <c r="H24" s="24"/>
      <c r="I24" s="25"/>
      <c r="J24" s="46">
        <f>SUM(J8:J23)</f>
        <v>419</v>
      </c>
      <c r="K24" s="47">
        <f>SUM(K8:K23)</f>
        <v>4995.3518999999987</v>
      </c>
      <c r="L24" s="26"/>
    </row>
    <row r="25" spans="1:14" ht="20.25" customHeight="1" thickTop="1" x14ac:dyDescent="0.15">
      <c r="A25" s="60" t="s">
        <v>2436</v>
      </c>
      <c r="B25" s="9" t="s">
        <v>2422</v>
      </c>
      <c r="C25" s="58" t="s">
        <v>29</v>
      </c>
      <c r="D25" s="11" t="s">
        <v>2423</v>
      </c>
      <c r="E25" s="10">
        <v>24</v>
      </c>
      <c r="F25" s="10" t="s">
        <v>11</v>
      </c>
      <c r="G25" s="12">
        <v>1135</v>
      </c>
      <c r="H25" s="12">
        <v>3080</v>
      </c>
      <c r="I25" s="17" t="s">
        <v>259</v>
      </c>
      <c r="J25" s="18">
        <v>128</v>
      </c>
      <c r="K25" s="19">
        <f t="shared" ref="K25:K40" si="1">+M25*N25</f>
        <v>2031.2028000000003</v>
      </c>
      <c r="L25" s="54"/>
      <c r="M25" s="3">
        <v>186.52</v>
      </c>
      <c r="N25" s="15">
        <v>10.89</v>
      </c>
    </row>
    <row r="26" spans="1:14" ht="20.25" customHeight="1" x14ac:dyDescent="0.15">
      <c r="A26" s="60"/>
      <c r="B26" s="9"/>
      <c r="C26" s="58" t="s">
        <v>29</v>
      </c>
      <c r="D26" s="11" t="s">
        <v>2437</v>
      </c>
      <c r="E26" s="10">
        <v>24</v>
      </c>
      <c r="F26" s="10" t="s">
        <v>11</v>
      </c>
      <c r="G26" s="12">
        <v>1135</v>
      </c>
      <c r="H26" s="12">
        <v>2265</v>
      </c>
      <c r="I26" s="17" t="s">
        <v>697</v>
      </c>
      <c r="J26" s="18">
        <v>48</v>
      </c>
      <c r="K26" s="19">
        <f t="shared" si="1"/>
        <v>1023.7689000000001</v>
      </c>
      <c r="L26" s="54"/>
      <c r="M26" s="3">
        <v>94.01</v>
      </c>
      <c r="N26" s="15">
        <v>10.89</v>
      </c>
    </row>
    <row r="27" spans="1:14" ht="20.25" customHeight="1" x14ac:dyDescent="0.15">
      <c r="A27" s="61" t="s">
        <v>2438</v>
      </c>
      <c r="B27" s="9" t="s">
        <v>2422</v>
      </c>
      <c r="C27" s="58" t="s">
        <v>29</v>
      </c>
      <c r="D27" s="11" t="s">
        <v>2423</v>
      </c>
      <c r="E27" s="10">
        <v>24</v>
      </c>
      <c r="F27" s="10" t="s">
        <v>11</v>
      </c>
      <c r="G27" s="12">
        <v>985</v>
      </c>
      <c r="H27" s="12">
        <v>3545</v>
      </c>
      <c r="I27" s="17" t="s">
        <v>248</v>
      </c>
      <c r="J27" s="18">
        <v>36</v>
      </c>
      <c r="K27" s="19">
        <f t="shared" si="1"/>
        <v>644.9058</v>
      </c>
      <c r="L27" s="54"/>
      <c r="M27" s="3">
        <v>59.22</v>
      </c>
      <c r="N27" s="15">
        <v>10.89</v>
      </c>
    </row>
    <row r="28" spans="1:14" ht="20.25" customHeight="1" x14ac:dyDescent="0.15">
      <c r="A28" s="61" t="s">
        <v>2417</v>
      </c>
      <c r="B28" s="9" t="s">
        <v>1950</v>
      </c>
      <c r="C28" s="58" t="s">
        <v>29</v>
      </c>
      <c r="D28" s="11" t="s">
        <v>217</v>
      </c>
      <c r="E28" s="10">
        <v>22</v>
      </c>
      <c r="F28" s="10" t="s">
        <v>11</v>
      </c>
      <c r="G28" s="12">
        <v>755</v>
      </c>
      <c r="H28" s="12">
        <v>950</v>
      </c>
      <c r="I28" s="17" t="s">
        <v>2439</v>
      </c>
      <c r="J28" s="18">
        <v>45</v>
      </c>
      <c r="K28" s="19">
        <f t="shared" si="1"/>
        <v>250.47000000000003</v>
      </c>
      <c r="L28" s="54"/>
      <c r="M28" s="3">
        <v>23</v>
      </c>
      <c r="N28" s="15">
        <v>10.89</v>
      </c>
    </row>
    <row r="29" spans="1:14" ht="20.25" customHeight="1" x14ac:dyDescent="0.15">
      <c r="A29" s="61" t="s">
        <v>2440</v>
      </c>
      <c r="B29" s="9" t="s">
        <v>1950</v>
      </c>
      <c r="C29" s="58" t="s">
        <v>29</v>
      </c>
      <c r="D29" s="11" t="s">
        <v>224</v>
      </c>
      <c r="E29" s="10">
        <v>22</v>
      </c>
      <c r="F29" s="10" t="s">
        <v>11</v>
      </c>
      <c r="G29" s="12">
        <v>1719</v>
      </c>
      <c r="H29" s="12">
        <v>1820</v>
      </c>
      <c r="I29" s="17" t="s">
        <v>790</v>
      </c>
      <c r="J29" s="18">
        <v>75</v>
      </c>
      <c r="K29" s="19">
        <f t="shared" si="1"/>
        <v>627.80849999999998</v>
      </c>
      <c r="L29" s="54"/>
      <c r="M29" s="3">
        <v>57.65</v>
      </c>
      <c r="N29" s="15">
        <v>10.89</v>
      </c>
    </row>
    <row r="30" spans="1:14" ht="20.25" customHeight="1" x14ac:dyDescent="0.15">
      <c r="A30" s="61"/>
      <c r="B30" s="9"/>
      <c r="C30" s="58" t="s">
        <v>29</v>
      </c>
      <c r="D30" s="11" t="s">
        <v>217</v>
      </c>
      <c r="E30" s="10">
        <v>22</v>
      </c>
      <c r="F30" s="10" t="s">
        <v>11</v>
      </c>
      <c r="G30" s="12">
        <v>1719</v>
      </c>
      <c r="H30" s="12">
        <v>1820</v>
      </c>
      <c r="I30" s="51" t="s">
        <v>2441</v>
      </c>
      <c r="J30" s="52">
        <v>40</v>
      </c>
      <c r="K30" s="53">
        <f t="shared" si="1"/>
        <v>498.21750000000003</v>
      </c>
      <c r="L30" s="54"/>
      <c r="M30" s="3">
        <v>45.75</v>
      </c>
      <c r="N30" s="15">
        <v>10.89</v>
      </c>
    </row>
    <row r="31" spans="1:14" ht="20.25" customHeight="1" x14ac:dyDescent="0.15">
      <c r="A31" s="61"/>
      <c r="B31" s="9"/>
      <c r="C31" s="58" t="s">
        <v>29</v>
      </c>
      <c r="D31" s="11" t="s">
        <v>201</v>
      </c>
      <c r="E31" s="10">
        <v>22</v>
      </c>
      <c r="F31" s="10"/>
      <c r="G31" s="12">
        <v>705</v>
      </c>
      <c r="H31" s="12">
        <v>1820</v>
      </c>
      <c r="I31" s="51" t="s">
        <v>205</v>
      </c>
      <c r="J31" s="52">
        <v>20</v>
      </c>
      <c r="K31" s="53">
        <f t="shared" si="1"/>
        <v>180.77400000000003</v>
      </c>
      <c r="L31" s="54"/>
      <c r="M31" s="3">
        <v>16.600000000000001</v>
      </c>
      <c r="N31" s="15">
        <v>10.89</v>
      </c>
    </row>
    <row r="32" spans="1:14" ht="20.25" customHeight="1" x14ac:dyDescent="0.15">
      <c r="A32" s="60"/>
      <c r="B32" s="9"/>
      <c r="C32" s="58"/>
      <c r="D32" s="11"/>
      <c r="E32" s="10"/>
      <c r="F32" s="10"/>
      <c r="G32" s="12"/>
      <c r="H32" s="12"/>
      <c r="I32" s="17"/>
      <c r="J32" s="18"/>
      <c r="K32" s="19">
        <f t="shared" si="1"/>
        <v>0</v>
      </c>
      <c r="L32" s="27"/>
      <c r="N32" s="15">
        <v>10.89</v>
      </c>
    </row>
    <row r="33" spans="1:14" ht="20.25" customHeight="1" x14ac:dyDescent="0.15">
      <c r="A33" s="60"/>
      <c r="B33" s="9"/>
      <c r="C33" s="58"/>
      <c r="D33" s="11"/>
      <c r="E33" s="10"/>
      <c r="F33" s="10"/>
      <c r="G33" s="12"/>
      <c r="H33" s="12"/>
      <c r="I33" s="17"/>
      <c r="J33" s="18"/>
      <c r="K33" s="19">
        <f t="shared" si="1"/>
        <v>0</v>
      </c>
      <c r="L33" s="27"/>
      <c r="N33" s="15">
        <v>10.89</v>
      </c>
    </row>
    <row r="34" spans="1:14" ht="20.25" customHeight="1" x14ac:dyDescent="0.15">
      <c r="A34" s="60"/>
      <c r="B34" s="9"/>
      <c r="C34" s="58"/>
      <c r="D34" s="11"/>
      <c r="E34" s="10"/>
      <c r="F34" s="10"/>
      <c r="G34" s="12"/>
      <c r="H34" s="12"/>
      <c r="I34" s="17"/>
      <c r="J34" s="18"/>
      <c r="K34" s="19">
        <f t="shared" si="1"/>
        <v>0</v>
      </c>
      <c r="L34" s="27"/>
      <c r="N34" s="15">
        <v>10.89</v>
      </c>
    </row>
    <row r="35" spans="1:14" ht="20.25" customHeight="1" x14ac:dyDescent="0.15">
      <c r="A35" s="60"/>
      <c r="B35" s="9"/>
      <c r="C35" s="58"/>
      <c r="D35" s="11"/>
      <c r="E35" s="10"/>
      <c r="F35" s="10"/>
      <c r="G35" s="12"/>
      <c r="H35" s="12"/>
      <c r="I35" s="17"/>
      <c r="J35" s="18"/>
      <c r="K35" s="19">
        <f t="shared" si="1"/>
        <v>0</v>
      </c>
      <c r="L35" s="27"/>
      <c r="N35" s="15">
        <v>10.89</v>
      </c>
    </row>
    <row r="36" spans="1:14" ht="20.25" customHeight="1" x14ac:dyDescent="0.15">
      <c r="A36" s="60"/>
      <c r="B36" s="9"/>
      <c r="C36" s="58"/>
      <c r="D36" s="11"/>
      <c r="E36" s="10"/>
      <c r="F36" s="10"/>
      <c r="G36" s="12"/>
      <c r="H36" s="12"/>
      <c r="I36" s="17"/>
      <c r="J36" s="18"/>
      <c r="K36" s="19">
        <f t="shared" si="1"/>
        <v>0</v>
      </c>
      <c r="L36" s="27"/>
      <c r="N36" s="15">
        <v>10.89</v>
      </c>
    </row>
    <row r="37" spans="1:14" ht="20.25" customHeight="1" x14ac:dyDescent="0.15">
      <c r="A37" s="60"/>
      <c r="B37" s="9"/>
      <c r="C37" s="58"/>
      <c r="D37" s="11"/>
      <c r="E37" s="10"/>
      <c r="F37" s="10"/>
      <c r="G37" s="12"/>
      <c r="H37" s="12"/>
      <c r="I37" s="17"/>
      <c r="J37" s="18"/>
      <c r="K37" s="19">
        <f t="shared" si="1"/>
        <v>0</v>
      </c>
      <c r="L37" s="27"/>
      <c r="N37" s="15">
        <v>10.89</v>
      </c>
    </row>
    <row r="38" spans="1:14" ht="20.25" customHeight="1" x14ac:dyDescent="0.15">
      <c r="A38" s="60"/>
      <c r="B38" s="9"/>
      <c r="C38" s="58"/>
      <c r="D38" s="11"/>
      <c r="E38" s="10"/>
      <c r="F38" s="10"/>
      <c r="G38" s="12"/>
      <c r="H38" s="12"/>
      <c r="I38" s="17"/>
      <c r="J38" s="18"/>
      <c r="K38" s="19">
        <f t="shared" si="1"/>
        <v>0</v>
      </c>
      <c r="L38" s="27"/>
      <c r="N38" s="15">
        <v>10.89</v>
      </c>
    </row>
    <row r="39" spans="1:14" ht="20.25" customHeight="1" x14ac:dyDescent="0.15">
      <c r="A39" s="60"/>
      <c r="B39" s="9"/>
      <c r="C39" s="58"/>
      <c r="D39" s="11"/>
      <c r="E39" s="10"/>
      <c r="F39" s="10"/>
      <c r="G39" s="12"/>
      <c r="H39" s="12"/>
      <c r="I39" s="17"/>
      <c r="J39" s="18"/>
      <c r="K39" s="19">
        <f t="shared" si="1"/>
        <v>0</v>
      </c>
      <c r="L39" s="27"/>
      <c r="N39" s="15">
        <v>10.89</v>
      </c>
    </row>
    <row r="40" spans="1:14" ht="20.25" customHeight="1" x14ac:dyDescent="0.15">
      <c r="A40" s="60"/>
      <c r="B40" s="9"/>
      <c r="C40" s="58"/>
      <c r="D40" s="11"/>
      <c r="E40" s="10"/>
      <c r="F40" s="10"/>
      <c r="G40" s="12"/>
      <c r="H40" s="12"/>
      <c r="I40" s="17"/>
      <c r="J40" s="18"/>
      <c r="K40" s="19">
        <f t="shared" si="1"/>
        <v>0</v>
      </c>
      <c r="L40" s="27"/>
      <c r="N40" s="15">
        <v>10.89</v>
      </c>
    </row>
    <row r="41" spans="1:14" ht="20.25" customHeight="1" x14ac:dyDescent="0.15">
      <c r="A41" s="57"/>
      <c r="B41" s="28"/>
      <c r="C41" s="10"/>
      <c r="D41" s="29"/>
      <c r="E41" s="30"/>
      <c r="F41" s="30"/>
      <c r="G41" s="30"/>
      <c r="H41" s="30"/>
      <c r="I41" s="13"/>
      <c r="J41" s="48">
        <f>SUM(J25:J40)</f>
        <v>392</v>
      </c>
      <c r="K41" s="49">
        <f>SUM(K25:K40)</f>
        <v>5257.1475000000009</v>
      </c>
      <c r="L41" s="31"/>
      <c r="N41" s="32"/>
    </row>
    <row r="42" spans="1:14" ht="20.25" customHeight="1" thickBot="1" x14ac:dyDescent="0.2">
      <c r="A42" s="55"/>
      <c r="B42" s="33"/>
      <c r="C42" s="33"/>
      <c r="D42" s="33"/>
      <c r="E42" s="33"/>
      <c r="F42" s="33"/>
      <c r="G42" s="33"/>
      <c r="H42" s="33"/>
      <c r="I42" s="33"/>
      <c r="J42" s="34"/>
      <c r="K42" s="35"/>
      <c r="L42" s="36"/>
    </row>
    <row r="43" spans="1:14" ht="20.25" customHeight="1" thickBot="1" x14ac:dyDescent="0.2">
      <c r="A43" s="37" t="s">
        <v>19</v>
      </c>
      <c r="B43" s="38" t="s">
        <v>20</v>
      </c>
      <c r="C43" s="77" t="s">
        <v>21</v>
      </c>
      <c r="D43" s="79"/>
      <c r="E43" s="77" t="s">
        <v>22</v>
      </c>
      <c r="F43" s="78"/>
      <c r="G43" s="79"/>
      <c r="H43" s="85" t="s">
        <v>23</v>
      </c>
      <c r="I43" s="86"/>
      <c r="J43" s="77" t="s">
        <v>24</v>
      </c>
      <c r="K43" s="79"/>
      <c r="L43" s="39" t="s">
        <v>13</v>
      </c>
    </row>
    <row r="44" spans="1:14" ht="20.25" customHeight="1" thickBot="1" x14ac:dyDescent="0.2">
      <c r="A44" s="40">
        <f>SUMIF($C$8:$C$42,"U1",$J$8:$J$42)</f>
        <v>0</v>
      </c>
      <c r="B44" s="41">
        <f>SUMIF($C$8:$C$42,"U2",$J$8:$J$42)</f>
        <v>1</v>
      </c>
      <c r="C44" s="77">
        <f>SUMIF($C$8:$C$42,"U3-1",$J$8:$J$42)</f>
        <v>0</v>
      </c>
      <c r="D44" s="79"/>
      <c r="E44" s="77">
        <f>SUMIF($C$8:$C$42,"U3",$J$8:$J$42)</f>
        <v>810</v>
      </c>
      <c r="F44" s="78"/>
      <c r="G44" s="79"/>
      <c r="H44" s="77">
        <f>SUMIF($C$8:$C$42,"E5",$J$8:$J$42)</f>
        <v>0</v>
      </c>
      <c r="I44" s="79"/>
      <c r="J44" s="77">
        <f>SUM(A44:I44)</f>
        <v>811</v>
      </c>
      <c r="K44" s="79"/>
      <c r="L44" s="42"/>
    </row>
    <row r="45" spans="1:14" ht="20.25" customHeight="1" thickBot="1" x14ac:dyDescent="0.2">
      <c r="A45" s="43" t="s">
        <v>25</v>
      </c>
      <c r="B45" s="44" t="s">
        <v>26</v>
      </c>
      <c r="C45" s="75">
        <v>13876</v>
      </c>
      <c r="D45" s="76"/>
      <c r="E45" s="77" t="s">
        <v>27</v>
      </c>
      <c r="F45" s="78"/>
      <c r="G45" s="78"/>
      <c r="H45" s="78"/>
      <c r="I45" s="79"/>
      <c r="J45" s="80">
        <v>146744.37</v>
      </c>
      <c r="K45" s="81"/>
      <c r="L45" s="82"/>
    </row>
    <row r="47" spans="1:14" x14ac:dyDescent="0.15">
      <c r="D47" s="45"/>
    </row>
  </sheetData>
  <mergeCells count="26">
    <mergeCell ref="L2:L4"/>
    <mergeCell ref="A1:G3"/>
    <mergeCell ref="H1:H4"/>
    <mergeCell ref="I2:I4"/>
    <mergeCell ref="J2:J4"/>
    <mergeCell ref="K2:K4"/>
    <mergeCell ref="B5:G5"/>
    <mergeCell ref="A6:A7"/>
    <mergeCell ref="B6:B7"/>
    <mergeCell ref="C6:C7"/>
    <mergeCell ref="D6:D7"/>
    <mergeCell ref="E6:E7"/>
    <mergeCell ref="F6:F7"/>
    <mergeCell ref="G6:K6"/>
    <mergeCell ref="C45:D45"/>
    <mergeCell ref="E45:I45"/>
    <mergeCell ref="J45:L45"/>
    <mergeCell ref="L6:L7"/>
    <mergeCell ref="C43:D43"/>
    <mergeCell ref="E43:G43"/>
    <mergeCell ref="H43:I43"/>
    <mergeCell ref="J43:K43"/>
    <mergeCell ref="C44:D44"/>
    <mergeCell ref="E44:G44"/>
    <mergeCell ref="H44:I44"/>
    <mergeCell ref="J44:K44"/>
  </mergeCells>
  <phoneticPr fontId="2" type="noConversion"/>
  <printOptions horizontalCentered="1"/>
  <pageMargins left="0.39370078740157483" right="0.39370078740157483" top="0.74803149606299213" bottom="0.19685039370078741" header="0.31496062992125984" footer="0.15748031496062992"/>
  <pageSetup paperSize="9" scale="84" orientation="portrait" r:id="rId1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554F3A-D57D-4385-9BB5-7D01574E5365}">
  <dimension ref="A1:N47"/>
  <sheetViews>
    <sheetView view="pageBreakPreview" topLeftCell="A16" zoomScaleSheetLayoutView="100" workbookViewId="0">
      <selection activeCell="B29" sqref="B29:F31"/>
    </sheetView>
  </sheetViews>
  <sheetFormatPr defaultColWidth="8.88671875" defaultRowHeight="13.5" x14ac:dyDescent="0.15"/>
  <cols>
    <col min="1" max="1" width="8.44140625" style="3" customWidth="1"/>
    <col min="2" max="2" width="14.77734375" style="3" customWidth="1"/>
    <col min="3" max="3" width="4.109375" style="3" customWidth="1"/>
    <col min="4" max="4" width="15.21875" style="3" customWidth="1"/>
    <col min="5" max="5" width="4.44140625" style="3" customWidth="1"/>
    <col min="6" max="6" width="4" style="3" customWidth="1"/>
    <col min="7" max="7" width="5.5546875" style="3" customWidth="1"/>
    <col min="8" max="8" width="5.44140625" style="3" customWidth="1"/>
    <col min="9" max="9" width="7.88671875" style="3" customWidth="1"/>
    <col min="10" max="10" width="7.109375" style="3" customWidth="1"/>
    <col min="11" max="11" width="7.21875" style="3" customWidth="1"/>
    <col min="12" max="12" width="6.77734375" style="3" customWidth="1"/>
    <col min="13" max="16384" width="8.88671875" style="3"/>
  </cols>
  <sheetData>
    <row r="1" spans="1:14" ht="18.75" customHeight="1" x14ac:dyDescent="0.15">
      <c r="A1" s="101" t="s">
        <v>0</v>
      </c>
      <c r="B1" s="102"/>
      <c r="C1" s="102"/>
      <c r="D1" s="102"/>
      <c r="E1" s="102"/>
      <c r="F1" s="102"/>
      <c r="G1" s="103"/>
      <c r="H1" s="107" t="s">
        <v>1</v>
      </c>
      <c r="I1" s="1" t="s">
        <v>2</v>
      </c>
      <c r="J1" s="1" t="s">
        <v>2</v>
      </c>
      <c r="K1" s="1" t="s">
        <v>3</v>
      </c>
      <c r="L1" s="2" t="s">
        <v>4</v>
      </c>
    </row>
    <row r="2" spans="1:14" ht="13.5" customHeight="1" x14ac:dyDescent="0.15">
      <c r="A2" s="104"/>
      <c r="B2" s="105"/>
      <c r="C2" s="105"/>
      <c r="D2" s="105"/>
      <c r="E2" s="105"/>
      <c r="F2" s="105"/>
      <c r="G2" s="106"/>
      <c r="H2" s="108"/>
      <c r="I2" s="110"/>
      <c r="J2" s="110"/>
      <c r="K2" s="110"/>
      <c r="L2" s="98"/>
    </row>
    <row r="3" spans="1:14" ht="13.5" customHeight="1" x14ac:dyDescent="0.15">
      <c r="A3" s="104"/>
      <c r="B3" s="105"/>
      <c r="C3" s="105"/>
      <c r="D3" s="105"/>
      <c r="E3" s="105"/>
      <c r="F3" s="105"/>
      <c r="G3" s="106"/>
      <c r="H3" s="108"/>
      <c r="I3" s="108"/>
      <c r="J3" s="108"/>
      <c r="K3" s="108"/>
      <c r="L3" s="99"/>
    </row>
    <row r="4" spans="1:14" ht="33" customHeight="1" x14ac:dyDescent="0.15">
      <c r="A4" s="4"/>
      <c r="B4" s="5"/>
      <c r="C4" s="5"/>
      <c r="D4" s="5"/>
      <c r="E4" s="5"/>
      <c r="F4" s="5"/>
      <c r="G4" s="5"/>
      <c r="H4" s="109"/>
      <c r="I4" s="109"/>
      <c r="J4" s="109"/>
      <c r="K4" s="109"/>
      <c r="L4" s="100"/>
    </row>
    <row r="5" spans="1:14" ht="17.25" customHeight="1" x14ac:dyDescent="0.15">
      <c r="A5" s="6" t="s">
        <v>5</v>
      </c>
      <c r="B5" s="87">
        <v>46155</v>
      </c>
      <c r="C5" s="88"/>
      <c r="D5" s="88"/>
      <c r="E5" s="88"/>
      <c r="F5" s="88"/>
      <c r="G5" s="88"/>
      <c r="H5" s="5"/>
      <c r="I5" s="5"/>
      <c r="J5" s="5"/>
      <c r="K5" s="5"/>
      <c r="L5" s="7"/>
    </row>
    <row r="6" spans="1:14" ht="13.5" customHeight="1" x14ac:dyDescent="0.15">
      <c r="A6" s="89" t="s">
        <v>6</v>
      </c>
      <c r="B6" s="91" t="s">
        <v>7</v>
      </c>
      <c r="C6" s="91" t="s">
        <v>8</v>
      </c>
      <c r="D6" s="91" t="s">
        <v>9</v>
      </c>
      <c r="E6" s="93" t="s">
        <v>10</v>
      </c>
      <c r="F6" s="93" t="s">
        <v>11</v>
      </c>
      <c r="G6" s="95" t="s">
        <v>12</v>
      </c>
      <c r="H6" s="96"/>
      <c r="I6" s="96"/>
      <c r="J6" s="96"/>
      <c r="K6" s="97"/>
      <c r="L6" s="83" t="s">
        <v>13</v>
      </c>
    </row>
    <row r="7" spans="1:14" x14ac:dyDescent="0.15">
      <c r="A7" s="90"/>
      <c r="B7" s="92"/>
      <c r="C7" s="92"/>
      <c r="D7" s="92"/>
      <c r="E7" s="94"/>
      <c r="F7" s="94"/>
      <c r="G7" s="8" t="s">
        <v>14</v>
      </c>
      <c r="H7" s="8" t="s">
        <v>15</v>
      </c>
      <c r="I7" s="8" t="s">
        <v>16</v>
      </c>
      <c r="J7" s="8" t="s">
        <v>17</v>
      </c>
      <c r="K7" s="8" t="s">
        <v>18</v>
      </c>
      <c r="L7" s="84"/>
    </row>
    <row r="8" spans="1:14" s="15" customFormat="1" ht="20.25" customHeight="1" x14ac:dyDescent="0.15">
      <c r="A8" s="60" t="s">
        <v>2442</v>
      </c>
      <c r="B8" s="9" t="s">
        <v>1950</v>
      </c>
      <c r="C8" s="58" t="s">
        <v>29</v>
      </c>
      <c r="D8" s="11" t="s">
        <v>224</v>
      </c>
      <c r="E8" s="10">
        <v>22</v>
      </c>
      <c r="F8" s="10" t="s">
        <v>11</v>
      </c>
      <c r="G8" s="12">
        <v>1719</v>
      </c>
      <c r="H8" s="12">
        <v>1820</v>
      </c>
      <c r="I8" s="17" t="s">
        <v>2443</v>
      </c>
      <c r="J8" s="18">
        <v>75</v>
      </c>
      <c r="K8" s="19">
        <f>+M8*N8</f>
        <v>627.80849999999998</v>
      </c>
      <c r="L8" s="14"/>
      <c r="M8" s="15">
        <v>57.65</v>
      </c>
      <c r="N8" s="15">
        <v>10.89</v>
      </c>
    </row>
    <row r="9" spans="1:14" s="15" customFormat="1" ht="20.25" customHeight="1" x14ac:dyDescent="0.15">
      <c r="A9" s="60"/>
      <c r="B9" s="9"/>
      <c r="C9" s="58" t="s">
        <v>29</v>
      </c>
      <c r="D9" s="11" t="s">
        <v>217</v>
      </c>
      <c r="E9" s="10">
        <v>22</v>
      </c>
      <c r="F9" s="10" t="s">
        <v>11</v>
      </c>
      <c r="G9" s="12">
        <v>1719</v>
      </c>
      <c r="H9" s="12">
        <v>1820</v>
      </c>
      <c r="I9" s="17" t="s">
        <v>2443</v>
      </c>
      <c r="J9" s="18">
        <v>75</v>
      </c>
      <c r="K9" s="19">
        <f t="shared" ref="K9:K23" si="0">+M9*N9</f>
        <v>627.80849999999998</v>
      </c>
      <c r="L9" s="14"/>
      <c r="M9" s="15">
        <v>57.65</v>
      </c>
      <c r="N9" s="15">
        <v>10.89</v>
      </c>
    </row>
    <row r="10" spans="1:14" s="15" customFormat="1" ht="20.25" customHeight="1" x14ac:dyDescent="0.15">
      <c r="A10" s="60"/>
      <c r="B10" s="9"/>
      <c r="C10" s="58" t="s">
        <v>29</v>
      </c>
      <c r="D10" s="11" t="s">
        <v>201</v>
      </c>
      <c r="E10" s="10">
        <v>22</v>
      </c>
      <c r="F10" s="10"/>
      <c r="G10" s="12">
        <v>705</v>
      </c>
      <c r="H10" s="12">
        <v>1820</v>
      </c>
      <c r="I10" s="17" t="s">
        <v>2444</v>
      </c>
      <c r="J10" s="18">
        <v>20</v>
      </c>
      <c r="K10" s="19">
        <f t="shared" si="0"/>
        <v>180.77400000000003</v>
      </c>
      <c r="L10" s="14"/>
      <c r="M10" s="15">
        <v>16.600000000000001</v>
      </c>
      <c r="N10" s="15">
        <v>10.89</v>
      </c>
    </row>
    <row r="11" spans="1:14" s="15" customFormat="1" ht="20.25" customHeight="1" x14ac:dyDescent="0.15">
      <c r="A11" s="60" t="s">
        <v>2445</v>
      </c>
      <c r="B11" s="9" t="s">
        <v>1950</v>
      </c>
      <c r="C11" s="58" t="s">
        <v>29</v>
      </c>
      <c r="D11" s="11" t="s">
        <v>224</v>
      </c>
      <c r="E11" s="10">
        <v>22</v>
      </c>
      <c r="F11" s="10" t="s">
        <v>11</v>
      </c>
      <c r="G11" s="12">
        <v>1719</v>
      </c>
      <c r="H11" s="12">
        <v>1820</v>
      </c>
      <c r="I11" s="17" t="s">
        <v>2446</v>
      </c>
      <c r="J11" s="18">
        <v>65</v>
      </c>
      <c r="K11" s="19">
        <f t="shared" si="0"/>
        <v>622.36350000000004</v>
      </c>
      <c r="L11" s="14"/>
      <c r="M11" s="15">
        <v>57.15</v>
      </c>
      <c r="N11" s="15">
        <v>10.89</v>
      </c>
    </row>
    <row r="12" spans="1:14" s="15" customFormat="1" ht="20.25" customHeight="1" x14ac:dyDescent="0.15">
      <c r="A12" s="60" t="s">
        <v>2448</v>
      </c>
      <c r="B12" s="9" t="s">
        <v>138</v>
      </c>
      <c r="C12" s="58" t="s">
        <v>29</v>
      </c>
      <c r="D12" s="11" t="s">
        <v>372</v>
      </c>
      <c r="E12" s="10">
        <v>24</v>
      </c>
      <c r="F12" s="58"/>
      <c r="G12" s="12">
        <v>618</v>
      </c>
      <c r="H12" s="12">
        <v>690</v>
      </c>
      <c r="I12" s="17" t="s">
        <v>2449</v>
      </c>
      <c r="J12" s="18">
        <v>40</v>
      </c>
      <c r="K12" s="19">
        <f t="shared" si="0"/>
        <v>138.303</v>
      </c>
      <c r="L12" s="14"/>
      <c r="M12" s="15">
        <v>12.7</v>
      </c>
      <c r="N12" s="15">
        <v>10.89</v>
      </c>
    </row>
    <row r="13" spans="1:14" s="15" customFormat="1" ht="20.25" customHeight="1" x14ac:dyDescent="0.15">
      <c r="A13" s="60"/>
      <c r="B13" s="9"/>
      <c r="C13" s="58" t="s">
        <v>29</v>
      </c>
      <c r="D13" s="11" t="s">
        <v>336</v>
      </c>
      <c r="E13" s="10">
        <v>22</v>
      </c>
      <c r="F13" s="58"/>
      <c r="G13" s="12">
        <v>1662</v>
      </c>
      <c r="H13" s="12">
        <v>1890</v>
      </c>
      <c r="I13" s="17" t="s">
        <v>2450</v>
      </c>
      <c r="J13" s="18">
        <v>130</v>
      </c>
      <c r="K13" s="19">
        <f t="shared" si="0"/>
        <v>1654.1910000000003</v>
      </c>
      <c r="L13" s="14"/>
      <c r="M13" s="15">
        <v>151.9</v>
      </c>
      <c r="N13" s="15">
        <v>10.89</v>
      </c>
    </row>
    <row r="14" spans="1:14" s="15" customFormat="1" ht="20.25" customHeight="1" x14ac:dyDescent="0.15">
      <c r="A14" s="60"/>
      <c r="B14" s="9"/>
      <c r="C14" s="58" t="s">
        <v>29</v>
      </c>
      <c r="D14" s="11" t="s">
        <v>224</v>
      </c>
      <c r="E14" s="10">
        <v>22</v>
      </c>
      <c r="F14" s="58" t="s">
        <v>11</v>
      </c>
      <c r="G14" s="12">
        <v>618</v>
      </c>
      <c r="H14" s="12">
        <v>1890</v>
      </c>
      <c r="I14" s="17">
        <v>15</v>
      </c>
      <c r="J14" s="18">
        <v>15</v>
      </c>
      <c r="K14" s="19">
        <f t="shared" si="0"/>
        <v>191.11950000000002</v>
      </c>
      <c r="L14" s="20"/>
      <c r="M14" s="15">
        <v>17.55</v>
      </c>
      <c r="N14" s="15">
        <v>10.89</v>
      </c>
    </row>
    <row r="15" spans="1:14" s="15" customFormat="1" ht="20.25" customHeight="1" x14ac:dyDescent="0.15">
      <c r="A15" s="60" t="s">
        <v>2451</v>
      </c>
      <c r="B15" s="9" t="s">
        <v>31</v>
      </c>
      <c r="C15" s="58" t="s">
        <v>29</v>
      </c>
      <c r="D15" s="11" t="s">
        <v>247</v>
      </c>
      <c r="E15" s="10">
        <v>24</v>
      </c>
      <c r="F15" s="58" t="s">
        <v>11</v>
      </c>
      <c r="G15" s="12">
        <v>1630</v>
      </c>
      <c r="H15" s="12">
        <v>950</v>
      </c>
      <c r="I15" s="17">
        <v>1</v>
      </c>
      <c r="J15" s="18">
        <v>1</v>
      </c>
      <c r="K15" s="19">
        <f t="shared" si="0"/>
        <v>16.8795</v>
      </c>
      <c r="L15" s="20"/>
      <c r="M15" s="15">
        <v>1.55</v>
      </c>
      <c r="N15" s="15">
        <v>10.89</v>
      </c>
    </row>
    <row r="16" spans="1:14" s="15" customFormat="1" ht="20.25" customHeight="1" x14ac:dyDescent="0.15">
      <c r="A16" s="60" t="s">
        <v>2452</v>
      </c>
      <c r="B16" s="9" t="s">
        <v>183</v>
      </c>
      <c r="C16" s="58" t="s">
        <v>29</v>
      </c>
      <c r="D16" s="11" t="s">
        <v>304</v>
      </c>
      <c r="E16" s="10">
        <v>28</v>
      </c>
      <c r="F16" s="58" t="s">
        <v>11</v>
      </c>
      <c r="G16" s="12">
        <v>1845</v>
      </c>
      <c r="H16" s="12">
        <v>3305</v>
      </c>
      <c r="I16" s="17" t="s">
        <v>2453</v>
      </c>
      <c r="J16" s="18">
        <v>4</v>
      </c>
      <c r="K16" s="19">
        <f t="shared" si="0"/>
        <v>111.18690000000001</v>
      </c>
      <c r="L16" s="20"/>
      <c r="M16" s="15">
        <v>10.210000000000001</v>
      </c>
      <c r="N16" s="15">
        <v>10.89</v>
      </c>
    </row>
    <row r="17" spans="1:14" s="15" customFormat="1" ht="20.25" customHeight="1" x14ac:dyDescent="0.15">
      <c r="A17" s="60"/>
      <c r="B17" s="9"/>
      <c r="C17" s="58"/>
      <c r="D17" s="11"/>
      <c r="E17" s="10"/>
      <c r="F17" s="58"/>
      <c r="G17" s="12"/>
      <c r="H17" s="12"/>
      <c r="I17" s="17"/>
      <c r="J17" s="18"/>
      <c r="K17" s="19">
        <f t="shared" si="0"/>
        <v>0</v>
      </c>
      <c r="L17" s="20"/>
      <c r="N17" s="15">
        <v>10.89</v>
      </c>
    </row>
    <row r="18" spans="1:14" s="15" customFormat="1" ht="20.25" customHeight="1" x14ac:dyDescent="0.15">
      <c r="A18" s="60"/>
      <c r="B18" s="9"/>
      <c r="C18" s="58"/>
      <c r="D18" s="11"/>
      <c r="E18" s="10"/>
      <c r="F18" s="58"/>
      <c r="G18" s="12"/>
      <c r="H18" s="12"/>
      <c r="I18" s="17"/>
      <c r="J18" s="18"/>
      <c r="K18" s="19">
        <f t="shared" si="0"/>
        <v>0</v>
      </c>
      <c r="L18" s="20"/>
      <c r="N18" s="15">
        <v>10.89</v>
      </c>
    </row>
    <row r="19" spans="1:14" s="15" customFormat="1" ht="20.25" customHeight="1" x14ac:dyDescent="0.15">
      <c r="A19" s="60"/>
      <c r="B19" s="9"/>
      <c r="C19" s="58"/>
      <c r="D19" s="11"/>
      <c r="E19" s="10"/>
      <c r="F19" s="58"/>
      <c r="G19" s="12"/>
      <c r="H19" s="12"/>
      <c r="I19" s="17"/>
      <c r="J19" s="18"/>
      <c r="K19" s="19">
        <f t="shared" si="0"/>
        <v>0</v>
      </c>
      <c r="L19" s="20"/>
      <c r="N19" s="15">
        <v>10.89</v>
      </c>
    </row>
    <row r="20" spans="1:14" s="15" customFormat="1" ht="20.25" customHeight="1" x14ac:dyDescent="0.15">
      <c r="A20" s="60"/>
      <c r="B20" s="9"/>
      <c r="C20" s="58"/>
      <c r="D20" s="11"/>
      <c r="E20" s="10"/>
      <c r="F20" s="58"/>
      <c r="G20" s="12"/>
      <c r="H20" s="12"/>
      <c r="I20" s="17"/>
      <c r="J20" s="18"/>
      <c r="K20" s="19">
        <f t="shared" si="0"/>
        <v>0</v>
      </c>
      <c r="L20" s="20"/>
      <c r="N20" s="15">
        <v>10.89</v>
      </c>
    </row>
    <row r="21" spans="1:14" s="15" customFormat="1" ht="20.25" customHeight="1" x14ac:dyDescent="0.15">
      <c r="A21" s="60"/>
      <c r="B21" s="9"/>
      <c r="C21" s="58"/>
      <c r="D21" s="11"/>
      <c r="E21" s="10"/>
      <c r="F21" s="58"/>
      <c r="G21" s="50"/>
      <c r="H21" s="50"/>
      <c r="I21" s="17"/>
      <c r="J21" s="18"/>
      <c r="K21" s="19">
        <f t="shared" si="0"/>
        <v>0</v>
      </c>
      <c r="L21" s="20"/>
      <c r="N21" s="15">
        <v>10.89</v>
      </c>
    </row>
    <row r="22" spans="1:14" s="15" customFormat="1" ht="20.25" customHeight="1" x14ac:dyDescent="0.15">
      <c r="A22" s="60"/>
      <c r="B22" s="9"/>
      <c r="C22" s="58"/>
      <c r="D22" s="11"/>
      <c r="E22" s="10"/>
      <c r="F22" s="58"/>
      <c r="G22" s="50"/>
      <c r="H22" s="50"/>
      <c r="I22" s="17"/>
      <c r="J22" s="18"/>
      <c r="K22" s="19">
        <f t="shared" si="0"/>
        <v>0</v>
      </c>
      <c r="L22" s="20"/>
      <c r="N22" s="15">
        <v>10.89</v>
      </c>
    </row>
    <row r="23" spans="1:14" ht="20.25" customHeight="1" x14ac:dyDescent="0.15">
      <c r="A23" s="60"/>
      <c r="B23" s="9"/>
      <c r="C23" s="58"/>
      <c r="D23" s="11"/>
      <c r="E23" s="10"/>
      <c r="F23" s="58"/>
      <c r="G23" s="16"/>
      <c r="H23" s="16"/>
      <c r="I23" s="17"/>
      <c r="J23" s="18"/>
      <c r="K23" s="19">
        <f t="shared" si="0"/>
        <v>0</v>
      </c>
      <c r="L23" s="20"/>
      <c r="N23" s="15">
        <v>10.89</v>
      </c>
    </row>
    <row r="24" spans="1:14" ht="20.25" customHeight="1" thickBot="1" x14ac:dyDescent="0.2">
      <c r="A24" s="56"/>
      <c r="B24" s="21"/>
      <c r="C24" s="59"/>
      <c r="D24" s="22"/>
      <c r="E24" s="23"/>
      <c r="F24" s="23"/>
      <c r="G24" s="24"/>
      <c r="H24" s="24"/>
      <c r="I24" s="25"/>
      <c r="J24" s="46">
        <f>SUM(J8:J23)</f>
        <v>425</v>
      </c>
      <c r="K24" s="47">
        <f>SUM(K8:K23)</f>
        <v>4170.4344000000001</v>
      </c>
      <c r="L24" s="26"/>
    </row>
    <row r="25" spans="1:14" ht="20.25" customHeight="1" thickTop="1" x14ac:dyDescent="0.15">
      <c r="A25" s="60" t="s">
        <v>2454</v>
      </c>
      <c r="B25" s="9" t="s">
        <v>1950</v>
      </c>
      <c r="C25" s="58" t="s">
        <v>29</v>
      </c>
      <c r="D25" s="11" t="s">
        <v>217</v>
      </c>
      <c r="E25" s="10">
        <v>22</v>
      </c>
      <c r="F25" s="10" t="s">
        <v>11</v>
      </c>
      <c r="G25" s="12">
        <v>455</v>
      </c>
      <c r="H25" s="12">
        <v>950</v>
      </c>
      <c r="I25" s="17" t="s">
        <v>2455</v>
      </c>
      <c r="J25" s="18">
        <v>35</v>
      </c>
      <c r="K25" s="19">
        <f t="shared" ref="K25:K40" si="1">+M25*N25</f>
        <v>129.59100000000001</v>
      </c>
      <c r="L25" s="54"/>
      <c r="M25" s="3">
        <v>11.9</v>
      </c>
      <c r="N25" s="15">
        <v>10.89</v>
      </c>
    </row>
    <row r="26" spans="1:14" ht="20.25" customHeight="1" x14ac:dyDescent="0.15">
      <c r="A26" s="60" t="s">
        <v>2456</v>
      </c>
      <c r="B26" s="9" t="s">
        <v>2457</v>
      </c>
      <c r="C26" s="58" t="s">
        <v>29</v>
      </c>
      <c r="D26" s="11" t="s">
        <v>2458</v>
      </c>
      <c r="E26" s="10">
        <v>22</v>
      </c>
      <c r="F26" s="10" t="s">
        <v>11</v>
      </c>
      <c r="G26" s="12">
        <v>1644</v>
      </c>
      <c r="H26" s="12">
        <v>1973</v>
      </c>
      <c r="I26" s="17" t="s">
        <v>2460</v>
      </c>
      <c r="J26" s="18">
        <v>50</v>
      </c>
      <c r="K26" s="19">
        <f t="shared" si="1"/>
        <v>435.6</v>
      </c>
      <c r="L26" s="54"/>
      <c r="M26" s="3">
        <v>40</v>
      </c>
      <c r="N26" s="15">
        <v>10.89</v>
      </c>
    </row>
    <row r="27" spans="1:14" ht="20.25" customHeight="1" x14ac:dyDescent="0.15">
      <c r="A27" s="61"/>
      <c r="B27" s="9"/>
      <c r="C27" s="58" t="s">
        <v>29</v>
      </c>
      <c r="D27" s="11" t="s">
        <v>849</v>
      </c>
      <c r="E27" s="10">
        <v>22</v>
      </c>
      <c r="F27" s="10" t="s">
        <v>11</v>
      </c>
      <c r="G27" s="12">
        <v>1644</v>
      </c>
      <c r="H27" s="12">
        <v>1973</v>
      </c>
      <c r="I27" s="17" t="s">
        <v>2460</v>
      </c>
      <c r="J27" s="18">
        <v>50</v>
      </c>
      <c r="K27" s="19">
        <f t="shared" si="1"/>
        <v>435.6</v>
      </c>
      <c r="L27" s="54"/>
      <c r="M27" s="3">
        <v>40</v>
      </c>
      <c r="N27" s="15">
        <v>10.89</v>
      </c>
    </row>
    <row r="28" spans="1:14" ht="20.25" customHeight="1" x14ac:dyDescent="0.15">
      <c r="A28" s="61"/>
      <c r="B28" s="9"/>
      <c r="C28" s="58" t="s">
        <v>29</v>
      </c>
      <c r="D28" s="11" t="s">
        <v>2459</v>
      </c>
      <c r="E28" s="10">
        <v>22</v>
      </c>
      <c r="F28" s="10"/>
      <c r="G28" s="12">
        <v>564</v>
      </c>
      <c r="H28" s="12">
        <v>1778</v>
      </c>
      <c r="I28" s="17" t="s">
        <v>2461</v>
      </c>
      <c r="J28" s="18">
        <v>16</v>
      </c>
      <c r="K28" s="19">
        <f t="shared" si="1"/>
        <v>95.832000000000008</v>
      </c>
      <c r="L28" s="54"/>
      <c r="M28" s="3">
        <v>8.8000000000000007</v>
      </c>
      <c r="N28" s="15">
        <v>10.89</v>
      </c>
    </row>
    <row r="29" spans="1:14" ht="20.25" customHeight="1" x14ac:dyDescent="0.15">
      <c r="A29" s="61" t="s">
        <v>2462</v>
      </c>
      <c r="B29" s="9" t="s">
        <v>2457</v>
      </c>
      <c r="C29" s="58" t="s">
        <v>29</v>
      </c>
      <c r="D29" s="11" t="s">
        <v>2458</v>
      </c>
      <c r="E29" s="10">
        <v>22</v>
      </c>
      <c r="F29" s="10" t="s">
        <v>11</v>
      </c>
      <c r="G29" s="12">
        <v>1644</v>
      </c>
      <c r="H29" s="12">
        <v>1973</v>
      </c>
      <c r="I29" s="17" t="s">
        <v>2463</v>
      </c>
      <c r="J29" s="18">
        <v>60</v>
      </c>
      <c r="K29" s="19">
        <f t="shared" si="1"/>
        <v>522.72</v>
      </c>
      <c r="L29" s="54"/>
      <c r="M29" s="3">
        <v>48</v>
      </c>
      <c r="N29" s="15">
        <v>10.89</v>
      </c>
    </row>
    <row r="30" spans="1:14" ht="20.25" customHeight="1" x14ac:dyDescent="0.15">
      <c r="A30" s="61"/>
      <c r="B30" s="9"/>
      <c r="C30" s="58" t="s">
        <v>29</v>
      </c>
      <c r="D30" s="11" t="s">
        <v>849</v>
      </c>
      <c r="E30" s="10">
        <v>22</v>
      </c>
      <c r="F30" s="10" t="s">
        <v>11</v>
      </c>
      <c r="G30" s="12">
        <v>1644</v>
      </c>
      <c r="H30" s="12">
        <v>1973</v>
      </c>
      <c r="I30" s="51" t="s">
        <v>2463</v>
      </c>
      <c r="J30" s="52">
        <v>60</v>
      </c>
      <c r="K30" s="53">
        <f t="shared" si="1"/>
        <v>522.72</v>
      </c>
      <c r="L30" s="54"/>
      <c r="M30" s="3">
        <v>48</v>
      </c>
      <c r="N30" s="15">
        <v>10.89</v>
      </c>
    </row>
    <row r="31" spans="1:14" ht="20.25" customHeight="1" x14ac:dyDescent="0.15">
      <c r="A31" s="61"/>
      <c r="B31" s="9"/>
      <c r="C31" s="58" t="s">
        <v>29</v>
      </c>
      <c r="D31" s="11" t="s">
        <v>2459</v>
      </c>
      <c r="E31" s="10">
        <v>22</v>
      </c>
      <c r="F31" s="10"/>
      <c r="G31" s="12">
        <v>564</v>
      </c>
      <c r="H31" s="12">
        <v>1778</v>
      </c>
      <c r="I31" s="51" t="s">
        <v>2464</v>
      </c>
      <c r="J31" s="52">
        <v>18</v>
      </c>
      <c r="K31" s="53">
        <f t="shared" si="1"/>
        <v>101.93040000000001</v>
      </c>
      <c r="L31" s="54"/>
      <c r="M31" s="3">
        <v>9.36</v>
      </c>
      <c r="N31" s="15">
        <v>10.89</v>
      </c>
    </row>
    <row r="32" spans="1:14" ht="20.25" customHeight="1" x14ac:dyDescent="0.15">
      <c r="A32" s="60" t="s">
        <v>2465</v>
      </c>
      <c r="B32" s="9" t="s">
        <v>2466</v>
      </c>
      <c r="C32" s="58" t="s">
        <v>29</v>
      </c>
      <c r="D32" s="11" t="s">
        <v>2467</v>
      </c>
      <c r="E32" s="10">
        <v>24</v>
      </c>
      <c r="F32" s="10"/>
      <c r="G32" s="12">
        <v>300</v>
      </c>
      <c r="H32" s="12">
        <v>300</v>
      </c>
      <c r="I32" s="17">
        <v>2</v>
      </c>
      <c r="J32" s="18">
        <v>2</v>
      </c>
      <c r="K32" s="19">
        <f t="shared" si="1"/>
        <v>6.0984000000000007</v>
      </c>
      <c r="L32" s="27"/>
      <c r="M32" s="3">
        <v>0.56000000000000005</v>
      </c>
      <c r="N32" s="15">
        <v>10.89</v>
      </c>
    </row>
    <row r="33" spans="1:14" ht="20.25" customHeight="1" x14ac:dyDescent="0.15">
      <c r="A33" s="60"/>
      <c r="B33" s="9"/>
      <c r="C33" s="58" t="s">
        <v>29</v>
      </c>
      <c r="D33" s="11" t="s">
        <v>2470</v>
      </c>
      <c r="E33" s="10">
        <v>25</v>
      </c>
      <c r="F33" s="10"/>
      <c r="G33" s="12">
        <v>300</v>
      </c>
      <c r="H33" s="12">
        <v>300</v>
      </c>
      <c r="I33" s="17">
        <v>2</v>
      </c>
      <c r="J33" s="18">
        <v>2</v>
      </c>
      <c r="K33" s="19">
        <f t="shared" si="1"/>
        <v>6.0984000000000007</v>
      </c>
      <c r="L33" s="27"/>
      <c r="M33" s="3">
        <v>0.56000000000000005</v>
      </c>
      <c r="N33" s="15">
        <v>10.89</v>
      </c>
    </row>
    <row r="34" spans="1:14" ht="20.25" customHeight="1" x14ac:dyDescent="0.15">
      <c r="A34" s="60"/>
      <c r="B34" s="9"/>
      <c r="C34" s="58" t="s">
        <v>29</v>
      </c>
      <c r="D34" s="11" t="s">
        <v>2468</v>
      </c>
      <c r="E34" s="10">
        <v>25</v>
      </c>
      <c r="F34" s="10"/>
      <c r="G34" s="12">
        <v>300</v>
      </c>
      <c r="H34" s="12">
        <v>300</v>
      </c>
      <c r="I34" s="17">
        <v>1</v>
      </c>
      <c r="J34" s="18">
        <v>1</v>
      </c>
      <c r="K34" s="19">
        <f t="shared" si="1"/>
        <v>3.0492000000000004</v>
      </c>
      <c r="L34" s="27"/>
      <c r="M34" s="3">
        <v>0.28000000000000003</v>
      </c>
      <c r="N34" s="15">
        <v>10.89</v>
      </c>
    </row>
    <row r="35" spans="1:14" ht="20.25" customHeight="1" x14ac:dyDescent="0.15">
      <c r="A35" s="60"/>
      <c r="B35" s="9"/>
      <c r="C35" s="58" t="s">
        <v>29</v>
      </c>
      <c r="D35" s="11" t="s">
        <v>2469</v>
      </c>
      <c r="E35" s="10">
        <v>24</v>
      </c>
      <c r="F35" s="10"/>
      <c r="G35" s="12">
        <v>400</v>
      </c>
      <c r="H35" s="12">
        <v>400</v>
      </c>
      <c r="I35" s="17">
        <v>2</v>
      </c>
      <c r="J35" s="18">
        <v>2</v>
      </c>
      <c r="K35" s="19">
        <f t="shared" si="1"/>
        <v>6.0984000000000007</v>
      </c>
      <c r="L35" s="27"/>
      <c r="M35" s="3">
        <v>0.56000000000000005</v>
      </c>
      <c r="N35" s="15">
        <v>10.89</v>
      </c>
    </row>
    <row r="36" spans="1:14" ht="20.25" customHeight="1" x14ac:dyDescent="0.15">
      <c r="A36" s="60"/>
      <c r="B36" s="9"/>
      <c r="C36" s="58" t="s">
        <v>29</v>
      </c>
      <c r="D36" s="11" t="s">
        <v>2470</v>
      </c>
      <c r="E36" s="10">
        <v>25</v>
      </c>
      <c r="F36" s="10"/>
      <c r="G36" s="12">
        <v>400</v>
      </c>
      <c r="H36" s="12">
        <v>400</v>
      </c>
      <c r="I36" s="17">
        <v>1</v>
      </c>
      <c r="J36" s="18">
        <v>1</v>
      </c>
      <c r="K36" s="19">
        <f t="shared" si="1"/>
        <v>3.0492000000000004</v>
      </c>
      <c r="L36" s="27"/>
      <c r="M36" s="3">
        <v>0.28000000000000003</v>
      </c>
      <c r="N36" s="15">
        <v>10.89</v>
      </c>
    </row>
    <row r="37" spans="1:14" ht="20.25" customHeight="1" x14ac:dyDescent="0.15">
      <c r="A37" s="60" t="s">
        <v>2472</v>
      </c>
      <c r="B37" s="9" t="s">
        <v>2466</v>
      </c>
      <c r="C37" s="58" t="s">
        <v>29</v>
      </c>
      <c r="D37" s="11" t="s">
        <v>2473</v>
      </c>
      <c r="E37" s="10">
        <v>26.76</v>
      </c>
      <c r="F37" s="10"/>
      <c r="G37" s="12">
        <v>300</v>
      </c>
      <c r="H37" s="12">
        <v>300</v>
      </c>
      <c r="I37" s="17">
        <v>1</v>
      </c>
      <c r="J37" s="18">
        <v>1</v>
      </c>
      <c r="K37" s="19">
        <f t="shared" si="1"/>
        <v>3.0492000000000004</v>
      </c>
      <c r="L37" s="27"/>
      <c r="M37" s="3">
        <v>0.28000000000000003</v>
      </c>
      <c r="N37" s="15">
        <v>10.89</v>
      </c>
    </row>
    <row r="38" spans="1:14" ht="20.25" customHeight="1" x14ac:dyDescent="0.15">
      <c r="A38" s="60"/>
      <c r="B38" s="9"/>
      <c r="C38" s="58" t="s">
        <v>29</v>
      </c>
      <c r="D38" s="11" t="s">
        <v>2471</v>
      </c>
      <c r="E38" s="10">
        <v>28.52</v>
      </c>
      <c r="F38" s="10"/>
      <c r="G38" s="12">
        <v>300</v>
      </c>
      <c r="H38" s="12">
        <v>300</v>
      </c>
      <c r="I38" s="17">
        <v>1</v>
      </c>
      <c r="J38" s="18">
        <v>1</v>
      </c>
      <c r="K38" s="19">
        <f t="shared" si="1"/>
        <v>3.0492000000000004</v>
      </c>
      <c r="L38" s="27"/>
      <c r="M38" s="3">
        <v>0.28000000000000003</v>
      </c>
      <c r="N38" s="15">
        <v>10.89</v>
      </c>
    </row>
    <row r="39" spans="1:14" ht="20.25" customHeight="1" x14ac:dyDescent="0.15">
      <c r="A39" s="60"/>
      <c r="B39" s="9"/>
      <c r="C39" s="58"/>
      <c r="D39" s="11"/>
      <c r="E39" s="10"/>
      <c r="F39" s="10"/>
      <c r="G39" s="12"/>
      <c r="H39" s="12"/>
      <c r="I39" s="17"/>
      <c r="J39" s="18"/>
      <c r="K39" s="19">
        <f t="shared" si="1"/>
        <v>0</v>
      </c>
      <c r="L39" s="27"/>
      <c r="N39" s="15">
        <v>10.89</v>
      </c>
    </row>
    <row r="40" spans="1:14" ht="20.25" customHeight="1" x14ac:dyDescent="0.15">
      <c r="A40" s="60"/>
      <c r="B40" s="9"/>
      <c r="C40" s="58"/>
      <c r="D40" s="11"/>
      <c r="E40" s="10"/>
      <c r="F40" s="10"/>
      <c r="G40" s="12"/>
      <c r="H40" s="12"/>
      <c r="I40" s="17"/>
      <c r="J40" s="18"/>
      <c r="K40" s="19">
        <f t="shared" si="1"/>
        <v>0</v>
      </c>
      <c r="L40" s="27"/>
      <c r="N40" s="15">
        <v>10.89</v>
      </c>
    </row>
    <row r="41" spans="1:14" ht="20.25" customHeight="1" x14ac:dyDescent="0.15">
      <c r="A41" s="57"/>
      <c r="B41" s="28"/>
      <c r="C41" s="10"/>
      <c r="D41" s="29"/>
      <c r="E41" s="30"/>
      <c r="F41" s="30"/>
      <c r="G41" s="30"/>
      <c r="H41" s="30"/>
      <c r="I41" s="13"/>
      <c r="J41" s="48">
        <f>SUM(J25:J40)</f>
        <v>299</v>
      </c>
      <c r="K41" s="49">
        <f>SUM(K25:K40)</f>
        <v>2274.4853999999996</v>
      </c>
      <c r="L41" s="31"/>
      <c r="N41" s="32"/>
    </row>
    <row r="42" spans="1:14" ht="20.25" customHeight="1" thickBot="1" x14ac:dyDescent="0.2">
      <c r="A42" s="55"/>
      <c r="B42" s="33"/>
      <c r="C42" s="33"/>
      <c r="D42" s="33"/>
      <c r="E42" s="33"/>
      <c r="F42" s="33"/>
      <c r="G42" s="33"/>
      <c r="H42" s="33"/>
      <c r="I42" s="33"/>
      <c r="J42" s="34"/>
      <c r="K42" s="35"/>
      <c r="L42" s="36"/>
    </row>
    <row r="43" spans="1:14" ht="20.25" customHeight="1" thickBot="1" x14ac:dyDescent="0.2">
      <c r="A43" s="37" t="s">
        <v>19</v>
      </c>
      <c r="B43" s="38" t="s">
        <v>20</v>
      </c>
      <c r="C43" s="77" t="s">
        <v>21</v>
      </c>
      <c r="D43" s="79"/>
      <c r="E43" s="77" t="s">
        <v>22</v>
      </c>
      <c r="F43" s="78"/>
      <c r="G43" s="79"/>
      <c r="H43" s="85" t="s">
        <v>23</v>
      </c>
      <c r="I43" s="86"/>
      <c r="J43" s="77" t="s">
        <v>24</v>
      </c>
      <c r="K43" s="79"/>
      <c r="L43" s="39" t="s">
        <v>13</v>
      </c>
    </row>
    <row r="44" spans="1:14" ht="20.25" customHeight="1" thickBot="1" x14ac:dyDescent="0.2">
      <c r="A44" s="40">
        <f>SUMIF($C$8:$C$42,"U1",$J$8:$J$42)</f>
        <v>0</v>
      </c>
      <c r="B44" s="41">
        <f>SUMIF($C$8:$C$42,"U2",$J$8:$J$42)</f>
        <v>0</v>
      </c>
      <c r="C44" s="77">
        <f>SUMIF($C$8:$C$42,"U3-1",$J$8:$J$42)</f>
        <v>0</v>
      </c>
      <c r="D44" s="79"/>
      <c r="E44" s="77">
        <f>SUMIF($C$8:$C$42,"U3",$J$8:$J$42)</f>
        <v>724</v>
      </c>
      <c r="F44" s="78"/>
      <c r="G44" s="79"/>
      <c r="H44" s="77">
        <f>SUMIF($C$8:$C$42,"E5",$J$8:$J$42)</f>
        <v>0</v>
      </c>
      <c r="I44" s="79"/>
      <c r="J44" s="77">
        <f>SUM(A44:I44)</f>
        <v>724</v>
      </c>
      <c r="K44" s="79"/>
      <c r="L44" s="42"/>
    </row>
    <row r="45" spans="1:14" ht="20.25" customHeight="1" thickBot="1" x14ac:dyDescent="0.2">
      <c r="A45" s="43" t="s">
        <v>25</v>
      </c>
      <c r="B45" s="44" t="s">
        <v>26</v>
      </c>
      <c r="C45" s="75">
        <v>13876</v>
      </c>
      <c r="D45" s="76"/>
      <c r="E45" s="77" t="s">
        <v>27</v>
      </c>
      <c r="F45" s="78"/>
      <c r="G45" s="78"/>
      <c r="H45" s="78"/>
      <c r="I45" s="79"/>
      <c r="J45" s="80">
        <v>146744.37</v>
      </c>
      <c r="K45" s="81"/>
      <c r="L45" s="82"/>
    </row>
    <row r="47" spans="1:14" x14ac:dyDescent="0.15">
      <c r="D47" s="45"/>
    </row>
  </sheetData>
  <mergeCells count="26">
    <mergeCell ref="L2:L4"/>
    <mergeCell ref="A1:G3"/>
    <mergeCell ref="H1:H4"/>
    <mergeCell ref="I2:I4"/>
    <mergeCell ref="J2:J4"/>
    <mergeCell ref="K2:K4"/>
    <mergeCell ref="B5:G5"/>
    <mergeCell ref="A6:A7"/>
    <mergeCell ref="B6:B7"/>
    <mergeCell ref="C6:C7"/>
    <mergeCell ref="D6:D7"/>
    <mergeCell ref="E6:E7"/>
    <mergeCell ref="F6:F7"/>
    <mergeCell ref="G6:K6"/>
    <mergeCell ref="C45:D45"/>
    <mergeCell ref="E45:I45"/>
    <mergeCell ref="J45:L45"/>
    <mergeCell ref="L6:L7"/>
    <mergeCell ref="C43:D43"/>
    <mergeCell ref="E43:G43"/>
    <mergeCell ref="H43:I43"/>
    <mergeCell ref="J43:K43"/>
    <mergeCell ref="C44:D44"/>
    <mergeCell ref="E44:G44"/>
    <mergeCell ref="H44:I44"/>
    <mergeCell ref="J44:K44"/>
  </mergeCells>
  <phoneticPr fontId="2" type="noConversion"/>
  <printOptions horizontalCentered="1"/>
  <pageMargins left="0.39370078740157483" right="0.39370078740157483" top="0.74803149606299213" bottom="0.19685039370078741" header="0.31496062992125984" footer="0.15748031496062992"/>
  <pageSetup paperSize="9" scale="84" orientation="portrait" r:id="rId1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18944-BDB2-46DB-B21E-678B8DEA834C}">
  <dimension ref="A1:N47"/>
  <sheetViews>
    <sheetView view="pageBreakPreview" topLeftCell="A19" zoomScaleSheetLayoutView="100" workbookViewId="0">
      <selection activeCell="B28" sqref="B28:E29"/>
    </sheetView>
  </sheetViews>
  <sheetFormatPr defaultColWidth="8.88671875" defaultRowHeight="13.5" x14ac:dyDescent="0.15"/>
  <cols>
    <col min="1" max="1" width="8.44140625" style="3" customWidth="1"/>
    <col min="2" max="2" width="14.77734375" style="3" customWidth="1"/>
    <col min="3" max="3" width="4.109375" style="3" customWidth="1"/>
    <col min="4" max="4" width="15.21875" style="3" customWidth="1"/>
    <col min="5" max="5" width="4.44140625" style="3" customWidth="1"/>
    <col min="6" max="6" width="4" style="3" customWidth="1"/>
    <col min="7" max="7" width="5.5546875" style="3" customWidth="1"/>
    <col min="8" max="8" width="5.44140625" style="3" customWidth="1"/>
    <col min="9" max="9" width="7.88671875" style="3" customWidth="1"/>
    <col min="10" max="10" width="7.109375" style="3" customWidth="1"/>
    <col min="11" max="11" width="7.21875" style="3" customWidth="1"/>
    <col min="12" max="12" width="6.77734375" style="3" customWidth="1"/>
    <col min="13" max="16384" width="8.88671875" style="3"/>
  </cols>
  <sheetData>
    <row r="1" spans="1:14" ht="18.75" customHeight="1" x14ac:dyDescent="0.15">
      <c r="A1" s="101" t="s">
        <v>0</v>
      </c>
      <c r="B1" s="102"/>
      <c r="C1" s="102"/>
      <c r="D1" s="102"/>
      <c r="E1" s="102"/>
      <c r="F1" s="102"/>
      <c r="G1" s="103"/>
      <c r="H1" s="107" t="s">
        <v>1</v>
      </c>
      <c r="I1" s="1" t="s">
        <v>2</v>
      </c>
      <c r="J1" s="1" t="s">
        <v>2</v>
      </c>
      <c r="K1" s="1" t="s">
        <v>3</v>
      </c>
      <c r="L1" s="2" t="s">
        <v>4</v>
      </c>
    </row>
    <row r="2" spans="1:14" ht="13.5" customHeight="1" x14ac:dyDescent="0.15">
      <c r="A2" s="104"/>
      <c r="B2" s="105"/>
      <c r="C2" s="105"/>
      <c r="D2" s="105"/>
      <c r="E2" s="105"/>
      <c r="F2" s="105"/>
      <c r="G2" s="106"/>
      <c r="H2" s="108"/>
      <c r="I2" s="110"/>
      <c r="J2" s="110"/>
      <c r="K2" s="110"/>
      <c r="L2" s="98"/>
    </row>
    <row r="3" spans="1:14" ht="13.5" customHeight="1" x14ac:dyDescent="0.15">
      <c r="A3" s="104"/>
      <c r="B3" s="105"/>
      <c r="C3" s="105"/>
      <c r="D3" s="105"/>
      <c r="E3" s="105"/>
      <c r="F3" s="105"/>
      <c r="G3" s="106"/>
      <c r="H3" s="108"/>
      <c r="I3" s="108"/>
      <c r="J3" s="108"/>
      <c r="K3" s="108"/>
      <c r="L3" s="99"/>
    </row>
    <row r="4" spans="1:14" ht="33" customHeight="1" x14ac:dyDescent="0.15">
      <c r="A4" s="4"/>
      <c r="B4" s="5"/>
      <c r="C4" s="5"/>
      <c r="D4" s="5"/>
      <c r="E4" s="5"/>
      <c r="F4" s="5"/>
      <c r="G4" s="5"/>
      <c r="H4" s="109"/>
      <c r="I4" s="109"/>
      <c r="J4" s="109"/>
      <c r="K4" s="109"/>
      <c r="L4" s="100"/>
    </row>
    <row r="5" spans="1:14" ht="17.25" customHeight="1" x14ac:dyDescent="0.15">
      <c r="A5" s="6" t="s">
        <v>5</v>
      </c>
      <c r="B5" s="87">
        <v>46156</v>
      </c>
      <c r="C5" s="88"/>
      <c r="D5" s="88"/>
      <c r="E5" s="88"/>
      <c r="F5" s="88"/>
      <c r="G5" s="88"/>
      <c r="H5" s="5"/>
      <c r="I5" s="5"/>
      <c r="J5" s="5"/>
      <c r="K5" s="5"/>
      <c r="L5" s="7"/>
    </row>
    <row r="6" spans="1:14" ht="13.5" customHeight="1" x14ac:dyDescent="0.15">
      <c r="A6" s="89" t="s">
        <v>6</v>
      </c>
      <c r="B6" s="91" t="s">
        <v>7</v>
      </c>
      <c r="C6" s="91" t="s">
        <v>8</v>
      </c>
      <c r="D6" s="91" t="s">
        <v>9</v>
      </c>
      <c r="E6" s="93" t="s">
        <v>10</v>
      </c>
      <c r="F6" s="93" t="s">
        <v>11</v>
      </c>
      <c r="G6" s="95" t="s">
        <v>12</v>
      </c>
      <c r="H6" s="96"/>
      <c r="I6" s="96"/>
      <c r="J6" s="96"/>
      <c r="K6" s="97"/>
      <c r="L6" s="83" t="s">
        <v>13</v>
      </c>
    </row>
    <row r="7" spans="1:14" x14ac:dyDescent="0.15">
      <c r="A7" s="90"/>
      <c r="B7" s="92"/>
      <c r="C7" s="92"/>
      <c r="D7" s="92"/>
      <c r="E7" s="94"/>
      <c r="F7" s="94"/>
      <c r="G7" s="8" t="s">
        <v>14</v>
      </c>
      <c r="H7" s="8" t="s">
        <v>15</v>
      </c>
      <c r="I7" s="8" t="s">
        <v>16</v>
      </c>
      <c r="J7" s="8" t="s">
        <v>17</v>
      </c>
      <c r="K7" s="8" t="s">
        <v>18</v>
      </c>
      <c r="L7" s="84"/>
    </row>
    <row r="8" spans="1:14" s="15" customFormat="1" ht="20.25" customHeight="1" x14ac:dyDescent="0.15">
      <c r="A8" s="60" t="s">
        <v>2474</v>
      </c>
      <c r="B8" s="9" t="s">
        <v>1304</v>
      </c>
      <c r="C8" s="58" t="s">
        <v>29</v>
      </c>
      <c r="D8" s="11" t="s">
        <v>1305</v>
      </c>
      <c r="E8" s="10">
        <v>28</v>
      </c>
      <c r="F8" s="58"/>
      <c r="G8" s="12">
        <v>1800</v>
      </c>
      <c r="H8" s="12">
        <v>1125</v>
      </c>
      <c r="I8" s="17" t="s">
        <v>2475</v>
      </c>
      <c r="J8" s="18">
        <v>66</v>
      </c>
      <c r="K8" s="19">
        <f>+M8*N8</f>
        <v>1079.1990000000001</v>
      </c>
      <c r="L8" s="14"/>
      <c r="M8" s="15">
        <v>99.1</v>
      </c>
      <c r="N8" s="15">
        <v>10.89</v>
      </c>
    </row>
    <row r="9" spans="1:14" s="15" customFormat="1" ht="20.25" customHeight="1" x14ac:dyDescent="0.15">
      <c r="A9" s="60"/>
      <c r="B9" s="9"/>
      <c r="C9" s="58" t="s">
        <v>29</v>
      </c>
      <c r="D9" s="11" t="s">
        <v>1306</v>
      </c>
      <c r="E9" s="10">
        <v>28</v>
      </c>
      <c r="F9" s="58" t="s">
        <v>11</v>
      </c>
      <c r="G9" s="12">
        <v>1800</v>
      </c>
      <c r="H9" s="12">
        <v>705</v>
      </c>
      <c r="I9" s="17" t="s">
        <v>2476</v>
      </c>
      <c r="J9" s="18">
        <v>72</v>
      </c>
      <c r="K9" s="19">
        <f t="shared" ref="K9:K23" si="0">+M9*N9</f>
        <v>504.86040000000003</v>
      </c>
      <c r="L9" s="14"/>
      <c r="M9" s="15">
        <v>46.36</v>
      </c>
      <c r="N9" s="15">
        <v>10.89</v>
      </c>
    </row>
    <row r="10" spans="1:14" s="15" customFormat="1" ht="20.25" customHeight="1" x14ac:dyDescent="0.15">
      <c r="A10" s="60"/>
      <c r="B10" s="9"/>
      <c r="C10" s="58" t="s">
        <v>29</v>
      </c>
      <c r="D10" s="11" t="s">
        <v>1316</v>
      </c>
      <c r="E10" s="10">
        <v>28</v>
      </c>
      <c r="F10" s="58" t="s">
        <v>11</v>
      </c>
      <c r="G10" s="12">
        <v>1800</v>
      </c>
      <c r="H10" s="12">
        <v>1635</v>
      </c>
      <c r="I10" s="17" t="s">
        <v>2477</v>
      </c>
      <c r="J10" s="18">
        <v>39</v>
      </c>
      <c r="K10" s="19">
        <f t="shared" si="0"/>
        <v>1054.5876000000001</v>
      </c>
      <c r="L10" s="14"/>
      <c r="M10" s="15">
        <v>96.84</v>
      </c>
      <c r="N10" s="15">
        <v>10.89</v>
      </c>
    </row>
    <row r="11" spans="1:14" s="15" customFormat="1" ht="20.25" customHeight="1" x14ac:dyDescent="0.15">
      <c r="A11" s="60" t="s">
        <v>2478</v>
      </c>
      <c r="B11" s="9" t="s">
        <v>1950</v>
      </c>
      <c r="C11" s="58" t="s">
        <v>29</v>
      </c>
      <c r="D11" s="11" t="s">
        <v>224</v>
      </c>
      <c r="E11" s="10">
        <v>22</v>
      </c>
      <c r="F11" s="10" t="s">
        <v>11</v>
      </c>
      <c r="G11" s="12">
        <v>305</v>
      </c>
      <c r="H11" s="12">
        <v>950</v>
      </c>
      <c r="I11" s="17">
        <v>10</v>
      </c>
      <c r="J11" s="18">
        <v>10</v>
      </c>
      <c r="K11" s="19">
        <f t="shared" si="0"/>
        <v>31.581</v>
      </c>
      <c r="L11" s="14"/>
      <c r="M11" s="15">
        <v>2.9</v>
      </c>
      <c r="N11" s="15">
        <v>10.89</v>
      </c>
    </row>
    <row r="12" spans="1:14" s="15" customFormat="1" ht="20.25" customHeight="1" x14ac:dyDescent="0.15">
      <c r="A12" s="60"/>
      <c r="B12" s="9"/>
      <c r="C12" s="58" t="s">
        <v>29</v>
      </c>
      <c r="D12" s="11" t="s">
        <v>217</v>
      </c>
      <c r="E12" s="10">
        <v>22</v>
      </c>
      <c r="F12" s="10" t="s">
        <v>11</v>
      </c>
      <c r="G12" s="12">
        <v>1719</v>
      </c>
      <c r="H12" s="12">
        <v>1820</v>
      </c>
      <c r="I12" s="17" t="s">
        <v>790</v>
      </c>
      <c r="J12" s="18">
        <v>75</v>
      </c>
      <c r="K12" s="19">
        <f t="shared" si="0"/>
        <v>653.94449999999995</v>
      </c>
      <c r="L12" s="14"/>
      <c r="M12" s="15">
        <v>60.05</v>
      </c>
      <c r="N12" s="15">
        <v>10.89</v>
      </c>
    </row>
    <row r="13" spans="1:14" s="15" customFormat="1" ht="20.25" customHeight="1" x14ac:dyDescent="0.15">
      <c r="A13" s="60"/>
      <c r="B13" s="9"/>
      <c r="C13" s="58" t="s">
        <v>29</v>
      </c>
      <c r="D13" s="11" t="s">
        <v>201</v>
      </c>
      <c r="E13" s="10">
        <v>22</v>
      </c>
      <c r="F13" s="10"/>
      <c r="G13" s="12">
        <v>405</v>
      </c>
      <c r="H13" s="12">
        <v>950</v>
      </c>
      <c r="I13" s="17">
        <v>10</v>
      </c>
      <c r="J13" s="18">
        <v>10</v>
      </c>
      <c r="K13" s="19">
        <f t="shared" si="0"/>
        <v>41.381999999999998</v>
      </c>
      <c r="L13" s="14"/>
      <c r="M13" s="15">
        <v>3.8</v>
      </c>
      <c r="N13" s="15">
        <v>10.89</v>
      </c>
    </row>
    <row r="14" spans="1:14" s="15" customFormat="1" ht="20.25" customHeight="1" x14ac:dyDescent="0.15">
      <c r="A14" s="60" t="s">
        <v>2479</v>
      </c>
      <c r="B14" s="9" t="s">
        <v>2457</v>
      </c>
      <c r="C14" s="58" t="s">
        <v>29</v>
      </c>
      <c r="D14" s="11" t="s">
        <v>849</v>
      </c>
      <c r="E14" s="10">
        <v>22</v>
      </c>
      <c r="F14" s="58" t="s">
        <v>11</v>
      </c>
      <c r="G14" s="12">
        <v>1644</v>
      </c>
      <c r="H14" s="12">
        <v>1973</v>
      </c>
      <c r="I14" s="17" t="s">
        <v>1941</v>
      </c>
      <c r="J14" s="18">
        <v>36</v>
      </c>
      <c r="K14" s="19">
        <f t="shared" si="0"/>
        <v>449.53920000000005</v>
      </c>
      <c r="L14" s="20"/>
      <c r="M14" s="15">
        <v>41.28</v>
      </c>
      <c r="N14" s="15">
        <v>10.89</v>
      </c>
    </row>
    <row r="15" spans="1:14" s="15" customFormat="1" ht="20.25" customHeight="1" x14ac:dyDescent="0.15">
      <c r="A15" s="60" t="s">
        <v>2480</v>
      </c>
      <c r="B15" s="9" t="s">
        <v>2457</v>
      </c>
      <c r="C15" s="58" t="s">
        <v>29</v>
      </c>
      <c r="D15" s="11" t="s">
        <v>2458</v>
      </c>
      <c r="E15" s="10">
        <v>22</v>
      </c>
      <c r="F15" s="58" t="s">
        <v>11</v>
      </c>
      <c r="G15" s="12">
        <v>1428</v>
      </c>
      <c r="H15" s="12">
        <v>1973</v>
      </c>
      <c r="I15" s="17" t="s">
        <v>396</v>
      </c>
      <c r="J15" s="18">
        <v>70</v>
      </c>
      <c r="K15" s="19">
        <f t="shared" si="0"/>
        <v>1383.03</v>
      </c>
      <c r="L15" s="20"/>
      <c r="M15" s="15">
        <v>127</v>
      </c>
      <c r="N15" s="15">
        <v>10.89</v>
      </c>
    </row>
    <row r="16" spans="1:14" s="15" customFormat="1" ht="20.25" customHeight="1" x14ac:dyDescent="0.15">
      <c r="A16" s="60"/>
      <c r="B16" s="9"/>
      <c r="C16" s="58" t="s">
        <v>29</v>
      </c>
      <c r="D16" s="11" t="s">
        <v>2459</v>
      </c>
      <c r="E16" s="10">
        <v>22</v>
      </c>
      <c r="F16" s="10"/>
      <c r="G16" s="12">
        <v>614</v>
      </c>
      <c r="H16" s="12">
        <v>1973</v>
      </c>
      <c r="I16" s="17">
        <v>10</v>
      </c>
      <c r="J16" s="18">
        <v>10</v>
      </c>
      <c r="K16" s="19">
        <f t="shared" si="0"/>
        <v>131.76900000000001</v>
      </c>
      <c r="L16" s="20"/>
      <c r="M16" s="15">
        <v>12.1</v>
      </c>
      <c r="N16" s="15">
        <v>10.89</v>
      </c>
    </row>
    <row r="17" spans="1:14" s="15" customFormat="1" ht="20.25" customHeight="1" x14ac:dyDescent="0.15">
      <c r="A17" s="60" t="s">
        <v>2481</v>
      </c>
      <c r="B17" s="9" t="s">
        <v>1944</v>
      </c>
      <c r="C17" s="58" t="s">
        <v>29</v>
      </c>
      <c r="D17" s="11" t="s">
        <v>1945</v>
      </c>
      <c r="E17" s="10">
        <v>24</v>
      </c>
      <c r="F17" s="58" t="s">
        <v>11</v>
      </c>
      <c r="G17" s="12">
        <v>985</v>
      </c>
      <c r="H17" s="12">
        <v>2912</v>
      </c>
      <c r="I17" s="17" t="s">
        <v>941</v>
      </c>
      <c r="J17" s="18">
        <v>6</v>
      </c>
      <c r="K17" s="19">
        <f t="shared" si="0"/>
        <v>179.03160000000003</v>
      </c>
      <c r="L17" s="20"/>
      <c r="M17" s="15">
        <v>16.440000000000001</v>
      </c>
      <c r="N17" s="15">
        <v>10.89</v>
      </c>
    </row>
    <row r="18" spans="1:14" s="15" customFormat="1" ht="20.25" customHeight="1" x14ac:dyDescent="0.15">
      <c r="A18" s="60" t="s">
        <v>2482</v>
      </c>
      <c r="B18" s="9" t="s">
        <v>178</v>
      </c>
      <c r="C18" s="58" t="s">
        <v>29</v>
      </c>
      <c r="D18" s="11" t="s">
        <v>243</v>
      </c>
      <c r="E18" s="10">
        <v>24</v>
      </c>
      <c r="F18" s="58" t="s">
        <v>11</v>
      </c>
      <c r="G18" s="12">
        <v>770</v>
      </c>
      <c r="H18" s="12">
        <v>1610</v>
      </c>
      <c r="I18" s="17">
        <v>2</v>
      </c>
      <c r="J18" s="18">
        <v>2</v>
      </c>
      <c r="K18" s="19">
        <f t="shared" si="0"/>
        <v>27.007200000000001</v>
      </c>
      <c r="L18" s="20"/>
      <c r="M18" s="15">
        <v>2.48</v>
      </c>
      <c r="N18" s="15">
        <v>10.89</v>
      </c>
    </row>
    <row r="19" spans="1:14" s="15" customFormat="1" ht="20.25" customHeight="1" x14ac:dyDescent="0.15">
      <c r="A19" s="60"/>
      <c r="B19" s="9"/>
      <c r="C19" s="58" t="s">
        <v>29</v>
      </c>
      <c r="D19" s="11"/>
      <c r="E19" s="10"/>
      <c r="F19" s="58" t="s">
        <v>11</v>
      </c>
      <c r="G19" s="12"/>
      <c r="H19" s="12"/>
      <c r="I19" s="17"/>
      <c r="J19" s="18"/>
      <c r="K19" s="19">
        <f t="shared" si="0"/>
        <v>0</v>
      </c>
      <c r="L19" s="20"/>
      <c r="N19" s="15">
        <v>10.89</v>
      </c>
    </row>
    <row r="20" spans="1:14" s="15" customFormat="1" ht="20.25" customHeight="1" x14ac:dyDescent="0.15">
      <c r="A20" s="60"/>
      <c r="B20" s="9"/>
      <c r="C20" s="58"/>
      <c r="D20" s="11"/>
      <c r="E20" s="10"/>
      <c r="F20" s="58"/>
      <c r="G20" s="12"/>
      <c r="H20" s="12"/>
      <c r="I20" s="17"/>
      <c r="J20" s="18"/>
      <c r="K20" s="19">
        <f t="shared" si="0"/>
        <v>0</v>
      </c>
      <c r="L20" s="20"/>
      <c r="N20" s="15">
        <v>10.89</v>
      </c>
    </row>
    <row r="21" spans="1:14" s="15" customFormat="1" ht="20.25" customHeight="1" x14ac:dyDescent="0.15">
      <c r="A21" s="60"/>
      <c r="B21" s="9"/>
      <c r="C21" s="58"/>
      <c r="D21" s="11"/>
      <c r="E21" s="10"/>
      <c r="F21" s="58"/>
      <c r="G21" s="50"/>
      <c r="H21" s="50"/>
      <c r="I21" s="17"/>
      <c r="J21" s="18"/>
      <c r="K21" s="19">
        <f t="shared" si="0"/>
        <v>0</v>
      </c>
      <c r="L21" s="20"/>
      <c r="N21" s="15">
        <v>10.89</v>
      </c>
    </row>
    <row r="22" spans="1:14" s="15" customFormat="1" ht="20.25" customHeight="1" x14ac:dyDescent="0.15">
      <c r="A22" s="60"/>
      <c r="B22" s="9"/>
      <c r="C22" s="58"/>
      <c r="D22" s="11"/>
      <c r="E22" s="10"/>
      <c r="F22" s="58"/>
      <c r="G22" s="50"/>
      <c r="H22" s="50"/>
      <c r="I22" s="17"/>
      <c r="J22" s="18"/>
      <c r="K22" s="19">
        <f t="shared" si="0"/>
        <v>0</v>
      </c>
      <c r="L22" s="20"/>
      <c r="N22" s="15">
        <v>10.89</v>
      </c>
    </row>
    <row r="23" spans="1:14" ht="20.25" customHeight="1" x14ac:dyDescent="0.15">
      <c r="A23" s="60"/>
      <c r="B23" s="9"/>
      <c r="C23" s="58"/>
      <c r="D23" s="11"/>
      <c r="E23" s="10"/>
      <c r="F23" s="58"/>
      <c r="G23" s="16"/>
      <c r="H23" s="16"/>
      <c r="I23" s="17"/>
      <c r="J23" s="18"/>
      <c r="K23" s="19">
        <f t="shared" si="0"/>
        <v>0</v>
      </c>
      <c r="L23" s="20"/>
      <c r="N23" s="15">
        <v>10.89</v>
      </c>
    </row>
    <row r="24" spans="1:14" ht="20.25" customHeight="1" thickBot="1" x14ac:dyDescent="0.2">
      <c r="A24" s="56"/>
      <c r="B24" s="21"/>
      <c r="C24" s="59"/>
      <c r="D24" s="22"/>
      <c r="E24" s="23"/>
      <c r="F24" s="23"/>
      <c r="G24" s="24"/>
      <c r="H24" s="24"/>
      <c r="I24" s="25"/>
      <c r="J24" s="46">
        <f>SUM(J8:J23)</f>
        <v>396</v>
      </c>
      <c r="K24" s="47">
        <f>SUM(K8:K23)</f>
        <v>5535.9315000000006</v>
      </c>
      <c r="L24" s="26"/>
    </row>
    <row r="25" spans="1:14" ht="20.25" customHeight="1" thickTop="1" x14ac:dyDescent="0.15">
      <c r="A25" s="60" t="s">
        <v>2479</v>
      </c>
      <c r="B25" s="9" t="s">
        <v>2457</v>
      </c>
      <c r="C25" s="58" t="s">
        <v>29</v>
      </c>
      <c r="D25" s="11" t="s">
        <v>2458</v>
      </c>
      <c r="E25" s="10">
        <v>22</v>
      </c>
      <c r="F25" s="10" t="s">
        <v>11</v>
      </c>
      <c r="G25" s="12">
        <v>1644</v>
      </c>
      <c r="H25" s="12">
        <v>1973</v>
      </c>
      <c r="I25" s="17" t="s">
        <v>2483</v>
      </c>
      <c r="J25" s="18">
        <v>60</v>
      </c>
      <c r="K25" s="19">
        <f t="shared" ref="K25:K40" si="1">+M25*N25</f>
        <v>522.72</v>
      </c>
      <c r="L25" s="54"/>
      <c r="M25" s="3">
        <v>48</v>
      </c>
      <c r="N25" s="15">
        <v>10.89</v>
      </c>
    </row>
    <row r="26" spans="1:14" ht="20.25" customHeight="1" x14ac:dyDescent="0.15">
      <c r="A26" s="60"/>
      <c r="B26" s="9"/>
      <c r="C26" s="58" t="s">
        <v>29</v>
      </c>
      <c r="D26" s="11" t="s">
        <v>849</v>
      </c>
      <c r="E26" s="10">
        <v>22</v>
      </c>
      <c r="F26" s="10" t="s">
        <v>11</v>
      </c>
      <c r="G26" s="12">
        <v>461</v>
      </c>
      <c r="H26" s="12">
        <v>175</v>
      </c>
      <c r="I26" s="17" t="s">
        <v>1317</v>
      </c>
      <c r="J26" s="18">
        <v>24</v>
      </c>
      <c r="K26" s="19">
        <f t="shared" si="1"/>
        <v>73.180800000000005</v>
      </c>
      <c r="L26" s="54"/>
      <c r="M26" s="3">
        <v>6.72</v>
      </c>
      <c r="N26" s="15">
        <v>10.89</v>
      </c>
    </row>
    <row r="27" spans="1:14" ht="20.25" customHeight="1" x14ac:dyDescent="0.15">
      <c r="A27" s="61"/>
      <c r="B27" s="9"/>
      <c r="C27" s="58" t="s">
        <v>29</v>
      </c>
      <c r="D27" s="11" t="s">
        <v>2459</v>
      </c>
      <c r="E27" s="10">
        <v>22</v>
      </c>
      <c r="F27" s="10"/>
      <c r="G27" s="12">
        <v>564</v>
      </c>
      <c r="H27" s="12">
        <v>1778</v>
      </c>
      <c r="I27" s="17" t="s">
        <v>857</v>
      </c>
      <c r="J27" s="18">
        <v>18</v>
      </c>
      <c r="K27" s="19">
        <f t="shared" si="1"/>
        <v>101.93040000000001</v>
      </c>
      <c r="L27" s="54"/>
      <c r="M27" s="3">
        <v>9.36</v>
      </c>
      <c r="N27" s="15">
        <v>10.89</v>
      </c>
    </row>
    <row r="28" spans="1:14" ht="20.25" customHeight="1" x14ac:dyDescent="0.15">
      <c r="A28" s="61" t="s">
        <v>2480</v>
      </c>
      <c r="B28" s="9" t="s">
        <v>2457</v>
      </c>
      <c r="C28" s="58" t="s">
        <v>29</v>
      </c>
      <c r="D28" s="11" t="s">
        <v>2458</v>
      </c>
      <c r="E28" s="10">
        <v>22</v>
      </c>
      <c r="F28" s="10" t="s">
        <v>11</v>
      </c>
      <c r="G28" s="12">
        <v>261</v>
      </c>
      <c r="H28" s="12">
        <v>375</v>
      </c>
      <c r="I28" s="17">
        <v>20</v>
      </c>
      <c r="J28" s="18">
        <v>20</v>
      </c>
      <c r="K28" s="19">
        <f t="shared" si="1"/>
        <v>60.984000000000002</v>
      </c>
      <c r="L28" s="54"/>
      <c r="M28" s="3">
        <v>5.6</v>
      </c>
      <c r="N28" s="15">
        <v>10.89</v>
      </c>
    </row>
    <row r="29" spans="1:14" ht="20.25" customHeight="1" x14ac:dyDescent="0.15">
      <c r="A29" s="61"/>
      <c r="B29" s="9"/>
      <c r="C29" s="58" t="s">
        <v>29</v>
      </c>
      <c r="D29" s="11" t="s">
        <v>849</v>
      </c>
      <c r="E29" s="10">
        <v>22</v>
      </c>
      <c r="F29" s="10" t="s">
        <v>11</v>
      </c>
      <c r="G29" s="12">
        <v>1428</v>
      </c>
      <c r="H29" s="12">
        <v>1973</v>
      </c>
      <c r="I29" s="17" t="s">
        <v>196</v>
      </c>
      <c r="J29" s="18">
        <v>90</v>
      </c>
      <c r="K29" s="19">
        <f t="shared" si="1"/>
        <v>1444.0140000000001</v>
      </c>
      <c r="L29" s="54"/>
      <c r="M29" s="3">
        <v>132.6</v>
      </c>
      <c r="N29" s="15">
        <v>10.89</v>
      </c>
    </row>
    <row r="30" spans="1:14" ht="20.25" customHeight="1" x14ac:dyDescent="0.15">
      <c r="A30" s="61"/>
      <c r="B30" s="9"/>
      <c r="C30" s="58" t="s">
        <v>29</v>
      </c>
      <c r="D30" s="11" t="s">
        <v>2459</v>
      </c>
      <c r="E30" s="10">
        <v>22</v>
      </c>
      <c r="F30" s="10"/>
      <c r="G30" s="12">
        <v>264</v>
      </c>
      <c r="H30" s="12">
        <v>378</v>
      </c>
      <c r="I30" s="51">
        <v>20</v>
      </c>
      <c r="J30" s="52">
        <v>20</v>
      </c>
      <c r="K30" s="53">
        <f t="shared" si="1"/>
        <v>60.984000000000002</v>
      </c>
      <c r="L30" s="54"/>
      <c r="M30" s="3">
        <v>5.6</v>
      </c>
      <c r="N30" s="15">
        <v>10.89</v>
      </c>
    </row>
    <row r="31" spans="1:14" ht="20.25" customHeight="1" x14ac:dyDescent="0.15">
      <c r="A31" s="61" t="s">
        <v>2484</v>
      </c>
      <c r="B31" s="9" t="s">
        <v>2485</v>
      </c>
      <c r="C31" s="58" t="s">
        <v>29</v>
      </c>
      <c r="D31" s="11" t="s">
        <v>2322</v>
      </c>
      <c r="E31" s="10">
        <v>24</v>
      </c>
      <c r="F31" s="10" t="s">
        <v>11</v>
      </c>
      <c r="G31" s="12">
        <v>643</v>
      </c>
      <c r="H31" s="12">
        <v>1127</v>
      </c>
      <c r="I31" s="51" t="s">
        <v>2486</v>
      </c>
      <c r="J31" s="52">
        <v>210</v>
      </c>
      <c r="K31" s="53">
        <f t="shared" si="1"/>
        <v>1133.8668</v>
      </c>
      <c r="L31" s="54"/>
      <c r="M31" s="3">
        <v>104.12</v>
      </c>
      <c r="N31" s="15">
        <v>10.89</v>
      </c>
    </row>
    <row r="32" spans="1:14" ht="20.25" customHeight="1" x14ac:dyDescent="0.15">
      <c r="A32" s="60" t="s">
        <v>2487</v>
      </c>
      <c r="B32" s="9" t="s">
        <v>1904</v>
      </c>
      <c r="C32" s="58" t="s">
        <v>29</v>
      </c>
      <c r="D32" s="11" t="s">
        <v>2488</v>
      </c>
      <c r="E32" s="10">
        <v>22</v>
      </c>
      <c r="F32" s="10" t="s">
        <v>11</v>
      </c>
      <c r="G32" s="12">
        <v>1646</v>
      </c>
      <c r="H32" s="12">
        <v>1960</v>
      </c>
      <c r="I32" s="17">
        <v>1</v>
      </c>
      <c r="J32" s="18">
        <v>1</v>
      </c>
      <c r="K32" s="19">
        <f t="shared" si="1"/>
        <v>35.174700000000001</v>
      </c>
      <c r="L32" s="27"/>
      <c r="M32" s="3">
        <v>3.23</v>
      </c>
      <c r="N32" s="15">
        <v>10.89</v>
      </c>
    </row>
    <row r="33" spans="1:14" ht="20.25" customHeight="1" x14ac:dyDescent="0.15">
      <c r="A33" s="60"/>
      <c r="B33" s="9"/>
      <c r="C33" s="58" t="s">
        <v>29</v>
      </c>
      <c r="D33" s="11" t="s">
        <v>2489</v>
      </c>
      <c r="E33" s="10">
        <v>22</v>
      </c>
      <c r="F33" s="10" t="s">
        <v>11</v>
      </c>
      <c r="G33" s="12">
        <v>758</v>
      </c>
      <c r="H33" s="12">
        <v>1960</v>
      </c>
      <c r="I33" s="17" t="s">
        <v>760</v>
      </c>
      <c r="J33" s="18">
        <v>13</v>
      </c>
      <c r="K33" s="19">
        <f t="shared" si="1"/>
        <v>75.467700000000008</v>
      </c>
      <c r="L33" s="27"/>
      <c r="M33" s="3">
        <v>6.93</v>
      </c>
      <c r="N33" s="15">
        <v>10.89</v>
      </c>
    </row>
    <row r="34" spans="1:14" ht="20.25" customHeight="1" x14ac:dyDescent="0.15">
      <c r="A34" s="60"/>
      <c r="B34" s="9"/>
      <c r="C34" s="58" t="s">
        <v>29</v>
      </c>
      <c r="D34" s="11" t="s">
        <v>2490</v>
      </c>
      <c r="E34" s="10">
        <v>22</v>
      </c>
      <c r="F34" s="10"/>
      <c r="G34" s="12">
        <v>252</v>
      </c>
      <c r="H34" s="12">
        <v>760</v>
      </c>
      <c r="I34" s="17">
        <v>1</v>
      </c>
      <c r="J34" s="18">
        <v>1</v>
      </c>
      <c r="K34" s="19">
        <f t="shared" si="1"/>
        <v>3.0492000000000004</v>
      </c>
      <c r="L34" s="27"/>
      <c r="M34" s="3">
        <v>0.28000000000000003</v>
      </c>
      <c r="N34" s="15">
        <v>10.89</v>
      </c>
    </row>
    <row r="35" spans="1:14" ht="20.25" customHeight="1" x14ac:dyDescent="0.15">
      <c r="A35" s="60"/>
      <c r="B35" s="9"/>
      <c r="C35" s="58"/>
      <c r="D35" s="11"/>
      <c r="E35" s="10"/>
      <c r="F35" s="10"/>
      <c r="G35" s="12"/>
      <c r="H35" s="12"/>
      <c r="I35" s="17"/>
      <c r="J35" s="18"/>
      <c r="K35" s="19">
        <f t="shared" si="1"/>
        <v>0</v>
      </c>
      <c r="L35" s="27"/>
      <c r="N35" s="15">
        <v>10.89</v>
      </c>
    </row>
    <row r="36" spans="1:14" ht="20.25" customHeight="1" x14ac:dyDescent="0.15">
      <c r="A36" s="60"/>
      <c r="B36" s="9"/>
      <c r="C36" s="58"/>
      <c r="D36" s="11"/>
      <c r="E36" s="10"/>
      <c r="F36" s="10"/>
      <c r="G36" s="12"/>
      <c r="H36" s="12"/>
      <c r="I36" s="17"/>
      <c r="J36" s="18"/>
      <c r="K36" s="19">
        <f t="shared" si="1"/>
        <v>0</v>
      </c>
      <c r="L36" s="27"/>
      <c r="N36" s="15">
        <v>10.89</v>
      </c>
    </row>
    <row r="37" spans="1:14" ht="20.25" customHeight="1" x14ac:dyDescent="0.15">
      <c r="A37" s="60"/>
      <c r="B37" s="9"/>
      <c r="C37" s="58"/>
      <c r="D37" s="11"/>
      <c r="E37" s="10"/>
      <c r="F37" s="10"/>
      <c r="G37" s="12"/>
      <c r="H37" s="12"/>
      <c r="I37" s="17"/>
      <c r="J37" s="18"/>
      <c r="K37" s="19">
        <f t="shared" si="1"/>
        <v>0</v>
      </c>
      <c r="L37" s="27"/>
      <c r="N37" s="15">
        <v>10.89</v>
      </c>
    </row>
    <row r="38" spans="1:14" ht="20.25" customHeight="1" x14ac:dyDescent="0.15">
      <c r="A38" s="60"/>
      <c r="B38" s="9"/>
      <c r="C38" s="58"/>
      <c r="D38" s="11"/>
      <c r="E38" s="10"/>
      <c r="F38" s="10"/>
      <c r="G38" s="12"/>
      <c r="H38" s="12"/>
      <c r="I38" s="17"/>
      <c r="J38" s="18"/>
      <c r="K38" s="19">
        <f t="shared" si="1"/>
        <v>0</v>
      </c>
      <c r="L38" s="27"/>
      <c r="N38" s="15">
        <v>10.89</v>
      </c>
    </row>
    <row r="39" spans="1:14" ht="20.25" customHeight="1" x14ac:dyDescent="0.15">
      <c r="A39" s="60"/>
      <c r="B39" s="9"/>
      <c r="C39" s="58"/>
      <c r="D39" s="11"/>
      <c r="E39" s="10"/>
      <c r="F39" s="10"/>
      <c r="G39" s="12"/>
      <c r="H39" s="12"/>
      <c r="I39" s="17"/>
      <c r="J39" s="18"/>
      <c r="K39" s="19">
        <f t="shared" si="1"/>
        <v>0</v>
      </c>
      <c r="L39" s="27"/>
      <c r="N39" s="15">
        <v>10.89</v>
      </c>
    </row>
    <row r="40" spans="1:14" ht="20.25" customHeight="1" x14ac:dyDescent="0.15">
      <c r="A40" s="60"/>
      <c r="B40" s="9"/>
      <c r="C40" s="58"/>
      <c r="D40" s="11"/>
      <c r="E40" s="10"/>
      <c r="F40" s="10"/>
      <c r="G40" s="12"/>
      <c r="H40" s="12"/>
      <c r="I40" s="17"/>
      <c r="J40" s="18"/>
      <c r="K40" s="19">
        <f t="shared" si="1"/>
        <v>0</v>
      </c>
      <c r="L40" s="27"/>
      <c r="N40" s="15">
        <v>10.89</v>
      </c>
    </row>
    <row r="41" spans="1:14" ht="20.25" customHeight="1" x14ac:dyDescent="0.15">
      <c r="A41" s="57"/>
      <c r="B41" s="28"/>
      <c r="C41" s="10"/>
      <c r="D41" s="29"/>
      <c r="E41" s="30"/>
      <c r="F41" s="30"/>
      <c r="G41" s="30"/>
      <c r="H41" s="30"/>
      <c r="I41" s="13"/>
      <c r="J41" s="48">
        <f>SUM(J25:J40)</f>
        <v>457</v>
      </c>
      <c r="K41" s="49">
        <f>SUM(K25:K40)</f>
        <v>3511.3716000000004</v>
      </c>
      <c r="L41" s="31"/>
      <c r="N41" s="32"/>
    </row>
    <row r="42" spans="1:14" ht="20.25" customHeight="1" thickBot="1" x14ac:dyDescent="0.2">
      <c r="A42" s="55"/>
      <c r="B42" s="33"/>
      <c r="C42" s="33"/>
      <c r="D42" s="33"/>
      <c r="E42" s="33"/>
      <c r="F42" s="33"/>
      <c r="G42" s="33"/>
      <c r="H42" s="33"/>
      <c r="I42" s="33"/>
      <c r="J42" s="34"/>
      <c r="K42" s="35"/>
      <c r="L42" s="36"/>
    </row>
    <row r="43" spans="1:14" ht="20.25" customHeight="1" thickBot="1" x14ac:dyDescent="0.2">
      <c r="A43" s="37" t="s">
        <v>19</v>
      </c>
      <c r="B43" s="38" t="s">
        <v>20</v>
      </c>
      <c r="C43" s="77" t="s">
        <v>21</v>
      </c>
      <c r="D43" s="79"/>
      <c r="E43" s="77" t="s">
        <v>22</v>
      </c>
      <c r="F43" s="78"/>
      <c r="G43" s="79"/>
      <c r="H43" s="85" t="s">
        <v>23</v>
      </c>
      <c r="I43" s="86"/>
      <c r="J43" s="77" t="s">
        <v>24</v>
      </c>
      <c r="K43" s="79"/>
      <c r="L43" s="39" t="s">
        <v>13</v>
      </c>
    </row>
    <row r="44" spans="1:14" ht="20.25" customHeight="1" thickBot="1" x14ac:dyDescent="0.2">
      <c r="A44" s="40">
        <f>SUMIF($C$8:$C$42,"U1",$J$8:$J$42)</f>
        <v>0</v>
      </c>
      <c r="B44" s="41">
        <f>SUMIF($C$8:$C$42,"U2",$J$8:$J$42)</f>
        <v>0</v>
      </c>
      <c r="C44" s="77">
        <f>SUMIF($C$8:$C$42,"U3-1",$J$8:$J$42)</f>
        <v>0</v>
      </c>
      <c r="D44" s="79"/>
      <c r="E44" s="77">
        <f>SUMIF($C$8:$C$42,"U3",$J$8:$J$42)</f>
        <v>853</v>
      </c>
      <c r="F44" s="78"/>
      <c r="G44" s="79"/>
      <c r="H44" s="77">
        <f>SUMIF($C$8:$C$42,"E5",$J$8:$J$42)</f>
        <v>0</v>
      </c>
      <c r="I44" s="79"/>
      <c r="J44" s="77">
        <f>SUM(A44:I44)</f>
        <v>853</v>
      </c>
      <c r="K44" s="79"/>
      <c r="L44" s="42"/>
    </row>
    <row r="45" spans="1:14" ht="20.25" customHeight="1" thickBot="1" x14ac:dyDescent="0.2">
      <c r="A45" s="43" t="s">
        <v>25</v>
      </c>
      <c r="B45" s="44" t="s">
        <v>26</v>
      </c>
      <c r="C45" s="75">
        <v>13876</v>
      </c>
      <c r="D45" s="76"/>
      <c r="E45" s="77" t="s">
        <v>27</v>
      </c>
      <c r="F45" s="78"/>
      <c r="G45" s="78"/>
      <c r="H45" s="78"/>
      <c r="I45" s="79"/>
      <c r="J45" s="80">
        <v>146744.37</v>
      </c>
      <c r="K45" s="81"/>
      <c r="L45" s="82"/>
    </row>
    <row r="47" spans="1:14" x14ac:dyDescent="0.15">
      <c r="D47" s="45"/>
    </row>
  </sheetData>
  <mergeCells count="26">
    <mergeCell ref="C45:D45"/>
    <mergeCell ref="E45:I45"/>
    <mergeCell ref="J45:L45"/>
    <mergeCell ref="L6:L7"/>
    <mergeCell ref="C43:D43"/>
    <mergeCell ref="E43:G43"/>
    <mergeCell ref="H43:I43"/>
    <mergeCell ref="J43:K43"/>
    <mergeCell ref="C44:D44"/>
    <mergeCell ref="E44:G44"/>
    <mergeCell ref="H44:I44"/>
    <mergeCell ref="J44:K44"/>
    <mergeCell ref="B5:G5"/>
    <mergeCell ref="A6:A7"/>
    <mergeCell ref="B6:B7"/>
    <mergeCell ref="C6:C7"/>
    <mergeCell ref="D6:D7"/>
    <mergeCell ref="E6:E7"/>
    <mergeCell ref="F6:F7"/>
    <mergeCell ref="G6:K6"/>
    <mergeCell ref="A1:G3"/>
    <mergeCell ref="H1:H4"/>
    <mergeCell ref="I2:I4"/>
    <mergeCell ref="J2:J4"/>
    <mergeCell ref="K2:K4"/>
    <mergeCell ref="L2:L4"/>
  </mergeCells>
  <phoneticPr fontId="2" type="noConversion"/>
  <printOptions horizontalCentered="1"/>
  <pageMargins left="0.39370078740157483" right="0.39370078740157483" top="0.74803149606299213" bottom="0.19685039370078741" header="0.31496062992125984" footer="0.15748031496062992"/>
  <pageSetup paperSize="9" scale="84" orientation="portrait" r:id="rId1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D8129F-E607-475C-BC01-578E204018A6}">
  <dimension ref="A1:N47"/>
  <sheetViews>
    <sheetView view="pageBreakPreview" topLeftCell="A8" zoomScaleSheetLayoutView="100" workbookViewId="0">
      <selection activeCell="C26" sqref="C26:E26"/>
    </sheetView>
  </sheetViews>
  <sheetFormatPr defaultColWidth="8.88671875" defaultRowHeight="13.5" x14ac:dyDescent="0.15"/>
  <cols>
    <col min="1" max="1" width="8.44140625" style="3" customWidth="1"/>
    <col min="2" max="2" width="14.77734375" style="3" customWidth="1"/>
    <col min="3" max="3" width="4.109375" style="3" customWidth="1"/>
    <col min="4" max="4" width="15.21875" style="3" customWidth="1"/>
    <col min="5" max="5" width="4.44140625" style="3" customWidth="1"/>
    <col min="6" max="6" width="4" style="3" customWidth="1"/>
    <col min="7" max="7" width="5.5546875" style="3" customWidth="1"/>
    <col min="8" max="8" width="5.44140625" style="3" customWidth="1"/>
    <col min="9" max="9" width="7.88671875" style="3" customWidth="1"/>
    <col min="10" max="10" width="7.109375" style="3" customWidth="1"/>
    <col min="11" max="11" width="7.21875" style="3" customWidth="1"/>
    <col min="12" max="12" width="6.77734375" style="3" customWidth="1"/>
    <col min="13" max="16384" width="8.88671875" style="3"/>
  </cols>
  <sheetData>
    <row r="1" spans="1:14" ht="18.75" customHeight="1" x14ac:dyDescent="0.15">
      <c r="A1" s="101" t="s">
        <v>0</v>
      </c>
      <c r="B1" s="102"/>
      <c r="C1" s="102"/>
      <c r="D1" s="102"/>
      <c r="E1" s="102"/>
      <c r="F1" s="102"/>
      <c r="G1" s="103"/>
      <c r="H1" s="107" t="s">
        <v>1</v>
      </c>
      <c r="I1" s="1" t="s">
        <v>2</v>
      </c>
      <c r="J1" s="1" t="s">
        <v>2</v>
      </c>
      <c r="K1" s="1" t="s">
        <v>3</v>
      </c>
      <c r="L1" s="2" t="s">
        <v>4</v>
      </c>
    </row>
    <row r="2" spans="1:14" ht="13.5" customHeight="1" x14ac:dyDescent="0.15">
      <c r="A2" s="104"/>
      <c r="B2" s="105"/>
      <c r="C2" s="105"/>
      <c r="D2" s="105"/>
      <c r="E2" s="105"/>
      <c r="F2" s="105"/>
      <c r="G2" s="106"/>
      <c r="H2" s="108"/>
      <c r="I2" s="110"/>
      <c r="J2" s="110"/>
      <c r="K2" s="110"/>
      <c r="L2" s="98"/>
    </row>
    <row r="3" spans="1:14" ht="13.5" customHeight="1" x14ac:dyDescent="0.15">
      <c r="A3" s="104"/>
      <c r="B3" s="105"/>
      <c r="C3" s="105"/>
      <c r="D3" s="105"/>
      <c r="E3" s="105"/>
      <c r="F3" s="105"/>
      <c r="G3" s="106"/>
      <c r="H3" s="108"/>
      <c r="I3" s="108"/>
      <c r="J3" s="108"/>
      <c r="K3" s="108"/>
      <c r="L3" s="99"/>
    </row>
    <row r="4" spans="1:14" ht="33" customHeight="1" x14ac:dyDescent="0.15">
      <c r="A4" s="4"/>
      <c r="B4" s="5"/>
      <c r="C4" s="5"/>
      <c r="D4" s="5"/>
      <c r="E4" s="5"/>
      <c r="F4" s="5"/>
      <c r="G4" s="5"/>
      <c r="H4" s="109"/>
      <c r="I4" s="109"/>
      <c r="J4" s="109"/>
      <c r="K4" s="109"/>
      <c r="L4" s="100"/>
    </row>
    <row r="5" spans="1:14" ht="17.25" customHeight="1" x14ac:dyDescent="0.15">
      <c r="A5" s="6" t="s">
        <v>5</v>
      </c>
      <c r="B5" s="87">
        <v>46157</v>
      </c>
      <c r="C5" s="88"/>
      <c r="D5" s="88"/>
      <c r="E5" s="88"/>
      <c r="F5" s="88"/>
      <c r="G5" s="88"/>
      <c r="H5" s="5"/>
      <c r="I5" s="5"/>
      <c r="J5" s="5"/>
      <c r="K5" s="5"/>
      <c r="L5" s="7"/>
    </row>
    <row r="6" spans="1:14" ht="13.5" customHeight="1" x14ac:dyDescent="0.15">
      <c r="A6" s="89" t="s">
        <v>6</v>
      </c>
      <c r="B6" s="91" t="s">
        <v>7</v>
      </c>
      <c r="C6" s="91" t="s">
        <v>8</v>
      </c>
      <c r="D6" s="91" t="s">
        <v>9</v>
      </c>
      <c r="E6" s="93" t="s">
        <v>10</v>
      </c>
      <c r="F6" s="93" t="s">
        <v>11</v>
      </c>
      <c r="G6" s="95" t="s">
        <v>12</v>
      </c>
      <c r="H6" s="96"/>
      <c r="I6" s="96"/>
      <c r="J6" s="96"/>
      <c r="K6" s="97"/>
      <c r="L6" s="83" t="s">
        <v>13</v>
      </c>
    </row>
    <row r="7" spans="1:14" x14ac:dyDescent="0.15">
      <c r="A7" s="90"/>
      <c r="B7" s="92"/>
      <c r="C7" s="92"/>
      <c r="D7" s="92"/>
      <c r="E7" s="94"/>
      <c r="F7" s="94"/>
      <c r="G7" s="8" t="s">
        <v>14</v>
      </c>
      <c r="H7" s="8" t="s">
        <v>15</v>
      </c>
      <c r="I7" s="8" t="s">
        <v>16</v>
      </c>
      <c r="J7" s="8" t="s">
        <v>17</v>
      </c>
      <c r="K7" s="8" t="s">
        <v>18</v>
      </c>
      <c r="L7" s="84"/>
    </row>
    <row r="8" spans="1:14" s="15" customFormat="1" ht="20.25" customHeight="1" x14ac:dyDescent="0.15">
      <c r="A8" s="60" t="s">
        <v>2403</v>
      </c>
      <c r="B8" s="9" t="s">
        <v>1304</v>
      </c>
      <c r="C8" s="58" t="s">
        <v>29</v>
      </c>
      <c r="D8" s="11" t="s">
        <v>1305</v>
      </c>
      <c r="E8" s="10">
        <v>28</v>
      </c>
      <c r="F8" s="58"/>
      <c r="G8" s="12">
        <v>1800</v>
      </c>
      <c r="H8" s="12">
        <v>1635</v>
      </c>
      <c r="I8" s="17">
        <v>3</v>
      </c>
      <c r="J8" s="18">
        <v>3</v>
      </c>
      <c r="K8" s="19">
        <f>+M8*N8</f>
        <v>96.049800000000005</v>
      </c>
      <c r="L8" s="14"/>
      <c r="M8" s="15">
        <v>8.82</v>
      </c>
      <c r="N8" s="15">
        <v>10.89</v>
      </c>
    </row>
    <row r="9" spans="1:14" s="15" customFormat="1" ht="20.25" customHeight="1" x14ac:dyDescent="0.15">
      <c r="A9" s="60"/>
      <c r="B9" s="9"/>
      <c r="C9" s="58" t="s">
        <v>29</v>
      </c>
      <c r="D9" s="11" t="s">
        <v>1306</v>
      </c>
      <c r="E9" s="10">
        <v>28</v>
      </c>
      <c r="F9" s="58" t="s">
        <v>11</v>
      </c>
      <c r="G9" s="12">
        <v>1800</v>
      </c>
      <c r="H9" s="12">
        <v>1635</v>
      </c>
      <c r="I9" s="17" t="s">
        <v>577</v>
      </c>
      <c r="J9" s="18">
        <v>3</v>
      </c>
      <c r="K9" s="19">
        <f t="shared" ref="K9:K22" si="0">+M9*N9</f>
        <v>79.823700000000002</v>
      </c>
      <c r="L9" s="14"/>
      <c r="M9" s="15">
        <v>7.33</v>
      </c>
      <c r="N9" s="15">
        <v>10.89</v>
      </c>
    </row>
    <row r="10" spans="1:14" s="15" customFormat="1" ht="20.25" customHeight="1" x14ac:dyDescent="0.15">
      <c r="A10" s="60" t="s">
        <v>2411</v>
      </c>
      <c r="B10" s="9" t="s">
        <v>1304</v>
      </c>
      <c r="C10" s="58" t="s">
        <v>29</v>
      </c>
      <c r="D10" s="11" t="s">
        <v>1305</v>
      </c>
      <c r="E10" s="10">
        <v>28</v>
      </c>
      <c r="F10" s="58"/>
      <c r="G10" s="12">
        <v>1800</v>
      </c>
      <c r="H10" s="12">
        <v>1125</v>
      </c>
      <c r="I10" s="17" t="s">
        <v>1108</v>
      </c>
      <c r="J10" s="18">
        <v>10</v>
      </c>
      <c r="K10" s="19">
        <f t="shared" si="0"/>
        <v>188.39700000000002</v>
      </c>
      <c r="L10" s="14"/>
      <c r="M10" s="15">
        <v>17.3</v>
      </c>
      <c r="N10" s="15">
        <v>10.89</v>
      </c>
    </row>
    <row r="11" spans="1:14" s="15" customFormat="1" ht="20.25" customHeight="1" x14ac:dyDescent="0.15">
      <c r="A11" s="60"/>
      <c r="B11" s="9"/>
      <c r="C11" s="58" t="s">
        <v>29</v>
      </c>
      <c r="D11" s="11" t="s">
        <v>1306</v>
      </c>
      <c r="E11" s="10">
        <v>28</v>
      </c>
      <c r="F11" s="58" t="s">
        <v>11</v>
      </c>
      <c r="G11" s="12">
        <v>1800</v>
      </c>
      <c r="H11" s="12">
        <v>1635</v>
      </c>
      <c r="I11" s="17" t="s">
        <v>659</v>
      </c>
      <c r="J11" s="18">
        <v>5</v>
      </c>
      <c r="K11" s="19">
        <f t="shared" si="0"/>
        <v>115.434</v>
      </c>
      <c r="L11" s="14"/>
      <c r="M11" s="15">
        <v>10.6</v>
      </c>
      <c r="N11" s="15">
        <v>10.89</v>
      </c>
    </row>
    <row r="12" spans="1:14" s="15" customFormat="1" ht="20.25" customHeight="1" x14ac:dyDescent="0.15">
      <c r="A12" s="60"/>
      <c r="B12" s="9"/>
      <c r="C12" s="58" t="s">
        <v>29</v>
      </c>
      <c r="D12" s="11" t="s">
        <v>1316</v>
      </c>
      <c r="E12" s="10">
        <v>28</v>
      </c>
      <c r="F12" s="58" t="s">
        <v>11</v>
      </c>
      <c r="G12" s="12">
        <v>1800</v>
      </c>
      <c r="H12" s="12">
        <v>1635</v>
      </c>
      <c r="I12" s="17">
        <v>2</v>
      </c>
      <c r="J12" s="18">
        <v>2</v>
      </c>
      <c r="K12" s="19">
        <f t="shared" si="0"/>
        <v>64.033200000000008</v>
      </c>
      <c r="L12" s="14"/>
      <c r="M12" s="15">
        <v>5.88</v>
      </c>
      <c r="N12" s="15">
        <v>10.89</v>
      </c>
    </row>
    <row r="13" spans="1:14" s="15" customFormat="1" ht="20.25" customHeight="1" x14ac:dyDescent="0.15">
      <c r="A13" s="60" t="s">
        <v>2491</v>
      </c>
      <c r="B13" s="9" t="s">
        <v>1304</v>
      </c>
      <c r="C13" s="58" t="s">
        <v>29</v>
      </c>
      <c r="D13" s="11" t="s">
        <v>1305</v>
      </c>
      <c r="E13" s="10">
        <v>28</v>
      </c>
      <c r="F13" s="58"/>
      <c r="G13" s="12">
        <v>1800</v>
      </c>
      <c r="H13" s="12">
        <v>1637</v>
      </c>
      <c r="I13" s="17" t="s">
        <v>2492</v>
      </c>
      <c r="J13" s="18">
        <f>6+65</f>
        <v>71</v>
      </c>
      <c r="K13" s="19">
        <f t="shared" si="0"/>
        <v>1252.0233000000001</v>
      </c>
      <c r="L13" s="14"/>
      <c r="M13" s="15">
        <v>114.97</v>
      </c>
      <c r="N13" s="15">
        <v>10.89</v>
      </c>
    </row>
    <row r="14" spans="1:14" s="15" customFormat="1" ht="20.25" customHeight="1" x14ac:dyDescent="0.15">
      <c r="A14" s="60"/>
      <c r="B14" s="9"/>
      <c r="C14" s="58" t="s">
        <v>29</v>
      </c>
      <c r="D14" s="11" t="s">
        <v>1306</v>
      </c>
      <c r="E14" s="10">
        <v>28</v>
      </c>
      <c r="F14" s="58" t="s">
        <v>11</v>
      </c>
      <c r="G14" s="12">
        <v>1800</v>
      </c>
      <c r="H14" s="12">
        <v>805</v>
      </c>
      <c r="I14" s="17" t="s">
        <v>2493</v>
      </c>
      <c r="J14" s="18">
        <v>50</v>
      </c>
      <c r="K14" s="19">
        <f t="shared" si="0"/>
        <v>410.98860000000002</v>
      </c>
      <c r="L14" s="20"/>
      <c r="M14" s="15">
        <v>37.74</v>
      </c>
      <c r="N14" s="15">
        <v>10.89</v>
      </c>
    </row>
    <row r="15" spans="1:14" s="15" customFormat="1" ht="20.25" customHeight="1" x14ac:dyDescent="0.15">
      <c r="A15" s="60"/>
      <c r="B15" s="9"/>
      <c r="C15" s="58" t="s">
        <v>29</v>
      </c>
      <c r="D15" s="11" t="s">
        <v>1316</v>
      </c>
      <c r="E15" s="10">
        <v>28</v>
      </c>
      <c r="F15" s="58" t="s">
        <v>11</v>
      </c>
      <c r="G15" s="12">
        <v>1800</v>
      </c>
      <c r="H15" s="12">
        <v>1635</v>
      </c>
      <c r="I15" s="17" t="s">
        <v>2494</v>
      </c>
      <c r="J15" s="18">
        <v>35</v>
      </c>
      <c r="K15" s="19">
        <f t="shared" si="0"/>
        <v>997.08840000000009</v>
      </c>
      <c r="L15" s="20"/>
      <c r="M15" s="15">
        <v>91.56</v>
      </c>
      <c r="N15" s="15">
        <v>10.89</v>
      </c>
    </row>
    <row r="16" spans="1:14" s="15" customFormat="1" ht="20.25" customHeight="1" x14ac:dyDescent="0.15">
      <c r="A16" s="60" t="s">
        <v>2495</v>
      </c>
      <c r="B16" s="9" t="s">
        <v>131</v>
      </c>
      <c r="C16" s="58" t="s">
        <v>29</v>
      </c>
      <c r="D16" s="11" t="s">
        <v>155</v>
      </c>
      <c r="E16" s="10">
        <v>22</v>
      </c>
      <c r="F16" s="58" t="s">
        <v>11</v>
      </c>
      <c r="G16" s="12">
        <v>1421</v>
      </c>
      <c r="H16" s="12">
        <v>1763</v>
      </c>
      <c r="I16" s="17" t="s">
        <v>2496</v>
      </c>
      <c r="J16" s="18">
        <f>8+114</f>
        <v>122</v>
      </c>
      <c r="K16" s="19">
        <f t="shared" si="0"/>
        <v>1106.2062000000001</v>
      </c>
      <c r="L16" s="20"/>
      <c r="M16" s="15">
        <v>101.58</v>
      </c>
      <c r="N16" s="15">
        <v>10.89</v>
      </c>
    </row>
    <row r="17" spans="1:14" s="15" customFormat="1" ht="20.25" customHeight="1" x14ac:dyDescent="0.15">
      <c r="A17" s="60"/>
      <c r="B17" s="9"/>
      <c r="C17" s="58" t="s">
        <v>29</v>
      </c>
      <c r="D17" s="11" t="s">
        <v>156</v>
      </c>
      <c r="E17" s="10">
        <v>22</v>
      </c>
      <c r="F17" s="58" t="s">
        <v>11</v>
      </c>
      <c r="G17" s="12">
        <v>1421</v>
      </c>
      <c r="H17" s="12">
        <v>1763</v>
      </c>
      <c r="I17" s="17" t="s">
        <v>1156</v>
      </c>
      <c r="J17" s="18">
        <f>8+46</f>
        <v>54</v>
      </c>
      <c r="K17" s="19">
        <f t="shared" si="0"/>
        <v>813.48300000000006</v>
      </c>
      <c r="L17" s="20"/>
      <c r="M17" s="15">
        <v>74.7</v>
      </c>
      <c r="N17" s="15">
        <v>10.89</v>
      </c>
    </row>
    <row r="18" spans="1:14" s="15" customFormat="1" ht="20.25" customHeight="1" x14ac:dyDescent="0.15">
      <c r="A18" s="60" t="s">
        <v>2427</v>
      </c>
      <c r="B18" s="9" t="s">
        <v>138</v>
      </c>
      <c r="C18" s="58" t="s">
        <v>29</v>
      </c>
      <c r="D18" s="11" t="s">
        <v>403</v>
      </c>
      <c r="E18" s="10">
        <v>24</v>
      </c>
      <c r="F18" s="58" t="s">
        <v>11</v>
      </c>
      <c r="G18" s="12">
        <v>1662</v>
      </c>
      <c r="H18" s="12">
        <v>1890</v>
      </c>
      <c r="I18" s="17">
        <v>10</v>
      </c>
      <c r="J18" s="18">
        <v>10</v>
      </c>
      <c r="K18" s="19">
        <f t="shared" si="0"/>
        <v>341.94600000000003</v>
      </c>
      <c r="L18" s="20"/>
      <c r="M18" s="15">
        <v>31.4</v>
      </c>
      <c r="N18" s="15">
        <v>10.89</v>
      </c>
    </row>
    <row r="19" spans="1:14" s="15" customFormat="1" ht="20.25" customHeight="1" x14ac:dyDescent="0.15">
      <c r="A19" s="60" t="s">
        <v>2447</v>
      </c>
      <c r="B19" s="9" t="s">
        <v>138</v>
      </c>
      <c r="C19" s="58" t="s">
        <v>29</v>
      </c>
      <c r="D19" s="11" t="s">
        <v>403</v>
      </c>
      <c r="E19" s="10">
        <v>24</v>
      </c>
      <c r="F19" s="58" t="s">
        <v>11</v>
      </c>
      <c r="G19" s="12">
        <v>1662</v>
      </c>
      <c r="H19" s="12">
        <v>1890</v>
      </c>
      <c r="I19" s="17">
        <v>15</v>
      </c>
      <c r="J19" s="18">
        <v>15</v>
      </c>
      <c r="K19" s="19">
        <f t="shared" si="0"/>
        <v>512.9190000000001</v>
      </c>
      <c r="L19" s="20"/>
      <c r="M19" s="15">
        <v>47.1</v>
      </c>
      <c r="N19" s="15">
        <v>10.89</v>
      </c>
    </row>
    <row r="20" spans="1:14" s="15" customFormat="1" ht="20.25" customHeight="1" x14ac:dyDescent="0.15">
      <c r="A20" s="60"/>
      <c r="B20" s="9"/>
      <c r="C20" s="58"/>
      <c r="D20" s="11"/>
      <c r="E20" s="10"/>
      <c r="F20" s="58"/>
      <c r="G20" s="50"/>
      <c r="H20" s="50"/>
      <c r="I20" s="17"/>
      <c r="J20" s="18"/>
      <c r="K20" s="19">
        <f t="shared" si="0"/>
        <v>0</v>
      </c>
      <c r="L20" s="20"/>
      <c r="N20" s="15">
        <v>10.89</v>
      </c>
    </row>
    <row r="21" spans="1:14" s="15" customFormat="1" ht="20.25" customHeight="1" x14ac:dyDescent="0.15">
      <c r="A21" s="60"/>
      <c r="B21" s="9"/>
      <c r="C21" s="58"/>
      <c r="D21" s="11"/>
      <c r="E21" s="10"/>
      <c r="F21" s="58"/>
      <c r="G21" s="50"/>
      <c r="H21" s="50"/>
      <c r="I21" s="17"/>
      <c r="J21" s="18"/>
      <c r="K21" s="19">
        <f t="shared" si="0"/>
        <v>0</v>
      </c>
      <c r="L21" s="20"/>
      <c r="N21" s="15">
        <v>10.89</v>
      </c>
    </row>
    <row r="22" spans="1:14" ht="20.25" customHeight="1" x14ac:dyDescent="0.15">
      <c r="A22" s="60"/>
      <c r="B22" s="9"/>
      <c r="C22" s="58"/>
      <c r="D22" s="11"/>
      <c r="E22" s="10"/>
      <c r="F22" s="58"/>
      <c r="G22" s="16"/>
      <c r="H22" s="16"/>
      <c r="I22" s="17"/>
      <c r="J22" s="18"/>
      <c r="K22" s="19">
        <f t="shared" si="0"/>
        <v>0</v>
      </c>
      <c r="L22" s="20"/>
      <c r="N22" s="15">
        <v>10.89</v>
      </c>
    </row>
    <row r="23" spans="1:14" ht="20.25" customHeight="1" thickBot="1" x14ac:dyDescent="0.2">
      <c r="A23" s="56"/>
      <c r="B23" s="21"/>
      <c r="C23" s="59"/>
      <c r="D23" s="22"/>
      <c r="E23" s="23"/>
      <c r="F23" s="23"/>
      <c r="G23" s="24"/>
      <c r="H23" s="24"/>
      <c r="I23" s="25"/>
      <c r="J23" s="46">
        <f>SUM(J8:J22)</f>
        <v>380</v>
      </c>
      <c r="K23" s="47">
        <f>SUM(K8:K22)</f>
        <v>5978.3922000000002</v>
      </c>
      <c r="L23" s="26"/>
    </row>
    <row r="24" spans="1:14" ht="20.25" customHeight="1" thickTop="1" x14ac:dyDescent="0.15">
      <c r="A24" s="60" t="s">
        <v>2436</v>
      </c>
      <c r="B24" s="9" t="s">
        <v>2422</v>
      </c>
      <c r="C24" s="58" t="s">
        <v>29</v>
      </c>
      <c r="D24" s="11" t="s">
        <v>2423</v>
      </c>
      <c r="E24" s="10">
        <v>24</v>
      </c>
      <c r="F24" s="10" t="s">
        <v>11</v>
      </c>
      <c r="G24" s="12">
        <v>980</v>
      </c>
      <c r="H24" s="12">
        <v>2335</v>
      </c>
      <c r="I24" s="17" t="s">
        <v>659</v>
      </c>
      <c r="J24" s="18">
        <v>5</v>
      </c>
      <c r="K24" s="19">
        <f t="shared" ref="K24:K40" si="1">+M24*N24</f>
        <v>68.498100000000008</v>
      </c>
      <c r="L24" s="54"/>
      <c r="M24" s="3">
        <v>6.29</v>
      </c>
      <c r="N24" s="15">
        <v>10.89</v>
      </c>
    </row>
    <row r="25" spans="1:14" ht="20.25" customHeight="1" x14ac:dyDescent="0.15">
      <c r="A25" s="60" t="s">
        <v>2421</v>
      </c>
      <c r="B25" s="9" t="s">
        <v>2422</v>
      </c>
      <c r="C25" s="58" t="s">
        <v>29</v>
      </c>
      <c r="D25" s="11" t="s">
        <v>2423</v>
      </c>
      <c r="E25" s="10">
        <v>24</v>
      </c>
      <c r="F25" s="10" t="s">
        <v>11</v>
      </c>
      <c r="G25" s="12">
        <v>985</v>
      </c>
      <c r="H25" s="12">
        <v>1715</v>
      </c>
      <c r="I25" s="17" t="s">
        <v>337</v>
      </c>
      <c r="J25" s="18">
        <v>2</v>
      </c>
      <c r="K25" s="19">
        <f t="shared" si="1"/>
        <v>31.7988</v>
      </c>
      <c r="L25" s="54"/>
      <c r="M25" s="3">
        <v>2.92</v>
      </c>
      <c r="N25" s="15">
        <v>10.89</v>
      </c>
    </row>
    <row r="26" spans="1:14" ht="20.25" customHeight="1" x14ac:dyDescent="0.15">
      <c r="A26" s="61" t="s">
        <v>2497</v>
      </c>
      <c r="B26" s="9" t="s">
        <v>131</v>
      </c>
      <c r="C26" s="58" t="s">
        <v>29</v>
      </c>
      <c r="D26" s="11" t="s">
        <v>155</v>
      </c>
      <c r="E26" s="10">
        <v>22</v>
      </c>
      <c r="F26" s="10" t="s">
        <v>11</v>
      </c>
      <c r="G26" s="12">
        <v>1421</v>
      </c>
      <c r="H26" s="12">
        <v>1763</v>
      </c>
      <c r="I26" s="17" t="s">
        <v>2498</v>
      </c>
      <c r="J26" s="18">
        <v>39</v>
      </c>
      <c r="K26" s="19">
        <f t="shared" si="1"/>
        <v>724.94729999999993</v>
      </c>
      <c r="L26" s="54"/>
      <c r="M26" s="3">
        <v>66.569999999999993</v>
      </c>
      <c r="N26" s="15">
        <v>10.89</v>
      </c>
    </row>
    <row r="27" spans="1:14" ht="20.25" customHeight="1" x14ac:dyDescent="0.15">
      <c r="A27" s="61"/>
      <c r="B27" s="9"/>
      <c r="C27" s="58" t="s">
        <v>29</v>
      </c>
      <c r="D27" s="11" t="s">
        <v>156</v>
      </c>
      <c r="E27" s="10">
        <v>22</v>
      </c>
      <c r="F27" s="10" t="s">
        <v>11</v>
      </c>
      <c r="G27" s="12">
        <v>1421</v>
      </c>
      <c r="H27" s="12">
        <v>1763</v>
      </c>
      <c r="I27" s="17" t="s">
        <v>1697</v>
      </c>
      <c r="J27" s="18">
        <f>9+114</f>
        <v>123</v>
      </c>
      <c r="K27" s="19">
        <f t="shared" si="1"/>
        <v>1157.4981</v>
      </c>
      <c r="L27" s="54"/>
      <c r="M27" s="3">
        <v>106.29</v>
      </c>
      <c r="N27" s="15">
        <v>10.89</v>
      </c>
    </row>
    <row r="28" spans="1:14" ht="20.25" customHeight="1" x14ac:dyDescent="0.15">
      <c r="A28" s="61" t="s">
        <v>2480</v>
      </c>
      <c r="B28" s="9" t="s">
        <v>2457</v>
      </c>
      <c r="C28" s="58" t="s">
        <v>29</v>
      </c>
      <c r="D28" s="11" t="s">
        <v>2458</v>
      </c>
      <c r="E28" s="10">
        <v>22</v>
      </c>
      <c r="F28" s="10" t="s">
        <v>11</v>
      </c>
      <c r="G28" s="12">
        <v>461</v>
      </c>
      <c r="H28" s="12">
        <v>175</v>
      </c>
      <c r="I28" s="17">
        <v>20</v>
      </c>
      <c r="J28" s="18">
        <v>20</v>
      </c>
      <c r="K28" s="19">
        <f t="shared" si="1"/>
        <v>60.984000000000002</v>
      </c>
      <c r="L28" s="54"/>
      <c r="M28" s="3">
        <v>5.6</v>
      </c>
      <c r="N28" s="15">
        <v>10.89</v>
      </c>
    </row>
    <row r="29" spans="1:14" ht="20.25" customHeight="1" x14ac:dyDescent="0.15">
      <c r="A29" s="61"/>
      <c r="B29" s="9"/>
      <c r="C29" s="58" t="s">
        <v>29</v>
      </c>
      <c r="D29" s="11" t="s">
        <v>849</v>
      </c>
      <c r="E29" s="10">
        <v>22</v>
      </c>
      <c r="F29" s="10" t="s">
        <v>11</v>
      </c>
      <c r="G29" s="12">
        <v>461</v>
      </c>
      <c r="H29" s="12">
        <v>175</v>
      </c>
      <c r="I29" s="51">
        <v>20</v>
      </c>
      <c r="J29" s="52">
        <v>20</v>
      </c>
      <c r="K29" s="53">
        <f t="shared" si="1"/>
        <v>60.984000000000002</v>
      </c>
      <c r="L29" s="54"/>
      <c r="M29" s="3">
        <v>5.6</v>
      </c>
      <c r="N29" s="15">
        <v>10.89</v>
      </c>
    </row>
    <row r="30" spans="1:14" ht="20.25" customHeight="1" x14ac:dyDescent="0.15">
      <c r="A30" s="61" t="s">
        <v>2499</v>
      </c>
      <c r="B30" s="9" t="s">
        <v>2457</v>
      </c>
      <c r="C30" s="58" t="s">
        <v>29</v>
      </c>
      <c r="D30" s="11" t="s">
        <v>2458</v>
      </c>
      <c r="E30" s="10">
        <v>22</v>
      </c>
      <c r="F30" s="10" t="s">
        <v>11</v>
      </c>
      <c r="G30" s="12">
        <v>1428</v>
      </c>
      <c r="H30" s="12">
        <v>1973</v>
      </c>
      <c r="I30" s="51" t="s">
        <v>1311</v>
      </c>
      <c r="J30" s="52">
        <v>88</v>
      </c>
      <c r="K30" s="53">
        <f t="shared" si="1"/>
        <v>1203.9984000000002</v>
      </c>
      <c r="L30" s="54"/>
      <c r="M30" s="3">
        <v>110.56</v>
      </c>
      <c r="N30" s="15">
        <v>10.89</v>
      </c>
    </row>
    <row r="31" spans="1:14" ht="20.25" customHeight="1" x14ac:dyDescent="0.15">
      <c r="A31" s="60"/>
      <c r="B31" s="9"/>
      <c r="C31" s="58" t="s">
        <v>29</v>
      </c>
      <c r="D31" s="11" t="s">
        <v>849</v>
      </c>
      <c r="E31" s="10">
        <v>22</v>
      </c>
      <c r="F31" s="10" t="s">
        <v>11</v>
      </c>
      <c r="G31" s="12">
        <v>1428</v>
      </c>
      <c r="H31" s="12">
        <v>1973</v>
      </c>
      <c r="I31" s="17" t="s">
        <v>1311</v>
      </c>
      <c r="J31" s="18">
        <v>88</v>
      </c>
      <c r="K31" s="19">
        <f t="shared" si="1"/>
        <v>1203.9984000000002</v>
      </c>
      <c r="L31" s="27"/>
      <c r="M31" s="3">
        <v>110.56</v>
      </c>
      <c r="N31" s="15">
        <v>10.89</v>
      </c>
    </row>
    <row r="32" spans="1:14" ht="20.25" customHeight="1" x14ac:dyDescent="0.15">
      <c r="A32" s="60"/>
      <c r="B32" s="9"/>
      <c r="C32" s="58" t="s">
        <v>29</v>
      </c>
      <c r="D32" s="11" t="s">
        <v>2459</v>
      </c>
      <c r="E32" s="10">
        <v>22</v>
      </c>
      <c r="F32" s="10"/>
      <c r="G32" s="12">
        <v>614</v>
      </c>
      <c r="H32" s="12">
        <v>1973</v>
      </c>
      <c r="I32" s="17" t="s">
        <v>2363</v>
      </c>
      <c r="J32" s="18">
        <v>24</v>
      </c>
      <c r="K32" s="19">
        <f t="shared" si="1"/>
        <v>154.20240000000001</v>
      </c>
      <c r="L32" s="27"/>
      <c r="M32" s="3">
        <v>14.16</v>
      </c>
      <c r="N32" s="15">
        <v>10.89</v>
      </c>
    </row>
    <row r="33" spans="1:14" ht="20.25" customHeight="1" x14ac:dyDescent="0.15">
      <c r="A33" s="60" t="s">
        <v>2500</v>
      </c>
      <c r="B33" s="9" t="s">
        <v>183</v>
      </c>
      <c r="C33" s="58" t="s">
        <v>29</v>
      </c>
      <c r="D33" s="11" t="s">
        <v>2501</v>
      </c>
      <c r="E33" s="10">
        <v>43</v>
      </c>
      <c r="F33" s="10" t="s">
        <v>11</v>
      </c>
      <c r="G33" s="12">
        <v>935</v>
      </c>
      <c r="H33" s="12">
        <v>2180</v>
      </c>
      <c r="I33" s="17" t="s">
        <v>638</v>
      </c>
      <c r="J33" s="18">
        <v>12</v>
      </c>
      <c r="K33" s="19">
        <f t="shared" si="1"/>
        <v>217.8</v>
      </c>
      <c r="L33" s="27"/>
      <c r="M33" s="3">
        <v>20</v>
      </c>
      <c r="N33" s="15">
        <v>10.89</v>
      </c>
    </row>
    <row r="34" spans="1:14" ht="20.25" customHeight="1" x14ac:dyDescent="0.15">
      <c r="A34" s="60" t="s">
        <v>2487</v>
      </c>
      <c r="B34" s="9" t="s">
        <v>1904</v>
      </c>
      <c r="C34" s="58" t="s">
        <v>29</v>
      </c>
      <c r="D34" s="11" t="s">
        <v>2490</v>
      </c>
      <c r="E34" s="10">
        <v>22</v>
      </c>
      <c r="F34" s="10"/>
      <c r="G34" s="12">
        <v>252</v>
      </c>
      <c r="H34" s="12">
        <v>760</v>
      </c>
      <c r="I34" s="17">
        <v>1</v>
      </c>
      <c r="J34" s="18">
        <v>1</v>
      </c>
      <c r="K34" s="19">
        <f t="shared" si="1"/>
        <v>3.0492000000000004</v>
      </c>
      <c r="L34" s="27"/>
      <c r="M34" s="3">
        <v>0.28000000000000003</v>
      </c>
      <c r="N34" s="15">
        <v>10.89</v>
      </c>
    </row>
    <row r="35" spans="1:14" ht="20.25" customHeight="1" x14ac:dyDescent="0.15">
      <c r="A35" s="60" t="s">
        <v>2502</v>
      </c>
      <c r="B35" s="9" t="s">
        <v>2457</v>
      </c>
      <c r="C35" s="58" t="s">
        <v>29</v>
      </c>
      <c r="D35" s="11" t="s">
        <v>2458</v>
      </c>
      <c r="E35" s="10">
        <v>22</v>
      </c>
      <c r="F35" s="10" t="s">
        <v>11</v>
      </c>
      <c r="G35" s="12">
        <v>350</v>
      </c>
      <c r="H35" s="12">
        <v>500</v>
      </c>
      <c r="I35" s="17">
        <v>1</v>
      </c>
      <c r="J35" s="18">
        <v>1</v>
      </c>
      <c r="K35" s="19">
        <f t="shared" si="1"/>
        <v>3.0492000000000004</v>
      </c>
      <c r="L35" s="27"/>
      <c r="M35" s="3">
        <v>0.28000000000000003</v>
      </c>
      <c r="N35" s="15">
        <v>10.89</v>
      </c>
    </row>
    <row r="36" spans="1:14" ht="20.25" customHeight="1" x14ac:dyDescent="0.15">
      <c r="A36" s="60"/>
      <c r="B36" s="9"/>
      <c r="C36" s="58" t="s">
        <v>29</v>
      </c>
      <c r="D36" s="11" t="s">
        <v>849</v>
      </c>
      <c r="E36" s="10">
        <v>22</v>
      </c>
      <c r="F36" s="10" t="s">
        <v>11</v>
      </c>
      <c r="G36" s="12">
        <v>350</v>
      </c>
      <c r="H36" s="12">
        <v>500</v>
      </c>
      <c r="I36" s="17">
        <v>1</v>
      </c>
      <c r="J36" s="18">
        <v>1</v>
      </c>
      <c r="K36" s="19">
        <f t="shared" si="1"/>
        <v>3.0492000000000004</v>
      </c>
      <c r="L36" s="27"/>
      <c r="M36" s="3">
        <v>0.28000000000000003</v>
      </c>
      <c r="N36" s="15">
        <v>10.89</v>
      </c>
    </row>
    <row r="37" spans="1:14" ht="20.25" customHeight="1" x14ac:dyDescent="0.15">
      <c r="A37" s="60"/>
      <c r="B37" s="9"/>
      <c r="C37" s="58" t="s">
        <v>29</v>
      </c>
      <c r="D37" s="11" t="s">
        <v>2459</v>
      </c>
      <c r="E37" s="10">
        <v>22</v>
      </c>
      <c r="F37" s="10"/>
      <c r="G37" s="12">
        <v>350</v>
      </c>
      <c r="H37" s="12">
        <v>500</v>
      </c>
      <c r="I37" s="17">
        <v>1</v>
      </c>
      <c r="J37" s="18">
        <v>1</v>
      </c>
      <c r="K37" s="19">
        <f t="shared" si="1"/>
        <v>3.0492000000000004</v>
      </c>
      <c r="L37" s="27"/>
      <c r="M37" s="3">
        <v>0.28000000000000003</v>
      </c>
      <c r="N37" s="15">
        <v>10.89</v>
      </c>
    </row>
    <row r="38" spans="1:14" s="15" customFormat="1" ht="20.25" customHeight="1" x14ac:dyDescent="0.15">
      <c r="A38" s="60" t="s">
        <v>2503</v>
      </c>
      <c r="B38" s="9" t="s">
        <v>2422</v>
      </c>
      <c r="C38" s="58" t="s">
        <v>29</v>
      </c>
      <c r="D38" s="11" t="s">
        <v>2423</v>
      </c>
      <c r="E38" s="10">
        <v>24</v>
      </c>
      <c r="F38" s="58" t="s">
        <v>11</v>
      </c>
      <c r="G38" s="12">
        <v>980</v>
      </c>
      <c r="H38" s="12">
        <v>1875</v>
      </c>
      <c r="I38" s="17" t="s">
        <v>337</v>
      </c>
      <c r="J38" s="18">
        <v>2</v>
      </c>
      <c r="K38" s="19">
        <f>+M38*N38</f>
        <v>34.521300000000004</v>
      </c>
      <c r="L38" s="14"/>
      <c r="M38" s="15">
        <v>3.17</v>
      </c>
      <c r="N38" s="15">
        <v>10.89</v>
      </c>
    </row>
    <row r="39" spans="1:14" ht="20.25" customHeight="1" x14ac:dyDescent="0.15">
      <c r="A39" s="60" t="s">
        <v>2504</v>
      </c>
      <c r="B39" s="9" t="s">
        <v>2422</v>
      </c>
      <c r="C39" s="58" t="s">
        <v>29</v>
      </c>
      <c r="D39" s="11" t="s">
        <v>2423</v>
      </c>
      <c r="E39" s="10">
        <v>24</v>
      </c>
      <c r="F39" s="10" t="s">
        <v>11</v>
      </c>
      <c r="G39" s="12">
        <v>1005</v>
      </c>
      <c r="H39" s="12">
        <v>1715</v>
      </c>
      <c r="I39" s="17">
        <v>1</v>
      </c>
      <c r="J39" s="18">
        <v>1</v>
      </c>
      <c r="K39" s="19">
        <f t="shared" si="1"/>
        <v>18.730800000000002</v>
      </c>
      <c r="L39" s="27"/>
      <c r="M39" s="3">
        <v>1.72</v>
      </c>
      <c r="N39" s="15">
        <v>10.89</v>
      </c>
    </row>
    <row r="40" spans="1:14" ht="20.25" customHeight="1" x14ac:dyDescent="0.15">
      <c r="A40" s="60"/>
      <c r="B40" s="9"/>
      <c r="C40" s="58"/>
      <c r="D40" s="11"/>
      <c r="E40" s="10"/>
      <c r="F40" s="10"/>
      <c r="G40" s="12"/>
      <c r="H40" s="12"/>
      <c r="I40" s="17"/>
      <c r="J40" s="18"/>
      <c r="K40" s="19">
        <f t="shared" si="1"/>
        <v>0</v>
      </c>
      <c r="L40" s="27"/>
      <c r="N40" s="15">
        <v>10.89</v>
      </c>
    </row>
    <row r="41" spans="1:14" ht="20.25" customHeight="1" x14ac:dyDescent="0.15">
      <c r="A41" s="57"/>
      <c r="B41" s="28"/>
      <c r="C41" s="10"/>
      <c r="D41" s="29"/>
      <c r="E41" s="30"/>
      <c r="F41" s="30"/>
      <c r="G41" s="30"/>
      <c r="H41" s="30"/>
      <c r="I41" s="13"/>
      <c r="J41" s="48">
        <f>SUM(J24:J40)</f>
        <v>428</v>
      </c>
      <c r="K41" s="49">
        <f>SUM(K24:K40)</f>
        <v>4950.158400000003</v>
      </c>
      <c r="L41" s="31"/>
      <c r="N41" s="32"/>
    </row>
    <row r="42" spans="1:14" ht="20.25" customHeight="1" thickBot="1" x14ac:dyDescent="0.2">
      <c r="A42" s="55"/>
      <c r="B42" s="33"/>
      <c r="C42" s="33"/>
      <c r="D42" s="33"/>
      <c r="E42" s="33"/>
      <c r="F42" s="33"/>
      <c r="G42" s="33"/>
      <c r="H42" s="33"/>
      <c r="I42" s="33"/>
      <c r="J42" s="34"/>
      <c r="K42" s="35"/>
      <c r="L42" s="36"/>
    </row>
    <row r="43" spans="1:14" ht="20.25" customHeight="1" thickBot="1" x14ac:dyDescent="0.2">
      <c r="A43" s="37" t="s">
        <v>19</v>
      </c>
      <c r="B43" s="38" t="s">
        <v>20</v>
      </c>
      <c r="C43" s="77" t="s">
        <v>21</v>
      </c>
      <c r="D43" s="79"/>
      <c r="E43" s="77" t="s">
        <v>22</v>
      </c>
      <c r="F43" s="78"/>
      <c r="G43" s="79"/>
      <c r="H43" s="85" t="s">
        <v>23</v>
      </c>
      <c r="I43" s="86"/>
      <c r="J43" s="77" t="s">
        <v>24</v>
      </c>
      <c r="K43" s="79"/>
      <c r="L43" s="39" t="s">
        <v>13</v>
      </c>
    </row>
    <row r="44" spans="1:14" ht="20.25" customHeight="1" thickBot="1" x14ac:dyDescent="0.2">
      <c r="A44" s="40">
        <f>SUMIF($C$8:$C$42,"U1",$J$8:$J$42)</f>
        <v>0</v>
      </c>
      <c r="B44" s="41">
        <f>SUMIF($C$8:$C$42,"U2",$J$8:$J$42)</f>
        <v>0</v>
      </c>
      <c r="C44" s="77">
        <f>SUMIF($C$8:$C$42,"U3-1",$J$8:$J$42)</f>
        <v>0</v>
      </c>
      <c r="D44" s="79"/>
      <c r="E44" s="77">
        <f>SUMIF($C$8:$C$42,"U3",$J$8:$J$42)</f>
        <v>808</v>
      </c>
      <c r="F44" s="78"/>
      <c r="G44" s="79"/>
      <c r="H44" s="77">
        <f>SUMIF($C$8:$C$42,"E5",$J$8:$J$42)</f>
        <v>0</v>
      </c>
      <c r="I44" s="79"/>
      <c r="J44" s="77">
        <f>SUM(A44:I44)</f>
        <v>808</v>
      </c>
      <c r="K44" s="79"/>
      <c r="L44" s="42"/>
    </row>
    <row r="45" spans="1:14" ht="20.25" customHeight="1" thickBot="1" x14ac:dyDescent="0.2">
      <c r="A45" s="43" t="s">
        <v>25</v>
      </c>
      <c r="B45" s="44" t="s">
        <v>26</v>
      </c>
      <c r="C45" s="75">
        <v>13876</v>
      </c>
      <c r="D45" s="76"/>
      <c r="E45" s="77" t="s">
        <v>27</v>
      </c>
      <c r="F45" s="78"/>
      <c r="G45" s="78"/>
      <c r="H45" s="78"/>
      <c r="I45" s="79"/>
      <c r="J45" s="80">
        <v>146744.37</v>
      </c>
      <c r="K45" s="81"/>
      <c r="L45" s="82"/>
    </row>
    <row r="47" spans="1:14" x14ac:dyDescent="0.15">
      <c r="D47" s="45"/>
    </row>
  </sheetData>
  <mergeCells count="26">
    <mergeCell ref="C45:D45"/>
    <mergeCell ref="E45:I45"/>
    <mergeCell ref="J45:L45"/>
    <mergeCell ref="L6:L7"/>
    <mergeCell ref="C43:D43"/>
    <mergeCell ref="E43:G43"/>
    <mergeCell ref="H43:I43"/>
    <mergeCell ref="J43:K43"/>
    <mergeCell ref="C44:D44"/>
    <mergeCell ref="E44:G44"/>
    <mergeCell ref="H44:I44"/>
    <mergeCell ref="J44:K44"/>
    <mergeCell ref="B5:G5"/>
    <mergeCell ref="A6:A7"/>
    <mergeCell ref="B6:B7"/>
    <mergeCell ref="C6:C7"/>
    <mergeCell ref="D6:D7"/>
    <mergeCell ref="E6:E7"/>
    <mergeCell ref="F6:F7"/>
    <mergeCell ref="G6:K6"/>
    <mergeCell ref="A1:G3"/>
    <mergeCell ref="H1:H4"/>
    <mergeCell ref="I2:I4"/>
    <mergeCell ref="J2:J4"/>
    <mergeCell ref="K2:K4"/>
    <mergeCell ref="L2:L4"/>
  </mergeCells>
  <phoneticPr fontId="2" type="noConversion"/>
  <printOptions horizontalCentered="1"/>
  <pageMargins left="0.39370078740157483" right="0.39370078740157483" top="0.74803149606299213" bottom="0.19685039370078741" header="0.31496062992125984" footer="0.15748031496062992"/>
  <pageSetup paperSize="9" scale="84" orientation="portrait" r:id="rId1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70131A-DBF7-437D-8143-3E2A98B055CF}">
  <dimension ref="A1:N47"/>
  <sheetViews>
    <sheetView tabSelected="1" view="pageBreakPreview" topLeftCell="A8" zoomScaleSheetLayoutView="100" workbookViewId="0">
      <selection activeCell="D13" sqref="D13"/>
    </sheetView>
  </sheetViews>
  <sheetFormatPr defaultColWidth="8.88671875" defaultRowHeight="13.5" x14ac:dyDescent="0.15"/>
  <cols>
    <col min="1" max="1" width="8.44140625" style="3" customWidth="1"/>
    <col min="2" max="2" width="14.77734375" style="3" customWidth="1"/>
    <col min="3" max="3" width="4.109375" style="3" customWidth="1"/>
    <col min="4" max="4" width="15.21875" style="3" customWidth="1"/>
    <col min="5" max="5" width="4.44140625" style="3" customWidth="1"/>
    <col min="6" max="6" width="4" style="3" customWidth="1"/>
    <col min="7" max="7" width="5.5546875" style="3" customWidth="1"/>
    <col min="8" max="8" width="5.44140625" style="3" customWidth="1"/>
    <col min="9" max="9" width="7.88671875" style="3" customWidth="1"/>
    <col min="10" max="10" width="7.109375" style="3" customWidth="1"/>
    <col min="11" max="11" width="7.21875" style="3" customWidth="1"/>
    <col min="12" max="12" width="6.77734375" style="3" customWidth="1"/>
    <col min="13" max="16384" width="8.88671875" style="3"/>
  </cols>
  <sheetData>
    <row r="1" spans="1:14" ht="18.75" customHeight="1" x14ac:dyDescent="0.15">
      <c r="A1" s="101" t="s">
        <v>0</v>
      </c>
      <c r="B1" s="102"/>
      <c r="C1" s="102"/>
      <c r="D1" s="102"/>
      <c r="E1" s="102"/>
      <c r="F1" s="102"/>
      <c r="G1" s="103"/>
      <c r="H1" s="107" t="s">
        <v>1</v>
      </c>
      <c r="I1" s="1" t="s">
        <v>2</v>
      </c>
      <c r="J1" s="1" t="s">
        <v>2</v>
      </c>
      <c r="K1" s="1" t="s">
        <v>3</v>
      </c>
      <c r="L1" s="2" t="s">
        <v>4</v>
      </c>
    </row>
    <row r="2" spans="1:14" ht="13.5" customHeight="1" x14ac:dyDescent="0.15">
      <c r="A2" s="104"/>
      <c r="B2" s="105"/>
      <c r="C2" s="105"/>
      <c r="D2" s="105"/>
      <c r="E2" s="105"/>
      <c r="F2" s="105"/>
      <c r="G2" s="106"/>
      <c r="H2" s="108"/>
      <c r="I2" s="110"/>
      <c r="J2" s="110"/>
      <c r="K2" s="110"/>
      <c r="L2" s="98"/>
    </row>
    <row r="3" spans="1:14" ht="13.5" customHeight="1" x14ac:dyDescent="0.15">
      <c r="A3" s="104"/>
      <c r="B3" s="105"/>
      <c r="C3" s="105"/>
      <c r="D3" s="105"/>
      <c r="E3" s="105"/>
      <c r="F3" s="105"/>
      <c r="G3" s="106"/>
      <c r="H3" s="108"/>
      <c r="I3" s="108"/>
      <c r="J3" s="108"/>
      <c r="K3" s="108"/>
      <c r="L3" s="99"/>
    </row>
    <row r="4" spans="1:14" ht="33" customHeight="1" x14ac:dyDescent="0.15">
      <c r="A4" s="4"/>
      <c r="B4" s="5"/>
      <c r="C4" s="5"/>
      <c r="D4" s="5"/>
      <c r="E4" s="5"/>
      <c r="F4" s="5"/>
      <c r="G4" s="5"/>
      <c r="H4" s="109"/>
      <c r="I4" s="109"/>
      <c r="J4" s="109"/>
      <c r="K4" s="109"/>
      <c r="L4" s="100"/>
    </row>
    <row r="5" spans="1:14" ht="17.25" customHeight="1" x14ac:dyDescent="0.15">
      <c r="A5" s="6" t="s">
        <v>5</v>
      </c>
      <c r="B5" s="87">
        <v>46158</v>
      </c>
      <c r="C5" s="88"/>
      <c r="D5" s="88"/>
      <c r="E5" s="88"/>
      <c r="F5" s="88"/>
      <c r="G5" s="88"/>
      <c r="H5" s="5"/>
      <c r="I5" s="5"/>
      <c r="J5" s="5"/>
      <c r="K5" s="5"/>
      <c r="L5" s="7"/>
    </row>
    <row r="6" spans="1:14" ht="13.5" customHeight="1" x14ac:dyDescent="0.15">
      <c r="A6" s="89" t="s">
        <v>6</v>
      </c>
      <c r="B6" s="91" t="s">
        <v>7</v>
      </c>
      <c r="C6" s="91" t="s">
        <v>8</v>
      </c>
      <c r="D6" s="91" t="s">
        <v>9</v>
      </c>
      <c r="E6" s="93" t="s">
        <v>10</v>
      </c>
      <c r="F6" s="93" t="s">
        <v>11</v>
      </c>
      <c r="G6" s="95" t="s">
        <v>12</v>
      </c>
      <c r="H6" s="96"/>
      <c r="I6" s="96"/>
      <c r="J6" s="96"/>
      <c r="K6" s="97"/>
      <c r="L6" s="83" t="s">
        <v>13</v>
      </c>
    </row>
    <row r="7" spans="1:14" x14ac:dyDescent="0.15">
      <c r="A7" s="90"/>
      <c r="B7" s="92"/>
      <c r="C7" s="92"/>
      <c r="D7" s="92"/>
      <c r="E7" s="94"/>
      <c r="F7" s="94"/>
      <c r="G7" s="8" t="s">
        <v>14</v>
      </c>
      <c r="H7" s="8" t="s">
        <v>15</v>
      </c>
      <c r="I7" s="8" t="s">
        <v>16</v>
      </c>
      <c r="J7" s="8" t="s">
        <v>17</v>
      </c>
      <c r="K7" s="8" t="s">
        <v>18</v>
      </c>
      <c r="L7" s="84"/>
    </row>
    <row r="8" spans="1:14" s="15" customFormat="1" ht="20.25" customHeight="1" x14ac:dyDescent="0.15">
      <c r="A8" s="60" t="s">
        <v>2495</v>
      </c>
      <c r="B8" s="9" t="s">
        <v>131</v>
      </c>
      <c r="C8" s="58" t="s">
        <v>29</v>
      </c>
      <c r="D8" s="11" t="s">
        <v>156</v>
      </c>
      <c r="E8" s="10">
        <v>22</v>
      </c>
      <c r="F8" s="58" t="s">
        <v>11</v>
      </c>
      <c r="G8" s="12">
        <v>764</v>
      </c>
      <c r="H8" s="12">
        <v>933</v>
      </c>
      <c r="I8" s="17" t="s">
        <v>2505</v>
      </c>
      <c r="J8" s="18">
        <v>68</v>
      </c>
      <c r="K8" s="19">
        <f>+M8*N8</f>
        <v>292.72320000000002</v>
      </c>
      <c r="L8" s="14"/>
      <c r="M8" s="15">
        <v>26.88</v>
      </c>
      <c r="N8" s="15">
        <v>10.89</v>
      </c>
    </row>
    <row r="9" spans="1:14" s="15" customFormat="1" ht="20.25" customHeight="1" x14ac:dyDescent="0.15">
      <c r="A9" s="60" t="s">
        <v>2506</v>
      </c>
      <c r="B9" s="9" t="s">
        <v>131</v>
      </c>
      <c r="C9" s="58" t="s">
        <v>29</v>
      </c>
      <c r="D9" s="11" t="s">
        <v>155</v>
      </c>
      <c r="E9" s="10">
        <v>22</v>
      </c>
      <c r="F9" s="58" t="s">
        <v>11</v>
      </c>
      <c r="G9" s="12">
        <v>1421</v>
      </c>
      <c r="H9" s="12">
        <v>1763</v>
      </c>
      <c r="I9" s="17" t="s">
        <v>1941</v>
      </c>
      <c r="J9" s="18">
        <v>36</v>
      </c>
      <c r="K9" s="19">
        <f t="shared" ref="K9:K23" si="0">+M9*N9</f>
        <v>658.62720000000002</v>
      </c>
      <c r="L9" s="14"/>
      <c r="M9" s="15">
        <v>60.48</v>
      </c>
      <c r="N9" s="15">
        <v>10.89</v>
      </c>
    </row>
    <row r="10" spans="1:14" s="15" customFormat="1" ht="20.25" customHeight="1" x14ac:dyDescent="0.15">
      <c r="A10" s="60" t="s">
        <v>2507</v>
      </c>
      <c r="B10" s="9" t="s">
        <v>58</v>
      </c>
      <c r="C10" s="58" t="s">
        <v>29</v>
      </c>
      <c r="D10" s="11" t="s">
        <v>1301</v>
      </c>
      <c r="E10" s="10">
        <v>22</v>
      </c>
      <c r="F10" s="58"/>
      <c r="G10" s="12">
        <v>757</v>
      </c>
      <c r="H10" s="12">
        <v>1870</v>
      </c>
      <c r="I10" s="17">
        <v>1</v>
      </c>
      <c r="J10" s="18">
        <v>1</v>
      </c>
      <c r="K10" s="19">
        <f t="shared" si="0"/>
        <v>15.463800000000001</v>
      </c>
      <c r="L10" s="14"/>
      <c r="M10" s="15">
        <v>1.42</v>
      </c>
      <c r="N10" s="15">
        <v>10.89</v>
      </c>
    </row>
    <row r="11" spans="1:14" s="15" customFormat="1" ht="20.25" customHeight="1" x14ac:dyDescent="0.15">
      <c r="A11" s="60" t="s">
        <v>2398</v>
      </c>
      <c r="B11" s="9" t="s">
        <v>1175</v>
      </c>
      <c r="C11" s="58" t="s">
        <v>29</v>
      </c>
      <c r="D11" s="11" t="s">
        <v>2093</v>
      </c>
      <c r="E11" s="10">
        <v>24</v>
      </c>
      <c r="F11" s="58" t="s">
        <v>11</v>
      </c>
      <c r="G11" s="12">
        <v>1795</v>
      </c>
      <c r="H11" s="12">
        <v>2134</v>
      </c>
      <c r="I11" s="17" t="s">
        <v>2508</v>
      </c>
      <c r="J11" s="18">
        <v>108</v>
      </c>
      <c r="K11" s="19">
        <f t="shared" si="0"/>
        <v>1369.1997000000001</v>
      </c>
      <c r="L11" s="14"/>
      <c r="M11" s="15">
        <v>125.73</v>
      </c>
      <c r="N11" s="15">
        <v>10.89</v>
      </c>
    </row>
    <row r="12" spans="1:14" s="15" customFormat="1" ht="20.25" customHeight="1" x14ac:dyDescent="0.15">
      <c r="A12" s="60" t="s">
        <v>2509</v>
      </c>
      <c r="B12" s="9" t="s">
        <v>1175</v>
      </c>
      <c r="C12" s="58" t="s">
        <v>29</v>
      </c>
      <c r="D12" s="11" t="s">
        <v>2092</v>
      </c>
      <c r="E12" s="10">
        <v>24</v>
      </c>
      <c r="F12" s="58" t="s">
        <v>11</v>
      </c>
      <c r="G12" s="12">
        <v>1395</v>
      </c>
      <c r="H12" s="12">
        <v>525</v>
      </c>
      <c r="I12" s="17" t="s">
        <v>2510</v>
      </c>
      <c r="J12" s="18">
        <v>22</v>
      </c>
      <c r="K12" s="19">
        <f t="shared" si="0"/>
        <v>136.88730000000001</v>
      </c>
      <c r="L12" s="14"/>
      <c r="M12" s="15">
        <v>12.57</v>
      </c>
      <c r="N12" s="15">
        <v>10.89</v>
      </c>
    </row>
    <row r="13" spans="1:14" s="15" customFormat="1" ht="20.25" customHeight="1" x14ac:dyDescent="0.15">
      <c r="A13" s="60"/>
      <c r="B13" s="9"/>
      <c r="C13" s="58" t="s">
        <v>29</v>
      </c>
      <c r="D13" s="11" t="s">
        <v>2093</v>
      </c>
      <c r="E13" s="10">
        <v>24</v>
      </c>
      <c r="F13" s="58" t="s">
        <v>11</v>
      </c>
      <c r="G13" s="12">
        <v>1795</v>
      </c>
      <c r="H13" s="12">
        <v>2135</v>
      </c>
      <c r="I13" s="17" t="s">
        <v>2511</v>
      </c>
      <c r="J13" s="18">
        <v>110</v>
      </c>
      <c r="K13" s="19">
        <f t="shared" si="0"/>
        <v>1187.7723000000001</v>
      </c>
      <c r="L13" s="14"/>
      <c r="M13" s="15">
        <v>109.07</v>
      </c>
      <c r="N13" s="15">
        <v>10.89</v>
      </c>
    </row>
    <row r="14" spans="1:14" s="15" customFormat="1" ht="20.25" customHeight="1" x14ac:dyDescent="0.15">
      <c r="A14" s="60" t="s">
        <v>2512</v>
      </c>
      <c r="B14" s="9" t="s">
        <v>268</v>
      </c>
      <c r="C14" s="58" t="s">
        <v>273</v>
      </c>
      <c r="D14" s="11" t="s">
        <v>383</v>
      </c>
      <c r="E14" s="10">
        <v>16</v>
      </c>
      <c r="F14" s="58"/>
      <c r="G14" s="12">
        <v>663</v>
      </c>
      <c r="H14" s="12">
        <v>1490</v>
      </c>
      <c r="I14" s="17">
        <v>1</v>
      </c>
      <c r="J14" s="18">
        <v>1</v>
      </c>
      <c r="K14" s="19">
        <f t="shared" si="0"/>
        <v>10.7811</v>
      </c>
      <c r="L14" s="20"/>
      <c r="M14" s="15">
        <v>0.99</v>
      </c>
      <c r="N14" s="15">
        <v>10.89</v>
      </c>
    </row>
    <row r="15" spans="1:14" s="15" customFormat="1" ht="20.25" customHeight="1" x14ac:dyDescent="0.15">
      <c r="A15" s="60"/>
      <c r="B15" s="9"/>
      <c r="C15" s="58"/>
      <c r="D15" s="11"/>
      <c r="E15" s="10"/>
      <c r="F15" s="58"/>
      <c r="G15" s="12"/>
      <c r="H15" s="12"/>
      <c r="I15" s="17"/>
      <c r="J15" s="18"/>
      <c r="K15" s="19">
        <f t="shared" si="0"/>
        <v>0</v>
      </c>
      <c r="L15" s="20"/>
      <c r="N15" s="15">
        <v>10.89</v>
      </c>
    </row>
    <row r="16" spans="1:14" s="15" customFormat="1" ht="20.25" customHeight="1" x14ac:dyDescent="0.15">
      <c r="A16" s="60"/>
      <c r="B16" s="9"/>
      <c r="C16" s="58"/>
      <c r="D16" s="11"/>
      <c r="E16" s="10"/>
      <c r="F16" s="58"/>
      <c r="G16" s="12"/>
      <c r="H16" s="12"/>
      <c r="I16" s="17"/>
      <c r="J16" s="18"/>
      <c r="K16" s="19">
        <f t="shared" si="0"/>
        <v>0</v>
      </c>
      <c r="L16" s="20"/>
      <c r="N16" s="15">
        <v>10.89</v>
      </c>
    </row>
    <row r="17" spans="1:14" s="15" customFormat="1" ht="20.25" customHeight="1" x14ac:dyDescent="0.15">
      <c r="A17" s="60"/>
      <c r="B17" s="9"/>
      <c r="C17" s="58"/>
      <c r="D17" s="11"/>
      <c r="E17" s="10"/>
      <c r="F17" s="58"/>
      <c r="G17" s="12"/>
      <c r="H17" s="12"/>
      <c r="I17" s="17"/>
      <c r="J17" s="18"/>
      <c r="K17" s="19">
        <f t="shared" si="0"/>
        <v>0</v>
      </c>
      <c r="L17" s="20"/>
      <c r="N17" s="15">
        <v>10.89</v>
      </c>
    </row>
    <row r="18" spans="1:14" s="15" customFormat="1" ht="20.25" customHeight="1" x14ac:dyDescent="0.15">
      <c r="A18" s="60"/>
      <c r="B18" s="9"/>
      <c r="C18" s="58"/>
      <c r="D18" s="11"/>
      <c r="E18" s="10"/>
      <c r="F18" s="58"/>
      <c r="G18" s="12"/>
      <c r="H18" s="12"/>
      <c r="I18" s="17"/>
      <c r="J18" s="18"/>
      <c r="K18" s="19">
        <f t="shared" si="0"/>
        <v>0</v>
      </c>
      <c r="L18" s="20"/>
      <c r="N18" s="15">
        <v>10.89</v>
      </c>
    </row>
    <row r="19" spans="1:14" s="15" customFormat="1" ht="20.25" customHeight="1" x14ac:dyDescent="0.15">
      <c r="A19" s="60"/>
      <c r="B19" s="9"/>
      <c r="C19" s="58"/>
      <c r="D19" s="11"/>
      <c r="E19" s="10"/>
      <c r="F19" s="58"/>
      <c r="G19" s="12"/>
      <c r="H19" s="12"/>
      <c r="I19" s="17"/>
      <c r="J19" s="18"/>
      <c r="K19" s="19">
        <f t="shared" si="0"/>
        <v>0</v>
      </c>
      <c r="L19" s="20"/>
      <c r="N19" s="15">
        <v>10.89</v>
      </c>
    </row>
    <row r="20" spans="1:14" s="15" customFormat="1" ht="20.25" customHeight="1" x14ac:dyDescent="0.15">
      <c r="A20" s="60"/>
      <c r="B20" s="9"/>
      <c r="C20" s="58"/>
      <c r="D20" s="11"/>
      <c r="E20" s="10"/>
      <c r="F20" s="58"/>
      <c r="G20" s="12"/>
      <c r="H20" s="12"/>
      <c r="I20" s="17"/>
      <c r="J20" s="18"/>
      <c r="K20" s="19">
        <f t="shared" si="0"/>
        <v>0</v>
      </c>
      <c r="L20" s="20"/>
      <c r="N20" s="15">
        <v>10.89</v>
      </c>
    </row>
    <row r="21" spans="1:14" s="15" customFormat="1" ht="20.25" customHeight="1" x14ac:dyDescent="0.15">
      <c r="A21" s="60"/>
      <c r="B21" s="9"/>
      <c r="C21" s="58"/>
      <c r="D21" s="11"/>
      <c r="E21" s="10"/>
      <c r="F21" s="58"/>
      <c r="G21" s="50"/>
      <c r="H21" s="50"/>
      <c r="I21" s="17"/>
      <c r="J21" s="18"/>
      <c r="K21" s="19">
        <f t="shared" si="0"/>
        <v>0</v>
      </c>
      <c r="L21" s="20"/>
      <c r="N21" s="15">
        <v>10.89</v>
      </c>
    </row>
    <row r="22" spans="1:14" s="15" customFormat="1" ht="20.25" customHeight="1" x14ac:dyDescent="0.15">
      <c r="A22" s="60"/>
      <c r="B22" s="9"/>
      <c r="C22" s="58"/>
      <c r="D22" s="11"/>
      <c r="E22" s="10"/>
      <c r="F22" s="58"/>
      <c r="G22" s="50"/>
      <c r="H22" s="50"/>
      <c r="I22" s="17"/>
      <c r="J22" s="18"/>
      <c r="K22" s="19">
        <f t="shared" si="0"/>
        <v>0</v>
      </c>
      <c r="L22" s="20"/>
      <c r="N22" s="15">
        <v>10.89</v>
      </c>
    </row>
    <row r="23" spans="1:14" ht="20.25" customHeight="1" x14ac:dyDescent="0.15">
      <c r="A23" s="60"/>
      <c r="B23" s="9"/>
      <c r="C23" s="58"/>
      <c r="D23" s="11"/>
      <c r="E23" s="10"/>
      <c r="F23" s="58"/>
      <c r="G23" s="16"/>
      <c r="H23" s="16"/>
      <c r="I23" s="17"/>
      <c r="J23" s="18"/>
      <c r="K23" s="19">
        <f t="shared" si="0"/>
        <v>0</v>
      </c>
      <c r="L23" s="20"/>
      <c r="N23" s="15">
        <v>10.89</v>
      </c>
    </row>
    <row r="24" spans="1:14" ht="20.25" customHeight="1" thickBot="1" x14ac:dyDescent="0.2">
      <c r="A24" s="56"/>
      <c r="B24" s="21"/>
      <c r="C24" s="59"/>
      <c r="D24" s="22"/>
      <c r="E24" s="23"/>
      <c r="F24" s="23"/>
      <c r="G24" s="24"/>
      <c r="H24" s="24"/>
      <c r="I24" s="25"/>
      <c r="J24" s="46">
        <f>SUM(J8:J23)</f>
        <v>346</v>
      </c>
      <c r="K24" s="47">
        <f>SUM(K8:K23)</f>
        <v>3671.4546</v>
      </c>
      <c r="L24" s="26"/>
    </row>
    <row r="25" spans="1:14" ht="20.25" customHeight="1" thickTop="1" x14ac:dyDescent="0.15">
      <c r="A25" s="60" t="s">
        <v>2513</v>
      </c>
      <c r="B25" s="9" t="s">
        <v>148</v>
      </c>
      <c r="C25" s="58" t="s">
        <v>29</v>
      </c>
      <c r="D25" s="11" t="s">
        <v>195</v>
      </c>
      <c r="E25" s="10">
        <v>22</v>
      </c>
      <c r="F25" s="10"/>
      <c r="G25" s="12">
        <v>766</v>
      </c>
      <c r="H25" s="12">
        <v>1890</v>
      </c>
      <c r="I25" s="17" t="s">
        <v>2514</v>
      </c>
      <c r="J25" s="18">
        <f>26+108</f>
        <v>134</v>
      </c>
      <c r="K25" s="19">
        <f t="shared" ref="K25:K40" si="1">+M25*N25</f>
        <v>1838.0142000000001</v>
      </c>
      <c r="L25" s="54"/>
      <c r="M25" s="3">
        <v>168.78</v>
      </c>
      <c r="N25" s="15">
        <v>10.89</v>
      </c>
    </row>
    <row r="26" spans="1:14" ht="20.25" customHeight="1" x14ac:dyDescent="0.15">
      <c r="A26" s="60" t="s">
        <v>2497</v>
      </c>
      <c r="B26" s="9" t="s">
        <v>131</v>
      </c>
      <c r="C26" s="58" t="s">
        <v>29</v>
      </c>
      <c r="D26" s="11" t="s">
        <v>155</v>
      </c>
      <c r="E26" s="10">
        <v>22</v>
      </c>
      <c r="F26" s="10" t="s">
        <v>11</v>
      </c>
      <c r="G26" s="12">
        <v>764</v>
      </c>
      <c r="H26" s="12">
        <v>933</v>
      </c>
      <c r="I26" s="17" t="s">
        <v>2515</v>
      </c>
      <c r="J26" s="18">
        <v>84</v>
      </c>
      <c r="K26" s="19">
        <f t="shared" si="1"/>
        <v>432.55080000000004</v>
      </c>
      <c r="L26" s="54"/>
      <c r="M26" s="3">
        <v>39.72</v>
      </c>
      <c r="N26" s="15">
        <v>10.89</v>
      </c>
    </row>
    <row r="27" spans="1:14" ht="20.25" customHeight="1" x14ac:dyDescent="0.15">
      <c r="A27" s="61" t="s">
        <v>2516</v>
      </c>
      <c r="B27" s="9" t="s">
        <v>1175</v>
      </c>
      <c r="C27" s="58" t="s">
        <v>29</v>
      </c>
      <c r="D27" s="11" t="s">
        <v>1176</v>
      </c>
      <c r="E27" s="10">
        <v>39</v>
      </c>
      <c r="F27" s="10" t="s">
        <v>11</v>
      </c>
      <c r="G27" s="12">
        <v>1220</v>
      </c>
      <c r="H27" s="12">
        <v>1685</v>
      </c>
      <c r="I27" s="17">
        <v>1</v>
      </c>
      <c r="J27" s="18">
        <v>1</v>
      </c>
      <c r="K27" s="19">
        <f t="shared" si="1"/>
        <v>22.433400000000002</v>
      </c>
      <c r="L27" s="54"/>
      <c r="M27" s="3">
        <v>2.06</v>
      </c>
      <c r="N27" s="15">
        <v>10.89</v>
      </c>
    </row>
    <row r="28" spans="1:14" ht="20.25" customHeight="1" x14ac:dyDescent="0.15">
      <c r="A28" s="61" t="s">
        <v>2517</v>
      </c>
      <c r="B28" s="9" t="s">
        <v>1175</v>
      </c>
      <c r="C28" s="58" t="s">
        <v>29</v>
      </c>
      <c r="D28" s="11" t="s">
        <v>1176</v>
      </c>
      <c r="E28" s="10">
        <v>39</v>
      </c>
      <c r="F28" s="10" t="s">
        <v>11</v>
      </c>
      <c r="G28" s="12">
        <v>471</v>
      </c>
      <c r="H28" s="12">
        <v>1533</v>
      </c>
      <c r="I28" s="17" t="s">
        <v>337</v>
      </c>
      <c r="J28" s="18">
        <v>2</v>
      </c>
      <c r="K28" s="19">
        <f t="shared" si="1"/>
        <v>11.216700000000001</v>
      </c>
      <c r="L28" s="54"/>
      <c r="M28" s="3">
        <v>1.03</v>
      </c>
      <c r="N28" s="15">
        <v>10.89</v>
      </c>
    </row>
    <row r="29" spans="1:14" ht="20.25" customHeight="1" x14ac:dyDescent="0.15">
      <c r="A29" s="61" t="s">
        <v>2518</v>
      </c>
      <c r="B29" s="9" t="s">
        <v>2485</v>
      </c>
      <c r="C29" s="58" t="s">
        <v>29</v>
      </c>
      <c r="D29" s="11" t="s">
        <v>2322</v>
      </c>
      <c r="E29" s="10">
        <v>24</v>
      </c>
      <c r="F29" s="10" t="s">
        <v>11</v>
      </c>
      <c r="G29" s="12">
        <v>607</v>
      </c>
      <c r="H29" s="12">
        <v>1382</v>
      </c>
      <c r="I29" s="17" t="s">
        <v>2519</v>
      </c>
      <c r="J29" s="18">
        <v>159</v>
      </c>
      <c r="K29" s="19">
        <f t="shared" si="1"/>
        <v>1059.8147999999999</v>
      </c>
      <c r="L29" s="54"/>
      <c r="M29" s="3">
        <v>97.32</v>
      </c>
      <c r="N29" s="15">
        <v>10.89</v>
      </c>
    </row>
    <row r="30" spans="1:14" ht="20.25" customHeight="1" x14ac:dyDescent="0.15">
      <c r="A30" s="61" t="s">
        <v>2520</v>
      </c>
      <c r="B30" s="9" t="s">
        <v>2521</v>
      </c>
      <c r="C30" s="58" t="s">
        <v>29</v>
      </c>
      <c r="D30" s="11" t="s">
        <v>2063</v>
      </c>
      <c r="E30" s="10">
        <v>43</v>
      </c>
      <c r="F30" s="10" t="s">
        <v>11</v>
      </c>
      <c r="G30" s="12">
        <v>617</v>
      </c>
      <c r="H30" s="12">
        <v>1067</v>
      </c>
      <c r="I30" s="51" t="s">
        <v>2522</v>
      </c>
      <c r="J30" s="52">
        <v>24</v>
      </c>
      <c r="K30" s="53">
        <f t="shared" si="1"/>
        <v>381.5856</v>
      </c>
      <c r="L30" s="54"/>
      <c r="M30" s="3">
        <v>35.04</v>
      </c>
      <c r="N30" s="15">
        <v>10.89</v>
      </c>
    </row>
    <row r="31" spans="1:14" ht="20.25" customHeight="1" x14ac:dyDescent="0.15">
      <c r="A31" s="61" t="s">
        <v>2523</v>
      </c>
      <c r="B31" s="9" t="s">
        <v>2524</v>
      </c>
      <c r="C31" s="58" t="s">
        <v>29</v>
      </c>
      <c r="D31" s="11" t="s">
        <v>401</v>
      </c>
      <c r="E31" s="10">
        <v>24</v>
      </c>
      <c r="F31" s="10"/>
      <c r="G31" s="12">
        <v>300</v>
      </c>
      <c r="H31" s="12">
        <v>300</v>
      </c>
      <c r="I31" s="51">
        <v>1</v>
      </c>
      <c r="J31" s="52">
        <v>1</v>
      </c>
      <c r="K31" s="53">
        <f t="shared" si="1"/>
        <v>3.0492000000000004</v>
      </c>
      <c r="L31" s="54"/>
      <c r="M31" s="3">
        <v>0.28000000000000003</v>
      </c>
      <c r="N31" s="15">
        <v>10.89</v>
      </c>
    </row>
    <row r="32" spans="1:14" ht="20.25" customHeight="1" x14ac:dyDescent="0.15">
      <c r="A32" s="60"/>
      <c r="B32" s="9"/>
      <c r="C32" s="58" t="s">
        <v>29</v>
      </c>
      <c r="D32" s="11" t="s">
        <v>2525</v>
      </c>
      <c r="E32" s="10">
        <v>24</v>
      </c>
      <c r="F32" s="10"/>
      <c r="G32" s="12">
        <v>300</v>
      </c>
      <c r="H32" s="12">
        <v>300</v>
      </c>
      <c r="I32" s="17">
        <v>1</v>
      </c>
      <c r="J32" s="18">
        <v>1</v>
      </c>
      <c r="K32" s="19">
        <f t="shared" si="1"/>
        <v>3.0492000000000004</v>
      </c>
      <c r="L32" s="27"/>
      <c r="M32" s="3">
        <v>0.28000000000000003</v>
      </c>
      <c r="N32" s="15">
        <v>10.89</v>
      </c>
    </row>
    <row r="33" spans="1:14" ht="20.25" customHeight="1" x14ac:dyDescent="0.15">
      <c r="A33" s="60"/>
      <c r="B33" s="9"/>
      <c r="C33" s="58" t="s">
        <v>29</v>
      </c>
      <c r="D33" s="11" t="s">
        <v>2526</v>
      </c>
      <c r="E33" s="10">
        <v>24</v>
      </c>
      <c r="F33" s="10"/>
      <c r="G33" s="12">
        <v>300</v>
      </c>
      <c r="H33" s="12">
        <v>300</v>
      </c>
      <c r="I33" s="17">
        <v>1</v>
      </c>
      <c r="J33" s="18">
        <v>1</v>
      </c>
      <c r="K33" s="19">
        <f t="shared" si="1"/>
        <v>3.0492000000000004</v>
      </c>
      <c r="L33" s="27"/>
      <c r="M33" s="3">
        <v>0.28000000000000003</v>
      </c>
      <c r="N33" s="15">
        <v>10.89</v>
      </c>
    </row>
    <row r="34" spans="1:14" ht="20.25" customHeight="1" x14ac:dyDescent="0.15">
      <c r="A34" s="60"/>
      <c r="B34" s="9"/>
      <c r="C34" s="58"/>
      <c r="D34" s="11"/>
      <c r="E34" s="10"/>
      <c r="F34" s="10"/>
      <c r="G34" s="12"/>
      <c r="H34" s="12"/>
      <c r="I34" s="17"/>
      <c r="J34" s="18"/>
      <c r="K34" s="19">
        <f t="shared" si="1"/>
        <v>0</v>
      </c>
      <c r="L34" s="27"/>
      <c r="N34" s="15">
        <v>10.89</v>
      </c>
    </row>
    <row r="35" spans="1:14" ht="20.25" customHeight="1" x14ac:dyDescent="0.15">
      <c r="A35" s="60"/>
      <c r="B35" s="9"/>
      <c r="C35" s="58"/>
      <c r="D35" s="11"/>
      <c r="E35" s="10"/>
      <c r="F35" s="10"/>
      <c r="G35" s="12"/>
      <c r="H35" s="12"/>
      <c r="I35" s="17"/>
      <c r="J35" s="18"/>
      <c r="K35" s="19">
        <f t="shared" si="1"/>
        <v>0</v>
      </c>
      <c r="L35" s="27"/>
      <c r="N35" s="15">
        <v>10.89</v>
      </c>
    </row>
    <row r="36" spans="1:14" ht="20.25" customHeight="1" x14ac:dyDescent="0.15">
      <c r="A36" s="60"/>
      <c r="B36" s="9"/>
      <c r="C36" s="58"/>
      <c r="D36" s="11"/>
      <c r="E36" s="10"/>
      <c r="F36" s="10"/>
      <c r="G36" s="12"/>
      <c r="H36" s="12"/>
      <c r="I36" s="17"/>
      <c r="J36" s="18"/>
      <c r="K36" s="19">
        <f t="shared" si="1"/>
        <v>0</v>
      </c>
      <c r="L36" s="27"/>
      <c r="N36" s="15">
        <v>10.89</v>
      </c>
    </row>
    <row r="37" spans="1:14" ht="20.25" customHeight="1" x14ac:dyDescent="0.15">
      <c r="A37" s="60"/>
      <c r="B37" s="9"/>
      <c r="C37" s="58"/>
      <c r="D37" s="11"/>
      <c r="E37" s="10"/>
      <c r="F37" s="10"/>
      <c r="G37" s="12"/>
      <c r="H37" s="12"/>
      <c r="I37" s="17"/>
      <c r="J37" s="18"/>
      <c r="K37" s="19">
        <f t="shared" si="1"/>
        <v>0</v>
      </c>
      <c r="L37" s="27"/>
      <c r="N37" s="15">
        <v>10.89</v>
      </c>
    </row>
    <row r="38" spans="1:14" ht="20.25" customHeight="1" x14ac:dyDescent="0.15">
      <c r="A38" s="60"/>
      <c r="B38" s="9"/>
      <c r="C38" s="58"/>
      <c r="D38" s="11"/>
      <c r="E38" s="10"/>
      <c r="F38" s="10"/>
      <c r="G38" s="12"/>
      <c r="H38" s="12"/>
      <c r="I38" s="17"/>
      <c r="J38" s="18"/>
      <c r="K38" s="19">
        <f t="shared" si="1"/>
        <v>0</v>
      </c>
      <c r="L38" s="27"/>
      <c r="N38" s="15">
        <v>10.89</v>
      </c>
    </row>
    <row r="39" spans="1:14" ht="20.25" customHeight="1" x14ac:dyDescent="0.15">
      <c r="A39" s="60"/>
      <c r="B39" s="9"/>
      <c r="C39" s="58"/>
      <c r="D39" s="11"/>
      <c r="E39" s="10"/>
      <c r="F39" s="10"/>
      <c r="G39" s="12"/>
      <c r="H39" s="12"/>
      <c r="I39" s="17"/>
      <c r="J39" s="18"/>
      <c r="K39" s="19">
        <f t="shared" si="1"/>
        <v>0</v>
      </c>
      <c r="L39" s="27"/>
      <c r="N39" s="15">
        <v>10.89</v>
      </c>
    </row>
    <row r="40" spans="1:14" ht="20.25" customHeight="1" x14ac:dyDescent="0.15">
      <c r="A40" s="60"/>
      <c r="B40" s="9"/>
      <c r="C40" s="58"/>
      <c r="D40" s="11"/>
      <c r="E40" s="10"/>
      <c r="F40" s="10"/>
      <c r="G40" s="12"/>
      <c r="H40" s="12"/>
      <c r="I40" s="17"/>
      <c r="J40" s="18"/>
      <c r="K40" s="19">
        <f t="shared" si="1"/>
        <v>0</v>
      </c>
      <c r="L40" s="27"/>
      <c r="N40" s="15">
        <v>10.89</v>
      </c>
    </row>
    <row r="41" spans="1:14" ht="20.25" customHeight="1" x14ac:dyDescent="0.15">
      <c r="A41" s="57"/>
      <c r="B41" s="28"/>
      <c r="C41" s="10"/>
      <c r="D41" s="29"/>
      <c r="E41" s="30"/>
      <c r="F41" s="30"/>
      <c r="G41" s="30"/>
      <c r="H41" s="30"/>
      <c r="I41" s="13"/>
      <c r="J41" s="48">
        <f>SUM(J25:J40)</f>
        <v>407</v>
      </c>
      <c r="K41" s="49">
        <f>SUM(K25:K40)</f>
        <v>3754.7630999999992</v>
      </c>
      <c r="L41" s="31"/>
      <c r="N41" s="32"/>
    </row>
    <row r="42" spans="1:14" ht="20.25" customHeight="1" thickBot="1" x14ac:dyDescent="0.2">
      <c r="A42" s="55"/>
      <c r="B42" s="33"/>
      <c r="C42" s="33"/>
      <c r="D42" s="33"/>
      <c r="E42" s="33"/>
      <c r="F42" s="33"/>
      <c r="G42" s="33"/>
      <c r="H42" s="33"/>
      <c r="I42" s="33"/>
      <c r="J42" s="34"/>
      <c r="K42" s="35"/>
      <c r="L42" s="36"/>
    </row>
    <row r="43" spans="1:14" ht="20.25" customHeight="1" thickBot="1" x14ac:dyDescent="0.2">
      <c r="A43" s="37" t="s">
        <v>19</v>
      </c>
      <c r="B43" s="38" t="s">
        <v>20</v>
      </c>
      <c r="C43" s="77" t="s">
        <v>21</v>
      </c>
      <c r="D43" s="79"/>
      <c r="E43" s="77" t="s">
        <v>22</v>
      </c>
      <c r="F43" s="78"/>
      <c r="G43" s="79"/>
      <c r="H43" s="85" t="s">
        <v>23</v>
      </c>
      <c r="I43" s="86"/>
      <c r="J43" s="77" t="s">
        <v>24</v>
      </c>
      <c r="K43" s="79"/>
      <c r="L43" s="39" t="s">
        <v>13</v>
      </c>
    </row>
    <row r="44" spans="1:14" ht="20.25" customHeight="1" thickBot="1" x14ac:dyDescent="0.2">
      <c r="A44" s="40">
        <f>SUMIF($C$8:$C$42,"U1",$J$8:$J$42)</f>
        <v>1</v>
      </c>
      <c r="B44" s="41">
        <f>SUMIF($C$8:$C$42,"U2",$J$8:$J$42)</f>
        <v>0</v>
      </c>
      <c r="C44" s="77">
        <f>SUMIF($C$8:$C$42,"U3-1",$J$8:$J$42)</f>
        <v>0</v>
      </c>
      <c r="D44" s="79"/>
      <c r="E44" s="77">
        <f>SUMIF($C$8:$C$42,"U3",$J$8:$J$42)</f>
        <v>752</v>
      </c>
      <c r="F44" s="78"/>
      <c r="G44" s="79"/>
      <c r="H44" s="77">
        <f>SUMIF($C$8:$C$42,"E5",$J$8:$J$42)</f>
        <v>0</v>
      </c>
      <c r="I44" s="79"/>
      <c r="J44" s="77">
        <f>SUM(A44:I44)</f>
        <v>753</v>
      </c>
      <c r="K44" s="79"/>
      <c r="L44" s="42"/>
    </row>
    <row r="45" spans="1:14" ht="20.25" customHeight="1" thickBot="1" x14ac:dyDescent="0.2">
      <c r="A45" s="43" t="s">
        <v>25</v>
      </c>
      <c r="B45" s="44" t="s">
        <v>26</v>
      </c>
      <c r="C45" s="75">
        <v>13876</v>
      </c>
      <c r="D45" s="76"/>
      <c r="E45" s="77" t="s">
        <v>27</v>
      </c>
      <c r="F45" s="78"/>
      <c r="G45" s="78"/>
      <c r="H45" s="78"/>
      <c r="I45" s="79"/>
      <c r="J45" s="80">
        <v>146744.37</v>
      </c>
      <c r="K45" s="81"/>
      <c r="L45" s="82"/>
    </row>
    <row r="47" spans="1:14" x14ac:dyDescent="0.15">
      <c r="D47" s="45"/>
    </row>
  </sheetData>
  <mergeCells count="26">
    <mergeCell ref="C45:D45"/>
    <mergeCell ref="E45:I45"/>
    <mergeCell ref="J45:L45"/>
    <mergeCell ref="L6:L7"/>
    <mergeCell ref="C43:D43"/>
    <mergeCell ref="E43:G43"/>
    <mergeCell ref="H43:I43"/>
    <mergeCell ref="J43:K43"/>
    <mergeCell ref="C44:D44"/>
    <mergeCell ref="E44:G44"/>
    <mergeCell ref="H44:I44"/>
    <mergeCell ref="J44:K44"/>
    <mergeCell ref="B5:G5"/>
    <mergeCell ref="A6:A7"/>
    <mergeCell ref="B6:B7"/>
    <mergeCell ref="C6:C7"/>
    <mergeCell ref="D6:D7"/>
    <mergeCell ref="E6:E7"/>
    <mergeCell ref="F6:F7"/>
    <mergeCell ref="G6:K6"/>
    <mergeCell ref="A1:G3"/>
    <mergeCell ref="H1:H4"/>
    <mergeCell ref="I2:I4"/>
    <mergeCell ref="J2:J4"/>
    <mergeCell ref="K2:K4"/>
    <mergeCell ref="L2:L4"/>
  </mergeCells>
  <phoneticPr fontId="2" type="noConversion"/>
  <printOptions horizontalCentered="1"/>
  <pageMargins left="0.39370078740157483" right="0.39370078740157483" top="0.74803149606299213" bottom="0.19685039370078741" header="0.31496062992125984" footer="0.15748031496062992"/>
  <pageSetup paperSize="9" scale="84" orientation="portrait" r:id="rId1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C902F2-9F5F-4FF4-813E-1D24363985D4}">
  <dimension ref="A1:N47"/>
  <sheetViews>
    <sheetView view="pageBreakPreview" zoomScaleSheetLayoutView="100" workbookViewId="0">
      <selection activeCell="B5" sqref="B5:G5"/>
    </sheetView>
  </sheetViews>
  <sheetFormatPr defaultColWidth="8.88671875" defaultRowHeight="13.5" x14ac:dyDescent="0.15"/>
  <cols>
    <col min="1" max="1" width="8.44140625" style="3" customWidth="1"/>
    <col min="2" max="2" width="14.77734375" style="3" customWidth="1"/>
    <col min="3" max="3" width="4.109375" style="3" customWidth="1"/>
    <col min="4" max="4" width="15.21875" style="3" customWidth="1"/>
    <col min="5" max="5" width="4.44140625" style="3" customWidth="1"/>
    <col min="6" max="6" width="4" style="3" customWidth="1"/>
    <col min="7" max="7" width="5.5546875" style="3" customWidth="1"/>
    <col min="8" max="8" width="5.44140625" style="3" customWidth="1"/>
    <col min="9" max="9" width="7.88671875" style="3" customWidth="1"/>
    <col min="10" max="10" width="7.109375" style="3" customWidth="1"/>
    <col min="11" max="11" width="7.21875" style="3" customWidth="1"/>
    <col min="12" max="12" width="6.77734375" style="3" customWidth="1"/>
    <col min="13" max="16384" width="8.88671875" style="3"/>
  </cols>
  <sheetData>
    <row r="1" spans="1:14" ht="18.75" customHeight="1" x14ac:dyDescent="0.15">
      <c r="A1" s="101" t="s">
        <v>0</v>
      </c>
      <c r="B1" s="102"/>
      <c r="C1" s="102"/>
      <c r="D1" s="102"/>
      <c r="E1" s="102"/>
      <c r="F1" s="102"/>
      <c r="G1" s="103"/>
      <c r="H1" s="107" t="s">
        <v>1</v>
      </c>
      <c r="I1" s="1" t="s">
        <v>2</v>
      </c>
      <c r="J1" s="1" t="s">
        <v>2</v>
      </c>
      <c r="K1" s="1" t="s">
        <v>3</v>
      </c>
      <c r="L1" s="2" t="s">
        <v>4</v>
      </c>
    </row>
    <row r="2" spans="1:14" ht="13.5" customHeight="1" x14ac:dyDescent="0.15">
      <c r="A2" s="104"/>
      <c r="B2" s="105"/>
      <c r="C2" s="105"/>
      <c r="D2" s="105"/>
      <c r="E2" s="105"/>
      <c r="F2" s="105"/>
      <c r="G2" s="106"/>
      <c r="H2" s="108"/>
      <c r="I2" s="110"/>
      <c r="J2" s="110"/>
      <c r="K2" s="110"/>
      <c r="L2" s="98"/>
    </row>
    <row r="3" spans="1:14" ht="13.5" customHeight="1" x14ac:dyDescent="0.15">
      <c r="A3" s="104"/>
      <c r="B3" s="105"/>
      <c r="C3" s="105"/>
      <c r="D3" s="105"/>
      <c r="E3" s="105"/>
      <c r="F3" s="105"/>
      <c r="G3" s="106"/>
      <c r="H3" s="108"/>
      <c r="I3" s="108"/>
      <c r="J3" s="108"/>
      <c r="K3" s="108"/>
      <c r="L3" s="99"/>
    </row>
    <row r="4" spans="1:14" ht="33" customHeight="1" x14ac:dyDescent="0.15">
      <c r="A4" s="4"/>
      <c r="B4" s="5"/>
      <c r="C4" s="5"/>
      <c r="D4" s="5"/>
      <c r="E4" s="5"/>
      <c r="F4" s="5"/>
      <c r="G4" s="5"/>
      <c r="H4" s="109"/>
      <c r="I4" s="109"/>
      <c r="J4" s="109"/>
      <c r="K4" s="109"/>
      <c r="L4" s="100"/>
    </row>
    <row r="5" spans="1:14" ht="17.25" customHeight="1" x14ac:dyDescent="0.15">
      <c r="A5" s="6" t="s">
        <v>5</v>
      </c>
      <c r="B5" s="87">
        <v>46146</v>
      </c>
      <c r="C5" s="88"/>
      <c r="D5" s="88"/>
      <c r="E5" s="88"/>
      <c r="F5" s="88"/>
      <c r="G5" s="88"/>
      <c r="H5" s="5"/>
      <c r="I5" s="5"/>
      <c r="J5" s="5"/>
      <c r="K5" s="5"/>
      <c r="L5" s="7"/>
    </row>
    <row r="6" spans="1:14" ht="13.5" customHeight="1" x14ac:dyDescent="0.15">
      <c r="A6" s="89" t="s">
        <v>6</v>
      </c>
      <c r="B6" s="91" t="s">
        <v>7</v>
      </c>
      <c r="C6" s="91" t="s">
        <v>8</v>
      </c>
      <c r="D6" s="91" t="s">
        <v>9</v>
      </c>
      <c r="E6" s="93" t="s">
        <v>10</v>
      </c>
      <c r="F6" s="93" t="s">
        <v>11</v>
      </c>
      <c r="G6" s="95" t="s">
        <v>12</v>
      </c>
      <c r="H6" s="96"/>
      <c r="I6" s="96"/>
      <c r="J6" s="96"/>
      <c r="K6" s="97"/>
      <c r="L6" s="83" t="s">
        <v>13</v>
      </c>
    </row>
    <row r="7" spans="1:14" x14ac:dyDescent="0.15">
      <c r="A7" s="90"/>
      <c r="B7" s="92"/>
      <c r="C7" s="92"/>
      <c r="D7" s="92"/>
      <c r="E7" s="94"/>
      <c r="F7" s="94"/>
      <c r="G7" s="8" t="s">
        <v>14</v>
      </c>
      <c r="H7" s="8" t="s">
        <v>15</v>
      </c>
      <c r="I7" s="8" t="s">
        <v>16</v>
      </c>
      <c r="J7" s="8" t="s">
        <v>17</v>
      </c>
      <c r="K7" s="8" t="s">
        <v>18</v>
      </c>
      <c r="L7" s="84"/>
    </row>
    <row r="8" spans="1:14" s="15" customFormat="1" ht="20.25" customHeight="1" x14ac:dyDescent="0.15">
      <c r="A8" s="60"/>
      <c r="B8" s="9"/>
      <c r="C8" s="58" t="s">
        <v>29</v>
      </c>
      <c r="D8" s="11"/>
      <c r="E8" s="10"/>
      <c r="F8" s="58" t="s">
        <v>11</v>
      </c>
      <c r="G8" s="12"/>
      <c r="H8" s="12"/>
      <c r="I8" s="17"/>
      <c r="J8" s="18"/>
      <c r="K8" s="19">
        <f>+M8*N8</f>
        <v>0</v>
      </c>
      <c r="L8" s="14"/>
      <c r="N8" s="15">
        <v>10.89</v>
      </c>
    </row>
    <row r="9" spans="1:14" s="15" customFormat="1" ht="20.25" customHeight="1" x14ac:dyDescent="0.15">
      <c r="A9" s="60"/>
      <c r="B9" s="9"/>
      <c r="C9" s="58" t="s">
        <v>29</v>
      </c>
      <c r="D9" s="11"/>
      <c r="E9" s="10"/>
      <c r="F9" s="58" t="s">
        <v>11</v>
      </c>
      <c r="G9" s="12"/>
      <c r="H9" s="12"/>
      <c r="I9" s="17"/>
      <c r="J9" s="18"/>
      <c r="K9" s="19">
        <f t="shared" ref="K9:K23" si="0">+M9*N9</f>
        <v>0</v>
      </c>
      <c r="L9" s="14"/>
      <c r="N9" s="15">
        <v>10.89</v>
      </c>
    </row>
    <row r="10" spans="1:14" s="15" customFormat="1" ht="20.25" customHeight="1" x14ac:dyDescent="0.15">
      <c r="A10" s="60"/>
      <c r="B10" s="9"/>
      <c r="C10" s="58" t="s">
        <v>29</v>
      </c>
      <c r="D10" s="11"/>
      <c r="E10" s="10"/>
      <c r="F10" s="58" t="s">
        <v>11</v>
      </c>
      <c r="G10" s="12"/>
      <c r="H10" s="12"/>
      <c r="I10" s="17"/>
      <c r="J10" s="18"/>
      <c r="K10" s="19">
        <f t="shared" si="0"/>
        <v>0</v>
      </c>
      <c r="L10" s="14"/>
      <c r="N10" s="15">
        <v>10.89</v>
      </c>
    </row>
    <row r="11" spans="1:14" s="15" customFormat="1" ht="20.25" customHeight="1" x14ac:dyDescent="0.15">
      <c r="A11" s="60"/>
      <c r="B11" s="9"/>
      <c r="C11" s="58" t="s">
        <v>29</v>
      </c>
      <c r="D11" s="11"/>
      <c r="E11" s="10"/>
      <c r="F11" s="58" t="s">
        <v>11</v>
      </c>
      <c r="G11" s="12"/>
      <c r="H11" s="12"/>
      <c r="I11" s="17"/>
      <c r="J11" s="18"/>
      <c r="K11" s="19">
        <f t="shared" si="0"/>
        <v>0</v>
      </c>
      <c r="L11" s="14"/>
      <c r="N11" s="15">
        <v>10.89</v>
      </c>
    </row>
    <row r="12" spans="1:14" s="15" customFormat="1" ht="20.25" customHeight="1" x14ac:dyDescent="0.15">
      <c r="A12" s="60"/>
      <c r="B12" s="9"/>
      <c r="C12" s="58" t="s">
        <v>29</v>
      </c>
      <c r="D12" s="11"/>
      <c r="E12" s="10"/>
      <c r="F12" s="58" t="s">
        <v>11</v>
      </c>
      <c r="G12" s="12"/>
      <c r="H12" s="12"/>
      <c r="I12" s="17"/>
      <c r="J12" s="18"/>
      <c r="K12" s="19">
        <f t="shared" si="0"/>
        <v>0</v>
      </c>
      <c r="L12" s="14"/>
      <c r="N12" s="15">
        <v>10.89</v>
      </c>
    </row>
    <row r="13" spans="1:14" s="15" customFormat="1" ht="20.25" customHeight="1" x14ac:dyDescent="0.15">
      <c r="A13" s="60"/>
      <c r="B13" s="9"/>
      <c r="C13" s="58" t="s">
        <v>29</v>
      </c>
      <c r="D13" s="11"/>
      <c r="E13" s="10"/>
      <c r="F13" s="58" t="s">
        <v>11</v>
      </c>
      <c r="G13" s="12"/>
      <c r="H13" s="12"/>
      <c r="I13" s="17"/>
      <c r="J13" s="18"/>
      <c r="K13" s="19">
        <f t="shared" si="0"/>
        <v>0</v>
      </c>
      <c r="L13" s="14"/>
      <c r="N13" s="15">
        <v>10.89</v>
      </c>
    </row>
    <row r="14" spans="1:14" s="15" customFormat="1" ht="20.25" customHeight="1" x14ac:dyDescent="0.15">
      <c r="A14" s="60"/>
      <c r="B14" s="9"/>
      <c r="C14" s="58" t="s">
        <v>29</v>
      </c>
      <c r="D14" s="11"/>
      <c r="E14" s="10"/>
      <c r="F14" s="58" t="s">
        <v>11</v>
      </c>
      <c r="G14" s="12"/>
      <c r="H14" s="12"/>
      <c r="I14" s="17"/>
      <c r="J14" s="18"/>
      <c r="K14" s="19">
        <f t="shared" si="0"/>
        <v>0</v>
      </c>
      <c r="L14" s="20"/>
      <c r="N14" s="15">
        <v>10.89</v>
      </c>
    </row>
    <row r="15" spans="1:14" s="15" customFormat="1" ht="20.25" customHeight="1" x14ac:dyDescent="0.15">
      <c r="A15" s="60"/>
      <c r="B15" s="9"/>
      <c r="C15" s="58" t="s">
        <v>29</v>
      </c>
      <c r="D15" s="11"/>
      <c r="E15" s="10"/>
      <c r="F15" s="58" t="s">
        <v>11</v>
      </c>
      <c r="G15" s="12"/>
      <c r="H15" s="12"/>
      <c r="I15" s="17"/>
      <c r="J15" s="18"/>
      <c r="K15" s="19">
        <f t="shared" si="0"/>
        <v>0</v>
      </c>
      <c r="L15" s="20"/>
      <c r="N15" s="15">
        <v>10.89</v>
      </c>
    </row>
    <row r="16" spans="1:14" s="15" customFormat="1" ht="20.25" customHeight="1" x14ac:dyDescent="0.15">
      <c r="A16" s="60"/>
      <c r="B16" s="9"/>
      <c r="C16" s="58" t="s">
        <v>29</v>
      </c>
      <c r="D16" s="11"/>
      <c r="E16" s="10"/>
      <c r="F16" s="58" t="s">
        <v>11</v>
      </c>
      <c r="G16" s="12"/>
      <c r="H16" s="12"/>
      <c r="I16" s="17"/>
      <c r="J16" s="18"/>
      <c r="K16" s="19">
        <f t="shared" si="0"/>
        <v>0</v>
      </c>
      <c r="L16" s="20"/>
      <c r="N16" s="15">
        <v>10.89</v>
      </c>
    </row>
    <row r="17" spans="1:14" s="15" customFormat="1" ht="20.25" customHeight="1" x14ac:dyDescent="0.15">
      <c r="A17" s="60"/>
      <c r="B17" s="9"/>
      <c r="C17" s="58" t="s">
        <v>29</v>
      </c>
      <c r="D17" s="11"/>
      <c r="E17" s="10"/>
      <c r="F17" s="58" t="s">
        <v>11</v>
      </c>
      <c r="G17" s="12"/>
      <c r="H17" s="12"/>
      <c r="I17" s="17"/>
      <c r="J17" s="18"/>
      <c r="K17" s="19">
        <f t="shared" si="0"/>
        <v>0</v>
      </c>
      <c r="L17" s="20"/>
      <c r="N17" s="15">
        <v>10.89</v>
      </c>
    </row>
    <row r="18" spans="1:14" s="15" customFormat="1" ht="20.25" customHeight="1" x14ac:dyDescent="0.15">
      <c r="A18" s="60"/>
      <c r="B18" s="9"/>
      <c r="C18" s="58" t="s">
        <v>29</v>
      </c>
      <c r="D18" s="11"/>
      <c r="E18" s="10"/>
      <c r="F18" s="58" t="s">
        <v>11</v>
      </c>
      <c r="G18" s="12"/>
      <c r="H18" s="12"/>
      <c r="I18" s="17"/>
      <c r="J18" s="18"/>
      <c r="K18" s="19">
        <f t="shared" si="0"/>
        <v>0</v>
      </c>
      <c r="L18" s="20"/>
      <c r="N18" s="15">
        <v>10.89</v>
      </c>
    </row>
    <row r="19" spans="1:14" s="15" customFormat="1" ht="20.25" customHeight="1" x14ac:dyDescent="0.15">
      <c r="A19" s="60"/>
      <c r="B19" s="9"/>
      <c r="C19" s="58" t="s">
        <v>29</v>
      </c>
      <c r="D19" s="11"/>
      <c r="E19" s="10"/>
      <c r="F19" s="58" t="s">
        <v>11</v>
      </c>
      <c r="G19" s="12"/>
      <c r="H19" s="12"/>
      <c r="I19" s="17"/>
      <c r="J19" s="18"/>
      <c r="K19" s="19">
        <f t="shared" si="0"/>
        <v>0</v>
      </c>
      <c r="L19" s="20"/>
      <c r="N19" s="15">
        <v>10.89</v>
      </c>
    </row>
    <row r="20" spans="1:14" s="15" customFormat="1" ht="20.25" customHeight="1" x14ac:dyDescent="0.15">
      <c r="A20" s="60"/>
      <c r="B20" s="9"/>
      <c r="C20" s="58" t="s">
        <v>29</v>
      </c>
      <c r="D20" s="11"/>
      <c r="E20" s="10"/>
      <c r="F20" s="58" t="s">
        <v>11</v>
      </c>
      <c r="G20" s="12"/>
      <c r="H20" s="12"/>
      <c r="I20" s="17"/>
      <c r="J20" s="18"/>
      <c r="K20" s="19">
        <f t="shared" si="0"/>
        <v>0</v>
      </c>
      <c r="L20" s="20"/>
      <c r="N20" s="15">
        <v>10.89</v>
      </c>
    </row>
    <row r="21" spans="1:14" s="15" customFormat="1" ht="20.25" customHeight="1" x14ac:dyDescent="0.15">
      <c r="A21" s="60"/>
      <c r="B21" s="9"/>
      <c r="C21" s="58" t="s">
        <v>29</v>
      </c>
      <c r="D21" s="11"/>
      <c r="E21" s="10"/>
      <c r="F21" s="58" t="s">
        <v>11</v>
      </c>
      <c r="G21" s="50"/>
      <c r="H21" s="50"/>
      <c r="I21" s="17"/>
      <c r="J21" s="18"/>
      <c r="K21" s="19">
        <f t="shared" si="0"/>
        <v>0</v>
      </c>
      <c r="L21" s="20"/>
      <c r="N21" s="15">
        <v>10.89</v>
      </c>
    </row>
    <row r="22" spans="1:14" s="15" customFormat="1" ht="20.25" customHeight="1" x14ac:dyDescent="0.15">
      <c r="A22" s="60"/>
      <c r="B22" s="9"/>
      <c r="C22" s="58" t="s">
        <v>29</v>
      </c>
      <c r="D22" s="11"/>
      <c r="E22" s="10"/>
      <c r="F22" s="58" t="s">
        <v>11</v>
      </c>
      <c r="G22" s="50"/>
      <c r="H22" s="50"/>
      <c r="I22" s="17"/>
      <c r="J22" s="18"/>
      <c r="K22" s="19">
        <f t="shared" si="0"/>
        <v>0</v>
      </c>
      <c r="L22" s="20"/>
      <c r="N22" s="15">
        <v>10.89</v>
      </c>
    </row>
    <row r="23" spans="1:14" ht="20.25" customHeight="1" x14ac:dyDescent="0.15">
      <c r="A23" s="60"/>
      <c r="B23" s="9"/>
      <c r="C23" s="58" t="s">
        <v>29</v>
      </c>
      <c r="D23" s="11"/>
      <c r="E23" s="10"/>
      <c r="F23" s="58" t="s">
        <v>11</v>
      </c>
      <c r="G23" s="16"/>
      <c r="H23" s="16"/>
      <c r="I23" s="17"/>
      <c r="J23" s="18"/>
      <c r="K23" s="19">
        <f t="shared" si="0"/>
        <v>0</v>
      </c>
      <c r="L23" s="20"/>
      <c r="N23" s="15">
        <v>10.89</v>
      </c>
    </row>
    <row r="24" spans="1:14" ht="20.25" customHeight="1" thickBot="1" x14ac:dyDescent="0.2">
      <c r="A24" s="56"/>
      <c r="B24" s="21"/>
      <c r="C24" s="59"/>
      <c r="D24" s="22"/>
      <c r="E24" s="23"/>
      <c r="F24" s="23"/>
      <c r="G24" s="24"/>
      <c r="H24" s="24"/>
      <c r="I24" s="25"/>
      <c r="J24" s="46">
        <f>SUM(J8:J23)</f>
        <v>0</v>
      </c>
      <c r="K24" s="47">
        <f>SUM(K8:K23)</f>
        <v>0</v>
      </c>
      <c r="L24" s="26"/>
    </row>
    <row r="25" spans="1:14" ht="20.25" customHeight="1" thickTop="1" x14ac:dyDescent="0.15">
      <c r="A25" s="60"/>
      <c r="B25" s="9"/>
      <c r="C25" s="58" t="s">
        <v>29</v>
      </c>
      <c r="D25" s="11"/>
      <c r="E25" s="10"/>
      <c r="F25" s="10" t="s">
        <v>11</v>
      </c>
      <c r="G25" s="12"/>
      <c r="H25" s="12"/>
      <c r="I25" s="17"/>
      <c r="J25" s="18"/>
      <c r="K25" s="19">
        <f t="shared" ref="K25:K40" si="1">+M25*N25</f>
        <v>0</v>
      </c>
      <c r="L25" s="54"/>
      <c r="N25" s="15">
        <v>10.89</v>
      </c>
    </row>
    <row r="26" spans="1:14" ht="20.25" customHeight="1" x14ac:dyDescent="0.15">
      <c r="A26" s="60"/>
      <c r="B26" s="9"/>
      <c r="C26" s="58" t="s">
        <v>29</v>
      </c>
      <c r="D26" s="11"/>
      <c r="E26" s="10"/>
      <c r="F26" s="10" t="s">
        <v>11</v>
      </c>
      <c r="G26" s="12"/>
      <c r="H26" s="12"/>
      <c r="I26" s="17"/>
      <c r="J26" s="18"/>
      <c r="K26" s="19">
        <f t="shared" si="1"/>
        <v>0</v>
      </c>
      <c r="L26" s="54"/>
      <c r="N26" s="15">
        <v>10.89</v>
      </c>
    </row>
    <row r="27" spans="1:14" ht="20.25" customHeight="1" x14ac:dyDescent="0.15">
      <c r="A27" s="61"/>
      <c r="B27" s="9"/>
      <c r="C27" s="58" t="s">
        <v>29</v>
      </c>
      <c r="D27" s="11"/>
      <c r="E27" s="10"/>
      <c r="F27" s="10" t="s">
        <v>11</v>
      </c>
      <c r="G27" s="12"/>
      <c r="H27" s="12"/>
      <c r="I27" s="17"/>
      <c r="J27" s="18"/>
      <c r="K27" s="19">
        <f t="shared" si="1"/>
        <v>0</v>
      </c>
      <c r="L27" s="54"/>
      <c r="N27" s="15">
        <v>10.89</v>
      </c>
    </row>
    <row r="28" spans="1:14" ht="20.25" customHeight="1" x14ac:dyDescent="0.15">
      <c r="A28" s="61"/>
      <c r="B28" s="9"/>
      <c r="C28" s="58" t="s">
        <v>29</v>
      </c>
      <c r="D28" s="11"/>
      <c r="E28" s="10"/>
      <c r="F28" s="10" t="s">
        <v>11</v>
      </c>
      <c r="G28" s="12"/>
      <c r="H28" s="12"/>
      <c r="I28" s="17"/>
      <c r="J28" s="18"/>
      <c r="K28" s="19">
        <f t="shared" si="1"/>
        <v>0</v>
      </c>
      <c r="L28" s="54"/>
      <c r="N28" s="15">
        <v>10.89</v>
      </c>
    </row>
    <row r="29" spans="1:14" ht="20.25" customHeight="1" x14ac:dyDescent="0.15">
      <c r="A29" s="61"/>
      <c r="B29" s="9"/>
      <c r="C29" s="58" t="s">
        <v>29</v>
      </c>
      <c r="D29" s="11"/>
      <c r="E29" s="10"/>
      <c r="F29" s="10" t="s">
        <v>11</v>
      </c>
      <c r="G29" s="12"/>
      <c r="H29" s="12"/>
      <c r="I29" s="17"/>
      <c r="J29" s="18"/>
      <c r="K29" s="19">
        <f t="shared" si="1"/>
        <v>0</v>
      </c>
      <c r="L29" s="54"/>
      <c r="N29" s="15">
        <v>10.89</v>
      </c>
    </row>
    <row r="30" spans="1:14" ht="20.25" customHeight="1" x14ac:dyDescent="0.15">
      <c r="A30" s="61"/>
      <c r="B30" s="9"/>
      <c r="C30" s="58" t="s">
        <v>29</v>
      </c>
      <c r="D30" s="11"/>
      <c r="E30" s="10"/>
      <c r="F30" s="10" t="s">
        <v>11</v>
      </c>
      <c r="G30" s="12"/>
      <c r="H30" s="12"/>
      <c r="I30" s="51"/>
      <c r="J30" s="52"/>
      <c r="K30" s="53">
        <f t="shared" si="1"/>
        <v>0</v>
      </c>
      <c r="L30" s="54"/>
      <c r="N30" s="15">
        <v>10.89</v>
      </c>
    </row>
    <row r="31" spans="1:14" ht="20.25" customHeight="1" x14ac:dyDescent="0.15">
      <c r="A31" s="61"/>
      <c r="B31" s="9"/>
      <c r="C31" s="58" t="s">
        <v>29</v>
      </c>
      <c r="D31" s="11"/>
      <c r="E31" s="10"/>
      <c r="F31" s="10" t="s">
        <v>11</v>
      </c>
      <c r="G31" s="12"/>
      <c r="H31" s="12"/>
      <c r="I31" s="51"/>
      <c r="J31" s="52"/>
      <c r="K31" s="53">
        <f t="shared" si="1"/>
        <v>0</v>
      </c>
      <c r="L31" s="54"/>
      <c r="N31" s="15">
        <v>10.89</v>
      </c>
    </row>
    <row r="32" spans="1:14" ht="20.25" customHeight="1" x14ac:dyDescent="0.15">
      <c r="A32" s="60"/>
      <c r="B32" s="9"/>
      <c r="C32" s="58" t="s">
        <v>29</v>
      </c>
      <c r="D32" s="11"/>
      <c r="E32" s="10"/>
      <c r="F32" s="10" t="s">
        <v>11</v>
      </c>
      <c r="G32" s="12"/>
      <c r="H32" s="12"/>
      <c r="I32" s="17"/>
      <c r="J32" s="18"/>
      <c r="K32" s="19">
        <f t="shared" si="1"/>
        <v>0</v>
      </c>
      <c r="L32" s="27"/>
      <c r="N32" s="15">
        <v>10.89</v>
      </c>
    </row>
    <row r="33" spans="1:14" ht="20.25" customHeight="1" x14ac:dyDescent="0.15">
      <c r="A33" s="60"/>
      <c r="B33" s="9"/>
      <c r="C33" s="58" t="s">
        <v>29</v>
      </c>
      <c r="D33" s="11"/>
      <c r="E33" s="10"/>
      <c r="F33" s="10" t="s">
        <v>11</v>
      </c>
      <c r="G33" s="12"/>
      <c r="H33" s="12"/>
      <c r="I33" s="17"/>
      <c r="J33" s="18"/>
      <c r="K33" s="19">
        <f t="shared" si="1"/>
        <v>0</v>
      </c>
      <c r="L33" s="27"/>
      <c r="N33" s="15">
        <v>10.89</v>
      </c>
    </row>
    <row r="34" spans="1:14" ht="20.25" customHeight="1" x14ac:dyDescent="0.15">
      <c r="A34" s="60"/>
      <c r="B34" s="9"/>
      <c r="C34" s="58" t="s">
        <v>29</v>
      </c>
      <c r="D34" s="11"/>
      <c r="E34" s="10"/>
      <c r="F34" s="10" t="s">
        <v>11</v>
      </c>
      <c r="G34" s="12"/>
      <c r="H34" s="12"/>
      <c r="I34" s="17"/>
      <c r="J34" s="18"/>
      <c r="K34" s="19">
        <f t="shared" si="1"/>
        <v>0</v>
      </c>
      <c r="L34" s="27"/>
      <c r="N34" s="15">
        <v>10.89</v>
      </c>
    </row>
    <row r="35" spans="1:14" ht="20.25" customHeight="1" x14ac:dyDescent="0.15">
      <c r="A35" s="60"/>
      <c r="B35" s="9"/>
      <c r="C35" s="58" t="s">
        <v>29</v>
      </c>
      <c r="D35" s="11"/>
      <c r="E35" s="10"/>
      <c r="F35" s="10" t="s">
        <v>11</v>
      </c>
      <c r="G35" s="12"/>
      <c r="H35" s="12"/>
      <c r="I35" s="17"/>
      <c r="J35" s="18"/>
      <c r="K35" s="19">
        <f t="shared" si="1"/>
        <v>0</v>
      </c>
      <c r="L35" s="27"/>
      <c r="N35" s="15">
        <v>10.89</v>
      </c>
    </row>
    <row r="36" spans="1:14" ht="20.25" customHeight="1" x14ac:dyDescent="0.15">
      <c r="A36" s="60"/>
      <c r="B36" s="9"/>
      <c r="C36" s="58" t="s">
        <v>29</v>
      </c>
      <c r="D36" s="11"/>
      <c r="E36" s="10"/>
      <c r="F36" s="10" t="s">
        <v>11</v>
      </c>
      <c r="G36" s="12"/>
      <c r="H36" s="12"/>
      <c r="I36" s="17"/>
      <c r="J36" s="18"/>
      <c r="K36" s="19">
        <f t="shared" si="1"/>
        <v>0</v>
      </c>
      <c r="L36" s="27"/>
      <c r="N36" s="15">
        <v>10.89</v>
      </c>
    </row>
    <row r="37" spans="1:14" ht="20.25" customHeight="1" x14ac:dyDescent="0.15">
      <c r="A37" s="60"/>
      <c r="B37" s="9"/>
      <c r="C37" s="58" t="s">
        <v>29</v>
      </c>
      <c r="D37" s="11"/>
      <c r="E37" s="10"/>
      <c r="F37" s="10" t="s">
        <v>11</v>
      </c>
      <c r="G37" s="12"/>
      <c r="H37" s="12"/>
      <c r="I37" s="17"/>
      <c r="J37" s="18"/>
      <c r="K37" s="19">
        <f t="shared" si="1"/>
        <v>0</v>
      </c>
      <c r="L37" s="27"/>
      <c r="N37" s="15">
        <v>10.89</v>
      </c>
    </row>
    <row r="38" spans="1:14" ht="20.25" customHeight="1" x14ac:dyDescent="0.15">
      <c r="A38" s="60"/>
      <c r="B38" s="9"/>
      <c r="C38" s="58" t="s">
        <v>29</v>
      </c>
      <c r="D38" s="11"/>
      <c r="E38" s="10"/>
      <c r="F38" s="10" t="s">
        <v>11</v>
      </c>
      <c r="G38" s="12"/>
      <c r="H38" s="12"/>
      <c r="I38" s="17"/>
      <c r="J38" s="18"/>
      <c r="K38" s="19">
        <f t="shared" si="1"/>
        <v>0</v>
      </c>
      <c r="L38" s="27"/>
      <c r="N38" s="15">
        <v>10.89</v>
      </c>
    </row>
    <row r="39" spans="1:14" ht="20.25" customHeight="1" x14ac:dyDescent="0.15">
      <c r="A39" s="60"/>
      <c r="B39" s="9"/>
      <c r="C39" s="58" t="s">
        <v>29</v>
      </c>
      <c r="D39" s="11"/>
      <c r="E39" s="10"/>
      <c r="F39" s="10" t="s">
        <v>11</v>
      </c>
      <c r="G39" s="12"/>
      <c r="H39" s="12"/>
      <c r="I39" s="17"/>
      <c r="J39" s="18"/>
      <c r="K39" s="19">
        <f t="shared" si="1"/>
        <v>0</v>
      </c>
      <c r="L39" s="27"/>
      <c r="N39" s="15">
        <v>10.89</v>
      </c>
    </row>
    <row r="40" spans="1:14" ht="20.25" customHeight="1" x14ac:dyDescent="0.15">
      <c r="A40" s="60"/>
      <c r="B40" s="9"/>
      <c r="C40" s="58" t="s">
        <v>29</v>
      </c>
      <c r="D40" s="11"/>
      <c r="E40" s="10"/>
      <c r="F40" s="10" t="s">
        <v>11</v>
      </c>
      <c r="G40" s="12"/>
      <c r="H40" s="12"/>
      <c r="I40" s="17"/>
      <c r="J40" s="18"/>
      <c r="K40" s="19">
        <f t="shared" si="1"/>
        <v>0</v>
      </c>
      <c r="L40" s="27"/>
      <c r="N40" s="15">
        <v>10.89</v>
      </c>
    </row>
    <row r="41" spans="1:14" ht="20.25" customHeight="1" x14ac:dyDescent="0.15">
      <c r="A41" s="57"/>
      <c r="B41" s="28"/>
      <c r="C41" s="10"/>
      <c r="D41" s="29"/>
      <c r="E41" s="30"/>
      <c r="F41" s="30"/>
      <c r="G41" s="30"/>
      <c r="H41" s="30"/>
      <c r="I41" s="13"/>
      <c r="J41" s="48">
        <f>SUM(J25:J40)</f>
        <v>0</v>
      </c>
      <c r="K41" s="49">
        <f>SUM(K25:K40)</f>
        <v>0</v>
      </c>
      <c r="L41" s="31"/>
      <c r="N41" s="32"/>
    </row>
    <row r="42" spans="1:14" ht="20.25" customHeight="1" thickBot="1" x14ac:dyDescent="0.2">
      <c r="A42" s="55"/>
      <c r="B42" s="33"/>
      <c r="C42" s="33"/>
      <c r="D42" s="33"/>
      <c r="E42" s="33"/>
      <c r="F42" s="33"/>
      <c r="G42" s="33"/>
      <c r="H42" s="33"/>
      <c r="I42" s="33"/>
      <c r="J42" s="34"/>
      <c r="K42" s="35"/>
      <c r="L42" s="36"/>
    </row>
    <row r="43" spans="1:14" ht="20.25" customHeight="1" thickBot="1" x14ac:dyDescent="0.2">
      <c r="A43" s="37" t="s">
        <v>19</v>
      </c>
      <c r="B43" s="38" t="s">
        <v>20</v>
      </c>
      <c r="C43" s="77" t="s">
        <v>21</v>
      </c>
      <c r="D43" s="79"/>
      <c r="E43" s="77" t="s">
        <v>22</v>
      </c>
      <c r="F43" s="78"/>
      <c r="G43" s="79"/>
      <c r="H43" s="85" t="s">
        <v>23</v>
      </c>
      <c r="I43" s="86"/>
      <c r="J43" s="77" t="s">
        <v>24</v>
      </c>
      <c r="K43" s="79"/>
      <c r="L43" s="39" t="s">
        <v>13</v>
      </c>
    </row>
    <row r="44" spans="1:14" ht="20.25" customHeight="1" thickBot="1" x14ac:dyDescent="0.2">
      <c r="A44" s="40">
        <f>SUMIF($C$8:$C$42,"U1",$J$8:$J$42)</f>
        <v>0</v>
      </c>
      <c r="B44" s="41">
        <f>SUMIF($C$8:$C$42,"U2",$J$8:$J$42)</f>
        <v>0</v>
      </c>
      <c r="C44" s="77">
        <f>SUMIF($C$8:$C$42,"U3-1",$J$8:$J$42)</f>
        <v>0</v>
      </c>
      <c r="D44" s="79"/>
      <c r="E44" s="77">
        <f>SUMIF($C$8:$C$42,"U3",$J$8:$J$42)</f>
        <v>0</v>
      </c>
      <c r="F44" s="78"/>
      <c r="G44" s="79"/>
      <c r="H44" s="77">
        <f>SUMIF($C$8:$C$42,"E5",$J$8:$J$42)</f>
        <v>0</v>
      </c>
      <c r="I44" s="79"/>
      <c r="J44" s="77">
        <f>SUM(A44:I44)</f>
        <v>0</v>
      </c>
      <c r="K44" s="79"/>
      <c r="L44" s="42"/>
    </row>
    <row r="45" spans="1:14" ht="20.25" customHeight="1" thickBot="1" x14ac:dyDescent="0.2">
      <c r="A45" s="43" t="s">
        <v>25</v>
      </c>
      <c r="B45" s="44" t="s">
        <v>26</v>
      </c>
      <c r="C45" s="75">
        <v>13876</v>
      </c>
      <c r="D45" s="76"/>
      <c r="E45" s="77" t="s">
        <v>27</v>
      </c>
      <c r="F45" s="78"/>
      <c r="G45" s="78"/>
      <c r="H45" s="78"/>
      <c r="I45" s="79"/>
      <c r="J45" s="80">
        <v>146744.37</v>
      </c>
      <c r="K45" s="81"/>
      <c r="L45" s="82"/>
    </row>
    <row r="47" spans="1:14" x14ac:dyDescent="0.15">
      <c r="D47" s="45"/>
    </row>
  </sheetData>
  <mergeCells count="26">
    <mergeCell ref="C45:D45"/>
    <mergeCell ref="E45:I45"/>
    <mergeCell ref="J45:L45"/>
    <mergeCell ref="L6:L7"/>
    <mergeCell ref="C43:D43"/>
    <mergeCell ref="E43:G43"/>
    <mergeCell ref="H43:I43"/>
    <mergeCell ref="J43:K43"/>
    <mergeCell ref="C44:D44"/>
    <mergeCell ref="E44:G44"/>
    <mergeCell ref="H44:I44"/>
    <mergeCell ref="J44:K44"/>
    <mergeCell ref="B5:G5"/>
    <mergeCell ref="A6:A7"/>
    <mergeCell ref="B6:B7"/>
    <mergeCell ref="C6:C7"/>
    <mergeCell ref="D6:D7"/>
    <mergeCell ref="E6:E7"/>
    <mergeCell ref="F6:F7"/>
    <mergeCell ref="G6:K6"/>
    <mergeCell ref="A1:G3"/>
    <mergeCell ref="H1:H4"/>
    <mergeCell ref="I2:I4"/>
    <mergeCell ref="J2:J4"/>
    <mergeCell ref="K2:K4"/>
    <mergeCell ref="L2:L4"/>
  </mergeCells>
  <phoneticPr fontId="2" type="noConversion"/>
  <printOptions horizontalCentered="1"/>
  <pageMargins left="0.39370078740157483" right="0.39370078740157483" top="0.74803149606299213" bottom="0.19685039370078741" header="0.31496062992125984" footer="0.15748031496062992"/>
  <pageSetup paperSize="9" scale="84" orientation="portrait" r:id="rId1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dimension ref="A1:B167"/>
  <sheetViews>
    <sheetView topLeftCell="A52" workbookViewId="0">
      <selection activeCell="B66" sqref="B66"/>
    </sheetView>
  </sheetViews>
  <sheetFormatPr defaultRowHeight="18.95" customHeight="1" x14ac:dyDescent="0.15"/>
  <cols>
    <col min="1" max="1" width="11.33203125" customWidth="1"/>
    <col min="2" max="2" width="50.5546875" customWidth="1"/>
  </cols>
  <sheetData>
    <row r="1" spans="1:2" ht="18.95" customHeight="1" x14ac:dyDescent="0.15">
      <c r="B1" s="9" t="s">
        <v>118</v>
      </c>
    </row>
    <row r="2" spans="1:2" ht="18.95" customHeight="1" x14ac:dyDescent="0.15">
      <c r="B2" s="9" t="s">
        <v>81</v>
      </c>
    </row>
    <row r="3" spans="1:2" ht="18.95" customHeight="1" x14ac:dyDescent="0.15">
      <c r="B3" s="9" t="s">
        <v>120</v>
      </c>
    </row>
    <row r="4" spans="1:2" ht="18.95" customHeight="1" x14ac:dyDescent="0.15">
      <c r="A4" s="62"/>
      <c r="B4" s="9" t="s">
        <v>47</v>
      </c>
    </row>
    <row r="5" spans="1:2" ht="18.95" customHeight="1" x14ac:dyDescent="0.15">
      <c r="B5" s="9" t="s">
        <v>106</v>
      </c>
    </row>
    <row r="6" spans="1:2" ht="18.95" customHeight="1" x14ac:dyDescent="0.15">
      <c r="B6" s="9" t="s">
        <v>117</v>
      </c>
    </row>
    <row r="7" spans="1:2" ht="18.95" customHeight="1" x14ac:dyDescent="0.15">
      <c r="B7" s="9" t="s">
        <v>435</v>
      </c>
    </row>
    <row r="8" spans="1:2" ht="18.95" customHeight="1" x14ac:dyDescent="0.15">
      <c r="B8" s="9" t="s">
        <v>97</v>
      </c>
    </row>
    <row r="9" spans="1:2" ht="18.95" customHeight="1" x14ac:dyDescent="0.15">
      <c r="B9" s="9" t="s">
        <v>107</v>
      </c>
    </row>
    <row r="10" spans="1:2" ht="18.95" customHeight="1" x14ac:dyDescent="0.15">
      <c r="B10" s="9" t="s">
        <v>48</v>
      </c>
    </row>
    <row r="11" spans="1:2" ht="18.95" customHeight="1" x14ac:dyDescent="0.15">
      <c r="B11" s="9" t="s">
        <v>80</v>
      </c>
    </row>
    <row r="12" spans="1:2" ht="18.95" customHeight="1" x14ac:dyDescent="0.15">
      <c r="B12" s="9" t="s">
        <v>126</v>
      </c>
    </row>
    <row r="13" spans="1:2" ht="18.95" customHeight="1" x14ac:dyDescent="0.15">
      <c r="B13" s="9" t="s">
        <v>88</v>
      </c>
    </row>
    <row r="14" spans="1:2" ht="18.95" customHeight="1" x14ac:dyDescent="0.15">
      <c r="B14" s="9" t="s">
        <v>1986</v>
      </c>
    </row>
    <row r="15" spans="1:2" ht="18.95" customHeight="1" x14ac:dyDescent="0.15">
      <c r="B15" s="9" t="s">
        <v>129</v>
      </c>
    </row>
    <row r="16" spans="1:2" ht="18.95" customHeight="1" x14ac:dyDescent="0.15">
      <c r="B16" s="9" t="s">
        <v>130</v>
      </c>
    </row>
    <row r="17" spans="2:2" ht="18.95" customHeight="1" x14ac:dyDescent="0.15">
      <c r="B17" s="9" t="s">
        <v>113</v>
      </c>
    </row>
    <row r="18" spans="2:2" ht="18.95" customHeight="1" x14ac:dyDescent="0.15">
      <c r="B18" s="9" t="s">
        <v>112</v>
      </c>
    </row>
    <row r="19" spans="2:2" ht="18.95" customHeight="1" x14ac:dyDescent="0.15">
      <c r="B19" s="9" t="s">
        <v>121</v>
      </c>
    </row>
    <row r="20" spans="2:2" ht="18.95" customHeight="1" x14ac:dyDescent="0.15">
      <c r="B20" s="9" t="s">
        <v>132</v>
      </c>
    </row>
    <row r="21" spans="2:2" ht="18.95" customHeight="1" x14ac:dyDescent="0.15">
      <c r="B21" s="9" t="s">
        <v>51</v>
      </c>
    </row>
    <row r="22" spans="2:2" ht="18.95" customHeight="1" x14ac:dyDescent="0.15">
      <c r="B22" s="9" t="s">
        <v>1761</v>
      </c>
    </row>
    <row r="23" spans="2:2" ht="18.95" customHeight="1" x14ac:dyDescent="0.15">
      <c r="B23" s="9" t="s">
        <v>150</v>
      </c>
    </row>
    <row r="24" spans="2:2" ht="18.95" customHeight="1" x14ac:dyDescent="0.15">
      <c r="B24" s="9" t="s">
        <v>90</v>
      </c>
    </row>
    <row r="25" spans="2:2" ht="18.95" customHeight="1" x14ac:dyDescent="0.15">
      <c r="B25" s="9" t="s">
        <v>220</v>
      </c>
    </row>
    <row r="26" spans="2:2" ht="18.95" customHeight="1" x14ac:dyDescent="0.15">
      <c r="B26" s="9" t="s">
        <v>64</v>
      </c>
    </row>
    <row r="27" spans="2:2" ht="18.95" customHeight="1" x14ac:dyDescent="0.15">
      <c r="B27" s="9" t="s">
        <v>139</v>
      </c>
    </row>
    <row r="28" spans="2:2" ht="18.95" customHeight="1" x14ac:dyDescent="0.15">
      <c r="B28" s="9" t="s">
        <v>2485</v>
      </c>
    </row>
    <row r="29" spans="2:2" ht="18.95" customHeight="1" x14ac:dyDescent="0.15">
      <c r="B29" s="9" t="s">
        <v>1388</v>
      </c>
    </row>
    <row r="30" spans="2:2" ht="18.95" customHeight="1" x14ac:dyDescent="0.15">
      <c r="B30" s="9" t="s">
        <v>400</v>
      </c>
    </row>
    <row r="31" spans="2:2" ht="18.95" customHeight="1" x14ac:dyDescent="0.15">
      <c r="B31" s="9" t="s">
        <v>43</v>
      </c>
    </row>
    <row r="32" spans="2:2" ht="18.95" customHeight="1" x14ac:dyDescent="0.15">
      <c r="B32" s="9" t="s">
        <v>1144</v>
      </c>
    </row>
    <row r="33" spans="1:2" ht="18.95" customHeight="1" x14ac:dyDescent="0.15">
      <c r="B33" s="9" t="s">
        <v>123</v>
      </c>
    </row>
    <row r="34" spans="1:2" ht="18.95" customHeight="1" x14ac:dyDescent="0.15">
      <c r="B34" s="9" t="s">
        <v>2466</v>
      </c>
    </row>
    <row r="35" spans="1:2" ht="18.95" customHeight="1" x14ac:dyDescent="0.15">
      <c r="A35" s="62" t="s">
        <v>146</v>
      </c>
      <c r="B35" s="9" t="s">
        <v>57</v>
      </c>
    </row>
    <row r="36" spans="1:2" ht="18.95" customHeight="1" x14ac:dyDescent="0.15">
      <c r="B36" s="9" t="s">
        <v>1904</v>
      </c>
    </row>
    <row r="37" spans="1:2" ht="18.95" customHeight="1" x14ac:dyDescent="0.15">
      <c r="B37" s="9" t="s">
        <v>74</v>
      </c>
    </row>
    <row r="38" spans="1:2" ht="18.95" customHeight="1" x14ac:dyDescent="0.15">
      <c r="B38" s="9" t="s">
        <v>98</v>
      </c>
    </row>
    <row r="39" spans="1:2" ht="18.95" customHeight="1" x14ac:dyDescent="0.15">
      <c r="B39" s="9" t="s">
        <v>78</v>
      </c>
    </row>
    <row r="40" spans="1:2" ht="18.95" customHeight="1" x14ac:dyDescent="0.15">
      <c r="B40" s="9" t="s">
        <v>1259</v>
      </c>
    </row>
    <row r="41" spans="1:2" ht="18.95" customHeight="1" x14ac:dyDescent="0.15">
      <c r="B41" s="9" t="s">
        <v>151</v>
      </c>
    </row>
    <row r="42" spans="1:2" ht="18.95" customHeight="1" x14ac:dyDescent="0.15">
      <c r="B42" s="9" t="s">
        <v>38</v>
      </c>
    </row>
    <row r="43" spans="1:2" ht="18.95" customHeight="1" x14ac:dyDescent="0.15">
      <c r="B43" s="9" t="s">
        <v>172</v>
      </c>
    </row>
    <row r="44" spans="1:2" ht="18.95" customHeight="1" x14ac:dyDescent="0.15">
      <c r="B44" s="9" t="s">
        <v>773</v>
      </c>
    </row>
    <row r="45" spans="1:2" ht="18.95" customHeight="1" x14ac:dyDescent="0.15">
      <c r="B45" s="9" t="s">
        <v>124</v>
      </c>
    </row>
    <row r="46" spans="1:2" ht="18.95" customHeight="1" x14ac:dyDescent="0.15">
      <c r="B46" s="9" t="s">
        <v>1175</v>
      </c>
    </row>
    <row r="47" spans="1:2" ht="18.95" customHeight="1" x14ac:dyDescent="0.15">
      <c r="B47" s="9" t="s">
        <v>103</v>
      </c>
    </row>
    <row r="48" spans="1:2" ht="18.95" customHeight="1" x14ac:dyDescent="0.15">
      <c r="A48" s="62"/>
      <c r="B48" s="9" t="s">
        <v>101</v>
      </c>
    </row>
    <row r="49" spans="1:2" ht="18.95" customHeight="1" x14ac:dyDescent="0.15">
      <c r="B49" s="9" t="s">
        <v>91</v>
      </c>
    </row>
    <row r="50" spans="1:2" ht="18.95" customHeight="1" x14ac:dyDescent="0.15">
      <c r="A50" s="62"/>
      <c r="B50" s="9" t="s">
        <v>173</v>
      </c>
    </row>
    <row r="51" spans="1:2" ht="18.95" customHeight="1" x14ac:dyDescent="0.15">
      <c r="B51" s="9" t="s">
        <v>96</v>
      </c>
    </row>
    <row r="52" spans="1:2" ht="18.95" customHeight="1" x14ac:dyDescent="0.15">
      <c r="B52" s="9" t="s">
        <v>108</v>
      </c>
    </row>
    <row r="53" spans="1:2" ht="18.95" customHeight="1" x14ac:dyDescent="0.15">
      <c r="B53" s="9" t="s">
        <v>72</v>
      </c>
    </row>
    <row r="54" spans="1:2" ht="18.95" customHeight="1" x14ac:dyDescent="0.15">
      <c r="B54" s="9" t="s">
        <v>73</v>
      </c>
    </row>
    <row r="55" spans="1:2" ht="18.95" customHeight="1" x14ac:dyDescent="0.15">
      <c r="B55" s="9" t="s">
        <v>92</v>
      </c>
    </row>
    <row r="56" spans="1:2" ht="18.95" customHeight="1" x14ac:dyDescent="0.15">
      <c r="B56" s="9" t="s">
        <v>1770</v>
      </c>
    </row>
    <row r="57" spans="1:2" ht="18.95" customHeight="1" x14ac:dyDescent="0.15">
      <c r="A57" s="62"/>
      <c r="B57" s="9" t="s">
        <v>28</v>
      </c>
    </row>
    <row r="58" spans="1:2" ht="18.95" customHeight="1" x14ac:dyDescent="0.15">
      <c r="B58" s="9" t="s">
        <v>152</v>
      </c>
    </row>
    <row r="59" spans="1:2" ht="18.95" customHeight="1" x14ac:dyDescent="0.15">
      <c r="B59" s="9" t="s">
        <v>83</v>
      </c>
    </row>
    <row r="60" spans="1:2" ht="18.95" customHeight="1" x14ac:dyDescent="0.15">
      <c r="B60" s="9" t="s">
        <v>128</v>
      </c>
    </row>
    <row r="61" spans="1:2" ht="18.95" customHeight="1" x14ac:dyDescent="0.15">
      <c r="A61" s="62" t="s">
        <v>142</v>
      </c>
      <c r="B61" s="9" t="s">
        <v>36</v>
      </c>
    </row>
    <row r="62" spans="1:2" ht="18.95" customHeight="1" x14ac:dyDescent="0.15">
      <c r="B62" s="9" t="s">
        <v>56</v>
      </c>
    </row>
    <row r="63" spans="1:2" ht="18.95" customHeight="1" x14ac:dyDescent="0.15">
      <c r="B63" s="9" t="s">
        <v>94</v>
      </c>
    </row>
    <row r="64" spans="1:2" ht="18.95" customHeight="1" x14ac:dyDescent="0.15">
      <c r="B64" s="9" t="s">
        <v>174</v>
      </c>
    </row>
    <row r="65" spans="2:2" ht="18.95" customHeight="1" x14ac:dyDescent="0.15">
      <c r="B65" s="9" t="s">
        <v>125</v>
      </c>
    </row>
    <row r="66" spans="2:2" ht="18.95" customHeight="1" x14ac:dyDescent="0.15">
      <c r="B66" s="9" t="s">
        <v>2524</v>
      </c>
    </row>
    <row r="67" spans="2:2" ht="18.95" customHeight="1" x14ac:dyDescent="0.15">
      <c r="B67" s="9" t="s">
        <v>42</v>
      </c>
    </row>
    <row r="68" spans="2:2" ht="18.95" customHeight="1" x14ac:dyDescent="0.15">
      <c r="B68" s="9" t="s">
        <v>1090</v>
      </c>
    </row>
    <row r="69" spans="2:2" ht="18.95" customHeight="1" x14ac:dyDescent="0.15">
      <c r="B69" s="9" t="s">
        <v>40</v>
      </c>
    </row>
    <row r="70" spans="2:2" ht="18.95" customHeight="1" x14ac:dyDescent="0.15">
      <c r="B70" s="9" t="s">
        <v>32</v>
      </c>
    </row>
    <row r="71" spans="2:2" ht="18.95" customHeight="1" x14ac:dyDescent="0.15">
      <c r="B71" s="9" t="s">
        <v>31</v>
      </c>
    </row>
    <row r="72" spans="2:2" ht="18.95" customHeight="1" x14ac:dyDescent="0.15">
      <c r="B72" s="9" t="s">
        <v>62</v>
      </c>
    </row>
    <row r="73" spans="2:2" ht="18.95" customHeight="1" x14ac:dyDescent="0.15">
      <c r="B73" s="9" t="s">
        <v>110</v>
      </c>
    </row>
    <row r="74" spans="2:2" ht="18.95" customHeight="1" x14ac:dyDescent="0.15">
      <c r="B74" s="9" t="s">
        <v>175</v>
      </c>
    </row>
    <row r="75" spans="2:2" ht="18.95" customHeight="1" x14ac:dyDescent="0.15">
      <c r="B75" s="9" t="s">
        <v>1001</v>
      </c>
    </row>
    <row r="76" spans="2:2" ht="18.95" customHeight="1" x14ac:dyDescent="0.15">
      <c r="B76" s="9" t="s">
        <v>647</v>
      </c>
    </row>
    <row r="77" spans="2:2" ht="18.95" customHeight="1" x14ac:dyDescent="0.15">
      <c r="B77" s="9" t="s">
        <v>59</v>
      </c>
    </row>
    <row r="78" spans="2:2" ht="18.95" customHeight="1" x14ac:dyDescent="0.15">
      <c r="B78" s="9" t="s">
        <v>49</v>
      </c>
    </row>
    <row r="79" spans="2:2" ht="18.95" customHeight="1" x14ac:dyDescent="0.15">
      <c r="B79" s="9" t="s">
        <v>109</v>
      </c>
    </row>
    <row r="80" spans="2:2" ht="18.95" customHeight="1" x14ac:dyDescent="0.15">
      <c r="B80" s="9" t="s">
        <v>33</v>
      </c>
    </row>
    <row r="81" spans="2:2" ht="18.95" customHeight="1" x14ac:dyDescent="0.15">
      <c r="B81" s="9" t="s">
        <v>66</v>
      </c>
    </row>
    <row r="82" spans="2:2" ht="18.95" customHeight="1" x14ac:dyDescent="0.15">
      <c r="B82" s="9" t="s">
        <v>100</v>
      </c>
    </row>
    <row r="83" spans="2:2" ht="18.95" customHeight="1" x14ac:dyDescent="0.15">
      <c r="B83" s="9" t="s">
        <v>2457</v>
      </c>
    </row>
    <row r="84" spans="2:2" ht="18.95" customHeight="1" x14ac:dyDescent="0.15">
      <c r="B84" s="9" t="s">
        <v>145</v>
      </c>
    </row>
    <row r="85" spans="2:2" ht="18.95" customHeight="1" x14ac:dyDescent="0.15">
      <c r="B85" s="9" t="s">
        <v>68</v>
      </c>
    </row>
    <row r="86" spans="2:2" ht="18.95" customHeight="1" x14ac:dyDescent="0.15">
      <c r="B86" s="9" t="s">
        <v>176</v>
      </c>
    </row>
    <row r="87" spans="2:2" ht="18.95" customHeight="1" x14ac:dyDescent="0.15">
      <c r="B87" s="9" t="s">
        <v>65</v>
      </c>
    </row>
    <row r="88" spans="2:2" ht="18.95" customHeight="1" x14ac:dyDescent="0.15">
      <c r="B88" s="9" t="s">
        <v>67</v>
      </c>
    </row>
    <row r="89" spans="2:2" ht="18.95" customHeight="1" x14ac:dyDescent="0.15">
      <c r="B89" s="9" t="s">
        <v>2086</v>
      </c>
    </row>
    <row r="90" spans="2:2" ht="18.95" customHeight="1" x14ac:dyDescent="0.15">
      <c r="B90" s="9" t="s">
        <v>34</v>
      </c>
    </row>
    <row r="91" spans="2:2" ht="18.95" customHeight="1" x14ac:dyDescent="0.15">
      <c r="B91" s="9" t="s">
        <v>39</v>
      </c>
    </row>
    <row r="92" spans="2:2" ht="18.95" customHeight="1" x14ac:dyDescent="0.15">
      <c r="B92" s="9" t="s">
        <v>35</v>
      </c>
    </row>
    <row r="93" spans="2:2" ht="18.95" customHeight="1" x14ac:dyDescent="0.15">
      <c r="B93" s="9" t="s">
        <v>177</v>
      </c>
    </row>
    <row r="94" spans="2:2" ht="18.95" customHeight="1" x14ac:dyDescent="0.15">
      <c r="B94" s="9" t="s">
        <v>134</v>
      </c>
    </row>
    <row r="95" spans="2:2" ht="18.95" customHeight="1" x14ac:dyDescent="0.15">
      <c r="B95" s="9" t="s">
        <v>116</v>
      </c>
    </row>
    <row r="96" spans="2:2" ht="18.95" customHeight="1" x14ac:dyDescent="0.15">
      <c r="B96" s="9" t="s">
        <v>178</v>
      </c>
    </row>
    <row r="97" spans="1:2" ht="18.95" customHeight="1" x14ac:dyDescent="0.15">
      <c r="B97" s="9" t="s">
        <v>2422</v>
      </c>
    </row>
    <row r="98" spans="1:2" ht="18.95" customHeight="1" x14ac:dyDescent="0.15">
      <c r="B98" s="9" t="s">
        <v>179</v>
      </c>
    </row>
    <row r="99" spans="1:2" ht="18.95" customHeight="1" x14ac:dyDescent="0.15">
      <c r="B99" s="9" t="s">
        <v>76</v>
      </c>
    </row>
    <row r="100" spans="1:2" ht="18.95" customHeight="1" x14ac:dyDescent="0.15">
      <c r="A100" s="64"/>
      <c r="B100" s="9" t="s">
        <v>119</v>
      </c>
    </row>
    <row r="101" spans="1:2" ht="18.95" customHeight="1" x14ac:dyDescent="0.15">
      <c r="B101" s="9" t="s">
        <v>148</v>
      </c>
    </row>
    <row r="102" spans="1:2" ht="18.95" customHeight="1" x14ac:dyDescent="0.15">
      <c r="B102" s="9" t="s">
        <v>82</v>
      </c>
    </row>
    <row r="103" spans="1:2" ht="18.95" customHeight="1" x14ac:dyDescent="0.15">
      <c r="B103" s="9" t="s">
        <v>180</v>
      </c>
    </row>
    <row r="104" spans="1:2" ht="18.95" customHeight="1" x14ac:dyDescent="0.15">
      <c r="B104" s="9" t="s">
        <v>149</v>
      </c>
    </row>
    <row r="105" spans="1:2" ht="18.95" customHeight="1" x14ac:dyDescent="0.15">
      <c r="B105" s="9" t="s">
        <v>181</v>
      </c>
    </row>
    <row r="106" spans="1:2" ht="18.95" customHeight="1" x14ac:dyDescent="0.15">
      <c r="B106" s="9" t="s">
        <v>182</v>
      </c>
    </row>
    <row r="107" spans="1:2" ht="18.95" customHeight="1" x14ac:dyDescent="0.15">
      <c r="B107" s="9" t="s">
        <v>147</v>
      </c>
    </row>
    <row r="108" spans="1:2" ht="18.95" customHeight="1" x14ac:dyDescent="0.15">
      <c r="B108" s="9" t="s">
        <v>75</v>
      </c>
    </row>
    <row r="109" spans="1:2" ht="18.95" customHeight="1" x14ac:dyDescent="0.15">
      <c r="B109" s="9" t="s">
        <v>115</v>
      </c>
    </row>
    <row r="110" spans="1:2" ht="18.95" customHeight="1" x14ac:dyDescent="0.15">
      <c r="B110" s="9" t="s">
        <v>87</v>
      </c>
    </row>
    <row r="111" spans="1:2" ht="18.95" customHeight="1" x14ac:dyDescent="0.15">
      <c r="B111" s="9" t="s">
        <v>122</v>
      </c>
    </row>
    <row r="112" spans="1:2" ht="18.95" customHeight="1" x14ac:dyDescent="0.15">
      <c r="B112" s="9" t="s">
        <v>60</v>
      </c>
    </row>
    <row r="113" spans="1:2" ht="18.95" customHeight="1" x14ac:dyDescent="0.15">
      <c r="B113" s="9" t="s">
        <v>153</v>
      </c>
    </row>
    <row r="114" spans="1:2" ht="18.95" customHeight="1" x14ac:dyDescent="0.15">
      <c r="B114" s="9" t="s">
        <v>44</v>
      </c>
    </row>
    <row r="115" spans="1:2" ht="18.95" customHeight="1" x14ac:dyDescent="0.15">
      <c r="B115" s="9" t="s">
        <v>183</v>
      </c>
    </row>
    <row r="116" spans="1:2" ht="18.95" customHeight="1" x14ac:dyDescent="0.15">
      <c r="B116" s="9" t="s">
        <v>1304</v>
      </c>
    </row>
    <row r="117" spans="1:2" ht="18.95" customHeight="1" x14ac:dyDescent="0.15">
      <c r="B117" s="9" t="s">
        <v>46</v>
      </c>
    </row>
    <row r="118" spans="1:2" ht="18.95" customHeight="1" x14ac:dyDescent="0.15">
      <c r="B118" s="9" t="s">
        <v>63</v>
      </c>
    </row>
    <row r="119" spans="1:2" ht="18.95" customHeight="1" x14ac:dyDescent="0.15">
      <c r="B119" s="9" t="s">
        <v>136</v>
      </c>
    </row>
    <row r="120" spans="1:2" ht="18.95" customHeight="1" x14ac:dyDescent="0.15">
      <c r="B120" s="9" t="s">
        <v>54</v>
      </c>
    </row>
    <row r="121" spans="1:2" ht="18.95" customHeight="1" x14ac:dyDescent="0.15">
      <c r="B121" s="9" t="s">
        <v>127</v>
      </c>
    </row>
    <row r="122" spans="1:2" ht="18.95" customHeight="1" x14ac:dyDescent="0.15">
      <c r="B122" s="9" t="s">
        <v>137</v>
      </c>
    </row>
    <row r="123" spans="1:2" ht="18.95" customHeight="1" x14ac:dyDescent="0.15">
      <c r="B123" s="9" t="s">
        <v>61</v>
      </c>
    </row>
    <row r="124" spans="1:2" ht="18.95" customHeight="1" x14ac:dyDescent="0.15">
      <c r="A124" t="s">
        <v>140</v>
      </c>
      <c r="B124" s="9" t="s">
        <v>70</v>
      </c>
    </row>
    <row r="125" spans="1:2" ht="18.95" customHeight="1" x14ac:dyDescent="0.15">
      <c r="A125" s="62" t="s">
        <v>141</v>
      </c>
      <c r="B125" s="9" t="s">
        <v>53</v>
      </c>
    </row>
    <row r="126" spans="1:2" ht="18.95" customHeight="1" x14ac:dyDescent="0.15">
      <c r="A126" s="63"/>
      <c r="B126" s="9" t="s">
        <v>111</v>
      </c>
    </row>
    <row r="127" spans="1:2" ht="18.95" customHeight="1" x14ac:dyDescent="0.15">
      <c r="B127" s="9" t="s">
        <v>143</v>
      </c>
    </row>
    <row r="128" spans="1:2" ht="18.95" customHeight="1" x14ac:dyDescent="0.15">
      <c r="B128" s="9" t="s">
        <v>104</v>
      </c>
    </row>
    <row r="129" spans="2:2" ht="18.95" customHeight="1" x14ac:dyDescent="0.15">
      <c r="B129" s="9" t="s">
        <v>184</v>
      </c>
    </row>
    <row r="130" spans="2:2" ht="18.95" customHeight="1" x14ac:dyDescent="0.15">
      <c r="B130" s="9" t="s">
        <v>1950</v>
      </c>
    </row>
    <row r="131" spans="2:2" ht="18.95" customHeight="1" x14ac:dyDescent="0.15">
      <c r="B131" s="9" t="s">
        <v>2261</v>
      </c>
    </row>
    <row r="132" spans="2:2" ht="18.95" customHeight="1" x14ac:dyDescent="0.15">
      <c r="B132" s="9" t="s">
        <v>55</v>
      </c>
    </row>
    <row r="133" spans="2:2" ht="18.95" customHeight="1" x14ac:dyDescent="0.15">
      <c r="B133" s="9" t="s">
        <v>185</v>
      </c>
    </row>
    <row r="134" spans="2:2" ht="18.95" customHeight="1" x14ac:dyDescent="0.15">
      <c r="B134" s="9" t="s">
        <v>1080</v>
      </c>
    </row>
    <row r="135" spans="2:2" ht="18.95" customHeight="1" x14ac:dyDescent="0.15">
      <c r="B135" s="9" t="s">
        <v>1377</v>
      </c>
    </row>
    <row r="136" spans="2:2" ht="18.95" customHeight="1" x14ac:dyDescent="0.15">
      <c r="B136" s="9" t="s">
        <v>71</v>
      </c>
    </row>
    <row r="137" spans="2:2" ht="18.95" customHeight="1" x14ac:dyDescent="0.15">
      <c r="B137" s="9" t="s">
        <v>114</v>
      </c>
    </row>
    <row r="138" spans="2:2" ht="18.95" customHeight="1" x14ac:dyDescent="0.15">
      <c r="B138" s="9" t="s">
        <v>1775</v>
      </c>
    </row>
    <row r="139" spans="2:2" ht="18.95" customHeight="1" x14ac:dyDescent="0.15">
      <c r="B139" s="9" t="s">
        <v>45</v>
      </c>
    </row>
    <row r="140" spans="2:2" ht="18.95" customHeight="1" x14ac:dyDescent="0.15">
      <c r="B140" s="9" t="s">
        <v>131</v>
      </c>
    </row>
    <row r="141" spans="2:2" ht="18.95" customHeight="1" x14ac:dyDescent="0.15">
      <c r="B141" s="9" t="s">
        <v>135</v>
      </c>
    </row>
    <row r="142" spans="2:2" ht="18.95" customHeight="1" x14ac:dyDescent="0.15">
      <c r="B142" s="9" t="s">
        <v>77</v>
      </c>
    </row>
    <row r="143" spans="2:2" ht="18.95" customHeight="1" x14ac:dyDescent="0.15">
      <c r="B143" s="9" t="s">
        <v>93</v>
      </c>
    </row>
    <row r="144" spans="2:2" ht="18.95" customHeight="1" x14ac:dyDescent="0.15">
      <c r="B144" s="9" t="s">
        <v>58</v>
      </c>
    </row>
    <row r="145" spans="1:2" ht="18.95" customHeight="1" x14ac:dyDescent="0.15">
      <c r="B145" s="9" t="s">
        <v>138</v>
      </c>
    </row>
    <row r="146" spans="1:2" ht="18.95" customHeight="1" x14ac:dyDescent="0.15">
      <c r="B146" s="9" t="s">
        <v>2318</v>
      </c>
    </row>
    <row r="147" spans="1:2" ht="18.95" customHeight="1" x14ac:dyDescent="0.15">
      <c r="B147" s="9" t="s">
        <v>84</v>
      </c>
    </row>
    <row r="148" spans="1:2" ht="18.95" customHeight="1" x14ac:dyDescent="0.15">
      <c r="B148" s="9" t="s">
        <v>95</v>
      </c>
    </row>
    <row r="149" spans="1:2" ht="18.95" customHeight="1" x14ac:dyDescent="0.15">
      <c r="B149" s="9" t="s">
        <v>50</v>
      </c>
    </row>
    <row r="150" spans="1:2" ht="18.95" customHeight="1" x14ac:dyDescent="0.15">
      <c r="B150" s="9" t="s">
        <v>52</v>
      </c>
    </row>
    <row r="151" spans="1:2" ht="18.95" customHeight="1" x14ac:dyDescent="0.15">
      <c r="B151" s="9" t="s">
        <v>144</v>
      </c>
    </row>
    <row r="152" spans="1:2" ht="18.95" customHeight="1" x14ac:dyDescent="0.15">
      <c r="B152" s="9" t="s">
        <v>89</v>
      </c>
    </row>
    <row r="153" spans="1:2" ht="18.95" customHeight="1" x14ac:dyDescent="0.15">
      <c r="B153" s="9" t="s">
        <v>41</v>
      </c>
    </row>
    <row r="154" spans="1:2" ht="18.95" customHeight="1" x14ac:dyDescent="0.15">
      <c r="B154" s="9" t="s">
        <v>99</v>
      </c>
    </row>
    <row r="155" spans="1:2" ht="18.95" customHeight="1" x14ac:dyDescent="0.15">
      <c r="B155" s="9" t="s">
        <v>105</v>
      </c>
    </row>
    <row r="156" spans="1:2" ht="18.95" customHeight="1" x14ac:dyDescent="0.15">
      <c r="B156" s="9" t="s">
        <v>102</v>
      </c>
    </row>
    <row r="157" spans="1:2" ht="18.95" customHeight="1" x14ac:dyDescent="0.15">
      <c r="B157" s="9" t="s">
        <v>186</v>
      </c>
    </row>
    <row r="158" spans="1:2" ht="18.95" customHeight="1" x14ac:dyDescent="0.15">
      <c r="B158" s="9" t="s">
        <v>187</v>
      </c>
    </row>
    <row r="159" spans="1:2" ht="18.95" customHeight="1" x14ac:dyDescent="0.15">
      <c r="B159" s="9" t="s">
        <v>86</v>
      </c>
    </row>
    <row r="160" spans="1:2" ht="18.95" customHeight="1" x14ac:dyDescent="0.15">
      <c r="A160" s="62"/>
      <c r="B160" s="9" t="s">
        <v>30</v>
      </c>
    </row>
    <row r="161" spans="2:2" ht="18.95" customHeight="1" x14ac:dyDescent="0.15">
      <c r="B161" s="9" t="s">
        <v>1944</v>
      </c>
    </row>
    <row r="162" spans="2:2" ht="18.95" customHeight="1" x14ac:dyDescent="0.15">
      <c r="B162" s="9" t="s">
        <v>37</v>
      </c>
    </row>
    <row r="163" spans="2:2" ht="18.95" customHeight="1" x14ac:dyDescent="0.15">
      <c r="B163" s="9" t="s">
        <v>69</v>
      </c>
    </row>
    <row r="164" spans="2:2" ht="18.95" customHeight="1" x14ac:dyDescent="0.15">
      <c r="B164" s="9" t="s">
        <v>79</v>
      </c>
    </row>
    <row r="165" spans="2:2" ht="18.95" customHeight="1" x14ac:dyDescent="0.15">
      <c r="B165" s="9" t="s">
        <v>2254</v>
      </c>
    </row>
    <row r="166" spans="2:2" ht="18.95" customHeight="1" x14ac:dyDescent="0.15">
      <c r="B166" s="9" t="s">
        <v>133</v>
      </c>
    </row>
    <row r="167" spans="2:2" ht="18.95" customHeight="1" x14ac:dyDescent="0.15">
      <c r="B167" s="9" t="s">
        <v>85</v>
      </c>
    </row>
  </sheetData>
  <autoFilter ref="A1:B120" xr:uid="{00000000-0009-0000-0000-000039000000}"/>
  <sortState ref="A1:B167">
    <sortCondition ref="B1:B167"/>
  </sortState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104</vt:i4>
      </vt:variant>
      <vt:variant>
        <vt:lpstr>이름 지정된 범위</vt:lpstr>
      </vt:variant>
      <vt:variant>
        <vt:i4>103</vt:i4>
      </vt:variant>
    </vt:vector>
  </HeadingPairs>
  <TitlesOfParts>
    <vt:vector size="207" baseType="lpstr">
      <vt:lpstr>1월  2일</vt:lpstr>
      <vt:lpstr>1월  3일</vt:lpstr>
      <vt:lpstr>1월  5일</vt:lpstr>
      <vt:lpstr>1월  6일</vt:lpstr>
      <vt:lpstr>1월  7일</vt:lpstr>
      <vt:lpstr>1월  8일</vt:lpstr>
      <vt:lpstr>1월  9일</vt:lpstr>
      <vt:lpstr>1월  10일</vt:lpstr>
      <vt:lpstr>1월  12일</vt:lpstr>
      <vt:lpstr>1월  13일</vt:lpstr>
      <vt:lpstr>1월  14일</vt:lpstr>
      <vt:lpstr>1월  15일</vt:lpstr>
      <vt:lpstr>1월  16일</vt:lpstr>
      <vt:lpstr>1월  17일</vt:lpstr>
      <vt:lpstr>1월  19일</vt:lpstr>
      <vt:lpstr>1월  20일</vt:lpstr>
      <vt:lpstr>1월  21일</vt:lpstr>
      <vt:lpstr>1월  22일</vt:lpstr>
      <vt:lpstr>1월  23일</vt:lpstr>
      <vt:lpstr>1월  24일</vt:lpstr>
      <vt:lpstr>1월  26일</vt:lpstr>
      <vt:lpstr>1월  27일</vt:lpstr>
      <vt:lpstr>1월  28일</vt:lpstr>
      <vt:lpstr>1월  29일</vt:lpstr>
      <vt:lpstr>1월  30일</vt:lpstr>
      <vt:lpstr>1월  31일</vt:lpstr>
      <vt:lpstr>2월  2일</vt:lpstr>
      <vt:lpstr>2월  3일</vt:lpstr>
      <vt:lpstr>2월 4일</vt:lpstr>
      <vt:lpstr>2월  5일</vt:lpstr>
      <vt:lpstr>2월  6일</vt:lpstr>
      <vt:lpstr>2월  7일 </vt:lpstr>
      <vt:lpstr>2월  9일</vt:lpstr>
      <vt:lpstr>2월  10일</vt:lpstr>
      <vt:lpstr>2월  11일</vt:lpstr>
      <vt:lpstr>2월  12일</vt:lpstr>
      <vt:lpstr>2월  13일</vt:lpstr>
      <vt:lpstr>2월  19일</vt:lpstr>
      <vt:lpstr>2월  20일</vt:lpstr>
      <vt:lpstr>2월  23일</vt:lpstr>
      <vt:lpstr>2월  24일</vt:lpstr>
      <vt:lpstr>2월  25일</vt:lpstr>
      <vt:lpstr>2월  26일</vt:lpstr>
      <vt:lpstr>2월  27일</vt:lpstr>
      <vt:lpstr>3월  3일</vt:lpstr>
      <vt:lpstr>3월  4일</vt:lpstr>
      <vt:lpstr>3월  5일</vt:lpstr>
      <vt:lpstr>3월  6일</vt:lpstr>
      <vt:lpstr>3월  9일</vt:lpstr>
      <vt:lpstr>3월  10일</vt:lpstr>
      <vt:lpstr>3월  11일</vt:lpstr>
      <vt:lpstr>3월  12일</vt:lpstr>
      <vt:lpstr>3월  13일</vt:lpstr>
      <vt:lpstr>3월  16일</vt:lpstr>
      <vt:lpstr>3월  17일</vt:lpstr>
      <vt:lpstr>3월  18일</vt:lpstr>
      <vt:lpstr>3월  19일</vt:lpstr>
      <vt:lpstr>3월  20일</vt:lpstr>
      <vt:lpstr>3월  23일</vt:lpstr>
      <vt:lpstr>3월  24일</vt:lpstr>
      <vt:lpstr>3월  25일</vt:lpstr>
      <vt:lpstr>3월  26일</vt:lpstr>
      <vt:lpstr>3월  27일</vt:lpstr>
      <vt:lpstr>3월  30일</vt:lpstr>
      <vt:lpstr>3월  31일</vt:lpstr>
      <vt:lpstr>4월  01일</vt:lpstr>
      <vt:lpstr>4월 02일</vt:lpstr>
      <vt:lpstr>4월  03일</vt:lpstr>
      <vt:lpstr>4월  6일</vt:lpstr>
      <vt:lpstr>4월  7일</vt:lpstr>
      <vt:lpstr>4월  8일</vt:lpstr>
      <vt:lpstr>4월  9일</vt:lpstr>
      <vt:lpstr>4월  10일</vt:lpstr>
      <vt:lpstr>4월  11일</vt:lpstr>
      <vt:lpstr>4월  13일</vt:lpstr>
      <vt:lpstr>4월  14일</vt:lpstr>
      <vt:lpstr>4월  15일</vt:lpstr>
      <vt:lpstr>4월  16일</vt:lpstr>
      <vt:lpstr>4월  17일</vt:lpstr>
      <vt:lpstr>4월  18일</vt:lpstr>
      <vt:lpstr>4월  20일</vt:lpstr>
      <vt:lpstr>4월  21일</vt:lpstr>
      <vt:lpstr>4월  22일</vt:lpstr>
      <vt:lpstr>4월  23일</vt:lpstr>
      <vt:lpstr>4월  24일</vt:lpstr>
      <vt:lpstr>4월  25일</vt:lpstr>
      <vt:lpstr>4월  27일</vt:lpstr>
      <vt:lpstr>4월  28일</vt:lpstr>
      <vt:lpstr>4월  29일</vt:lpstr>
      <vt:lpstr>4월  30일</vt:lpstr>
      <vt:lpstr>5월  4일</vt:lpstr>
      <vt:lpstr>5월  5일</vt:lpstr>
      <vt:lpstr>5월  6일</vt:lpstr>
      <vt:lpstr>5월  7일</vt:lpstr>
      <vt:lpstr>5월  8일</vt:lpstr>
      <vt:lpstr>5월  9일</vt:lpstr>
      <vt:lpstr>5월  11일</vt:lpstr>
      <vt:lpstr>5월  12일</vt:lpstr>
      <vt:lpstr>5월  13일</vt:lpstr>
      <vt:lpstr>5월  14일</vt:lpstr>
      <vt:lpstr>5월  15일</vt:lpstr>
      <vt:lpstr>5월  16일</vt:lpstr>
      <vt:lpstr>5월  4일 (13)</vt:lpstr>
      <vt:lpstr>업체현장명</vt:lpstr>
      <vt:lpstr>'1월  10일'!Print_Area</vt:lpstr>
      <vt:lpstr>'1월  12일'!Print_Area</vt:lpstr>
      <vt:lpstr>'1월  13일'!Print_Area</vt:lpstr>
      <vt:lpstr>'1월  14일'!Print_Area</vt:lpstr>
      <vt:lpstr>'1월  15일'!Print_Area</vt:lpstr>
      <vt:lpstr>'1월  16일'!Print_Area</vt:lpstr>
      <vt:lpstr>'1월  17일'!Print_Area</vt:lpstr>
      <vt:lpstr>'1월  19일'!Print_Area</vt:lpstr>
      <vt:lpstr>'1월  20일'!Print_Area</vt:lpstr>
      <vt:lpstr>'1월  21일'!Print_Area</vt:lpstr>
      <vt:lpstr>'1월  22일'!Print_Area</vt:lpstr>
      <vt:lpstr>'1월  23일'!Print_Area</vt:lpstr>
      <vt:lpstr>'1월  24일'!Print_Area</vt:lpstr>
      <vt:lpstr>'1월  26일'!Print_Area</vt:lpstr>
      <vt:lpstr>'1월  27일'!Print_Area</vt:lpstr>
      <vt:lpstr>'1월  28일'!Print_Area</vt:lpstr>
      <vt:lpstr>'1월  29일'!Print_Area</vt:lpstr>
      <vt:lpstr>'1월  2일'!Print_Area</vt:lpstr>
      <vt:lpstr>'1월  30일'!Print_Area</vt:lpstr>
      <vt:lpstr>'1월  31일'!Print_Area</vt:lpstr>
      <vt:lpstr>'1월  3일'!Print_Area</vt:lpstr>
      <vt:lpstr>'1월  5일'!Print_Area</vt:lpstr>
      <vt:lpstr>'1월  6일'!Print_Area</vt:lpstr>
      <vt:lpstr>'1월  7일'!Print_Area</vt:lpstr>
      <vt:lpstr>'1월  8일'!Print_Area</vt:lpstr>
      <vt:lpstr>'1월  9일'!Print_Area</vt:lpstr>
      <vt:lpstr>'2월  10일'!Print_Area</vt:lpstr>
      <vt:lpstr>'2월  11일'!Print_Area</vt:lpstr>
      <vt:lpstr>'2월  12일'!Print_Area</vt:lpstr>
      <vt:lpstr>'2월  13일'!Print_Area</vt:lpstr>
      <vt:lpstr>'2월  19일'!Print_Area</vt:lpstr>
      <vt:lpstr>'2월  20일'!Print_Area</vt:lpstr>
      <vt:lpstr>'2월  23일'!Print_Area</vt:lpstr>
      <vt:lpstr>'2월  24일'!Print_Area</vt:lpstr>
      <vt:lpstr>'2월  25일'!Print_Area</vt:lpstr>
      <vt:lpstr>'2월  26일'!Print_Area</vt:lpstr>
      <vt:lpstr>'2월  27일'!Print_Area</vt:lpstr>
      <vt:lpstr>'2월  2일'!Print_Area</vt:lpstr>
      <vt:lpstr>'2월  3일'!Print_Area</vt:lpstr>
      <vt:lpstr>'2월  5일'!Print_Area</vt:lpstr>
      <vt:lpstr>'2월  6일'!Print_Area</vt:lpstr>
      <vt:lpstr>'2월  7일 '!Print_Area</vt:lpstr>
      <vt:lpstr>'2월  9일'!Print_Area</vt:lpstr>
      <vt:lpstr>'2월 4일'!Print_Area</vt:lpstr>
      <vt:lpstr>'3월  10일'!Print_Area</vt:lpstr>
      <vt:lpstr>'3월  11일'!Print_Area</vt:lpstr>
      <vt:lpstr>'3월  12일'!Print_Area</vt:lpstr>
      <vt:lpstr>'3월  13일'!Print_Area</vt:lpstr>
      <vt:lpstr>'3월  16일'!Print_Area</vt:lpstr>
      <vt:lpstr>'3월  17일'!Print_Area</vt:lpstr>
      <vt:lpstr>'3월  18일'!Print_Area</vt:lpstr>
      <vt:lpstr>'3월  19일'!Print_Area</vt:lpstr>
      <vt:lpstr>'3월  20일'!Print_Area</vt:lpstr>
      <vt:lpstr>'3월  23일'!Print_Area</vt:lpstr>
      <vt:lpstr>'3월  24일'!Print_Area</vt:lpstr>
      <vt:lpstr>'3월  25일'!Print_Area</vt:lpstr>
      <vt:lpstr>'3월  26일'!Print_Area</vt:lpstr>
      <vt:lpstr>'3월  27일'!Print_Area</vt:lpstr>
      <vt:lpstr>'3월  30일'!Print_Area</vt:lpstr>
      <vt:lpstr>'3월  31일'!Print_Area</vt:lpstr>
      <vt:lpstr>'3월  3일'!Print_Area</vt:lpstr>
      <vt:lpstr>'3월  4일'!Print_Area</vt:lpstr>
      <vt:lpstr>'3월  5일'!Print_Area</vt:lpstr>
      <vt:lpstr>'3월  6일'!Print_Area</vt:lpstr>
      <vt:lpstr>'3월  9일'!Print_Area</vt:lpstr>
      <vt:lpstr>'4월  01일'!Print_Area</vt:lpstr>
      <vt:lpstr>'4월  03일'!Print_Area</vt:lpstr>
      <vt:lpstr>'4월  10일'!Print_Area</vt:lpstr>
      <vt:lpstr>'4월  11일'!Print_Area</vt:lpstr>
      <vt:lpstr>'4월  13일'!Print_Area</vt:lpstr>
      <vt:lpstr>'4월  14일'!Print_Area</vt:lpstr>
      <vt:lpstr>'4월  15일'!Print_Area</vt:lpstr>
      <vt:lpstr>'4월  16일'!Print_Area</vt:lpstr>
      <vt:lpstr>'4월  17일'!Print_Area</vt:lpstr>
      <vt:lpstr>'4월  18일'!Print_Area</vt:lpstr>
      <vt:lpstr>'4월  20일'!Print_Area</vt:lpstr>
      <vt:lpstr>'4월  21일'!Print_Area</vt:lpstr>
      <vt:lpstr>'4월  22일'!Print_Area</vt:lpstr>
      <vt:lpstr>'4월  23일'!Print_Area</vt:lpstr>
      <vt:lpstr>'4월  24일'!Print_Area</vt:lpstr>
      <vt:lpstr>'4월  25일'!Print_Area</vt:lpstr>
      <vt:lpstr>'4월  27일'!Print_Area</vt:lpstr>
      <vt:lpstr>'4월  28일'!Print_Area</vt:lpstr>
      <vt:lpstr>'4월  29일'!Print_Area</vt:lpstr>
      <vt:lpstr>'4월  30일'!Print_Area</vt:lpstr>
      <vt:lpstr>'4월  6일'!Print_Area</vt:lpstr>
      <vt:lpstr>'4월  7일'!Print_Area</vt:lpstr>
      <vt:lpstr>'4월  8일'!Print_Area</vt:lpstr>
      <vt:lpstr>'4월  9일'!Print_Area</vt:lpstr>
      <vt:lpstr>'4월 02일'!Print_Area</vt:lpstr>
      <vt:lpstr>'5월  11일'!Print_Area</vt:lpstr>
      <vt:lpstr>'5월  12일'!Print_Area</vt:lpstr>
      <vt:lpstr>'5월  13일'!Print_Area</vt:lpstr>
      <vt:lpstr>'5월  14일'!Print_Area</vt:lpstr>
      <vt:lpstr>'5월  15일'!Print_Area</vt:lpstr>
      <vt:lpstr>'5월  16일'!Print_Area</vt:lpstr>
      <vt:lpstr>'5월  4일'!Print_Area</vt:lpstr>
      <vt:lpstr>'5월  4일 (13)'!Print_Area</vt:lpstr>
      <vt:lpstr>'5월  5일'!Print_Area</vt:lpstr>
      <vt:lpstr>'5월  6일'!Print_Area</vt:lpstr>
      <vt:lpstr>'5월  7일'!Print_Area</vt:lpstr>
      <vt:lpstr>'5월  8일'!Print_Area</vt:lpstr>
      <vt:lpstr>'5월  9일'!Print_Area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ONE</dc:creator>
  <cp:lastModifiedBy>ONE</cp:lastModifiedBy>
  <cp:lastPrinted>2026-07-28T11:43:12Z</cp:lastPrinted>
  <dcterms:created xsi:type="dcterms:W3CDTF">2022-01-05T08:25:57Z</dcterms:created>
  <dcterms:modified xsi:type="dcterms:W3CDTF">2026-08-08T08:42:08Z</dcterms:modified>
</cp:coreProperties>
</file>