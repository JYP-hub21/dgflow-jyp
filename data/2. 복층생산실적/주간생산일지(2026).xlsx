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1.xml" ContentType="application/vnd.openxmlformats-officedocument.spreadsheetml.comment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omments2.xml" ContentType="application/vnd.openxmlformats-officedocument.spreadsheetml.comments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N:\공유\공유받은\_동일유리(주) CLOUD\2. 부서별폴더\A00. 생산.생산관리\A00. 오창공장\A12. 생산_복층\"/>
    </mc:Choice>
  </mc:AlternateContent>
  <bookViews>
    <workbookView xWindow="29400" yWindow="-120" windowWidth="38640" windowHeight="15720" tabRatio="828" activeTab="1"/>
  </bookViews>
  <sheets>
    <sheet name="양식" sheetId="89" r:id="rId1"/>
    <sheet name="0822" sheetId="99" r:id="rId2"/>
    <sheet name="0815" sheetId="98" r:id="rId3"/>
    <sheet name="0808" sheetId="97" r:id="rId4"/>
    <sheet name="0801" sheetId="96" r:id="rId5"/>
    <sheet name="0725" sheetId="95" r:id="rId6"/>
    <sheet name="0718" sheetId="94" r:id="rId7"/>
    <sheet name="0711" sheetId="93" r:id="rId8"/>
    <sheet name="0704" sheetId="92" r:id="rId9"/>
    <sheet name="0627" sheetId="91" r:id="rId10"/>
    <sheet name="0620" sheetId="90" r:id="rId11"/>
    <sheet name="0613" sheetId="88" r:id="rId12"/>
    <sheet name="0606" sheetId="87" r:id="rId13"/>
    <sheet name="0530" sheetId="86" r:id="rId14"/>
    <sheet name="0523" sheetId="85" r:id="rId15"/>
    <sheet name="0516" sheetId="84" r:id="rId16"/>
    <sheet name="0509" sheetId="83" r:id="rId17"/>
    <sheet name="0502" sheetId="82" r:id="rId18"/>
    <sheet name="0425" sheetId="81" r:id="rId19"/>
    <sheet name="0418" sheetId="80" r:id="rId20"/>
    <sheet name="0411" sheetId="78" r:id="rId21"/>
    <sheet name="0404" sheetId="77" r:id="rId22"/>
    <sheet name="0328" sheetId="76" r:id="rId23"/>
    <sheet name="0321" sheetId="75" r:id="rId24"/>
    <sheet name="0314" sheetId="74" r:id="rId25"/>
    <sheet name="0307" sheetId="73" r:id="rId26"/>
    <sheet name="0228" sheetId="72" r:id="rId27"/>
    <sheet name="0221" sheetId="71" r:id="rId28"/>
    <sheet name="0214" sheetId="70" r:id="rId29"/>
    <sheet name="0207" sheetId="69" r:id="rId30"/>
    <sheet name="0131" sheetId="68" r:id="rId31"/>
    <sheet name="0124" sheetId="67" r:id="rId32"/>
    <sheet name="0117" sheetId="66" r:id="rId33"/>
    <sheet name="0110" sheetId="64" r:id="rId34"/>
    <sheet name="0103" sheetId="65" r:id="rId35"/>
  </sheets>
  <definedNames>
    <definedName name="_xlnm.Print_Area" localSheetId="34">'0103'!$B$1:$AD$33</definedName>
    <definedName name="_xlnm.Print_Area" localSheetId="33">'0110'!$B$2:$AD$34</definedName>
    <definedName name="_xlnm.Print_Area" localSheetId="32">'0117'!$B$1:$AD$33</definedName>
    <definedName name="_xlnm.Print_Area" localSheetId="31">'0124'!$B$2:$AD$34</definedName>
    <definedName name="_xlnm.Print_Area" localSheetId="30">'0131'!$B$2:$AD$34</definedName>
    <definedName name="_xlnm.Print_Area" localSheetId="29">'0207'!$B$2:$AD$34</definedName>
    <definedName name="_xlnm.Print_Area" localSheetId="28">'0214'!$B$2:$AD$34</definedName>
    <definedName name="_xlnm.Print_Area" localSheetId="27">'0221'!$B$2:$AD$34</definedName>
    <definedName name="_xlnm.Print_Area" localSheetId="26">'0228'!$A$1:$AQ$32</definedName>
    <definedName name="_xlnm.Print_Area" localSheetId="25">'0307'!$B$2:$AD$34</definedName>
    <definedName name="_xlnm.Print_Area" localSheetId="24">'0314'!$B$2:$AD$34</definedName>
    <definedName name="_xlnm.Print_Area" localSheetId="23">'0321'!$B$2:$AD$34</definedName>
    <definedName name="_xlnm.Print_Area" localSheetId="22">'0328'!$B$2:$AD$34</definedName>
    <definedName name="_xlnm.Print_Area" localSheetId="21">'0404'!$B$2:$AE$34</definedName>
    <definedName name="_xlnm.Print_Area" localSheetId="20">'0411'!$B$2:$AE$34</definedName>
    <definedName name="_xlnm.Print_Area" localSheetId="19">'0418'!$B$2:$AE$34</definedName>
    <definedName name="_xlnm.Print_Area" localSheetId="18">'0425'!$B$2:$AE$34</definedName>
    <definedName name="_xlnm.Print_Area" localSheetId="17">'0502'!$B$2:$AE$34</definedName>
    <definedName name="_xlnm.Print_Area" localSheetId="16">'0509'!$B$2:$AE$34</definedName>
    <definedName name="_xlnm.Print_Area" localSheetId="15">'0516'!$B$2:$AE$34</definedName>
    <definedName name="_xlnm.Print_Area" localSheetId="14">'0523'!$B$2:$AE$34</definedName>
    <definedName name="_xlnm.Print_Area" localSheetId="13">'0530'!$B$2:$AE$34</definedName>
    <definedName name="_xlnm.Print_Area" localSheetId="12">'0606'!$B$2:$AE$34</definedName>
    <definedName name="_xlnm.Print_Area" localSheetId="11">'0613'!$B$2:$AE$34</definedName>
    <definedName name="_xlnm.Print_Area" localSheetId="10">'0620'!$B$2:$AE$34</definedName>
    <definedName name="_xlnm.Print_Area" localSheetId="9">'0627'!$B$2:$AE$34</definedName>
    <definedName name="_xlnm.Print_Area" localSheetId="8">'0704'!$B$2:$AE$34</definedName>
    <definedName name="_xlnm.Print_Area" localSheetId="7">'0711'!$B$2:$AE$34</definedName>
    <definedName name="_xlnm.Print_Area" localSheetId="6">'0718'!$B$2:$AE$34</definedName>
    <definedName name="_xlnm.Print_Area" localSheetId="5">'0725'!$B$2:$AE$34</definedName>
    <definedName name="_xlnm.Print_Area" localSheetId="4">'0801'!$B$2:$AE$34</definedName>
    <definedName name="_xlnm.Print_Area" localSheetId="3">'0808'!$B$2:$AE$34</definedName>
    <definedName name="_xlnm.Print_Area" localSheetId="2">'0815'!$B$2:$AE$34</definedName>
    <definedName name="_xlnm.Print_Area" localSheetId="1">'0822'!$B$2:$AE$34</definedName>
    <definedName name="_xlnm.Print_Area" localSheetId="0">양식!$B$2:$AE$34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08" i="65" l="1"/>
  <c r="T108" i="65"/>
  <c r="W105" i="65"/>
  <c r="T105" i="65"/>
  <c r="W102" i="65"/>
  <c r="T102" i="65"/>
  <c r="W99" i="65"/>
  <c r="T99" i="65"/>
  <c r="W96" i="65"/>
  <c r="T96" i="65"/>
  <c r="W93" i="65"/>
  <c r="T93" i="65"/>
  <c r="AB87" i="65"/>
  <c r="Y87" i="65"/>
  <c r="V87" i="65"/>
  <c r="AI86" i="65"/>
  <c r="AC86" i="65"/>
  <c r="AB86" i="65"/>
  <c r="AA86" i="65"/>
  <c r="Z86" i="65"/>
  <c r="Y86" i="65"/>
  <c r="X86" i="65"/>
  <c r="W86" i="65"/>
  <c r="V86" i="65"/>
  <c r="U86" i="65"/>
  <c r="T86" i="65"/>
  <c r="F86" i="65"/>
  <c r="AF85" i="65"/>
  <c r="AE85" i="65"/>
  <c r="Y85" i="65"/>
  <c r="W85" i="65"/>
  <c r="V85" i="65"/>
  <c r="T85" i="65"/>
  <c r="F85" i="65"/>
  <c r="AC84" i="65"/>
  <c r="AB84" i="65"/>
  <c r="AA84" i="65"/>
  <c r="Z84" i="65"/>
  <c r="Y84" i="65"/>
  <c r="X84" i="65"/>
  <c r="W84" i="65"/>
  <c r="T84" i="65"/>
  <c r="F84" i="65"/>
  <c r="AO83" i="65"/>
  <c r="AI83" i="65"/>
  <c r="AF83" i="65"/>
  <c r="AE83" i="65"/>
  <c r="AC83" i="65"/>
  <c r="AB83" i="65"/>
  <c r="AA83" i="65"/>
  <c r="Z83" i="65"/>
  <c r="Y83" i="65"/>
  <c r="X83" i="65"/>
  <c r="W83" i="65"/>
  <c r="V83" i="65"/>
  <c r="U83" i="65"/>
  <c r="T83" i="65"/>
  <c r="AO82" i="65"/>
  <c r="AI82" i="65"/>
  <c r="AF82" i="65"/>
  <c r="AE82" i="65"/>
  <c r="AC82" i="65"/>
  <c r="AB82" i="65"/>
  <c r="AA82" i="65"/>
  <c r="Z82" i="65"/>
  <c r="Y82" i="65"/>
  <c r="X82" i="65"/>
  <c r="W82" i="65"/>
  <c r="V82" i="65"/>
  <c r="U82" i="65"/>
  <c r="T82" i="65"/>
  <c r="AO81" i="65"/>
  <c r="AI81" i="65"/>
  <c r="AF81" i="65"/>
  <c r="AE81" i="65"/>
  <c r="AC81" i="65"/>
  <c r="AB81" i="65"/>
  <c r="AA81" i="65"/>
  <c r="Z81" i="65"/>
  <c r="Y81" i="65"/>
  <c r="X81" i="65"/>
  <c r="W81" i="65"/>
  <c r="V81" i="65"/>
  <c r="U81" i="65"/>
  <c r="T81" i="65"/>
  <c r="AO80" i="65"/>
  <c r="AI80" i="65"/>
  <c r="AF80" i="65"/>
  <c r="AE80" i="65"/>
  <c r="AC80" i="65"/>
  <c r="AB80" i="65"/>
  <c r="AA80" i="65"/>
  <c r="Z80" i="65"/>
  <c r="Y80" i="65"/>
  <c r="X80" i="65"/>
  <c r="W80" i="65"/>
  <c r="V80" i="65"/>
  <c r="U80" i="65"/>
  <c r="T80" i="65"/>
  <c r="AO79" i="65"/>
  <c r="AI79" i="65"/>
  <c r="AF79" i="65"/>
  <c r="AE79" i="65"/>
  <c r="AC79" i="65"/>
  <c r="AB79" i="65"/>
  <c r="AA79" i="65"/>
  <c r="Z79" i="65"/>
  <c r="Y79" i="65"/>
  <c r="X79" i="65"/>
  <c r="W79" i="65"/>
  <c r="V79" i="65"/>
  <c r="U79" i="65"/>
  <c r="T79" i="65"/>
  <c r="AO78" i="65"/>
  <c r="AA76" i="65"/>
  <c r="Z76" i="65"/>
  <c r="K72" i="65"/>
  <c r="H72" i="65"/>
  <c r="E70" i="65"/>
  <c r="K69" i="65"/>
  <c r="H69" i="65"/>
  <c r="E67" i="65"/>
  <c r="K66" i="65"/>
  <c r="H66" i="65"/>
  <c r="E64" i="65"/>
  <c r="K63" i="65"/>
  <c r="H63" i="65"/>
  <c r="E61" i="65"/>
  <c r="K60" i="65"/>
  <c r="H60" i="65"/>
  <c r="K58" i="65"/>
  <c r="E58" i="65"/>
  <c r="K57" i="65"/>
  <c r="H57" i="65"/>
  <c r="E55" i="65"/>
  <c r="K52" i="65"/>
  <c r="H52" i="65"/>
  <c r="E50" i="65"/>
  <c r="K49" i="65"/>
  <c r="H49" i="65"/>
  <c r="E47" i="65"/>
  <c r="K46" i="65"/>
  <c r="H46" i="65"/>
  <c r="E44" i="65"/>
  <c r="K43" i="65"/>
  <c r="H43" i="65"/>
  <c r="E41" i="65"/>
  <c r="K40" i="65"/>
  <c r="H40" i="65"/>
  <c r="E38" i="65"/>
  <c r="K37" i="65"/>
  <c r="H37" i="65"/>
  <c r="E35" i="65"/>
  <c r="AB30" i="65"/>
  <c r="Y30" i="65"/>
  <c r="V30" i="65"/>
  <c r="AI29" i="65"/>
  <c r="AB29" i="65"/>
  <c r="AA29" i="65"/>
  <c r="Z29" i="65"/>
  <c r="Y29" i="65"/>
  <c r="X29" i="65"/>
  <c r="W29" i="65"/>
  <c r="V29" i="65"/>
  <c r="U29" i="65"/>
  <c r="T29" i="65"/>
  <c r="F29" i="65"/>
  <c r="AF28" i="65"/>
  <c r="AE28" i="65"/>
  <c r="AC28" i="65"/>
  <c r="AB28" i="65"/>
  <c r="AA28" i="65"/>
  <c r="Z28" i="65"/>
  <c r="Y28" i="65"/>
  <c r="X28" i="65"/>
  <c r="W28" i="65"/>
  <c r="V28" i="65"/>
  <c r="U28" i="65"/>
  <c r="T28" i="65"/>
  <c r="S28" i="65"/>
  <c r="F28" i="65"/>
  <c r="AO27" i="65"/>
  <c r="AC27" i="65"/>
  <c r="AB27" i="65"/>
  <c r="AA27" i="65"/>
  <c r="Z27" i="65"/>
  <c r="Y27" i="65"/>
  <c r="X27" i="65"/>
  <c r="W27" i="65"/>
  <c r="V27" i="65"/>
  <c r="U27" i="65"/>
  <c r="T27" i="65"/>
  <c r="S27" i="65"/>
  <c r="R27" i="65"/>
  <c r="H27" i="65"/>
  <c r="C27" i="65"/>
  <c r="AO26" i="65"/>
  <c r="AI26" i="65"/>
  <c r="AF26" i="65"/>
  <c r="AE26" i="65"/>
  <c r="AC26" i="65"/>
  <c r="AB26" i="65"/>
  <c r="AA26" i="65"/>
  <c r="Z26" i="65"/>
  <c r="Y26" i="65"/>
  <c r="X26" i="65"/>
  <c r="W26" i="65"/>
  <c r="V26" i="65"/>
  <c r="U26" i="65"/>
  <c r="T26" i="65"/>
  <c r="S26" i="65"/>
  <c r="R26" i="65"/>
  <c r="H26" i="65"/>
  <c r="C26" i="65"/>
  <c r="AO25" i="65"/>
  <c r="AI25" i="65"/>
  <c r="AF25" i="65"/>
  <c r="AE25" i="65"/>
  <c r="AC25" i="65"/>
  <c r="AB25" i="65"/>
  <c r="AA25" i="65"/>
  <c r="Z25" i="65"/>
  <c r="Y25" i="65"/>
  <c r="X25" i="65"/>
  <c r="W25" i="65"/>
  <c r="V25" i="65"/>
  <c r="U25" i="65"/>
  <c r="T25" i="65"/>
  <c r="S25" i="65"/>
  <c r="R25" i="65"/>
  <c r="C25" i="65"/>
  <c r="AO24" i="65"/>
  <c r="AI24" i="65"/>
  <c r="AF24" i="65"/>
  <c r="AE24" i="65"/>
  <c r="AC24" i="65"/>
  <c r="AB24" i="65"/>
  <c r="AA24" i="65"/>
  <c r="Z24" i="65"/>
  <c r="Y24" i="65"/>
  <c r="X24" i="65"/>
  <c r="W24" i="65"/>
  <c r="V24" i="65"/>
  <c r="U24" i="65"/>
  <c r="T24" i="65"/>
  <c r="S24" i="65"/>
  <c r="R24" i="65"/>
  <c r="H24" i="65"/>
  <c r="C24" i="65"/>
  <c r="AO23" i="65"/>
  <c r="AI23" i="65"/>
  <c r="AF23" i="65"/>
  <c r="AE23" i="65"/>
  <c r="AC23" i="65"/>
  <c r="AB23" i="65"/>
  <c r="AA23" i="65"/>
  <c r="Z23" i="65"/>
  <c r="Y23" i="65"/>
  <c r="X23" i="65"/>
  <c r="W23" i="65"/>
  <c r="V23" i="65"/>
  <c r="U23" i="65"/>
  <c r="T23" i="65"/>
  <c r="S23" i="65"/>
  <c r="R23" i="65"/>
  <c r="H23" i="65"/>
  <c r="C23" i="65"/>
  <c r="AO22" i="65"/>
  <c r="AI22" i="65"/>
  <c r="AF22" i="65"/>
  <c r="AE22" i="65"/>
  <c r="AC22" i="65"/>
  <c r="AB22" i="65"/>
  <c r="AA22" i="65"/>
  <c r="Z22" i="65"/>
  <c r="Y22" i="65"/>
  <c r="X22" i="65"/>
  <c r="W22" i="65"/>
  <c r="V22" i="65"/>
  <c r="U22" i="65"/>
  <c r="T22" i="65"/>
  <c r="S22" i="65"/>
  <c r="R22" i="65"/>
  <c r="H22" i="65"/>
  <c r="C22" i="65"/>
  <c r="B22" i="65"/>
  <c r="AO21" i="65"/>
  <c r="AA19" i="65"/>
  <c r="Z19" i="65"/>
  <c r="AB14" i="65"/>
  <c r="Y14" i="65"/>
  <c r="V14" i="65"/>
  <c r="AI13" i="65"/>
  <c r="AB13" i="65"/>
  <c r="AA13" i="65"/>
  <c r="Z13" i="65"/>
  <c r="Y13" i="65"/>
  <c r="X13" i="65"/>
  <c r="W13" i="65"/>
  <c r="V13" i="65"/>
  <c r="U13" i="65"/>
  <c r="T13" i="65"/>
  <c r="F13" i="65"/>
  <c r="AF12" i="65"/>
  <c r="AE12" i="65"/>
  <c r="AC12" i="65"/>
  <c r="AB12" i="65"/>
  <c r="AA12" i="65"/>
  <c r="Z12" i="65"/>
  <c r="Y12" i="65"/>
  <c r="X12" i="65"/>
  <c r="W12" i="65"/>
  <c r="V12" i="65"/>
  <c r="U12" i="65"/>
  <c r="T12" i="65"/>
  <c r="S12" i="65"/>
  <c r="R12" i="65"/>
  <c r="F12" i="65"/>
  <c r="AO11" i="65"/>
  <c r="AC11" i="65"/>
  <c r="AB11" i="65"/>
  <c r="AA11" i="65"/>
  <c r="Z11" i="65"/>
  <c r="Y11" i="65"/>
  <c r="X11" i="65"/>
  <c r="W11" i="65"/>
  <c r="V11" i="65"/>
  <c r="U11" i="65"/>
  <c r="T11" i="65"/>
  <c r="S11" i="65"/>
  <c r="R11" i="65"/>
  <c r="H11" i="65"/>
  <c r="C11" i="65"/>
  <c r="AO10" i="65"/>
  <c r="AI10" i="65"/>
  <c r="AF10" i="65"/>
  <c r="AE10" i="65"/>
  <c r="AC10" i="65"/>
  <c r="AB10" i="65"/>
  <c r="AA10" i="65"/>
  <c r="Z10" i="65"/>
  <c r="Y10" i="65"/>
  <c r="X10" i="65"/>
  <c r="W10" i="65"/>
  <c r="V10" i="65"/>
  <c r="U10" i="65"/>
  <c r="T10" i="65"/>
  <c r="S10" i="65"/>
  <c r="R10" i="65"/>
  <c r="H10" i="65"/>
  <c r="C10" i="65"/>
  <c r="AO9" i="65"/>
  <c r="AI9" i="65"/>
  <c r="AF9" i="65"/>
  <c r="AE9" i="65"/>
  <c r="AC9" i="65"/>
  <c r="AB9" i="65"/>
  <c r="AA9" i="65"/>
  <c r="Z9" i="65"/>
  <c r="Y9" i="65"/>
  <c r="X9" i="65"/>
  <c r="W9" i="65"/>
  <c r="V9" i="65"/>
  <c r="U9" i="65"/>
  <c r="T9" i="65"/>
  <c r="S9" i="65"/>
  <c r="R9" i="65"/>
  <c r="AO8" i="65"/>
  <c r="AI8" i="65"/>
  <c r="AF8" i="65"/>
  <c r="AE8" i="65"/>
  <c r="AC8" i="65"/>
  <c r="AB8" i="65"/>
  <c r="AA8" i="65"/>
  <c r="Z8" i="65"/>
  <c r="Y8" i="65"/>
  <c r="X8" i="65"/>
  <c r="W8" i="65"/>
  <c r="V8" i="65"/>
  <c r="U8" i="65"/>
  <c r="T8" i="65"/>
  <c r="S8" i="65"/>
  <c r="R8" i="65"/>
  <c r="H8" i="65"/>
  <c r="C8" i="65"/>
  <c r="AO7" i="65"/>
  <c r="AI7" i="65"/>
  <c r="AF7" i="65"/>
  <c r="AE7" i="65"/>
  <c r="AC7" i="65"/>
  <c r="AB7" i="65"/>
  <c r="AA7" i="65"/>
  <c r="Z7" i="65"/>
  <c r="Y7" i="65"/>
  <c r="X7" i="65"/>
  <c r="W7" i="65"/>
  <c r="V7" i="65"/>
  <c r="U7" i="65"/>
  <c r="T7" i="65"/>
  <c r="S7" i="65"/>
  <c r="R7" i="65"/>
  <c r="H7" i="65"/>
  <c r="C7" i="65"/>
  <c r="AO6" i="65"/>
  <c r="AI6" i="65"/>
  <c r="AF6" i="65"/>
  <c r="AE6" i="65"/>
  <c r="AC6" i="65"/>
  <c r="AB6" i="65"/>
  <c r="AA6" i="65"/>
  <c r="Z6" i="65"/>
  <c r="Y6" i="65"/>
  <c r="X6" i="65"/>
  <c r="W6" i="65"/>
  <c r="V6" i="65"/>
  <c r="U6" i="65"/>
  <c r="T6" i="65"/>
  <c r="S6" i="65"/>
  <c r="R6" i="65"/>
  <c r="H6" i="65"/>
  <c r="AO5" i="65"/>
  <c r="AA3" i="65"/>
  <c r="W109" i="64"/>
  <c r="T109" i="64"/>
  <c r="W106" i="64"/>
  <c r="T106" i="64"/>
  <c r="W103" i="64"/>
  <c r="T103" i="64"/>
  <c r="W100" i="64"/>
  <c r="T100" i="64"/>
  <c r="W97" i="64"/>
  <c r="T97" i="64"/>
  <c r="W94" i="64"/>
  <c r="T94" i="64"/>
  <c r="AB88" i="64"/>
  <c r="Y88" i="64"/>
  <c r="V88" i="64"/>
  <c r="AI87" i="64"/>
  <c r="AC87" i="64"/>
  <c r="AB87" i="64"/>
  <c r="AA87" i="64"/>
  <c r="Z87" i="64"/>
  <c r="Y87" i="64"/>
  <c r="X87" i="64"/>
  <c r="W87" i="64"/>
  <c r="V87" i="64"/>
  <c r="U87" i="64"/>
  <c r="T87" i="64"/>
  <c r="F87" i="64"/>
  <c r="AF86" i="64"/>
  <c r="AE86" i="64"/>
  <c r="Y86" i="64"/>
  <c r="W86" i="64"/>
  <c r="V86" i="64"/>
  <c r="T86" i="64"/>
  <c r="F86" i="64"/>
  <c r="AC85" i="64"/>
  <c r="AB85" i="64"/>
  <c r="AA85" i="64"/>
  <c r="Z85" i="64"/>
  <c r="Y85" i="64"/>
  <c r="X85" i="64"/>
  <c r="W85" i="64"/>
  <c r="T85" i="64"/>
  <c r="F85" i="64"/>
  <c r="AO84" i="64"/>
  <c r="AI84" i="64"/>
  <c r="AF84" i="64"/>
  <c r="AE84" i="64"/>
  <c r="AC84" i="64"/>
  <c r="AB84" i="64"/>
  <c r="AA84" i="64"/>
  <c r="Z84" i="64"/>
  <c r="Y84" i="64"/>
  <c r="X84" i="64"/>
  <c r="W84" i="64"/>
  <c r="V84" i="64"/>
  <c r="U84" i="64"/>
  <c r="T84" i="64"/>
  <c r="AO83" i="64"/>
  <c r="AI83" i="64"/>
  <c r="AF83" i="64"/>
  <c r="AE83" i="64"/>
  <c r="AC83" i="64"/>
  <c r="AB83" i="64"/>
  <c r="AA83" i="64"/>
  <c r="Z83" i="64"/>
  <c r="Y83" i="64"/>
  <c r="X83" i="64"/>
  <c r="W83" i="64"/>
  <c r="V83" i="64"/>
  <c r="U83" i="64"/>
  <c r="T83" i="64"/>
  <c r="AO82" i="64"/>
  <c r="AI82" i="64"/>
  <c r="AF82" i="64"/>
  <c r="AE82" i="64"/>
  <c r="AC82" i="64"/>
  <c r="AB82" i="64"/>
  <c r="AA82" i="64"/>
  <c r="Z82" i="64"/>
  <c r="Y82" i="64"/>
  <c r="X82" i="64"/>
  <c r="W82" i="64"/>
  <c r="V82" i="64"/>
  <c r="U82" i="64"/>
  <c r="T82" i="64"/>
  <c r="AO81" i="64"/>
  <c r="AI81" i="64"/>
  <c r="AF81" i="64"/>
  <c r="AE81" i="64"/>
  <c r="AC81" i="64"/>
  <c r="AB81" i="64"/>
  <c r="AA81" i="64"/>
  <c r="Z81" i="64"/>
  <c r="Y81" i="64"/>
  <c r="X81" i="64"/>
  <c r="W81" i="64"/>
  <c r="V81" i="64"/>
  <c r="U81" i="64"/>
  <c r="T81" i="64"/>
  <c r="AO80" i="64"/>
  <c r="AI80" i="64"/>
  <c r="AF80" i="64"/>
  <c r="AE80" i="64"/>
  <c r="AC80" i="64"/>
  <c r="AB80" i="64"/>
  <c r="AA80" i="64"/>
  <c r="Z80" i="64"/>
  <c r="Y80" i="64"/>
  <c r="X80" i="64"/>
  <c r="W80" i="64"/>
  <c r="V80" i="64"/>
  <c r="U80" i="64"/>
  <c r="T80" i="64"/>
  <c r="AO79" i="64"/>
  <c r="AA77" i="64"/>
  <c r="Z77" i="64"/>
  <c r="K73" i="64"/>
  <c r="H73" i="64"/>
  <c r="E71" i="64"/>
  <c r="K70" i="64"/>
  <c r="H70" i="64"/>
  <c r="E68" i="64"/>
  <c r="K67" i="64"/>
  <c r="H67" i="64"/>
  <c r="K66" i="64"/>
  <c r="K65" i="64"/>
  <c r="E65" i="64"/>
  <c r="K64" i="64"/>
  <c r="H64" i="64"/>
  <c r="E62" i="64"/>
  <c r="K61" i="64"/>
  <c r="H61" i="64"/>
  <c r="K59" i="64"/>
  <c r="H59" i="64"/>
  <c r="E59" i="64"/>
  <c r="K58" i="64"/>
  <c r="H58" i="64"/>
  <c r="E56" i="64"/>
  <c r="K53" i="64"/>
  <c r="H53" i="64"/>
  <c r="E51" i="64"/>
  <c r="K50" i="64"/>
  <c r="H50" i="64"/>
  <c r="E48" i="64"/>
  <c r="K47" i="64"/>
  <c r="H47" i="64"/>
  <c r="E45" i="64"/>
  <c r="K44" i="64"/>
  <c r="H44" i="64"/>
  <c r="E42" i="64"/>
  <c r="K41" i="64"/>
  <c r="H41" i="64"/>
  <c r="E39" i="64"/>
  <c r="K38" i="64"/>
  <c r="H38" i="64"/>
  <c r="E36" i="64"/>
  <c r="AB31" i="64"/>
  <c r="Y31" i="64"/>
  <c r="V31" i="64"/>
  <c r="AI30" i="64"/>
  <c r="AB30" i="64"/>
  <c r="AA30" i="64"/>
  <c r="Z30" i="64"/>
  <c r="Y30" i="64"/>
  <c r="X30" i="64"/>
  <c r="W30" i="64"/>
  <c r="V30" i="64"/>
  <c r="U30" i="64"/>
  <c r="T30" i="64"/>
  <c r="F30" i="64"/>
  <c r="AF29" i="64"/>
  <c r="AE29" i="64"/>
  <c r="AC29" i="64"/>
  <c r="AB29" i="64"/>
  <c r="AA29" i="64"/>
  <c r="Z29" i="64"/>
  <c r="Y29" i="64"/>
  <c r="X29" i="64"/>
  <c r="W29" i="64"/>
  <c r="V29" i="64"/>
  <c r="U29" i="64"/>
  <c r="T29" i="64"/>
  <c r="S29" i="64"/>
  <c r="F29" i="64"/>
  <c r="AO28" i="64"/>
  <c r="AC28" i="64"/>
  <c r="AB28" i="64"/>
  <c r="AA28" i="64"/>
  <c r="Z28" i="64"/>
  <c r="Y28" i="64"/>
  <c r="X28" i="64"/>
  <c r="W28" i="64"/>
  <c r="V28" i="64"/>
  <c r="U28" i="64"/>
  <c r="T28" i="64"/>
  <c r="S28" i="64"/>
  <c r="R28" i="64"/>
  <c r="H28" i="64"/>
  <c r="C28" i="64"/>
  <c r="AO27" i="64"/>
  <c r="AI27" i="64"/>
  <c r="AF27" i="64"/>
  <c r="AE27" i="64"/>
  <c r="AC27" i="64"/>
  <c r="AB27" i="64"/>
  <c r="AA27" i="64"/>
  <c r="Z27" i="64"/>
  <c r="Y27" i="64"/>
  <c r="X27" i="64"/>
  <c r="W27" i="64"/>
  <c r="V27" i="64"/>
  <c r="U27" i="64"/>
  <c r="T27" i="64"/>
  <c r="S27" i="64"/>
  <c r="R27" i="64"/>
  <c r="H27" i="64"/>
  <c r="C27" i="64"/>
  <c r="AO26" i="64"/>
  <c r="AI26" i="64"/>
  <c r="AF26" i="64"/>
  <c r="AE26" i="64"/>
  <c r="AC26" i="64"/>
  <c r="AB26" i="64"/>
  <c r="AA26" i="64"/>
  <c r="Z26" i="64"/>
  <c r="Y26" i="64"/>
  <c r="X26" i="64"/>
  <c r="W26" i="64"/>
  <c r="V26" i="64"/>
  <c r="U26" i="64"/>
  <c r="T26" i="64"/>
  <c r="S26" i="64"/>
  <c r="R26" i="64"/>
  <c r="H26" i="64"/>
  <c r="C26" i="64"/>
  <c r="AO25" i="64"/>
  <c r="AI25" i="64"/>
  <c r="AF25" i="64"/>
  <c r="AE25" i="64"/>
  <c r="AC25" i="64"/>
  <c r="AB25" i="64"/>
  <c r="AA25" i="64"/>
  <c r="Z25" i="64"/>
  <c r="Y25" i="64"/>
  <c r="X25" i="64"/>
  <c r="W25" i="64"/>
  <c r="V25" i="64"/>
  <c r="U25" i="64"/>
  <c r="T25" i="64"/>
  <c r="S25" i="64"/>
  <c r="R25" i="64"/>
  <c r="H25" i="64"/>
  <c r="C25" i="64"/>
  <c r="AO24" i="64"/>
  <c r="AI24" i="64"/>
  <c r="AF24" i="64"/>
  <c r="AE24" i="64"/>
  <c r="AC24" i="64"/>
  <c r="AB24" i="64"/>
  <c r="AA24" i="64"/>
  <c r="Z24" i="64"/>
  <c r="Y24" i="64"/>
  <c r="X24" i="64"/>
  <c r="W24" i="64"/>
  <c r="V24" i="64"/>
  <c r="U24" i="64"/>
  <c r="T24" i="64"/>
  <c r="S24" i="64"/>
  <c r="R24" i="64"/>
  <c r="H24" i="64"/>
  <c r="C24" i="64"/>
  <c r="AO23" i="64"/>
  <c r="AI23" i="64"/>
  <c r="AF23" i="64"/>
  <c r="AE23" i="64"/>
  <c r="AC23" i="64"/>
  <c r="AB23" i="64"/>
  <c r="AA23" i="64"/>
  <c r="Z23" i="64"/>
  <c r="Y23" i="64"/>
  <c r="X23" i="64"/>
  <c r="W23" i="64"/>
  <c r="V23" i="64"/>
  <c r="U23" i="64"/>
  <c r="T23" i="64"/>
  <c r="S23" i="64"/>
  <c r="R23" i="64"/>
  <c r="H23" i="64"/>
  <c r="C23" i="64"/>
  <c r="B23" i="64"/>
  <c r="AO22" i="64"/>
  <c r="AA20" i="64"/>
  <c r="Z20" i="64"/>
  <c r="AB15" i="64"/>
  <c r="Y15" i="64"/>
  <c r="V15" i="64"/>
  <c r="AI14" i="64"/>
  <c r="AB14" i="64"/>
  <c r="AA14" i="64"/>
  <c r="Z14" i="64"/>
  <c r="Y14" i="64"/>
  <c r="X14" i="64"/>
  <c r="W14" i="64"/>
  <c r="V14" i="64"/>
  <c r="U14" i="64"/>
  <c r="T14" i="64"/>
  <c r="F14" i="64"/>
  <c r="AF13" i="64"/>
  <c r="AE13" i="64"/>
  <c r="AC13" i="64"/>
  <c r="AB13" i="64"/>
  <c r="AA13" i="64"/>
  <c r="Z13" i="64"/>
  <c r="Y13" i="64"/>
  <c r="X13" i="64"/>
  <c r="W13" i="64"/>
  <c r="V13" i="64"/>
  <c r="U13" i="64"/>
  <c r="T13" i="64"/>
  <c r="S13" i="64"/>
  <c r="R13" i="64"/>
  <c r="F13" i="64"/>
  <c r="AO12" i="64"/>
  <c r="AC12" i="64"/>
  <c r="AB12" i="64"/>
  <c r="AA12" i="64"/>
  <c r="Z12" i="64"/>
  <c r="Y12" i="64"/>
  <c r="X12" i="64"/>
  <c r="W12" i="64"/>
  <c r="V12" i="64"/>
  <c r="U12" i="64"/>
  <c r="T12" i="64"/>
  <c r="S12" i="64"/>
  <c r="R12" i="64"/>
  <c r="H12" i="64"/>
  <c r="C12" i="64"/>
  <c r="AO11" i="64"/>
  <c r="AI11" i="64"/>
  <c r="AF11" i="64"/>
  <c r="AE11" i="64"/>
  <c r="AC11" i="64"/>
  <c r="AB11" i="64"/>
  <c r="AA11" i="64"/>
  <c r="Z11" i="64"/>
  <c r="Y11" i="64"/>
  <c r="X11" i="64"/>
  <c r="W11" i="64"/>
  <c r="V11" i="64"/>
  <c r="U11" i="64"/>
  <c r="T11" i="64"/>
  <c r="S11" i="64"/>
  <c r="R11" i="64"/>
  <c r="H11" i="64"/>
  <c r="C11" i="64"/>
  <c r="AO10" i="64"/>
  <c r="AI10" i="64"/>
  <c r="AF10" i="64"/>
  <c r="AE10" i="64"/>
  <c r="AC10" i="64"/>
  <c r="AB10" i="64"/>
  <c r="AA10" i="64"/>
  <c r="Z10" i="64"/>
  <c r="Y10" i="64"/>
  <c r="X10" i="64"/>
  <c r="W10" i="64"/>
  <c r="V10" i="64"/>
  <c r="U10" i="64"/>
  <c r="T10" i="64"/>
  <c r="S10" i="64"/>
  <c r="R10" i="64"/>
  <c r="H10" i="64"/>
  <c r="C10" i="64"/>
  <c r="AO9" i="64"/>
  <c r="AI9" i="64"/>
  <c r="AF9" i="64"/>
  <c r="AE9" i="64"/>
  <c r="AC9" i="64"/>
  <c r="AB9" i="64"/>
  <c r="AA9" i="64"/>
  <c r="Z9" i="64"/>
  <c r="Y9" i="64"/>
  <c r="X9" i="64"/>
  <c r="W9" i="64"/>
  <c r="V9" i="64"/>
  <c r="U9" i="64"/>
  <c r="T9" i="64"/>
  <c r="S9" i="64"/>
  <c r="R9" i="64"/>
  <c r="H9" i="64"/>
  <c r="C9" i="64"/>
  <c r="AO8" i="64"/>
  <c r="AI8" i="64"/>
  <c r="AF8" i="64"/>
  <c r="AE8" i="64"/>
  <c r="AC8" i="64"/>
  <c r="AB8" i="64"/>
  <c r="AA8" i="64"/>
  <c r="Z8" i="64"/>
  <c r="Y8" i="64"/>
  <c r="X8" i="64"/>
  <c r="W8" i="64"/>
  <c r="V8" i="64"/>
  <c r="U8" i="64"/>
  <c r="T8" i="64"/>
  <c r="S8" i="64"/>
  <c r="R8" i="64"/>
  <c r="H8" i="64"/>
  <c r="C8" i="64"/>
  <c r="AO7" i="64"/>
  <c r="AI7" i="64"/>
  <c r="AF7" i="64"/>
  <c r="AE7" i="64"/>
  <c r="AC7" i="64"/>
  <c r="AB7" i="64"/>
  <c r="AA7" i="64"/>
  <c r="Z7" i="64"/>
  <c r="Y7" i="64"/>
  <c r="X7" i="64"/>
  <c r="W7" i="64"/>
  <c r="V7" i="64"/>
  <c r="U7" i="64"/>
  <c r="T7" i="64"/>
  <c r="S7" i="64"/>
  <c r="R7" i="64"/>
  <c r="H7" i="64"/>
  <c r="AO6" i="64"/>
  <c r="AA4" i="64"/>
  <c r="W108" i="66"/>
  <c r="T108" i="66"/>
  <c r="W105" i="66"/>
  <c r="T105" i="66"/>
  <c r="W102" i="66"/>
  <c r="T102" i="66"/>
  <c r="W99" i="66"/>
  <c r="T99" i="66"/>
  <c r="W96" i="66"/>
  <c r="T96" i="66"/>
  <c r="W93" i="66"/>
  <c r="T93" i="66"/>
  <c r="AB87" i="66"/>
  <c r="Y87" i="66"/>
  <c r="V87" i="66"/>
  <c r="AI86" i="66"/>
  <c r="AC86" i="66"/>
  <c r="AB86" i="66"/>
  <c r="AA86" i="66"/>
  <c r="Z86" i="66"/>
  <c r="Y86" i="66"/>
  <c r="X86" i="66"/>
  <c r="W86" i="66"/>
  <c r="V86" i="66"/>
  <c r="U86" i="66"/>
  <c r="T86" i="66"/>
  <c r="F86" i="66"/>
  <c r="AF85" i="66"/>
  <c r="AE85" i="66"/>
  <c r="Y85" i="66"/>
  <c r="W85" i="66"/>
  <c r="V85" i="66"/>
  <c r="T85" i="66"/>
  <c r="F85" i="66"/>
  <c r="AC84" i="66"/>
  <c r="AB84" i="66"/>
  <c r="AA84" i="66"/>
  <c r="Z84" i="66"/>
  <c r="Y84" i="66"/>
  <c r="X84" i="66"/>
  <c r="W84" i="66"/>
  <c r="T84" i="66"/>
  <c r="F84" i="66"/>
  <c r="AO83" i="66"/>
  <c r="AI83" i="66"/>
  <c r="AF83" i="66"/>
  <c r="AE83" i="66"/>
  <c r="AC83" i="66"/>
  <c r="AB83" i="66"/>
  <c r="AA83" i="66"/>
  <c r="Z83" i="66"/>
  <c r="Y83" i="66"/>
  <c r="X83" i="66"/>
  <c r="W83" i="66"/>
  <c r="V83" i="66"/>
  <c r="U83" i="66"/>
  <c r="T83" i="66"/>
  <c r="AO82" i="66"/>
  <c r="AI82" i="66"/>
  <c r="AF82" i="66"/>
  <c r="AE82" i="66"/>
  <c r="AC82" i="66"/>
  <c r="AB82" i="66"/>
  <c r="AA82" i="66"/>
  <c r="Z82" i="66"/>
  <c r="Y82" i="66"/>
  <c r="X82" i="66"/>
  <c r="W82" i="66"/>
  <c r="V82" i="66"/>
  <c r="U82" i="66"/>
  <c r="T82" i="66"/>
  <c r="AO81" i="66"/>
  <c r="AI81" i="66"/>
  <c r="AF81" i="66"/>
  <c r="AE81" i="66"/>
  <c r="AC81" i="66"/>
  <c r="AB81" i="66"/>
  <c r="AA81" i="66"/>
  <c r="Z81" i="66"/>
  <c r="Y81" i="66"/>
  <c r="X81" i="66"/>
  <c r="W81" i="66"/>
  <c r="V81" i="66"/>
  <c r="U81" i="66"/>
  <c r="T81" i="66"/>
  <c r="AO80" i="66"/>
  <c r="AI80" i="66"/>
  <c r="AF80" i="66"/>
  <c r="AE80" i="66"/>
  <c r="AC80" i="66"/>
  <c r="AB80" i="66"/>
  <c r="AA80" i="66"/>
  <c r="Z80" i="66"/>
  <c r="Y80" i="66"/>
  <c r="X80" i="66"/>
  <c r="W80" i="66"/>
  <c r="V80" i="66"/>
  <c r="U80" i="66"/>
  <c r="T80" i="66"/>
  <c r="AO79" i="66"/>
  <c r="AI79" i="66"/>
  <c r="AF79" i="66"/>
  <c r="AE79" i="66"/>
  <c r="AC79" i="66"/>
  <c r="AB79" i="66"/>
  <c r="AA79" i="66"/>
  <c r="Z79" i="66"/>
  <c r="Y79" i="66"/>
  <c r="X79" i="66"/>
  <c r="W79" i="66"/>
  <c r="V79" i="66"/>
  <c r="U79" i="66"/>
  <c r="T79" i="66"/>
  <c r="AO78" i="66"/>
  <c r="AA76" i="66"/>
  <c r="Z76" i="66"/>
  <c r="K72" i="66"/>
  <c r="H72" i="66"/>
  <c r="K70" i="66"/>
  <c r="H70" i="66"/>
  <c r="E70" i="66"/>
  <c r="K69" i="66"/>
  <c r="H69" i="66"/>
  <c r="E67" i="66"/>
  <c r="K66" i="66"/>
  <c r="H66" i="66"/>
  <c r="K64" i="66"/>
  <c r="H64" i="66"/>
  <c r="E64" i="66"/>
  <c r="K63" i="66"/>
  <c r="H63" i="66"/>
  <c r="E61" i="66"/>
  <c r="K60" i="66"/>
  <c r="H60" i="66"/>
  <c r="E58" i="66"/>
  <c r="K57" i="66"/>
  <c r="H57" i="66"/>
  <c r="K55" i="66"/>
  <c r="H55" i="66"/>
  <c r="E55" i="66"/>
  <c r="K52" i="66"/>
  <c r="H52" i="66"/>
  <c r="E50" i="66"/>
  <c r="K49" i="66"/>
  <c r="H49" i="66"/>
  <c r="E47" i="66"/>
  <c r="K46" i="66"/>
  <c r="H46" i="66"/>
  <c r="E44" i="66"/>
  <c r="K43" i="66"/>
  <c r="H43" i="66"/>
  <c r="E41" i="66"/>
  <c r="K40" i="66"/>
  <c r="H40" i="66"/>
  <c r="E38" i="66"/>
  <c r="K37" i="66"/>
  <c r="H37" i="66"/>
  <c r="E35" i="66"/>
  <c r="AB30" i="66"/>
  <c r="Y30" i="66"/>
  <c r="V30" i="66"/>
  <c r="AI29" i="66"/>
  <c r="AB29" i="66"/>
  <c r="AA29" i="66"/>
  <c r="Z29" i="66"/>
  <c r="Y29" i="66"/>
  <c r="X29" i="66"/>
  <c r="W29" i="66"/>
  <c r="V29" i="66"/>
  <c r="U29" i="66"/>
  <c r="T29" i="66"/>
  <c r="F29" i="66"/>
  <c r="AF28" i="66"/>
  <c r="AE28" i="66"/>
  <c r="AC28" i="66"/>
  <c r="AB28" i="66"/>
  <c r="AA28" i="66"/>
  <c r="Z28" i="66"/>
  <c r="Y28" i="66"/>
  <c r="X28" i="66"/>
  <c r="W28" i="66"/>
  <c r="V28" i="66"/>
  <c r="U28" i="66"/>
  <c r="T28" i="66"/>
  <c r="S28" i="66"/>
  <c r="F28" i="66"/>
  <c r="AO27" i="66"/>
  <c r="AC27" i="66"/>
  <c r="AB27" i="66"/>
  <c r="AA27" i="66"/>
  <c r="Z27" i="66"/>
  <c r="Y27" i="66"/>
  <c r="X27" i="66"/>
  <c r="W27" i="66"/>
  <c r="V27" i="66"/>
  <c r="U27" i="66"/>
  <c r="T27" i="66"/>
  <c r="S27" i="66"/>
  <c r="R27" i="66"/>
  <c r="H27" i="66"/>
  <c r="C27" i="66"/>
  <c r="AO26" i="66"/>
  <c r="AI26" i="66"/>
  <c r="AF26" i="66"/>
  <c r="AE26" i="66"/>
  <c r="AC26" i="66"/>
  <c r="AB26" i="66"/>
  <c r="AA26" i="66"/>
  <c r="Z26" i="66"/>
  <c r="Y26" i="66"/>
  <c r="X26" i="66"/>
  <c r="W26" i="66"/>
  <c r="V26" i="66"/>
  <c r="U26" i="66"/>
  <c r="T26" i="66"/>
  <c r="S26" i="66"/>
  <c r="R26" i="66"/>
  <c r="H26" i="66"/>
  <c r="G26" i="66"/>
  <c r="C26" i="66"/>
  <c r="AO25" i="66"/>
  <c r="AI25" i="66"/>
  <c r="AF25" i="66"/>
  <c r="AE25" i="66"/>
  <c r="AC25" i="66"/>
  <c r="AB25" i="66"/>
  <c r="AA25" i="66"/>
  <c r="Z25" i="66"/>
  <c r="Y25" i="66"/>
  <c r="X25" i="66"/>
  <c r="W25" i="66"/>
  <c r="V25" i="66"/>
  <c r="U25" i="66"/>
  <c r="T25" i="66"/>
  <c r="S25" i="66"/>
  <c r="R25" i="66"/>
  <c r="H25" i="66"/>
  <c r="F25" i="66"/>
  <c r="C25" i="66"/>
  <c r="AO24" i="66"/>
  <c r="AI24" i="66"/>
  <c r="AF24" i="66"/>
  <c r="AE24" i="66"/>
  <c r="AC24" i="66"/>
  <c r="AB24" i="66"/>
  <c r="AA24" i="66"/>
  <c r="Z24" i="66"/>
  <c r="Y24" i="66"/>
  <c r="X24" i="66"/>
  <c r="W24" i="66"/>
  <c r="V24" i="66"/>
  <c r="U24" i="66"/>
  <c r="T24" i="66"/>
  <c r="S24" i="66"/>
  <c r="R24" i="66"/>
  <c r="H24" i="66"/>
  <c r="C24" i="66"/>
  <c r="AO23" i="66"/>
  <c r="AI23" i="66"/>
  <c r="AF23" i="66"/>
  <c r="AE23" i="66"/>
  <c r="AC23" i="66"/>
  <c r="AB23" i="66"/>
  <c r="AA23" i="66"/>
  <c r="Z23" i="66"/>
  <c r="Y23" i="66"/>
  <c r="X23" i="66"/>
  <c r="W23" i="66"/>
  <c r="V23" i="66"/>
  <c r="U23" i="66"/>
  <c r="T23" i="66"/>
  <c r="S23" i="66"/>
  <c r="R23" i="66"/>
  <c r="H23" i="66"/>
  <c r="C23" i="66"/>
  <c r="AO22" i="66"/>
  <c r="AI22" i="66"/>
  <c r="AF22" i="66"/>
  <c r="AE22" i="66"/>
  <c r="AC22" i="66"/>
  <c r="AB22" i="66"/>
  <c r="AA22" i="66"/>
  <c r="Z22" i="66"/>
  <c r="Y22" i="66"/>
  <c r="X22" i="66"/>
  <c r="W22" i="66"/>
  <c r="V22" i="66"/>
  <c r="U22" i="66"/>
  <c r="T22" i="66"/>
  <c r="S22" i="66"/>
  <c r="R22" i="66"/>
  <c r="H22" i="66"/>
  <c r="G22" i="66"/>
  <c r="C22" i="66"/>
  <c r="B22" i="66"/>
  <c r="AO21" i="66"/>
  <c r="AA19" i="66"/>
  <c r="Z19" i="66"/>
  <c r="AB14" i="66"/>
  <c r="Y14" i="66"/>
  <c r="V14" i="66"/>
  <c r="AI13" i="66"/>
  <c r="AB13" i="66"/>
  <c r="AA13" i="66"/>
  <c r="Z13" i="66"/>
  <c r="Y13" i="66"/>
  <c r="X13" i="66"/>
  <c r="W13" i="66"/>
  <c r="V13" i="66"/>
  <c r="U13" i="66"/>
  <c r="T13" i="66"/>
  <c r="F13" i="66"/>
  <c r="AF12" i="66"/>
  <c r="AE12" i="66"/>
  <c r="AC12" i="66"/>
  <c r="AB12" i="66"/>
  <c r="AA12" i="66"/>
  <c r="Z12" i="66"/>
  <c r="Y12" i="66"/>
  <c r="X12" i="66"/>
  <c r="W12" i="66"/>
  <c r="V12" i="66"/>
  <c r="U12" i="66"/>
  <c r="T12" i="66"/>
  <c r="S12" i="66"/>
  <c r="R12" i="66"/>
  <c r="F12" i="66"/>
  <c r="AO11" i="66"/>
  <c r="AC11" i="66"/>
  <c r="AB11" i="66"/>
  <c r="AA11" i="66"/>
  <c r="Z11" i="66"/>
  <c r="Y11" i="66"/>
  <c r="X11" i="66"/>
  <c r="W11" i="66"/>
  <c r="V11" i="66"/>
  <c r="U11" i="66"/>
  <c r="T11" i="66"/>
  <c r="S11" i="66"/>
  <c r="R11" i="66"/>
  <c r="H11" i="66"/>
  <c r="C11" i="66"/>
  <c r="AO10" i="66"/>
  <c r="AI10" i="66"/>
  <c r="AF10" i="66"/>
  <c r="AE10" i="66"/>
  <c r="AC10" i="66"/>
  <c r="AB10" i="66"/>
  <c r="AA10" i="66"/>
  <c r="Z10" i="66"/>
  <c r="Y10" i="66"/>
  <c r="X10" i="66"/>
  <c r="W10" i="66"/>
  <c r="V10" i="66"/>
  <c r="U10" i="66"/>
  <c r="T10" i="66"/>
  <c r="S10" i="66"/>
  <c r="R10" i="66"/>
  <c r="H10" i="66"/>
  <c r="C10" i="66"/>
  <c r="AO9" i="66"/>
  <c r="AI9" i="66"/>
  <c r="AF9" i="66"/>
  <c r="AE9" i="66"/>
  <c r="AC9" i="66"/>
  <c r="AB9" i="66"/>
  <c r="AA9" i="66"/>
  <c r="Z9" i="66"/>
  <c r="Y9" i="66"/>
  <c r="X9" i="66"/>
  <c r="W9" i="66"/>
  <c r="V9" i="66"/>
  <c r="U9" i="66"/>
  <c r="T9" i="66"/>
  <c r="S9" i="66"/>
  <c r="R9" i="66"/>
  <c r="H9" i="66"/>
  <c r="C9" i="66"/>
  <c r="AO8" i="66"/>
  <c r="AI8" i="66"/>
  <c r="AF8" i="66"/>
  <c r="AE8" i="66"/>
  <c r="AC8" i="66"/>
  <c r="AB8" i="66"/>
  <c r="AA8" i="66"/>
  <c r="Z8" i="66"/>
  <c r="Y8" i="66"/>
  <c r="X8" i="66"/>
  <c r="W8" i="66"/>
  <c r="V8" i="66"/>
  <c r="U8" i="66"/>
  <c r="T8" i="66"/>
  <c r="S8" i="66"/>
  <c r="R8" i="66"/>
  <c r="H8" i="66"/>
  <c r="C8" i="66"/>
  <c r="AO7" i="66"/>
  <c r="AI7" i="66"/>
  <c r="AF7" i="66"/>
  <c r="AE7" i="66"/>
  <c r="AC7" i="66"/>
  <c r="AB7" i="66"/>
  <c r="AA7" i="66"/>
  <c r="Z7" i="66"/>
  <c r="Y7" i="66"/>
  <c r="X7" i="66"/>
  <c r="W7" i="66"/>
  <c r="V7" i="66"/>
  <c r="U7" i="66"/>
  <c r="T7" i="66"/>
  <c r="S7" i="66"/>
  <c r="R7" i="66"/>
  <c r="H7" i="66"/>
  <c r="C7" i="66"/>
  <c r="AO6" i="66"/>
  <c r="AI6" i="66"/>
  <c r="AF6" i="66"/>
  <c r="AE6" i="66"/>
  <c r="AC6" i="66"/>
  <c r="AB6" i="66"/>
  <c r="AA6" i="66"/>
  <c r="Z6" i="66"/>
  <c r="Y6" i="66"/>
  <c r="X6" i="66"/>
  <c r="W6" i="66"/>
  <c r="V6" i="66"/>
  <c r="U6" i="66"/>
  <c r="T6" i="66"/>
  <c r="S6" i="66"/>
  <c r="R6" i="66"/>
  <c r="H6" i="66"/>
  <c r="AO5" i="66"/>
  <c r="AA3" i="66"/>
  <c r="W109" i="67"/>
  <c r="T109" i="67"/>
  <c r="W106" i="67"/>
  <c r="T106" i="67"/>
  <c r="W103" i="67"/>
  <c r="T103" i="67"/>
  <c r="W100" i="67"/>
  <c r="T100" i="67"/>
  <c r="W97" i="67"/>
  <c r="T97" i="67"/>
  <c r="W94" i="67"/>
  <c r="T94" i="67"/>
  <c r="AB88" i="67"/>
  <c r="Y88" i="67"/>
  <c r="V88" i="67"/>
  <c r="AI87" i="67"/>
  <c r="AC87" i="67"/>
  <c r="AB87" i="67"/>
  <c r="AA87" i="67"/>
  <c r="Z87" i="67"/>
  <c r="Y87" i="67"/>
  <c r="X87" i="67"/>
  <c r="W87" i="67"/>
  <c r="V87" i="67"/>
  <c r="U87" i="67"/>
  <c r="T87" i="67"/>
  <c r="F87" i="67"/>
  <c r="AF86" i="67"/>
  <c r="AE86" i="67"/>
  <c r="Y86" i="67"/>
  <c r="W86" i="67"/>
  <c r="V86" i="67"/>
  <c r="T86" i="67"/>
  <c r="F86" i="67"/>
  <c r="AC85" i="67"/>
  <c r="AB85" i="67"/>
  <c r="AA85" i="67"/>
  <c r="Z85" i="67"/>
  <c r="Y85" i="67"/>
  <c r="X85" i="67"/>
  <c r="W85" i="67"/>
  <c r="T85" i="67"/>
  <c r="F85" i="67"/>
  <c r="AO84" i="67"/>
  <c r="AI84" i="67"/>
  <c r="AF84" i="67"/>
  <c r="AE84" i="67"/>
  <c r="AC84" i="67"/>
  <c r="AB84" i="67"/>
  <c r="AA84" i="67"/>
  <c r="Z84" i="67"/>
  <c r="Y84" i="67"/>
  <c r="X84" i="67"/>
  <c r="W84" i="67"/>
  <c r="V84" i="67"/>
  <c r="U84" i="67"/>
  <c r="T84" i="67"/>
  <c r="AO83" i="67"/>
  <c r="AI83" i="67"/>
  <c r="AF83" i="67"/>
  <c r="AE83" i="67"/>
  <c r="AC83" i="67"/>
  <c r="AB83" i="67"/>
  <c r="AA83" i="67"/>
  <c r="Z83" i="67"/>
  <c r="Y83" i="67"/>
  <c r="X83" i="67"/>
  <c r="W83" i="67"/>
  <c r="V83" i="67"/>
  <c r="U83" i="67"/>
  <c r="T83" i="67"/>
  <c r="AO82" i="67"/>
  <c r="AI82" i="67"/>
  <c r="AF82" i="67"/>
  <c r="AE82" i="67"/>
  <c r="AC82" i="67"/>
  <c r="AB82" i="67"/>
  <c r="AA82" i="67"/>
  <c r="Z82" i="67"/>
  <c r="Y82" i="67"/>
  <c r="X82" i="67"/>
  <c r="W82" i="67"/>
  <c r="V82" i="67"/>
  <c r="U82" i="67"/>
  <c r="T82" i="67"/>
  <c r="AO81" i="67"/>
  <c r="AI81" i="67"/>
  <c r="AF81" i="67"/>
  <c r="AE81" i="67"/>
  <c r="AC81" i="67"/>
  <c r="AB81" i="67"/>
  <c r="AA81" i="67"/>
  <c r="Z81" i="67"/>
  <c r="Y81" i="67"/>
  <c r="X81" i="67"/>
  <c r="W81" i="67"/>
  <c r="V81" i="67"/>
  <c r="U81" i="67"/>
  <c r="T81" i="67"/>
  <c r="AO80" i="67"/>
  <c r="AI80" i="67"/>
  <c r="AF80" i="67"/>
  <c r="AE80" i="67"/>
  <c r="AC80" i="67"/>
  <c r="AB80" i="67"/>
  <c r="AA80" i="67"/>
  <c r="Z80" i="67"/>
  <c r="Y80" i="67"/>
  <c r="X80" i="67"/>
  <c r="W80" i="67"/>
  <c r="V80" i="67"/>
  <c r="U80" i="67"/>
  <c r="T80" i="67"/>
  <c r="AO79" i="67"/>
  <c r="AA77" i="67"/>
  <c r="Z77" i="67"/>
  <c r="K73" i="67"/>
  <c r="H73" i="67"/>
  <c r="E71" i="67"/>
  <c r="K70" i="67"/>
  <c r="H70" i="67"/>
  <c r="E68" i="67"/>
  <c r="K67" i="67"/>
  <c r="H67" i="67"/>
  <c r="E65" i="67"/>
  <c r="K64" i="67"/>
  <c r="H64" i="67"/>
  <c r="K62" i="67"/>
  <c r="E62" i="67"/>
  <c r="K61" i="67"/>
  <c r="H61" i="67"/>
  <c r="E59" i="67"/>
  <c r="K58" i="67"/>
  <c r="H58" i="67"/>
  <c r="E56" i="67"/>
  <c r="K53" i="67"/>
  <c r="H53" i="67"/>
  <c r="E51" i="67"/>
  <c r="K50" i="67"/>
  <c r="H50" i="67"/>
  <c r="E48" i="67"/>
  <c r="K47" i="67"/>
  <c r="H47" i="67"/>
  <c r="E45" i="67"/>
  <c r="K44" i="67"/>
  <c r="H44" i="67"/>
  <c r="E42" i="67"/>
  <c r="K41" i="67"/>
  <c r="H41" i="67"/>
  <c r="E39" i="67"/>
  <c r="K38" i="67"/>
  <c r="H38" i="67"/>
  <c r="E36" i="67"/>
  <c r="AB31" i="67"/>
  <c r="Y31" i="67"/>
  <c r="V31" i="67"/>
  <c r="AI30" i="67"/>
  <c r="AB30" i="67"/>
  <c r="AA30" i="67"/>
  <c r="Z30" i="67"/>
  <c r="Y30" i="67"/>
  <c r="X30" i="67"/>
  <c r="W30" i="67"/>
  <c r="V30" i="67"/>
  <c r="U30" i="67"/>
  <c r="T30" i="67"/>
  <c r="F30" i="67"/>
  <c r="AF29" i="67"/>
  <c r="AE29" i="67"/>
  <c r="AC29" i="67"/>
  <c r="AB29" i="67"/>
  <c r="AA29" i="67"/>
  <c r="Z29" i="67"/>
  <c r="Y29" i="67"/>
  <c r="X29" i="67"/>
  <c r="W29" i="67"/>
  <c r="V29" i="67"/>
  <c r="U29" i="67"/>
  <c r="T29" i="67"/>
  <c r="S29" i="67"/>
  <c r="F29" i="67"/>
  <c r="AO28" i="67"/>
  <c r="AC28" i="67"/>
  <c r="AB28" i="67"/>
  <c r="AA28" i="67"/>
  <c r="Z28" i="67"/>
  <c r="Y28" i="67"/>
  <c r="X28" i="67"/>
  <c r="W28" i="67"/>
  <c r="V28" i="67"/>
  <c r="U28" i="67"/>
  <c r="T28" i="67"/>
  <c r="S28" i="67"/>
  <c r="R28" i="67"/>
  <c r="H28" i="67"/>
  <c r="C28" i="67"/>
  <c r="AO27" i="67"/>
  <c r="AI27" i="67"/>
  <c r="AF27" i="67"/>
  <c r="AE27" i="67"/>
  <c r="AC27" i="67"/>
  <c r="AB27" i="67"/>
  <c r="AA27" i="67"/>
  <c r="Z27" i="67"/>
  <c r="Y27" i="67"/>
  <c r="X27" i="67"/>
  <c r="W27" i="67"/>
  <c r="V27" i="67"/>
  <c r="U27" i="67"/>
  <c r="T27" i="67"/>
  <c r="S27" i="67"/>
  <c r="R27" i="67"/>
  <c r="H27" i="67"/>
  <c r="C27" i="67"/>
  <c r="AO26" i="67"/>
  <c r="AI26" i="67"/>
  <c r="AF26" i="67"/>
  <c r="AE26" i="67"/>
  <c r="AC26" i="67"/>
  <c r="AB26" i="67"/>
  <c r="AA26" i="67"/>
  <c r="Z26" i="67"/>
  <c r="Y26" i="67"/>
  <c r="X26" i="67"/>
  <c r="W26" i="67"/>
  <c r="V26" i="67"/>
  <c r="U26" i="67"/>
  <c r="T26" i="67"/>
  <c r="S26" i="67"/>
  <c r="R26" i="67"/>
  <c r="H26" i="67"/>
  <c r="C26" i="67"/>
  <c r="AO25" i="67"/>
  <c r="AI25" i="67"/>
  <c r="AF25" i="67"/>
  <c r="AE25" i="67"/>
  <c r="AC25" i="67"/>
  <c r="AB25" i="67"/>
  <c r="AA25" i="67"/>
  <c r="Z25" i="67"/>
  <c r="Y25" i="67"/>
  <c r="X25" i="67"/>
  <c r="W25" i="67"/>
  <c r="V25" i="67"/>
  <c r="U25" i="67"/>
  <c r="T25" i="67"/>
  <c r="S25" i="67"/>
  <c r="R25" i="67"/>
  <c r="H25" i="67"/>
  <c r="C25" i="67"/>
  <c r="AO24" i="67"/>
  <c r="AI24" i="67"/>
  <c r="AF24" i="67"/>
  <c r="AE24" i="67"/>
  <c r="AC24" i="67"/>
  <c r="AB24" i="67"/>
  <c r="AA24" i="67"/>
  <c r="Z24" i="67"/>
  <c r="Y24" i="67"/>
  <c r="X24" i="67"/>
  <c r="W24" i="67"/>
  <c r="V24" i="67"/>
  <c r="U24" i="67"/>
  <c r="T24" i="67"/>
  <c r="S24" i="67"/>
  <c r="R24" i="67"/>
  <c r="H24" i="67"/>
  <c r="C24" i="67"/>
  <c r="AO23" i="67"/>
  <c r="AI23" i="67"/>
  <c r="AF23" i="67"/>
  <c r="AE23" i="67"/>
  <c r="AC23" i="67"/>
  <c r="AB23" i="67"/>
  <c r="AA23" i="67"/>
  <c r="Z23" i="67"/>
  <c r="Y23" i="67"/>
  <c r="X23" i="67"/>
  <c r="W23" i="67"/>
  <c r="V23" i="67"/>
  <c r="U23" i="67"/>
  <c r="T23" i="67"/>
  <c r="S23" i="67"/>
  <c r="R23" i="67"/>
  <c r="H23" i="67"/>
  <c r="C23" i="67"/>
  <c r="B23" i="67"/>
  <c r="AO22" i="67"/>
  <c r="AA20" i="67"/>
  <c r="Z20" i="67"/>
  <c r="AB15" i="67"/>
  <c r="Y15" i="67"/>
  <c r="V15" i="67"/>
  <c r="AI14" i="67"/>
  <c r="AB14" i="67"/>
  <c r="AA14" i="67"/>
  <c r="Z14" i="67"/>
  <c r="Y14" i="67"/>
  <c r="X14" i="67"/>
  <c r="W14" i="67"/>
  <c r="V14" i="67"/>
  <c r="U14" i="67"/>
  <c r="T14" i="67"/>
  <c r="F14" i="67"/>
  <c r="AF13" i="67"/>
  <c r="AE13" i="67"/>
  <c r="AC13" i="67"/>
  <c r="AB13" i="67"/>
  <c r="AA13" i="67"/>
  <c r="Z13" i="67"/>
  <c r="Y13" i="67"/>
  <c r="X13" i="67"/>
  <c r="W13" i="67"/>
  <c r="V13" i="67"/>
  <c r="U13" i="67"/>
  <c r="T13" i="67"/>
  <c r="S13" i="67"/>
  <c r="R13" i="67"/>
  <c r="F13" i="67"/>
  <c r="AO12" i="67"/>
  <c r="AC12" i="67"/>
  <c r="AB12" i="67"/>
  <c r="AA12" i="67"/>
  <c r="Z12" i="67"/>
  <c r="Y12" i="67"/>
  <c r="X12" i="67"/>
  <c r="W12" i="67"/>
  <c r="V12" i="67"/>
  <c r="U12" i="67"/>
  <c r="T12" i="67"/>
  <c r="S12" i="67"/>
  <c r="R12" i="67"/>
  <c r="H12" i="67"/>
  <c r="C12" i="67"/>
  <c r="AO11" i="67"/>
  <c r="AI11" i="67"/>
  <c r="AF11" i="67"/>
  <c r="AE11" i="67"/>
  <c r="AC11" i="67"/>
  <c r="AB11" i="67"/>
  <c r="AA11" i="67"/>
  <c r="Z11" i="67"/>
  <c r="Y11" i="67"/>
  <c r="X11" i="67"/>
  <c r="W11" i="67"/>
  <c r="V11" i="67"/>
  <c r="U11" i="67"/>
  <c r="T11" i="67"/>
  <c r="S11" i="67"/>
  <c r="R11" i="67"/>
  <c r="H11" i="67"/>
  <c r="C11" i="67"/>
  <c r="AO10" i="67"/>
  <c r="AI10" i="67"/>
  <c r="AF10" i="67"/>
  <c r="AE10" i="67"/>
  <c r="AC10" i="67"/>
  <c r="AB10" i="67"/>
  <c r="AA10" i="67"/>
  <c r="Z10" i="67"/>
  <c r="Y10" i="67"/>
  <c r="X10" i="67"/>
  <c r="W10" i="67"/>
  <c r="V10" i="67"/>
  <c r="U10" i="67"/>
  <c r="T10" i="67"/>
  <c r="S10" i="67"/>
  <c r="R10" i="67"/>
  <c r="H10" i="67"/>
  <c r="C10" i="67"/>
  <c r="AO9" i="67"/>
  <c r="AI9" i="67"/>
  <c r="AF9" i="67"/>
  <c r="AE9" i="67"/>
  <c r="AC9" i="67"/>
  <c r="AB9" i="67"/>
  <c r="AA9" i="67"/>
  <c r="Z9" i="67"/>
  <c r="Y9" i="67"/>
  <c r="X9" i="67"/>
  <c r="W9" i="67"/>
  <c r="V9" i="67"/>
  <c r="U9" i="67"/>
  <c r="T9" i="67"/>
  <c r="S9" i="67"/>
  <c r="R9" i="67"/>
  <c r="H9" i="67"/>
  <c r="C9" i="67"/>
  <c r="AO8" i="67"/>
  <c r="AI8" i="67"/>
  <c r="AF8" i="67"/>
  <c r="AE8" i="67"/>
  <c r="AC8" i="67"/>
  <c r="AB8" i="67"/>
  <c r="AA8" i="67"/>
  <c r="Z8" i="67"/>
  <c r="Y8" i="67"/>
  <c r="X8" i="67"/>
  <c r="W8" i="67"/>
  <c r="V8" i="67"/>
  <c r="U8" i="67"/>
  <c r="T8" i="67"/>
  <c r="S8" i="67"/>
  <c r="R8" i="67"/>
  <c r="H8" i="67"/>
  <c r="C8" i="67"/>
  <c r="AO7" i="67"/>
  <c r="AI7" i="67"/>
  <c r="AF7" i="67"/>
  <c r="AE7" i="67"/>
  <c r="AC7" i="67"/>
  <c r="AB7" i="67"/>
  <c r="AA7" i="67"/>
  <c r="Z7" i="67"/>
  <c r="Y7" i="67"/>
  <c r="X7" i="67"/>
  <c r="W7" i="67"/>
  <c r="V7" i="67"/>
  <c r="U7" i="67"/>
  <c r="T7" i="67"/>
  <c r="S7" i="67"/>
  <c r="R7" i="67"/>
  <c r="H7" i="67"/>
  <c r="AO6" i="67"/>
  <c r="AA4" i="67"/>
  <c r="W109" i="68"/>
  <c r="T109" i="68"/>
  <c r="W106" i="68"/>
  <c r="T106" i="68"/>
  <c r="W103" i="68"/>
  <c r="T103" i="68"/>
  <c r="W100" i="68"/>
  <c r="T100" i="68"/>
  <c r="W97" i="68"/>
  <c r="T97" i="68"/>
  <c r="W94" i="68"/>
  <c r="T94" i="68"/>
  <c r="AB88" i="68"/>
  <c r="Y88" i="68"/>
  <c r="V88" i="68"/>
  <c r="AI87" i="68"/>
  <c r="AC87" i="68"/>
  <c r="AB87" i="68"/>
  <c r="AA87" i="68"/>
  <c r="Z87" i="68"/>
  <c r="Y87" i="68"/>
  <c r="X87" i="68"/>
  <c r="W87" i="68"/>
  <c r="V87" i="68"/>
  <c r="U87" i="68"/>
  <c r="T87" i="68"/>
  <c r="F87" i="68"/>
  <c r="AF86" i="68"/>
  <c r="AE86" i="68"/>
  <c r="Y86" i="68"/>
  <c r="W86" i="68"/>
  <c r="V86" i="68"/>
  <c r="T86" i="68"/>
  <c r="F86" i="68"/>
  <c r="AC85" i="68"/>
  <c r="AB85" i="68"/>
  <c r="AA85" i="68"/>
  <c r="Z85" i="68"/>
  <c r="Y85" i="68"/>
  <c r="X85" i="68"/>
  <c r="W85" i="68"/>
  <c r="T85" i="68"/>
  <c r="F85" i="68"/>
  <c r="AO84" i="68"/>
  <c r="AI84" i="68"/>
  <c r="AF84" i="68"/>
  <c r="AE84" i="68"/>
  <c r="AC84" i="68"/>
  <c r="AB84" i="68"/>
  <c r="AA84" i="68"/>
  <c r="Z84" i="68"/>
  <c r="Y84" i="68"/>
  <c r="X84" i="68"/>
  <c r="W84" i="68"/>
  <c r="V84" i="68"/>
  <c r="U84" i="68"/>
  <c r="T84" i="68"/>
  <c r="AO83" i="68"/>
  <c r="AI83" i="68"/>
  <c r="AF83" i="68"/>
  <c r="AE83" i="68"/>
  <c r="AC83" i="68"/>
  <c r="AB83" i="68"/>
  <c r="AA83" i="68"/>
  <c r="Z83" i="68"/>
  <c r="Y83" i="68"/>
  <c r="X83" i="68"/>
  <c r="W83" i="68"/>
  <c r="V83" i="68"/>
  <c r="U83" i="68"/>
  <c r="T83" i="68"/>
  <c r="AO82" i="68"/>
  <c r="AI82" i="68"/>
  <c r="AF82" i="68"/>
  <c r="AE82" i="68"/>
  <c r="AC82" i="68"/>
  <c r="AB82" i="68"/>
  <c r="AA82" i="68"/>
  <c r="Z82" i="68"/>
  <c r="Y82" i="68"/>
  <c r="X82" i="68"/>
  <c r="W82" i="68"/>
  <c r="V82" i="68"/>
  <c r="U82" i="68"/>
  <c r="T82" i="68"/>
  <c r="AO81" i="68"/>
  <c r="AI81" i="68"/>
  <c r="AF81" i="68"/>
  <c r="AE81" i="68"/>
  <c r="AC81" i="68"/>
  <c r="AB81" i="68"/>
  <c r="AA81" i="68"/>
  <c r="Z81" i="68"/>
  <c r="Y81" i="68"/>
  <c r="X81" i="68"/>
  <c r="W81" i="68"/>
  <c r="V81" i="68"/>
  <c r="U81" i="68"/>
  <c r="T81" i="68"/>
  <c r="AO80" i="68"/>
  <c r="AI80" i="68"/>
  <c r="AF80" i="68"/>
  <c r="AE80" i="68"/>
  <c r="AC80" i="68"/>
  <c r="AB80" i="68"/>
  <c r="AA80" i="68"/>
  <c r="Z80" i="68"/>
  <c r="Y80" i="68"/>
  <c r="X80" i="68"/>
  <c r="W80" i="68"/>
  <c r="V80" i="68"/>
  <c r="U80" i="68"/>
  <c r="T80" i="68"/>
  <c r="AO79" i="68"/>
  <c r="AA77" i="68"/>
  <c r="Z77" i="68"/>
  <c r="K73" i="68"/>
  <c r="H73" i="68"/>
  <c r="K71" i="68"/>
  <c r="E71" i="68"/>
  <c r="K70" i="68"/>
  <c r="H70" i="68"/>
  <c r="K68" i="68"/>
  <c r="H68" i="68"/>
  <c r="E68" i="68"/>
  <c r="K67" i="68"/>
  <c r="H67" i="68"/>
  <c r="K65" i="68"/>
  <c r="H65" i="68"/>
  <c r="E65" i="68"/>
  <c r="K64" i="68"/>
  <c r="H64" i="68"/>
  <c r="K62" i="68"/>
  <c r="H62" i="68"/>
  <c r="E62" i="68"/>
  <c r="K61" i="68"/>
  <c r="H61" i="68"/>
  <c r="K59" i="68"/>
  <c r="H59" i="68"/>
  <c r="E59" i="68"/>
  <c r="K58" i="68"/>
  <c r="H58" i="68"/>
  <c r="E56" i="68"/>
  <c r="K53" i="68"/>
  <c r="H53" i="68"/>
  <c r="E51" i="68"/>
  <c r="K50" i="68"/>
  <c r="H50" i="68"/>
  <c r="E48" i="68"/>
  <c r="K47" i="68"/>
  <c r="H47" i="68"/>
  <c r="E45" i="68"/>
  <c r="K44" i="68"/>
  <c r="H44" i="68"/>
  <c r="E42" i="68"/>
  <c r="K41" i="68"/>
  <c r="H41" i="68"/>
  <c r="E39" i="68"/>
  <c r="K38" i="68"/>
  <c r="H38" i="68"/>
  <c r="E36" i="68"/>
  <c r="AB31" i="68"/>
  <c r="Y31" i="68"/>
  <c r="V31" i="68"/>
  <c r="AI30" i="68"/>
  <c r="AB30" i="68"/>
  <c r="AA30" i="68"/>
  <c r="Z30" i="68"/>
  <c r="Y30" i="68"/>
  <c r="X30" i="68"/>
  <c r="W30" i="68"/>
  <c r="V30" i="68"/>
  <c r="U30" i="68"/>
  <c r="T30" i="68"/>
  <c r="F30" i="68"/>
  <c r="AF29" i="68"/>
  <c r="AE29" i="68"/>
  <c r="AC29" i="68"/>
  <c r="AB29" i="68"/>
  <c r="AA29" i="68"/>
  <c r="Z29" i="68"/>
  <c r="Y29" i="68"/>
  <c r="X29" i="68"/>
  <c r="W29" i="68"/>
  <c r="V29" i="68"/>
  <c r="U29" i="68"/>
  <c r="T29" i="68"/>
  <c r="S29" i="68"/>
  <c r="F29" i="68"/>
  <c r="AO28" i="68"/>
  <c r="AC28" i="68"/>
  <c r="AB28" i="68"/>
  <c r="AA28" i="68"/>
  <c r="Z28" i="68"/>
  <c r="Y28" i="68"/>
  <c r="X28" i="68"/>
  <c r="W28" i="68"/>
  <c r="V28" i="68"/>
  <c r="U28" i="68"/>
  <c r="T28" i="68"/>
  <c r="S28" i="68"/>
  <c r="R28" i="68"/>
  <c r="H28" i="68"/>
  <c r="C28" i="68"/>
  <c r="AO27" i="68"/>
  <c r="AI27" i="68"/>
  <c r="AF27" i="68"/>
  <c r="AE27" i="68"/>
  <c r="AC27" i="68"/>
  <c r="AB27" i="68"/>
  <c r="AA27" i="68"/>
  <c r="Z27" i="68"/>
  <c r="Y27" i="68"/>
  <c r="X27" i="68"/>
  <c r="W27" i="68"/>
  <c r="V27" i="68"/>
  <c r="U27" i="68"/>
  <c r="T27" i="68"/>
  <c r="S27" i="68"/>
  <c r="R27" i="68"/>
  <c r="H27" i="68"/>
  <c r="C27" i="68"/>
  <c r="AO26" i="68"/>
  <c r="AI26" i="68"/>
  <c r="AF26" i="68"/>
  <c r="AE26" i="68"/>
  <c r="AC26" i="68"/>
  <c r="AB26" i="68"/>
  <c r="AA26" i="68"/>
  <c r="Z26" i="68"/>
  <c r="Y26" i="68"/>
  <c r="X26" i="68"/>
  <c r="W26" i="68"/>
  <c r="V26" i="68"/>
  <c r="U26" i="68"/>
  <c r="T26" i="68"/>
  <c r="S26" i="68"/>
  <c r="R26" i="68"/>
  <c r="H26" i="68"/>
  <c r="C26" i="68"/>
  <c r="AO25" i="68"/>
  <c r="AI25" i="68"/>
  <c r="AF25" i="68"/>
  <c r="AE25" i="68"/>
  <c r="AC25" i="68"/>
  <c r="AB25" i="68"/>
  <c r="AA25" i="68"/>
  <c r="Z25" i="68"/>
  <c r="Y25" i="68"/>
  <c r="X25" i="68"/>
  <c r="W25" i="68"/>
  <c r="V25" i="68"/>
  <c r="U25" i="68"/>
  <c r="T25" i="68"/>
  <c r="S25" i="68"/>
  <c r="R25" i="68"/>
  <c r="H25" i="68"/>
  <c r="C25" i="68"/>
  <c r="AO24" i="68"/>
  <c r="AI24" i="68"/>
  <c r="AF24" i="68"/>
  <c r="AE24" i="68"/>
  <c r="AC24" i="68"/>
  <c r="AB24" i="68"/>
  <c r="AA24" i="68"/>
  <c r="Z24" i="68"/>
  <c r="Y24" i="68"/>
  <c r="X24" i="68"/>
  <c r="W24" i="68"/>
  <c r="V24" i="68"/>
  <c r="U24" i="68"/>
  <c r="T24" i="68"/>
  <c r="S24" i="68"/>
  <c r="R24" i="68"/>
  <c r="H24" i="68"/>
  <c r="C24" i="68"/>
  <c r="AO23" i="68"/>
  <c r="AI23" i="68"/>
  <c r="AF23" i="68"/>
  <c r="AE23" i="68"/>
  <c r="AC23" i="68"/>
  <c r="AB23" i="68"/>
  <c r="AA23" i="68"/>
  <c r="Z23" i="68"/>
  <c r="Y23" i="68"/>
  <c r="X23" i="68"/>
  <c r="W23" i="68"/>
  <c r="V23" i="68"/>
  <c r="U23" i="68"/>
  <c r="T23" i="68"/>
  <c r="S23" i="68"/>
  <c r="R23" i="68"/>
  <c r="H23" i="68"/>
  <c r="C23" i="68"/>
  <c r="B23" i="68"/>
  <c r="AO22" i="68"/>
  <c r="AA20" i="68"/>
  <c r="Z20" i="68"/>
  <c r="AB15" i="68"/>
  <c r="Y15" i="68"/>
  <c r="V15" i="68"/>
  <c r="AI14" i="68"/>
  <c r="AB14" i="68"/>
  <c r="AA14" i="68"/>
  <c r="Z14" i="68"/>
  <c r="Y14" i="68"/>
  <c r="X14" i="68"/>
  <c r="W14" i="68"/>
  <c r="V14" i="68"/>
  <c r="U14" i="68"/>
  <c r="T14" i="68"/>
  <c r="F14" i="68"/>
  <c r="AF13" i="68"/>
  <c r="AE13" i="68"/>
  <c r="AC13" i="68"/>
  <c r="AB13" i="68"/>
  <c r="AA13" i="68"/>
  <c r="Z13" i="68"/>
  <c r="Y13" i="68"/>
  <c r="X13" i="68"/>
  <c r="W13" i="68"/>
  <c r="V13" i="68"/>
  <c r="U13" i="68"/>
  <c r="T13" i="68"/>
  <c r="S13" i="68"/>
  <c r="R13" i="68"/>
  <c r="F13" i="68"/>
  <c r="AO12" i="68"/>
  <c r="AC12" i="68"/>
  <c r="AB12" i="68"/>
  <c r="AA12" i="68"/>
  <c r="Z12" i="68"/>
  <c r="Y12" i="68"/>
  <c r="X12" i="68"/>
  <c r="W12" i="68"/>
  <c r="V12" i="68"/>
  <c r="U12" i="68"/>
  <c r="T12" i="68"/>
  <c r="S12" i="68"/>
  <c r="R12" i="68"/>
  <c r="H12" i="68"/>
  <c r="C12" i="68"/>
  <c r="AO11" i="68"/>
  <c r="AI11" i="68"/>
  <c r="AF11" i="68"/>
  <c r="AE11" i="68"/>
  <c r="AC11" i="68"/>
  <c r="AB11" i="68"/>
  <c r="AA11" i="68"/>
  <c r="Z11" i="68"/>
  <c r="Y11" i="68"/>
  <c r="X11" i="68"/>
  <c r="W11" i="68"/>
  <c r="V11" i="68"/>
  <c r="U11" i="68"/>
  <c r="T11" i="68"/>
  <c r="S11" i="68"/>
  <c r="R11" i="68"/>
  <c r="H11" i="68"/>
  <c r="C11" i="68"/>
  <c r="AO10" i="68"/>
  <c r="AI10" i="68"/>
  <c r="AF10" i="68"/>
  <c r="AE10" i="68"/>
  <c r="AC10" i="68"/>
  <c r="AB10" i="68"/>
  <c r="AA10" i="68"/>
  <c r="Z10" i="68"/>
  <c r="Y10" i="68"/>
  <c r="X10" i="68"/>
  <c r="W10" i="68"/>
  <c r="V10" i="68"/>
  <c r="U10" i="68"/>
  <c r="T10" i="68"/>
  <c r="S10" i="68"/>
  <c r="R10" i="68"/>
  <c r="H10" i="68"/>
  <c r="C10" i="68"/>
  <c r="AO9" i="68"/>
  <c r="AI9" i="68"/>
  <c r="AF9" i="68"/>
  <c r="AE9" i="68"/>
  <c r="AC9" i="68"/>
  <c r="AB9" i="68"/>
  <c r="AA9" i="68"/>
  <c r="Z9" i="68"/>
  <c r="Y9" i="68"/>
  <c r="X9" i="68"/>
  <c r="W9" i="68"/>
  <c r="V9" i="68"/>
  <c r="U9" i="68"/>
  <c r="T9" i="68"/>
  <c r="S9" i="68"/>
  <c r="R9" i="68"/>
  <c r="H9" i="68"/>
  <c r="C9" i="68"/>
  <c r="AO8" i="68"/>
  <c r="AI8" i="68"/>
  <c r="AF8" i="68"/>
  <c r="AE8" i="68"/>
  <c r="AC8" i="68"/>
  <c r="AB8" i="68"/>
  <c r="AA8" i="68"/>
  <c r="Z8" i="68"/>
  <c r="Y8" i="68"/>
  <c r="X8" i="68"/>
  <c r="W8" i="68"/>
  <c r="V8" i="68"/>
  <c r="U8" i="68"/>
  <c r="T8" i="68"/>
  <c r="S8" i="68"/>
  <c r="R8" i="68"/>
  <c r="H8" i="68"/>
  <c r="C8" i="68"/>
  <c r="AO7" i="68"/>
  <c r="AI7" i="68"/>
  <c r="AF7" i="68"/>
  <c r="AE7" i="68"/>
  <c r="AC7" i="68"/>
  <c r="AB7" i="68"/>
  <c r="AA7" i="68"/>
  <c r="Z7" i="68"/>
  <c r="Y7" i="68"/>
  <c r="X7" i="68"/>
  <c r="W7" i="68"/>
  <c r="V7" i="68"/>
  <c r="U7" i="68"/>
  <c r="T7" i="68"/>
  <c r="S7" i="68"/>
  <c r="R7" i="68"/>
  <c r="H7" i="68"/>
  <c r="AO6" i="68"/>
  <c r="AA4" i="68"/>
  <c r="W109" i="69"/>
  <c r="T109" i="69"/>
  <c r="W106" i="69"/>
  <c r="T106" i="69"/>
  <c r="W103" i="69"/>
  <c r="T103" i="69"/>
  <c r="W100" i="69"/>
  <c r="T100" i="69"/>
  <c r="W97" i="69"/>
  <c r="T97" i="69"/>
  <c r="W94" i="69"/>
  <c r="T94" i="69"/>
  <c r="AB88" i="69"/>
  <c r="Y88" i="69"/>
  <c r="V88" i="69"/>
  <c r="AI87" i="69"/>
  <c r="AC87" i="69"/>
  <c r="AB87" i="69"/>
  <c r="AA87" i="69"/>
  <c r="Z87" i="69"/>
  <c r="Y87" i="69"/>
  <c r="X87" i="69"/>
  <c r="W87" i="69"/>
  <c r="V87" i="69"/>
  <c r="U87" i="69"/>
  <c r="T87" i="69"/>
  <c r="F87" i="69"/>
  <c r="AF86" i="69"/>
  <c r="AE86" i="69"/>
  <c r="Y86" i="69"/>
  <c r="W86" i="69"/>
  <c r="V86" i="69"/>
  <c r="T86" i="69"/>
  <c r="F86" i="69"/>
  <c r="AC85" i="69"/>
  <c r="AB85" i="69"/>
  <c r="AA85" i="69"/>
  <c r="Z85" i="69"/>
  <c r="Y85" i="69"/>
  <c r="X85" i="69"/>
  <c r="W85" i="69"/>
  <c r="T85" i="69"/>
  <c r="F85" i="69"/>
  <c r="AO84" i="69"/>
  <c r="AI84" i="69"/>
  <c r="AF84" i="69"/>
  <c r="AE84" i="69"/>
  <c r="AC84" i="69"/>
  <c r="AB84" i="69"/>
  <c r="AA84" i="69"/>
  <c r="Z84" i="69"/>
  <c r="Y84" i="69"/>
  <c r="X84" i="69"/>
  <c r="W84" i="69"/>
  <c r="V84" i="69"/>
  <c r="U84" i="69"/>
  <c r="T84" i="69"/>
  <c r="AO83" i="69"/>
  <c r="AI83" i="69"/>
  <c r="AF83" i="69"/>
  <c r="AE83" i="69"/>
  <c r="AC83" i="69"/>
  <c r="AB83" i="69"/>
  <c r="AA83" i="69"/>
  <c r="Z83" i="69"/>
  <c r="Y83" i="69"/>
  <c r="X83" i="69"/>
  <c r="W83" i="69"/>
  <c r="V83" i="69"/>
  <c r="U83" i="69"/>
  <c r="T83" i="69"/>
  <c r="AO82" i="69"/>
  <c r="AI82" i="69"/>
  <c r="AF82" i="69"/>
  <c r="AE82" i="69"/>
  <c r="AC82" i="69"/>
  <c r="AB82" i="69"/>
  <c r="AA82" i="69"/>
  <c r="Z82" i="69"/>
  <c r="Y82" i="69"/>
  <c r="X82" i="69"/>
  <c r="W82" i="69"/>
  <c r="V82" i="69"/>
  <c r="U82" i="69"/>
  <c r="T82" i="69"/>
  <c r="AO81" i="69"/>
  <c r="AI81" i="69"/>
  <c r="AF81" i="69"/>
  <c r="AE81" i="69"/>
  <c r="AC81" i="69"/>
  <c r="AB81" i="69"/>
  <c r="AA81" i="69"/>
  <c r="Z81" i="69"/>
  <c r="Y81" i="69"/>
  <c r="X81" i="69"/>
  <c r="W81" i="69"/>
  <c r="V81" i="69"/>
  <c r="U81" i="69"/>
  <c r="T81" i="69"/>
  <c r="AO80" i="69"/>
  <c r="AI80" i="69"/>
  <c r="AF80" i="69"/>
  <c r="AE80" i="69"/>
  <c r="AC80" i="69"/>
  <c r="AB80" i="69"/>
  <c r="AA80" i="69"/>
  <c r="Z80" i="69"/>
  <c r="Y80" i="69"/>
  <c r="X80" i="69"/>
  <c r="W80" i="69"/>
  <c r="V80" i="69"/>
  <c r="U80" i="69"/>
  <c r="T80" i="69"/>
  <c r="AO79" i="69"/>
  <c r="AA77" i="69"/>
  <c r="Z77" i="69"/>
  <c r="K73" i="69"/>
  <c r="H73" i="69"/>
  <c r="K71" i="69"/>
  <c r="H71" i="69"/>
  <c r="E71" i="69"/>
  <c r="K70" i="69"/>
  <c r="H70" i="69"/>
  <c r="K68" i="69"/>
  <c r="H68" i="69"/>
  <c r="E68" i="69"/>
  <c r="K67" i="69"/>
  <c r="H67" i="69"/>
  <c r="K65" i="69"/>
  <c r="H65" i="69"/>
  <c r="E65" i="69"/>
  <c r="K64" i="69"/>
  <c r="H64" i="69"/>
  <c r="E62" i="69"/>
  <c r="K61" i="69"/>
  <c r="H61" i="69"/>
  <c r="E59" i="69"/>
  <c r="K58" i="69"/>
  <c r="H58" i="69"/>
  <c r="E56" i="69"/>
  <c r="K53" i="69"/>
  <c r="H53" i="69"/>
  <c r="E51" i="69"/>
  <c r="K50" i="69"/>
  <c r="H50" i="69"/>
  <c r="K48" i="69"/>
  <c r="E48" i="69"/>
  <c r="K47" i="69"/>
  <c r="H47" i="69"/>
  <c r="E45" i="69"/>
  <c r="K44" i="69"/>
  <c r="H44" i="69"/>
  <c r="E42" i="69"/>
  <c r="K41" i="69"/>
  <c r="H41" i="69"/>
  <c r="E39" i="69"/>
  <c r="K38" i="69"/>
  <c r="H38" i="69"/>
  <c r="E36" i="69"/>
  <c r="AB31" i="69"/>
  <c r="Y31" i="69"/>
  <c r="V31" i="69"/>
  <c r="AI30" i="69"/>
  <c r="AB30" i="69"/>
  <c r="AA30" i="69"/>
  <c r="Z30" i="69"/>
  <c r="Y30" i="69"/>
  <c r="X30" i="69"/>
  <c r="W30" i="69"/>
  <c r="V30" i="69"/>
  <c r="U30" i="69"/>
  <c r="T30" i="69"/>
  <c r="F30" i="69"/>
  <c r="AF29" i="69"/>
  <c r="AE29" i="69"/>
  <c r="AC29" i="69"/>
  <c r="AB29" i="69"/>
  <c r="AA29" i="69"/>
  <c r="Z29" i="69"/>
  <c r="Y29" i="69"/>
  <c r="X29" i="69"/>
  <c r="W29" i="69"/>
  <c r="V29" i="69"/>
  <c r="U29" i="69"/>
  <c r="T29" i="69"/>
  <c r="S29" i="69"/>
  <c r="F29" i="69"/>
  <c r="AO28" i="69"/>
  <c r="AC28" i="69"/>
  <c r="AB28" i="69"/>
  <c r="AA28" i="69"/>
  <c r="Z28" i="69"/>
  <c r="Y28" i="69"/>
  <c r="X28" i="69"/>
  <c r="W28" i="69"/>
  <c r="V28" i="69"/>
  <c r="U28" i="69"/>
  <c r="T28" i="69"/>
  <c r="S28" i="69"/>
  <c r="R28" i="69"/>
  <c r="H28" i="69"/>
  <c r="C28" i="69"/>
  <c r="AO27" i="69"/>
  <c r="AI27" i="69"/>
  <c r="AF27" i="69"/>
  <c r="AE27" i="69"/>
  <c r="AC27" i="69"/>
  <c r="AB27" i="69"/>
  <c r="AA27" i="69"/>
  <c r="Z27" i="69"/>
  <c r="Y27" i="69"/>
  <c r="X27" i="69"/>
  <c r="W27" i="69"/>
  <c r="V27" i="69"/>
  <c r="U27" i="69"/>
  <c r="T27" i="69"/>
  <c r="S27" i="69"/>
  <c r="R27" i="69"/>
  <c r="H27" i="69"/>
  <c r="C27" i="69"/>
  <c r="AO26" i="69"/>
  <c r="AI26" i="69"/>
  <c r="AF26" i="69"/>
  <c r="AE26" i="69"/>
  <c r="AC26" i="69"/>
  <c r="AB26" i="69"/>
  <c r="AA26" i="69"/>
  <c r="Z26" i="69"/>
  <c r="Y26" i="69"/>
  <c r="X26" i="69"/>
  <c r="W26" i="69"/>
  <c r="V26" i="69"/>
  <c r="U26" i="69"/>
  <c r="T26" i="69"/>
  <c r="S26" i="69"/>
  <c r="R26" i="69"/>
  <c r="H26" i="69"/>
  <c r="C26" i="69"/>
  <c r="AO25" i="69"/>
  <c r="AI25" i="69"/>
  <c r="AF25" i="69"/>
  <c r="AE25" i="69"/>
  <c r="AC25" i="69"/>
  <c r="AB25" i="69"/>
  <c r="AA25" i="69"/>
  <c r="Z25" i="69"/>
  <c r="Y25" i="69"/>
  <c r="X25" i="69"/>
  <c r="W25" i="69"/>
  <c r="V25" i="69"/>
  <c r="U25" i="69"/>
  <c r="T25" i="69"/>
  <c r="S25" i="69"/>
  <c r="R25" i="69"/>
  <c r="H25" i="69"/>
  <c r="C25" i="69"/>
  <c r="AO24" i="69"/>
  <c r="AI24" i="69"/>
  <c r="AF24" i="69"/>
  <c r="AE24" i="69"/>
  <c r="AC24" i="69"/>
  <c r="AB24" i="69"/>
  <c r="AA24" i="69"/>
  <c r="Z24" i="69"/>
  <c r="Y24" i="69"/>
  <c r="X24" i="69"/>
  <c r="W24" i="69"/>
  <c r="V24" i="69"/>
  <c r="U24" i="69"/>
  <c r="T24" i="69"/>
  <c r="S24" i="69"/>
  <c r="R24" i="69"/>
  <c r="H24" i="69"/>
  <c r="C24" i="69"/>
  <c r="AO23" i="69"/>
  <c r="AI23" i="69"/>
  <c r="AF23" i="69"/>
  <c r="AE23" i="69"/>
  <c r="AC23" i="69"/>
  <c r="AB23" i="69"/>
  <c r="AA23" i="69"/>
  <c r="Z23" i="69"/>
  <c r="Y23" i="69"/>
  <c r="X23" i="69"/>
  <c r="W23" i="69"/>
  <c r="V23" i="69"/>
  <c r="U23" i="69"/>
  <c r="T23" i="69"/>
  <c r="S23" i="69"/>
  <c r="R23" i="69"/>
  <c r="H23" i="69"/>
  <c r="C23" i="69"/>
  <c r="B23" i="69"/>
  <c r="AO22" i="69"/>
  <c r="AA20" i="69"/>
  <c r="Z20" i="69"/>
  <c r="AB15" i="69"/>
  <c r="Y15" i="69"/>
  <c r="V15" i="69"/>
  <c r="AI14" i="69"/>
  <c r="AB14" i="69"/>
  <c r="AA14" i="69"/>
  <c r="Z14" i="69"/>
  <c r="Y14" i="69"/>
  <c r="X14" i="69"/>
  <c r="W14" i="69"/>
  <c r="V14" i="69"/>
  <c r="U14" i="69"/>
  <c r="T14" i="69"/>
  <c r="F14" i="69"/>
  <c r="AF13" i="69"/>
  <c r="AE13" i="69"/>
  <c r="AC13" i="69"/>
  <c r="AB13" i="69"/>
  <c r="AA13" i="69"/>
  <c r="Z13" i="69"/>
  <c r="Y13" i="69"/>
  <c r="X13" i="69"/>
  <c r="W13" i="69"/>
  <c r="V13" i="69"/>
  <c r="U13" i="69"/>
  <c r="T13" i="69"/>
  <c r="S13" i="69"/>
  <c r="R13" i="69"/>
  <c r="F13" i="69"/>
  <c r="AO12" i="69"/>
  <c r="AC12" i="69"/>
  <c r="AB12" i="69"/>
  <c r="AA12" i="69"/>
  <c r="Z12" i="69"/>
  <c r="Y12" i="69"/>
  <c r="X12" i="69"/>
  <c r="W12" i="69"/>
  <c r="V12" i="69"/>
  <c r="U12" i="69"/>
  <c r="T12" i="69"/>
  <c r="S12" i="69"/>
  <c r="R12" i="69"/>
  <c r="H12" i="69"/>
  <c r="C12" i="69"/>
  <c r="AO11" i="69"/>
  <c r="AI11" i="69"/>
  <c r="AF11" i="69"/>
  <c r="AE11" i="69"/>
  <c r="AC11" i="69"/>
  <c r="AB11" i="69"/>
  <c r="AA11" i="69"/>
  <c r="Z11" i="69"/>
  <c r="Y11" i="69"/>
  <c r="X11" i="69"/>
  <c r="W11" i="69"/>
  <c r="V11" i="69"/>
  <c r="U11" i="69"/>
  <c r="T11" i="69"/>
  <c r="S11" i="69"/>
  <c r="R11" i="69"/>
  <c r="H11" i="69"/>
  <c r="C11" i="69"/>
  <c r="AO10" i="69"/>
  <c r="AI10" i="69"/>
  <c r="AF10" i="69"/>
  <c r="AE10" i="69"/>
  <c r="AC10" i="69"/>
  <c r="AB10" i="69"/>
  <c r="AA10" i="69"/>
  <c r="Z10" i="69"/>
  <c r="Y10" i="69"/>
  <c r="X10" i="69"/>
  <c r="W10" i="69"/>
  <c r="V10" i="69"/>
  <c r="U10" i="69"/>
  <c r="T10" i="69"/>
  <c r="S10" i="69"/>
  <c r="R10" i="69"/>
  <c r="H10" i="69"/>
  <c r="C10" i="69"/>
  <c r="AO9" i="69"/>
  <c r="AI9" i="69"/>
  <c r="AF9" i="69"/>
  <c r="AE9" i="69"/>
  <c r="AC9" i="69"/>
  <c r="AB9" i="69"/>
  <c r="AA9" i="69"/>
  <c r="Z9" i="69"/>
  <c r="Y9" i="69"/>
  <c r="X9" i="69"/>
  <c r="W9" i="69"/>
  <c r="V9" i="69"/>
  <c r="U9" i="69"/>
  <c r="T9" i="69"/>
  <c r="S9" i="69"/>
  <c r="R9" i="69"/>
  <c r="H9" i="69"/>
  <c r="C9" i="69"/>
  <c r="AO8" i="69"/>
  <c r="AI8" i="69"/>
  <c r="AF8" i="69"/>
  <c r="AE8" i="69"/>
  <c r="AC8" i="69"/>
  <c r="AB8" i="69"/>
  <c r="AA8" i="69"/>
  <c r="Z8" i="69"/>
  <c r="Y8" i="69"/>
  <c r="X8" i="69"/>
  <c r="W8" i="69"/>
  <c r="V8" i="69"/>
  <c r="U8" i="69"/>
  <c r="T8" i="69"/>
  <c r="S8" i="69"/>
  <c r="R8" i="69"/>
  <c r="H8" i="69"/>
  <c r="C8" i="69"/>
  <c r="AO7" i="69"/>
  <c r="AI7" i="69"/>
  <c r="AF7" i="69"/>
  <c r="AE7" i="69"/>
  <c r="AC7" i="69"/>
  <c r="AB7" i="69"/>
  <c r="AA7" i="69"/>
  <c r="Z7" i="69"/>
  <c r="Y7" i="69"/>
  <c r="X7" i="69"/>
  <c r="W7" i="69"/>
  <c r="V7" i="69"/>
  <c r="U7" i="69"/>
  <c r="T7" i="69"/>
  <c r="S7" i="69"/>
  <c r="R7" i="69"/>
  <c r="H7" i="69"/>
  <c r="AO6" i="69"/>
  <c r="AA4" i="69"/>
  <c r="W109" i="70"/>
  <c r="T109" i="70"/>
  <c r="W106" i="70"/>
  <c r="T106" i="70"/>
  <c r="W103" i="70"/>
  <c r="T103" i="70"/>
  <c r="W100" i="70"/>
  <c r="T100" i="70"/>
  <c r="W97" i="70"/>
  <c r="T97" i="70"/>
  <c r="W94" i="70"/>
  <c r="T94" i="70"/>
  <c r="AB88" i="70"/>
  <c r="Y88" i="70"/>
  <c r="V88" i="70"/>
  <c r="AI87" i="70"/>
  <c r="AC87" i="70"/>
  <c r="AB87" i="70"/>
  <c r="AA87" i="70"/>
  <c r="Z87" i="70"/>
  <c r="Y87" i="70"/>
  <c r="X87" i="70"/>
  <c r="W87" i="70"/>
  <c r="V87" i="70"/>
  <c r="U87" i="70"/>
  <c r="T87" i="70"/>
  <c r="F87" i="70"/>
  <c r="AF86" i="70"/>
  <c r="AE86" i="70"/>
  <c r="Y86" i="70"/>
  <c r="W86" i="70"/>
  <c r="V86" i="70"/>
  <c r="T86" i="70"/>
  <c r="F86" i="70"/>
  <c r="AC85" i="70"/>
  <c r="AB85" i="70"/>
  <c r="AA85" i="70"/>
  <c r="Z85" i="70"/>
  <c r="Y85" i="70"/>
  <c r="X85" i="70"/>
  <c r="W85" i="70"/>
  <c r="T85" i="70"/>
  <c r="F85" i="70"/>
  <c r="AO84" i="70"/>
  <c r="AI84" i="70"/>
  <c r="AF84" i="70"/>
  <c r="AE84" i="70"/>
  <c r="AC84" i="70"/>
  <c r="AB84" i="70"/>
  <c r="AA84" i="70"/>
  <c r="Z84" i="70"/>
  <c r="Y84" i="70"/>
  <c r="X84" i="70"/>
  <c r="W84" i="70"/>
  <c r="V84" i="70"/>
  <c r="U84" i="70"/>
  <c r="T84" i="70"/>
  <c r="AO83" i="70"/>
  <c r="AI83" i="70"/>
  <c r="AF83" i="70"/>
  <c r="AE83" i="70"/>
  <c r="AC83" i="70"/>
  <c r="AB83" i="70"/>
  <c r="AA83" i="70"/>
  <c r="Z83" i="70"/>
  <c r="Y83" i="70"/>
  <c r="X83" i="70"/>
  <c r="W83" i="70"/>
  <c r="V83" i="70"/>
  <c r="U83" i="70"/>
  <c r="T83" i="70"/>
  <c r="AO82" i="70"/>
  <c r="AI82" i="70"/>
  <c r="AF82" i="70"/>
  <c r="AE82" i="70"/>
  <c r="AC82" i="70"/>
  <c r="AB82" i="70"/>
  <c r="AA82" i="70"/>
  <c r="Z82" i="70"/>
  <c r="Y82" i="70"/>
  <c r="X82" i="70"/>
  <c r="W82" i="70"/>
  <c r="V82" i="70"/>
  <c r="U82" i="70"/>
  <c r="T82" i="70"/>
  <c r="AO81" i="70"/>
  <c r="AI81" i="70"/>
  <c r="AF81" i="70"/>
  <c r="AE81" i="70"/>
  <c r="AC81" i="70"/>
  <c r="AB81" i="70"/>
  <c r="AA81" i="70"/>
  <c r="Z81" i="70"/>
  <c r="Y81" i="70"/>
  <c r="X81" i="70"/>
  <c r="W81" i="70"/>
  <c r="V81" i="70"/>
  <c r="U81" i="70"/>
  <c r="T81" i="70"/>
  <c r="AO80" i="70"/>
  <c r="AI80" i="70"/>
  <c r="AF80" i="70"/>
  <c r="AE80" i="70"/>
  <c r="AC80" i="70"/>
  <c r="AB80" i="70"/>
  <c r="AA80" i="70"/>
  <c r="Z80" i="70"/>
  <c r="Y80" i="70"/>
  <c r="X80" i="70"/>
  <c r="W80" i="70"/>
  <c r="V80" i="70"/>
  <c r="U80" i="70"/>
  <c r="T80" i="70"/>
  <c r="AO79" i="70"/>
  <c r="AA77" i="70"/>
  <c r="Z77" i="70"/>
  <c r="K73" i="70"/>
  <c r="H73" i="70"/>
  <c r="E71" i="70"/>
  <c r="K70" i="70"/>
  <c r="H70" i="70"/>
  <c r="E68" i="70"/>
  <c r="K67" i="70"/>
  <c r="H67" i="70"/>
  <c r="K65" i="70"/>
  <c r="E65" i="70"/>
  <c r="K64" i="70"/>
  <c r="H64" i="70"/>
  <c r="E62" i="70"/>
  <c r="K61" i="70"/>
  <c r="H61" i="70"/>
  <c r="E59" i="70"/>
  <c r="K58" i="70"/>
  <c r="H58" i="70"/>
  <c r="E56" i="70"/>
  <c r="K53" i="70"/>
  <c r="H53" i="70"/>
  <c r="E51" i="70"/>
  <c r="K50" i="70"/>
  <c r="H50" i="70"/>
  <c r="E48" i="70"/>
  <c r="K47" i="70"/>
  <c r="H47" i="70"/>
  <c r="E45" i="70"/>
  <c r="K44" i="70"/>
  <c r="H44" i="70"/>
  <c r="E42" i="70"/>
  <c r="K41" i="70"/>
  <c r="H41" i="70"/>
  <c r="E39" i="70"/>
  <c r="K38" i="70"/>
  <c r="H38" i="70"/>
  <c r="K36" i="70"/>
  <c r="E36" i="70"/>
  <c r="AB31" i="70"/>
  <c r="Y31" i="70"/>
  <c r="V31" i="70"/>
  <c r="AI30" i="70"/>
  <c r="AB30" i="70"/>
  <c r="AA30" i="70"/>
  <c r="Z30" i="70"/>
  <c r="Y30" i="70"/>
  <c r="X30" i="70"/>
  <c r="W30" i="70"/>
  <c r="V30" i="70"/>
  <c r="U30" i="70"/>
  <c r="T30" i="70"/>
  <c r="F30" i="70"/>
  <c r="AF29" i="70"/>
  <c r="AE29" i="70"/>
  <c r="AC29" i="70"/>
  <c r="AB29" i="70"/>
  <c r="AA29" i="70"/>
  <c r="Z29" i="70"/>
  <c r="Y29" i="70"/>
  <c r="X29" i="70"/>
  <c r="W29" i="70"/>
  <c r="V29" i="70"/>
  <c r="U29" i="70"/>
  <c r="T29" i="70"/>
  <c r="S29" i="70"/>
  <c r="F29" i="70"/>
  <c r="AO28" i="70"/>
  <c r="AC28" i="70"/>
  <c r="AB28" i="70"/>
  <c r="AA28" i="70"/>
  <c r="Z28" i="70"/>
  <c r="Y28" i="70"/>
  <c r="X28" i="70"/>
  <c r="W28" i="70"/>
  <c r="V28" i="70"/>
  <c r="U28" i="70"/>
  <c r="T28" i="70"/>
  <c r="S28" i="70"/>
  <c r="R28" i="70"/>
  <c r="C28" i="70"/>
  <c r="AO27" i="70"/>
  <c r="AI27" i="70"/>
  <c r="AF27" i="70"/>
  <c r="AE27" i="70"/>
  <c r="AC27" i="70"/>
  <c r="AB27" i="70"/>
  <c r="AA27" i="70"/>
  <c r="Z27" i="70"/>
  <c r="Y27" i="70"/>
  <c r="X27" i="70"/>
  <c r="V27" i="70"/>
  <c r="U27" i="70"/>
  <c r="S27" i="70"/>
  <c r="R27" i="70"/>
  <c r="H27" i="70"/>
  <c r="C27" i="70"/>
  <c r="AO26" i="70"/>
  <c r="AI26" i="70"/>
  <c r="AF26" i="70"/>
  <c r="AE26" i="70"/>
  <c r="AC26" i="70"/>
  <c r="AB26" i="70"/>
  <c r="AA26" i="70"/>
  <c r="Z26" i="70"/>
  <c r="Y26" i="70"/>
  <c r="X26" i="70"/>
  <c r="W26" i="70"/>
  <c r="V26" i="70"/>
  <c r="U26" i="70"/>
  <c r="T26" i="70"/>
  <c r="S26" i="70"/>
  <c r="R26" i="70"/>
  <c r="H26" i="70"/>
  <c r="C26" i="70"/>
  <c r="AO25" i="70"/>
  <c r="AI25" i="70"/>
  <c r="AF25" i="70"/>
  <c r="AE25" i="70"/>
  <c r="AC25" i="70"/>
  <c r="AB25" i="70"/>
  <c r="AA25" i="70"/>
  <c r="Z25" i="70"/>
  <c r="Y25" i="70"/>
  <c r="X25" i="70"/>
  <c r="W25" i="70"/>
  <c r="V25" i="70"/>
  <c r="U25" i="70"/>
  <c r="T25" i="70"/>
  <c r="S25" i="70"/>
  <c r="R25" i="70"/>
  <c r="H25" i="70"/>
  <c r="C25" i="70"/>
  <c r="AO24" i="70"/>
  <c r="AI24" i="70"/>
  <c r="AF24" i="70"/>
  <c r="AE24" i="70"/>
  <c r="AC24" i="70"/>
  <c r="AB24" i="70"/>
  <c r="AA24" i="70"/>
  <c r="Z24" i="70"/>
  <c r="Y24" i="70"/>
  <c r="X24" i="70"/>
  <c r="W24" i="70"/>
  <c r="V24" i="70"/>
  <c r="U24" i="70"/>
  <c r="T24" i="70"/>
  <c r="S24" i="70"/>
  <c r="R24" i="70"/>
  <c r="H24" i="70"/>
  <c r="C24" i="70"/>
  <c r="AO23" i="70"/>
  <c r="AI23" i="70"/>
  <c r="AF23" i="70"/>
  <c r="AE23" i="70"/>
  <c r="AC23" i="70"/>
  <c r="AB23" i="70"/>
  <c r="AA23" i="70"/>
  <c r="Z23" i="70"/>
  <c r="Y23" i="70"/>
  <c r="X23" i="70"/>
  <c r="W23" i="70"/>
  <c r="V23" i="70"/>
  <c r="U23" i="70"/>
  <c r="T23" i="70"/>
  <c r="S23" i="70"/>
  <c r="R23" i="70"/>
  <c r="H23" i="70"/>
  <c r="C23" i="70"/>
  <c r="B23" i="70"/>
  <c r="AO22" i="70"/>
  <c r="AA20" i="70"/>
  <c r="Z20" i="70"/>
  <c r="AB15" i="70"/>
  <c r="Y15" i="70"/>
  <c r="V15" i="70"/>
  <c r="AI14" i="70"/>
  <c r="AB14" i="70"/>
  <c r="AA14" i="70"/>
  <c r="Z14" i="70"/>
  <c r="Y14" i="70"/>
  <c r="X14" i="70"/>
  <c r="W14" i="70"/>
  <c r="V14" i="70"/>
  <c r="U14" i="70"/>
  <c r="T14" i="70"/>
  <c r="F14" i="70"/>
  <c r="AF13" i="70"/>
  <c r="AE13" i="70"/>
  <c r="AC13" i="70"/>
  <c r="AB13" i="70"/>
  <c r="AA13" i="70"/>
  <c r="Z13" i="70"/>
  <c r="Y13" i="70"/>
  <c r="X13" i="70"/>
  <c r="W13" i="70"/>
  <c r="V13" i="70"/>
  <c r="U13" i="70"/>
  <c r="T13" i="70"/>
  <c r="S13" i="70"/>
  <c r="R13" i="70"/>
  <c r="F13" i="70"/>
  <c r="AO12" i="70"/>
  <c r="AC12" i="70"/>
  <c r="AB12" i="70"/>
  <c r="AA12" i="70"/>
  <c r="Z12" i="70"/>
  <c r="Y12" i="70"/>
  <c r="X12" i="70"/>
  <c r="W12" i="70"/>
  <c r="V12" i="70"/>
  <c r="U12" i="70"/>
  <c r="T12" i="70"/>
  <c r="S12" i="70"/>
  <c r="R12" i="70"/>
  <c r="C12" i="70"/>
  <c r="AO11" i="70"/>
  <c r="AI11" i="70"/>
  <c r="AF11" i="70"/>
  <c r="AE11" i="70"/>
  <c r="AC11" i="70"/>
  <c r="AB11" i="70"/>
  <c r="AA11" i="70"/>
  <c r="Z11" i="70"/>
  <c r="Y11" i="70"/>
  <c r="X11" i="70"/>
  <c r="V11" i="70"/>
  <c r="U11" i="70"/>
  <c r="S11" i="70"/>
  <c r="R11" i="70"/>
  <c r="H11" i="70"/>
  <c r="C11" i="70"/>
  <c r="AO10" i="70"/>
  <c r="AI10" i="70"/>
  <c r="AF10" i="70"/>
  <c r="AE10" i="70"/>
  <c r="AC10" i="70"/>
  <c r="AB10" i="70"/>
  <c r="AA10" i="70"/>
  <c r="Z10" i="70"/>
  <c r="Y10" i="70"/>
  <c r="X10" i="70"/>
  <c r="W10" i="70"/>
  <c r="V10" i="70"/>
  <c r="U10" i="70"/>
  <c r="T10" i="70"/>
  <c r="S10" i="70"/>
  <c r="R10" i="70"/>
  <c r="H10" i="70"/>
  <c r="C10" i="70"/>
  <c r="AO9" i="70"/>
  <c r="AI9" i="70"/>
  <c r="AF9" i="70"/>
  <c r="AE9" i="70"/>
  <c r="AC9" i="70"/>
  <c r="AB9" i="70"/>
  <c r="AA9" i="70"/>
  <c r="Z9" i="70"/>
  <c r="Y9" i="70"/>
  <c r="X9" i="70"/>
  <c r="W9" i="70"/>
  <c r="V9" i="70"/>
  <c r="U9" i="70"/>
  <c r="T9" i="70"/>
  <c r="S9" i="70"/>
  <c r="R9" i="70"/>
  <c r="H9" i="70"/>
  <c r="C9" i="70"/>
  <c r="AO8" i="70"/>
  <c r="AI8" i="70"/>
  <c r="AF8" i="70"/>
  <c r="AE8" i="70"/>
  <c r="AC8" i="70"/>
  <c r="AB8" i="70"/>
  <c r="AA8" i="70"/>
  <c r="Z8" i="70"/>
  <c r="Y8" i="70"/>
  <c r="X8" i="70"/>
  <c r="W8" i="70"/>
  <c r="V8" i="70"/>
  <c r="U8" i="70"/>
  <c r="T8" i="70"/>
  <c r="S8" i="70"/>
  <c r="R8" i="70"/>
  <c r="H8" i="70"/>
  <c r="C8" i="70"/>
  <c r="AO7" i="70"/>
  <c r="AI7" i="70"/>
  <c r="AF7" i="70"/>
  <c r="AE7" i="70"/>
  <c r="AC7" i="70"/>
  <c r="AB7" i="70"/>
  <c r="AA7" i="70"/>
  <c r="Z7" i="70"/>
  <c r="Y7" i="70"/>
  <c r="X7" i="70"/>
  <c r="W7" i="70"/>
  <c r="V7" i="70"/>
  <c r="U7" i="70"/>
  <c r="T7" i="70"/>
  <c r="S7" i="70"/>
  <c r="R7" i="70"/>
  <c r="H7" i="70"/>
  <c r="AO6" i="70"/>
  <c r="AA4" i="70"/>
  <c r="W109" i="71"/>
  <c r="T109" i="71"/>
  <c r="W106" i="71"/>
  <c r="T106" i="71"/>
  <c r="W103" i="71"/>
  <c r="T103" i="71"/>
  <c r="W100" i="71"/>
  <c r="T100" i="71"/>
  <c r="W97" i="71"/>
  <c r="T97" i="71"/>
  <c r="W94" i="71"/>
  <c r="T94" i="71"/>
  <c r="AB88" i="71"/>
  <c r="Y88" i="71"/>
  <c r="V88" i="71"/>
  <c r="AI87" i="71"/>
  <c r="AC87" i="71"/>
  <c r="AB87" i="71"/>
  <c r="AA87" i="71"/>
  <c r="Z87" i="71"/>
  <c r="Y87" i="71"/>
  <c r="X87" i="71"/>
  <c r="W87" i="71"/>
  <c r="V87" i="71"/>
  <c r="U87" i="71"/>
  <c r="T87" i="71"/>
  <c r="F87" i="71"/>
  <c r="AF86" i="71"/>
  <c r="AE86" i="71"/>
  <c r="Y86" i="71"/>
  <c r="W86" i="71"/>
  <c r="V86" i="71"/>
  <c r="T86" i="71"/>
  <c r="F86" i="71"/>
  <c r="AC85" i="71"/>
  <c r="AB85" i="71"/>
  <c r="AA85" i="71"/>
  <c r="Z85" i="71"/>
  <c r="Y85" i="71"/>
  <c r="X85" i="71"/>
  <c r="W85" i="71"/>
  <c r="T85" i="71"/>
  <c r="F85" i="71"/>
  <c r="AO84" i="71"/>
  <c r="AI84" i="71"/>
  <c r="AF84" i="71"/>
  <c r="AE84" i="71"/>
  <c r="AC84" i="71"/>
  <c r="AB84" i="71"/>
  <c r="AA84" i="71"/>
  <c r="Z84" i="71"/>
  <c r="Y84" i="71"/>
  <c r="X84" i="71"/>
  <c r="W84" i="71"/>
  <c r="V84" i="71"/>
  <c r="U84" i="71"/>
  <c r="T84" i="71"/>
  <c r="AO83" i="71"/>
  <c r="AI83" i="71"/>
  <c r="AF83" i="71"/>
  <c r="AE83" i="71"/>
  <c r="AC83" i="71"/>
  <c r="AB83" i="71"/>
  <c r="AA83" i="71"/>
  <c r="Z83" i="71"/>
  <c r="Y83" i="71"/>
  <c r="X83" i="71"/>
  <c r="W83" i="71"/>
  <c r="V83" i="71"/>
  <c r="U83" i="71"/>
  <c r="T83" i="71"/>
  <c r="AO82" i="71"/>
  <c r="AI82" i="71"/>
  <c r="AF82" i="71"/>
  <c r="AE82" i="71"/>
  <c r="AC82" i="71"/>
  <c r="AB82" i="71"/>
  <c r="AA82" i="71"/>
  <c r="Z82" i="71"/>
  <c r="Y82" i="71"/>
  <c r="X82" i="71"/>
  <c r="W82" i="71"/>
  <c r="V82" i="71"/>
  <c r="U82" i="71"/>
  <c r="T82" i="71"/>
  <c r="AO81" i="71"/>
  <c r="AI81" i="71"/>
  <c r="AF81" i="71"/>
  <c r="AE81" i="71"/>
  <c r="AC81" i="71"/>
  <c r="AB81" i="71"/>
  <c r="AA81" i="71"/>
  <c r="Z81" i="71"/>
  <c r="Y81" i="71"/>
  <c r="X81" i="71"/>
  <c r="W81" i="71"/>
  <c r="V81" i="71"/>
  <c r="U81" i="71"/>
  <c r="T81" i="71"/>
  <c r="AO80" i="71"/>
  <c r="AI80" i="71"/>
  <c r="AF80" i="71"/>
  <c r="AE80" i="71"/>
  <c r="AC80" i="71"/>
  <c r="AB80" i="71"/>
  <c r="AA80" i="71"/>
  <c r="Z80" i="71"/>
  <c r="Y80" i="71"/>
  <c r="X80" i="71"/>
  <c r="W80" i="71"/>
  <c r="V80" i="71"/>
  <c r="U80" i="71"/>
  <c r="T80" i="71"/>
  <c r="AO79" i="71"/>
  <c r="AA77" i="71"/>
  <c r="Z77" i="71"/>
  <c r="K73" i="71"/>
  <c r="H73" i="71"/>
  <c r="E71" i="71"/>
  <c r="K70" i="71"/>
  <c r="H70" i="71"/>
  <c r="K68" i="71"/>
  <c r="H68" i="71"/>
  <c r="E68" i="71"/>
  <c r="K67" i="71"/>
  <c r="H67" i="71"/>
  <c r="E65" i="71"/>
  <c r="K64" i="71"/>
  <c r="H64" i="71"/>
  <c r="E62" i="71"/>
  <c r="K61" i="71"/>
  <c r="H61" i="71"/>
  <c r="E59" i="71"/>
  <c r="K58" i="71"/>
  <c r="H58" i="71"/>
  <c r="E56" i="71"/>
  <c r="K53" i="71"/>
  <c r="H53" i="71"/>
  <c r="E51" i="71"/>
  <c r="K50" i="71"/>
  <c r="H50" i="71"/>
  <c r="E48" i="71"/>
  <c r="K47" i="71"/>
  <c r="H47" i="71"/>
  <c r="E45" i="71"/>
  <c r="K44" i="71"/>
  <c r="H44" i="71"/>
  <c r="E42" i="71"/>
  <c r="K41" i="71"/>
  <c r="H41" i="71"/>
  <c r="E39" i="71"/>
  <c r="K38" i="71"/>
  <c r="H38" i="71"/>
  <c r="E36" i="71"/>
  <c r="AB31" i="71"/>
  <c r="Y31" i="71"/>
  <c r="V31" i="71"/>
  <c r="AI30" i="71"/>
  <c r="AB30" i="71"/>
  <c r="AA30" i="71"/>
  <c r="Z30" i="71"/>
  <c r="Y30" i="71"/>
  <c r="X30" i="71"/>
  <c r="W30" i="71"/>
  <c r="V30" i="71"/>
  <c r="U30" i="71"/>
  <c r="T30" i="71"/>
  <c r="F30" i="71"/>
  <c r="AF29" i="71"/>
  <c r="AE29" i="71"/>
  <c r="AC29" i="71"/>
  <c r="AB29" i="71"/>
  <c r="AA29" i="71"/>
  <c r="Z29" i="71"/>
  <c r="Y29" i="71"/>
  <c r="X29" i="71"/>
  <c r="W29" i="71"/>
  <c r="V29" i="71"/>
  <c r="U29" i="71"/>
  <c r="T29" i="71"/>
  <c r="S29" i="71"/>
  <c r="F29" i="71"/>
  <c r="AO28" i="71"/>
  <c r="AC28" i="71"/>
  <c r="AB28" i="71"/>
  <c r="AA28" i="71"/>
  <c r="Z28" i="71"/>
  <c r="Y28" i="71"/>
  <c r="X28" i="71"/>
  <c r="W28" i="71"/>
  <c r="V28" i="71"/>
  <c r="U28" i="71"/>
  <c r="T28" i="71"/>
  <c r="S28" i="71"/>
  <c r="R28" i="71"/>
  <c r="C28" i="71"/>
  <c r="AO27" i="71"/>
  <c r="AI27" i="71"/>
  <c r="AF27" i="71"/>
  <c r="AE27" i="71"/>
  <c r="AC27" i="71"/>
  <c r="AB27" i="71"/>
  <c r="AA27" i="71"/>
  <c r="Z27" i="71"/>
  <c r="Y27" i="71"/>
  <c r="X27" i="71"/>
  <c r="W27" i="71"/>
  <c r="V27" i="71"/>
  <c r="U27" i="71"/>
  <c r="T27" i="71"/>
  <c r="S27" i="71"/>
  <c r="R27" i="71"/>
  <c r="H27" i="71"/>
  <c r="C27" i="71"/>
  <c r="AO26" i="71"/>
  <c r="AI26" i="71"/>
  <c r="AF26" i="71"/>
  <c r="AE26" i="71"/>
  <c r="AC26" i="71"/>
  <c r="AB26" i="71"/>
  <c r="AA26" i="71"/>
  <c r="Z26" i="71"/>
  <c r="Y26" i="71"/>
  <c r="X26" i="71"/>
  <c r="W26" i="71"/>
  <c r="V26" i="71"/>
  <c r="U26" i="71"/>
  <c r="T26" i="71"/>
  <c r="S26" i="71"/>
  <c r="R26" i="71"/>
  <c r="H26" i="71"/>
  <c r="C26" i="71"/>
  <c r="AO25" i="71"/>
  <c r="AI25" i="71"/>
  <c r="AF25" i="71"/>
  <c r="AE25" i="71"/>
  <c r="AC25" i="71"/>
  <c r="AB25" i="71"/>
  <c r="AA25" i="71"/>
  <c r="Z25" i="71"/>
  <c r="Y25" i="71"/>
  <c r="X25" i="71"/>
  <c r="W25" i="71"/>
  <c r="V25" i="71"/>
  <c r="U25" i="71"/>
  <c r="T25" i="71"/>
  <c r="S25" i="71"/>
  <c r="R25" i="71"/>
  <c r="C25" i="71"/>
  <c r="AO24" i="71"/>
  <c r="AI24" i="71"/>
  <c r="AF24" i="71"/>
  <c r="AE24" i="71"/>
  <c r="AC24" i="71"/>
  <c r="AB24" i="71"/>
  <c r="AA24" i="71"/>
  <c r="Z24" i="71"/>
  <c r="Y24" i="71"/>
  <c r="X24" i="71"/>
  <c r="W24" i="71"/>
  <c r="V24" i="71"/>
  <c r="U24" i="71"/>
  <c r="T24" i="71"/>
  <c r="S24" i="71"/>
  <c r="R24" i="71"/>
  <c r="C24" i="71"/>
  <c r="AO23" i="71"/>
  <c r="AI23" i="71"/>
  <c r="AF23" i="71"/>
  <c r="AE23" i="71"/>
  <c r="AC23" i="71"/>
  <c r="AB23" i="71"/>
  <c r="AA23" i="71"/>
  <c r="Z23" i="71"/>
  <c r="Y23" i="71"/>
  <c r="X23" i="71"/>
  <c r="W23" i="71"/>
  <c r="V23" i="71"/>
  <c r="U23" i="71"/>
  <c r="T23" i="71"/>
  <c r="S23" i="71"/>
  <c r="R23" i="71"/>
  <c r="C23" i="71"/>
  <c r="B23" i="71"/>
  <c r="AO22" i="71"/>
  <c r="AA20" i="71"/>
  <c r="Z20" i="71"/>
  <c r="AB15" i="71"/>
  <c r="Y15" i="71"/>
  <c r="V15" i="71"/>
  <c r="AI14" i="71"/>
  <c r="AB14" i="71"/>
  <c r="AA14" i="71"/>
  <c r="Z14" i="71"/>
  <c r="Y14" i="71"/>
  <c r="X14" i="71"/>
  <c r="W14" i="71"/>
  <c r="V14" i="71"/>
  <c r="U14" i="71"/>
  <c r="T14" i="71"/>
  <c r="F14" i="71"/>
  <c r="AF13" i="71"/>
  <c r="AE13" i="71"/>
  <c r="AC13" i="71"/>
  <c r="AB13" i="71"/>
  <c r="AA13" i="71"/>
  <c r="Z13" i="71"/>
  <c r="Y13" i="71"/>
  <c r="X13" i="71"/>
  <c r="W13" i="71"/>
  <c r="V13" i="71"/>
  <c r="U13" i="71"/>
  <c r="T13" i="71"/>
  <c r="S13" i="71"/>
  <c r="R13" i="71"/>
  <c r="F13" i="71"/>
  <c r="AO12" i="71"/>
  <c r="AC12" i="71"/>
  <c r="AB12" i="71"/>
  <c r="AA12" i="71"/>
  <c r="Z12" i="71"/>
  <c r="Y12" i="71"/>
  <c r="X12" i="71"/>
  <c r="W12" i="71"/>
  <c r="V12" i="71"/>
  <c r="U12" i="71"/>
  <c r="T12" i="71"/>
  <c r="S12" i="71"/>
  <c r="R12" i="71"/>
  <c r="C12" i="71"/>
  <c r="AO11" i="71"/>
  <c r="AI11" i="71"/>
  <c r="AF11" i="71"/>
  <c r="AE11" i="71"/>
  <c r="AC11" i="71"/>
  <c r="AB11" i="71"/>
  <c r="AA11" i="71"/>
  <c r="Z11" i="71"/>
  <c r="Y11" i="71"/>
  <c r="X11" i="71"/>
  <c r="W11" i="71"/>
  <c r="V11" i="71"/>
  <c r="U11" i="71"/>
  <c r="T11" i="71"/>
  <c r="S11" i="71"/>
  <c r="R11" i="71"/>
  <c r="H11" i="71"/>
  <c r="C11" i="71"/>
  <c r="AO10" i="71"/>
  <c r="AI10" i="71"/>
  <c r="AF10" i="71"/>
  <c r="AE10" i="71"/>
  <c r="AC10" i="71"/>
  <c r="AB10" i="71"/>
  <c r="AA10" i="71"/>
  <c r="Z10" i="71"/>
  <c r="Y10" i="71"/>
  <c r="X10" i="71"/>
  <c r="W10" i="71"/>
  <c r="V10" i="71"/>
  <c r="U10" i="71"/>
  <c r="T10" i="71"/>
  <c r="S10" i="71"/>
  <c r="R10" i="71"/>
  <c r="H10" i="71"/>
  <c r="C10" i="71"/>
  <c r="AO9" i="71"/>
  <c r="AI9" i="71"/>
  <c r="AF9" i="71"/>
  <c r="AE9" i="71"/>
  <c r="AC9" i="71"/>
  <c r="AB9" i="71"/>
  <c r="AA9" i="71"/>
  <c r="Z9" i="71"/>
  <c r="Y9" i="71"/>
  <c r="X9" i="71"/>
  <c r="W9" i="71"/>
  <c r="V9" i="71"/>
  <c r="U9" i="71"/>
  <c r="T9" i="71"/>
  <c r="S9" i="71"/>
  <c r="R9" i="71"/>
  <c r="C9" i="71"/>
  <c r="AO8" i="71"/>
  <c r="AI8" i="71"/>
  <c r="AF8" i="71"/>
  <c r="AE8" i="71"/>
  <c r="AC8" i="71"/>
  <c r="AB8" i="71"/>
  <c r="AA8" i="71"/>
  <c r="Z8" i="71"/>
  <c r="Y8" i="71"/>
  <c r="X8" i="71"/>
  <c r="W8" i="71"/>
  <c r="V8" i="71"/>
  <c r="U8" i="71"/>
  <c r="T8" i="71"/>
  <c r="S8" i="71"/>
  <c r="R8" i="71"/>
  <c r="C8" i="71"/>
  <c r="AO7" i="71"/>
  <c r="AI7" i="71"/>
  <c r="AF7" i="71"/>
  <c r="AE7" i="71"/>
  <c r="AC7" i="71"/>
  <c r="AB7" i="71"/>
  <c r="AA7" i="71"/>
  <c r="Z7" i="71"/>
  <c r="Y7" i="71"/>
  <c r="X7" i="71"/>
  <c r="W7" i="71"/>
  <c r="V7" i="71"/>
  <c r="U7" i="71"/>
  <c r="T7" i="71"/>
  <c r="S7" i="71"/>
  <c r="R7" i="71"/>
  <c r="AO6" i="71"/>
  <c r="AA4" i="71"/>
  <c r="W109" i="72"/>
  <c r="T109" i="72"/>
  <c r="W106" i="72"/>
  <c r="T106" i="72"/>
  <c r="W103" i="72"/>
  <c r="T103" i="72"/>
  <c r="W100" i="72"/>
  <c r="T100" i="72"/>
  <c r="W97" i="72"/>
  <c r="T97" i="72"/>
  <c r="W94" i="72"/>
  <c r="T94" i="72"/>
  <c r="AB88" i="72"/>
  <c r="Y88" i="72"/>
  <c r="V88" i="72"/>
  <c r="AI87" i="72"/>
  <c r="AC87" i="72"/>
  <c r="AB87" i="72"/>
  <c r="AA87" i="72"/>
  <c r="Z87" i="72"/>
  <c r="Y87" i="72"/>
  <c r="X87" i="72"/>
  <c r="W87" i="72"/>
  <c r="V87" i="72"/>
  <c r="U87" i="72"/>
  <c r="T87" i="72"/>
  <c r="F87" i="72"/>
  <c r="AF86" i="72"/>
  <c r="AE86" i="72"/>
  <c r="Y86" i="72"/>
  <c r="W86" i="72"/>
  <c r="V86" i="72"/>
  <c r="T86" i="72"/>
  <c r="F86" i="72"/>
  <c r="AC85" i="72"/>
  <c r="AB85" i="72"/>
  <c r="AA85" i="72"/>
  <c r="Z85" i="72"/>
  <c r="Y85" i="72"/>
  <c r="X85" i="72"/>
  <c r="W85" i="72"/>
  <c r="T85" i="72"/>
  <c r="F85" i="72"/>
  <c r="AO84" i="72"/>
  <c r="AI84" i="72"/>
  <c r="AF84" i="72"/>
  <c r="AE84" i="72"/>
  <c r="AC84" i="72"/>
  <c r="AB84" i="72"/>
  <c r="AA84" i="72"/>
  <c r="Z84" i="72"/>
  <c r="Y84" i="72"/>
  <c r="X84" i="72"/>
  <c r="W84" i="72"/>
  <c r="V84" i="72"/>
  <c r="U84" i="72"/>
  <c r="T84" i="72"/>
  <c r="AO83" i="72"/>
  <c r="AI83" i="72"/>
  <c r="AF83" i="72"/>
  <c r="AE83" i="72"/>
  <c r="AC83" i="72"/>
  <c r="AB83" i="72"/>
  <c r="AA83" i="72"/>
  <c r="Z83" i="72"/>
  <c r="Y83" i="72"/>
  <c r="X83" i="72"/>
  <c r="W83" i="72"/>
  <c r="V83" i="72"/>
  <c r="U83" i="72"/>
  <c r="T83" i="72"/>
  <c r="AO82" i="72"/>
  <c r="AI82" i="72"/>
  <c r="AF82" i="72"/>
  <c r="AE82" i="72"/>
  <c r="AC82" i="72"/>
  <c r="AB82" i="72"/>
  <c r="AA82" i="72"/>
  <c r="Z82" i="72"/>
  <c r="Y82" i="72"/>
  <c r="X82" i="72"/>
  <c r="W82" i="72"/>
  <c r="V82" i="72"/>
  <c r="U82" i="72"/>
  <c r="T82" i="72"/>
  <c r="AO81" i="72"/>
  <c r="AI81" i="72"/>
  <c r="AF81" i="72"/>
  <c r="AE81" i="72"/>
  <c r="AC81" i="72"/>
  <c r="AB81" i="72"/>
  <c r="AA81" i="72"/>
  <c r="Z81" i="72"/>
  <c r="Y81" i="72"/>
  <c r="X81" i="72"/>
  <c r="W81" i="72"/>
  <c r="V81" i="72"/>
  <c r="U81" i="72"/>
  <c r="T81" i="72"/>
  <c r="AO80" i="72"/>
  <c r="AI80" i="72"/>
  <c r="AF80" i="72"/>
  <c r="AE80" i="72"/>
  <c r="AC80" i="72"/>
  <c r="AB80" i="72"/>
  <c r="AA80" i="72"/>
  <c r="Z80" i="72"/>
  <c r="Y80" i="72"/>
  <c r="X80" i="72"/>
  <c r="W80" i="72"/>
  <c r="V80" i="72"/>
  <c r="U80" i="72"/>
  <c r="T80" i="72"/>
  <c r="AO79" i="72"/>
  <c r="AA77" i="72"/>
  <c r="Z77" i="72"/>
  <c r="K73" i="72"/>
  <c r="H73" i="72"/>
  <c r="E71" i="72"/>
  <c r="K70" i="72"/>
  <c r="H70" i="72"/>
  <c r="E68" i="72"/>
  <c r="K67" i="72"/>
  <c r="H67" i="72"/>
  <c r="K65" i="72"/>
  <c r="H65" i="72"/>
  <c r="E65" i="72"/>
  <c r="K64" i="72"/>
  <c r="H64" i="72"/>
  <c r="K62" i="72"/>
  <c r="H62" i="72"/>
  <c r="E62" i="72"/>
  <c r="K61" i="72"/>
  <c r="H61" i="72"/>
  <c r="K59" i="72"/>
  <c r="H59" i="72"/>
  <c r="E59" i="72"/>
  <c r="K58" i="72"/>
  <c r="H58" i="72"/>
  <c r="E56" i="72"/>
  <c r="K53" i="72"/>
  <c r="H53" i="72"/>
  <c r="E51" i="72"/>
  <c r="K50" i="72"/>
  <c r="H50" i="72"/>
  <c r="E48" i="72"/>
  <c r="K47" i="72"/>
  <c r="H47" i="72"/>
  <c r="E45" i="72"/>
  <c r="K44" i="72"/>
  <c r="H44" i="72"/>
  <c r="E42" i="72"/>
  <c r="K41" i="72"/>
  <c r="H41" i="72"/>
  <c r="E39" i="72"/>
  <c r="K38" i="72"/>
  <c r="H38" i="72"/>
  <c r="E36" i="72"/>
  <c r="AB31" i="72"/>
  <c r="Y31" i="72"/>
  <c r="V31" i="72"/>
  <c r="AI30" i="72"/>
  <c r="AB30" i="72"/>
  <c r="AA30" i="72"/>
  <c r="Z30" i="72"/>
  <c r="Y30" i="72"/>
  <c r="X30" i="72"/>
  <c r="W30" i="72"/>
  <c r="V30" i="72"/>
  <c r="U30" i="72"/>
  <c r="T30" i="72"/>
  <c r="F30" i="72"/>
  <c r="AF29" i="72"/>
  <c r="AE29" i="72"/>
  <c r="AC29" i="72"/>
  <c r="AB29" i="72"/>
  <c r="AA29" i="72"/>
  <c r="Z29" i="72"/>
  <c r="Y29" i="72"/>
  <c r="X29" i="72"/>
  <c r="W29" i="72"/>
  <c r="V29" i="72"/>
  <c r="U29" i="72"/>
  <c r="T29" i="72"/>
  <c r="S29" i="72"/>
  <c r="F29" i="72"/>
  <c r="AO28" i="72"/>
  <c r="AC28" i="72"/>
  <c r="AB28" i="72"/>
  <c r="AA28" i="72"/>
  <c r="Z28" i="72"/>
  <c r="Y28" i="72"/>
  <c r="X28" i="72"/>
  <c r="W28" i="72"/>
  <c r="V28" i="72"/>
  <c r="U28" i="72"/>
  <c r="T28" i="72"/>
  <c r="S28" i="72"/>
  <c r="R28" i="72"/>
  <c r="C28" i="72"/>
  <c r="AO27" i="72"/>
  <c r="AI27" i="72"/>
  <c r="AF27" i="72"/>
  <c r="AE27" i="72"/>
  <c r="AC27" i="72"/>
  <c r="AB27" i="72"/>
  <c r="AA27" i="72"/>
  <c r="Z27" i="72"/>
  <c r="Y27" i="72"/>
  <c r="X27" i="72"/>
  <c r="W27" i="72"/>
  <c r="V27" i="72"/>
  <c r="U27" i="72"/>
  <c r="T27" i="72"/>
  <c r="S27" i="72"/>
  <c r="R27" i="72"/>
  <c r="H27" i="72"/>
  <c r="C27" i="72"/>
  <c r="AO26" i="72"/>
  <c r="AI26" i="72"/>
  <c r="AF26" i="72"/>
  <c r="AE26" i="72"/>
  <c r="AC26" i="72"/>
  <c r="AB26" i="72"/>
  <c r="AA26" i="72"/>
  <c r="Z26" i="72"/>
  <c r="Y26" i="72"/>
  <c r="X26" i="72"/>
  <c r="W26" i="72"/>
  <c r="V26" i="72"/>
  <c r="U26" i="72"/>
  <c r="T26" i="72"/>
  <c r="S26" i="72"/>
  <c r="R26" i="72"/>
  <c r="H26" i="72"/>
  <c r="C26" i="72"/>
  <c r="AO25" i="72"/>
  <c r="AI25" i="72"/>
  <c r="AF25" i="72"/>
  <c r="AE25" i="72"/>
  <c r="AC25" i="72"/>
  <c r="AB25" i="72"/>
  <c r="AA25" i="72"/>
  <c r="Z25" i="72"/>
  <c r="Y25" i="72"/>
  <c r="X25" i="72"/>
  <c r="W25" i="72"/>
  <c r="V25" i="72"/>
  <c r="U25" i="72"/>
  <c r="T25" i="72"/>
  <c r="S25" i="72"/>
  <c r="R25" i="72"/>
  <c r="H25" i="72"/>
  <c r="C25" i="72"/>
  <c r="AO24" i="72"/>
  <c r="AI24" i="72"/>
  <c r="AF24" i="72"/>
  <c r="AE24" i="72"/>
  <c r="AC24" i="72"/>
  <c r="AB24" i="72"/>
  <c r="AA24" i="72"/>
  <c r="Z24" i="72"/>
  <c r="Y24" i="72"/>
  <c r="X24" i="72"/>
  <c r="W24" i="72"/>
  <c r="V24" i="72"/>
  <c r="U24" i="72"/>
  <c r="T24" i="72"/>
  <c r="S24" i="72"/>
  <c r="R24" i="72"/>
  <c r="H24" i="72"/>
  <c r="C24" i="72"/>
  <c r="AO23" i="72"/>
  <c r="AI23" i="72"/>
  <c r="AF23" i="72"/>
  <c r="AE23" i="72"/>
  <c r="AC23" i="72"/>
  <c r="AB23" i="72"/>
  <c r="AA23" i="72"/>
  <c r="Z23" i="72"/>
  <c r="Y23" i="72"/>
  <c r="X23" i="72"/>
  <c r="W23" i="72"/>
  <c r="V23" i="72"/>
  <c r="U23" i="72"/>
  <c r="T23" i="72"/>
  <c r="S23" i="72"/>
  <c r="R23" i="72"/>
  <c r="H23" i="72"/>
  <c r="C23" i="72"/>
  <c r="B23" i="72"/>
  <c r="AO22" i="72"/>
  <c r="AA20" i="72"/>
  <c r="Z20" i="72"/>
  <c r="AB15" i="72"/>
  <c r="Y15" i="72"/>
  <c r="V15" i="72"/>
  <c r="AI14" i="72"/>
  <c r="AB14" i="72"/>
  <c r="AA14" i="72"/>
  <c r="Z14" i="72"/>
  <c r="Y14" i="72"/>
  <c r="X14" i="72"/>
  <c r="W14" i="72"/>
  <c r="V14" i="72"/>
  <c r="U14" i="72"/>
  <c r="T14" i="72"/>
  <c r="F14" i="72"/>
  <c r="AF13" i="72"/>
  <c r="AE13" i="72"/>
  <c r="AC13" i="72"/>
  <c r="AB13" i="72"/>
  <c r="AA13" i="72"/>
  <c r="Z13" i="72"/>
  <c r="Y13" i="72"/>
  <c r="X13" i="72"/>
  <c r="W13" i="72"/>
  <c r="V13" i="72"/>
  <c r="U13" i="72"/>
  <c r="T13" i="72"/>
  <c r="S13" i="72"/>
  <c r="R13" i="72"/>
  <c r="F13" i="72"/>
  <c r="AO12" i="72"/>
  <c r="AC12" i="72"/>
  <c r="AB12" i="72"/>
  <c r="AA12" i="72"/>
  <c r="Z12" i="72"/>
  <c r="Y12" i="72"/>
  <c r="X12" i="72"/>
  <c r="W12" i="72"/>
  <c r="V12" i="72"/>
  <c r="U12" i="72"/>
  <c r="T12" i="72"/>
  <c r="S12" i="72"/>
  <c r="R12" i="72"/>
  <c r="C12" i="72"/>
  <c r="AO11" i="72"/>
  <c r="AI11" i="72"/>
  <c r="AF11" i="72"/>
  <c r="AE11" i="72"/>
  <c r="AC11" i="72"/>
  <c r="AB11" i="72"/>
  <c r="AA11" i="72"/>
  <c r="Z11" i="72"/>
  <c r="Y11" i="72"/>
  <c r="X11" i="72"/>
  <c r="W11" i="72"/>
  <c r="V11" i="72"/>
  <c r="U11" i="72"/>
  <c r="T11" i="72"/>
  <c r="S11" i="72"/>
  <c r="R11" i="72"/>
  <c r="H11" i="72"/>
  <c r="C11" i="72"/>
  <c r="AO10" i="72"/>
  <c r="AI10" i="72"/>
  <c r="AF10" i="72"/>
  <c r="AE10" i="72"/>
  <c r="AC10" i="72"/>
  <c r="AB10" i="72"/>
  <c r="AA10" i="72"/>
  <c r="Z10" i="72"/>
  <c r="Y10" i="72"/>
  <c r="X10" i="72"/>
  <c r="W10" i="72"/>
  <c r="V10" i="72"/>
  <c r="U10" i="72"/>
  <c r="T10" i="72"/>
  <c r="S10" i="72"/>
  <c r="R10" i="72"/>
  <c r="H10" i="72"/>
  <c r="C10" i="72"/>
  <c r="AO9" i="72"/>
  <c r="AI9" i="72"/>
  <c r="AF9" i="72"/>
  <c r="AE9" i="72"/>
  <c r="AC9" i="72"/>
  <c r="AB9" i="72"/>
  <c r="AA9" i="72"/>
  <c r="Z9" i="72"/>
  <c r="Y9" i="72"/>
  <c r="X9" i="72"/>
  <c r="W9" i="72"/>
  <c r="V9" i="72"/>
  <c r="U9" i="72"/>
  <c r="T9" i="72"/>
  <c r="S9" i="72"/>
  <c r="R9" i="72"/>
  <c r="H9" i="72"/>
  <c r="C9" i="72"/>
  <c r="AO8" i="72"/>
  <c r="AI8" i="72"/>
  <c r="AF8" i="72"/>
  <c r="AE8" i="72"/>
  <c r="AC8" i="72"/>
  <c r="AB8" i="72"/>
  <c r="AA8" i="72"/>
  <c r="Z8" i="72"/>
  <c r="Y8" i="72"/>
  <c r="X8" i="72"/>
  <c r="W8" i="72"/>
  <c r="V8" i="72"/>
  <c r="U8" i="72"/>
  <c r="T8" i="72"/>
  <c r="S8" i="72"/>
  <c r="R8" i="72"/>
  <c r="H8" i="72"/>
  <c r="C8" i="72"/>
  <c r="AO7" i="72"/>
  <c r="AI7" i="72"/>
  <c r="AF7" i="72"/>
  <c r="AE7" i="72"/>
  <c r="AC7" i="72"/>
  <c r="AB7" i="72"/>
  <c r="AA7" i="72"/>
  <c r="Z7" i="72"/>
  <c r="Y7" i="72"/>
  <c r="X7" i="72"/>
  <c r="W7" i="72"/>
  <c r="V7" i="72"/>
  <c r="U7" i="72"/>
  <c r="T7" i="72"/>
  <c r="S7" i="72"/>
  <c r="R7" i="72"/>
  <c r="H7" i="72"/>
  <c r="AO6" i="72"/>
  <c r="AA4" i="72"/>
  <c r="W109" i="73"/>
  <c r="T109" i="73"/>
  <c r="W106" i="73"/>
  <c r="T106" i="73"/>
  <c r="W103" i="73"/>
  <c r="T103" i="73"/>
  <c r="W100" i="73"/>
  <c r="T100" i="73"/>
  <c r="W97" i="73"/>
  <c r="T97" i="73"/>
  <c r="W94" i="73"/>
  <c r="T94" i="73"/>
  <c r="AB88" i="73"/>
  <c r="Y88" i="73"/>
  <c r="V88" i="73"/>
  <c r="AI87" i="73"/>
  <c r="AC87" i="73"/>
  <c r="AB87" i="73"/>
  <c r="AA87" i="73"/>
  <c r="Z87" i="73"/>
  <c r="Y87" i="73"/>
  <c r="X87" i="73"/>
  <c r="W87" i="73"/>
  <c r="V87" i="73"/>
  <c r="U87" i="73"/>
  <c r="T87" i="73"/>
  <c r="F87" i="73"/>
  <c r="AF86" i="73"/>
  <c r="AE86" i="73"/>
  <c r="Y86" i="73"/>
  <c r="W86" i="73"/>
  <c r="V86" i="73"/>
  <c r="T86" i="73"/>
  <c r="F86" i="73"/>
  <c r="AC85" i="73"/>
  <c r="AB85" i="73"/>
  <c r="AA85" i="73"/>
  <c r="Z85" i="73"/>
  <c r="Y85" i="73"/>
  <c r="X85" i="73"/>
  <c r="W85" i="73"/>
  <c r="T85" i="73"/>
  <c r="F85" i="73"/>
  <c r="AO84" i="73"/>
  <c r="AI84" i="73"/>
  <c r="AF84" i="73"/>
  <c r="AE84" i="73"/>
  <c r="AC84" i="73"/>
  <c r="AB84" i="73"/>
  <c r="AA84" i="73"/>
  <c r="Z84" i="73"/>
  <c r="Y84" i="73"/>
  <c r="X84" i="73"/>
  <c r="W84" i="73"/>
  <c r="V84" i="73"/>
  <c r="U84" i="73"/>
  <c r="T84" i="73"/>
  <c r="AO83" i="73"/>
  <c r="AI83" i="73"/>
  <c r="AF83" i="73"/>
  <c r="AE83" i="73"/>
  <c r="AC83" i="73"/>
  <c r="AB83" i="73"/>
  <c r="AA83" i="73"/>
  <c r="Z83" i="73"/>
  <c r="Y83" i="73"/>
  <c r="X83" i="73"/>
  <c r="W83" i="73"/>
  <c r="V83" i="73"/>
  <c r="U83" i="73"/>
  <c r="T83" i="73"/>
  <c r="AO82" i="73"/>
  <c r="AI82" i="73"/>
  <c r="AF82" i="73"/>
  <c r="AE82" i="73"/>
  <c r="AC82" i="73"/>
  <c r="AB82" i="73"/>
  <c r="AA82" i="73"/>
  <c r="Z82" i="73"/>
  <c r="Y82" i="73"/>
  <c r="X82" i="73"/>
  <c r="W82" i="73"/>
  <c r="V82" i="73"/>
  <c r="U82" i="73"/>
  <c r="T82" i="73"/>
  <c r="AO81" i="73"/>
  <c r="AI81" i="73"/>
  <c r="AF81" i="73"/>
  <c r="AE81" i="73"/>
  <c r="AC81" i="73"/>
  <c r="AB81" i="73"/>
  <c r="AA81" i="73"/>
  <c r="Z81" i="73"/>
  <c r="Y81" i="73"/>
  <c r="X81" i="73"/>
  <c r="W81" i="73"/>
  <c r="V81" i="73"/>
  <c r="U81" i="73"/>
  <c r="T81" i="73"/>
  <c r="AO80" i="73"/>
  <c r="AI80" i="73"/>
  <c r="AF80" i="73"/>
  <c r="AE80" i="73"/>
  <c r="AC80" i="73"/>
  <c r="AB80" i="73"/>
  <c r="AA80" i="73"/>
  <c r="Z80" i="73"/>
  <c r="Y80" i="73"/>
  <c r="X80" i="73"/>
  <c r="W80" i="73"/>
  <c r="V80" i="73"/>
  <c r="U80" i="73"/>
  <c r="T80" i="73"/>
  <c r="AO79" i="73"/>
  <c r="AA77" i="73"/>
  <c r="Z77" i="73"/>
  <c r="K73" i="73"/>
  <c r="H73" i="73"/>
  <c r="E71" i="73"/>
  <c r="K70" i="73"/>
  <c r="H70" i="73"/>
  <c r="K68" i="73"/>
  <c r="H68" i="73"/>
  <c r="E68" i="73"/>
  <c r="K67" i="73"/>
  <c r="H67" i="73"/>
  <c r="E65" i="73"/>
  <c r="K64" i="73"/>
  <c r="H64" i="73"/>
  <c r="K62" i="73"/>
  <c r="H62" i="73"/>
  <c r="E62" i="73"/>
  <c r="K61" i="73"/>
  <c r="H61" i="73"/>
  <c r="E59" i="73"/>
  <c r="K58" i="73"/>
  <c r="H58" i="73"/>
  <c r="E56" i="73"/>
  <c r="K53" i="73"/>
  <c r="H53" i="73"/>
  <c r="E51" i="73"/>
  <c r="K50" i="73"/>
  <c r="H50" i="73"/>
  <c r="E48" i="73"/>
  <c r="K47" i="73"/>
  <c r="H47" i="73"/>
  <c r="E45" i="73"/>
  <c r="K44" i="73"/>
  <c r="H44" i="73"/>
  <c r="E42" i="73"/>
  <c r="K41" i="73"/>
  <c r="H41" i="73"/>
  <c r="E39" i="73"/>
  <c r="K38" i="73"/>
  <c r="H38" i="73"/>
  <c r="E36" i="73"/>
  <c r="AB31" i="73"/>
  <c r="Y31" i="73"/>
  <c r="V31" i="73"/>
  <c r="AI30" i="73"/>
  <c r="AB30" i="73"/>
  <c r="AA30" i="73"/>
  <c r="Z30" i="73"/>
  <c r="Y30" i="73"/>
  <c r="X30" i="73"/>
  <c r="W30" i="73"/>
  <c r="V30" i="73"/>
  <c r="U30" i="73"/>
  <c r="T30" i="73"/>
  <c r="F30" i="73"/>
  <c r="AF29" i="73"/>
  <c r="AE29" i="73"/>
  <c r="AC29" i="73"/>
  <c r="AB29" i="73"/>
  <c r="AA29" i="73"/>
  <c r="Z29" i="73"/>
  <c r="Y29" i="73"/>
  <c r="X29" i="73"/>
  <c r="W29" i="73"/>
  <c r="V29" i="73"/>
  <c r="U29" i="73"/>
  <c r="T29" i="73"/>
  <c r="S29" i="73"/>
  <c r="F29" i="73"/>
  <c r="AO28" i="73"/>
  <c r="AC28" i="73"/>
  <c r="AB28" i="73"/>
  <c r="AA28" i="73"/>
  <c r="Z28" i="73"/>
  <c r="Y28" i="73"/>
  <c r="X28" i="73"/>
  <c r="W28" i="73"/>
  <c r="V28" i="73"/>
  <c r="U28" i="73"/>
  <c r="T28" i="73"/>
  <c r="S28" i="73"/>
  <c r="R28" i="73"/>
  <c r="C28" i="73"/>
  <c r="AO27" i="73"/>
  <c r="AI27" i="73"/>
  <c r="AF27" i="73"/>
  <c r="AE27" i="73"/>
  <c r="AC27" i="73"/>
  <c r="AB27" i="73"/>
  <c r="AA27" i="73"/>
  <c r="Z27" i="73"/>
  <c r="Y27" i="73"/>
  <c r="X27" i="73"/>
  <c r="W27" i="73"/>
  <c r="V27" i="73"/>
  <c r="U27" i="73"/>
  <c r="T27" i="73"/>
  <c r="S27" i="73"/>
  <c r="R27" i="73"/>
  <c r="H27" i="73"/>
  <c r="C27" i="73"/>
  <c r="AO26" i="73"/>
  <c r="AI26" i="73"/>
  <c r="AF26" i="73"/>
  <c r="AE26" i="73"/>
  <c r="AC26" i="73"/>
  <c r="AB26" i="73"/>
  <c r="AA26" i="73"/>
  <c r="Z26" i="73"/>
  <c r="Y26" i="73"/>
  <c r="X26" i="73"/>
  <c r="W26" i="73"/>
  <c r="V26" i="73"/>
  <c r="U26" i="73"/>
  <c r="T26" i="73"/>
  <c r="S26" i="73"/>
  <c r="R26" i="73"/>
  <c r="H26" i="73"/>
  <c r="C26" i="73"/>
  <c r="AO25" i="73"/>
  <c r="AI25" i="73"/>
  <c r="AF25" i="73"/>
  <c r="AE25" i="73"/>
  <c r="AC25" i="73"/>
  <c r="AB25" i="73"/>
  <c r="AA25" i="73"/>
  <c r="Z25" i="73"/>
  <c r="Y25" i="73"/>
  <c r="X25" i="73"/>
  <c r="W25" i="73"/>
  <c r="V25" i="73"/>
  <c r="U25" i="73"/>
  <c r="T25" i="73"/>
  <c r="S25" i="73"/>
  <c r="R25" i="73"/>
  <c r="H25" i="73"/>
  <c r="C25" i="73"/>
  <c r="AO24" i="73"/>
  <c r="AI24" i="73"/>
  <c r="AF24" i="73"/>
  <c r="AE24" i="73"/>
  <c r="AC24" i="73"/>
  <c r="AB24" i="73"/>
  <c r="AA24" i="73"/>
  <c r="Z24" i="73"/>
  <c r="Y24" i="73"/>
  <c r="X24" i="73"/>
  <c r="W24" i="73"/>
  <c r="V24" i="73"/>
  <c r="U24" i="73"/>
  <c r="T24" i="73"/>
  <c r="S24" i="73"/>
  <c r="R24" i="73"/>
  <c r="H24" i="73"/>
  <c r="C24" i="73"/>
  <c r="AO23" i="73"/>
  <c r="AI23" i="73"/>
  <c r="AF23" i="73"/>
  <c r="AE23" i="73"/>
  <c r="AC23" i="73"/>
  <c r="AB23" i="73"/>
  <c r="AA23" i="73"/>
  <c r="Z23" i="73"/>
  <c r="Y23" i="73"/>
  <c r="X23" i="73"/>
  <c r="W23" i="73"/>
  <c r="V23" i="73"/>
  <c r="U23" i="73"/>
  <c r="T23" i="73"/>
  <c r="S23" i="73"/>
  <c r="R23" i="73"/>
  <c r="C23" i="73"/>
  <c r="B23" i="73"/>
  <c r="AO22" i="73"/>
  <c r="AA20" i="73"/>
  <c r="Z20" i="73"/>
  <c r="AB15" i="73"/>
  <c r="Y15" i="73"/>
  <c r="V15" i="73"/>
  <c r="AI14" i="73"/>
  <c r="AB14" i="73"/>
  <c r="AA14" i="73"/>
  <c r="Z14" i="73"/>
  <c r="Y14" i="73"/>
  <c r="X14" i="73"/>
  <c r="W14" i="73"/>
  <c r="V14" i="73"/>
  <c r="U14" i="73"/>
  <c r="T14" i="73"/>
  <c r="F14" i="73"/>
  <c r="AF13" i="73"/>
  <c r="AE13" i="73"/>
  <c r="AC13" i="73"/>
  <c r="AB13" i="73"/>
  <c r="AA13" i="73"/>
  <c r="Z13" i="73"/>
  <c r="Y13" i="73"/>
  <c r="X13" i="73"/>
  <c r="W13" i="73"/>
  <c r="V13" i="73"/>
  <c r="U13" i="73"/>
  <c r="T13" i="73"/>
  <c r="S13" i="73"/>
  <c r="R13" i="73"/>
  <c r="F13" i="73"/>
  <c r="AO12" i="73"/>
  <c r="AC12" i="73"/>
  <c r="AB12" i="73"/>
  <c r="AA12" i="73"/>
  <c r="Z12" i="73"/>
  <c r="Y12" i="73"/>
  <c r="X12" i="73"/>
  <c r="W12" i="73"/>
  <c r="V12" i="73"/>
  <c r="U12" i="73"/>
  <c r="T12" i="73"/>
  <c r="S12" i="73"/>
  <c r="R12" i="73"/>
  <c r="C12" i="73"/>
  <c r="AO11" i="73"/>
  <c r="AI11" i="73"/>
  <c r="AF11" i="73"/>
  <c r="AE11" i="73"/>
  <c r="AC11" i="73"/>
  <c r="AB11" i="73"/>
  <c r="AA11" i="73"/>
  <c r="Z11" i="73"/>
  <c r="Y11" i="73"/>
  <c r="X11" i="73"/>
  <c r="W11" i="73"/>
  <c r="V11" i="73"/>
  <c r="U11" i="73"/>
  <c r="T11" i="73"/>
  <c r="S11" i="73"/>
  <c r="R11" i="73"/>
  <c r="H11" i="73"/>
  <c r="C11" i="73"/>
  <c r="AO10" i="73"/>
  <c r="AI10" i="73"/>
  <c r="AF10" i="73"/>
  <c r="AE10" i="73"/>
  <c r="AC10" i="73"/>
  <c r="AB10" i="73"/>
  <c r="AA10" i="73"/>
  <c r="Z10" i="73"/>
  <c r="Y10" i="73"/>
  <c r="X10" i="73"/>
  <c r="W10" i="73"/>
  <c r="V10" i="73"/>
  <c r="U10" i="73"/>
  <c r="T10" i="73"/>
  <c r="S10" i="73"/>
  <c r="R10" i="73"/>
  <c r="H10" i="73"/>
  <c r="C10" i="73"/>
  <c r="AO9" i="73"/>
  <c r="AI9" i="73"/>
  <c r="AF9" i="73"/>
  <c r="AE9" i="73"/>
  <c r="AC9" i="73"/>
  <c r="AB9" i="73"/>
  <c r="AA9" i="73"/>
  <c r="Z9" i="73"/>
  <c r="Y9" i="73"/>
  <c r="X9" i="73"/>
  <c r="W9" i="73"/>
  <c r="V9" i="73"/>
  <c r="U9" i="73"/>
  <c r="T9" i="73"/>
  <c r="S9" i="73"/>
  <c r="R9" i="73"/>
  <c r="H9" i="73"/>
  <c r="C9" i="73"/>
  <c r="AO8" i="73"/>
  <c r="AI8" i="73"/>
  <c r="AF8" i="73"/>
  <c r="AE8" i="73"/>
  <c r="AC8" i="73"/>
  <c r="AB8" i="73"/>
  <c r="AA8" i="73"/>
  <c r="Z8" i="73"/>
  <c r="Y8" i="73"/>
  <c r="X8" i="73"/>
  <c r="W8" i="73"/>
  <c r="V8" i="73"/>
  <c r="U8" i="73"/>
  <c r="T8" i="73"/>
  <c r="S8" i="73"/>
  <c r="R8" i="73"/>
  <c r="H8" i="73"/>
  <c r="C8" i="73"/>
  <c r="AO7" i="73"/>
  <c r="AI7" i="73"/>
  <c r="AF7" i="73"/>
  <c r="AE7" i="73"/>
  <c r="AC7" i="73"/>
  <c r="AB7" i="73"/>
  <c r="AA7" i="73"/>
  <c r="Z7" i="73"/>
  <c r="Y7" i="73"/>
  <c r="X7" i="73"/>
  <c r="W7" i="73"/>
  <c r="V7" i="73"/>
  <c r="U7" i="73"/>
  <c r="T7" i="73"/>
  <c r="S7" i="73"/>
  <c r="R7" i="73"/>
  <c r="AO6" i="73"/>
  <c r="AA4" i="73"/>
  <c r="W109" i="74"/>
  <c r="T109" i="74"/>
  <c r="W106" i="74"/>
  <c r="T106" i="74"/>
  <c r="W103" i="74"/>
  <c r="T103" i="74"/>
  <c r="W100" i="74"/>
  <c r="T100" i="74"/>
  <c r="W97" i="74"/>
  <c r="T97" i="74"/>
  <c r="W94" i="74"/>
  <c r="T94" i="74"/>
  <c r="AB88" i="74"/>
  <c r="Y88" i="74"/>
  <c r="V88" i="74"/>
  <c r="AI87" i="74"/>
  <c r="AC87" i="74"/>
  <c r="AB87" i="74"/>
  <c r="AA87" i="74"/>
  <c r="Z87" i="74"/>
  <c r="Y87" i="74"/>
  <c r="X87" i="74"/>
  <c r="W87" i="74"/>
  <c r="V87" i="74"/>
  <c r="U87" i="74"/>
  <c r="T87" i="74"/>
  <c r="F87" i="74"/>
  <c r="AF86" i="74"/>
  <c r="AE86" i="74"/>
  <c r="Y86" i="74"/>
  <c r="W86" i="74"/>
  <c r="V86" i="74"/>
  <c r="T86" i="74"/>
  <c r="F86" i="74"/>
  <c r="AC85" i="74"/>
  <c r="AB85" i="74"/>
  <c r="AA85" i="74"/>
  <c r="Z85" i="74"/>
  <c r="Y85" i="74"/>
  <c r="X85" i="74"/>
  <c r="W85" i="74"/>
  <c r="T85" i="74"/>
  <c r="F85" i="74"/>
  <c r="AO84" i="74"/>
  <c r="AI84" i="74"/>
  <c r="AF84" i="74"/>
  <c r="AE84" i="74"/>
  <c r="AC84" i="74"/>
  <c r="AB84" i="74"/>
  <c r="AA84" i="74"/>
  <c r="Z84" i="74"/>
  <c r="Y84" i="74"/>
  <c r="X84" i="74"/>
  <c r="W84" i="74"/>
  <c r="V84" i="74"/>
  <c r="U84" i="74"/>
  <c r="T84" i="74"/>
  <c r="AO83" i="74"/>
  <c r="AI83" i="74"/>
  <c r="AF83" i="74"/>
  <c r="AE83" i="74"/>
  <c r="AC83" i="74"/>
  <c r="AB83" i="74"/>
  <c r="AA83" i="74"/>
  <c r="Z83" i="74"/>
  <c r="Y83" i="74"/>
  <c r="X83" i="74"/>
  <c r="W83" i="74"/>
  <c r="V83" i="74"/>
  <c r="U83" i="74"/>
  <c r="T83" i="74"/>
  <c r="AO82" i="74"/>
  <c r="AI82" i="74"/>
  <c r="AF82" i="74"/>
  <c r="AE82" i="74"/>
  <c r="AC82" i="74"/>
  <c r="AB82" i="74"/>
  <c r="AA82" i="74"/>
  <c r="Z82" i="74"/>
  <c r="Y82" i="74"/>
  <c r="X82" i="74"/>
  <c r="W82" i="74"/>
  <c r="V82" i="74"/>
  <c r="U82" i="74"/>
  <c r="T82" i="74"/>
  <c r="AO81" i="74"/>
  <c r="AI81" i="74"/>
  <c r="AF81" i="74"/>
  <c r="AE81" i="74"/>
  <c r="AC81" i="74"/>
  <c r="AB81" i="74"/>
  <c r="AA81" i="74"/>
  <c r="Z81" i="74"/>
  <c r="Y81" i="74"/>
  <c r="X81" i="74"/>
  <c r="W81" i="74"/>
  <c r="V81" i="74"/>
  <c r="U81" i="74"/>
  <c r="T81" i="74"/>
  <c r="AO80" i="74"/>
  <c r="AI80" i="74"/>
  <c r="AF80" i="74"/>
  <c r="AE80" i="74"/>
  <c r="AC80" i="74"/>
  <c r="AB80" i="74"/>
  <c r="AA80" i="74"/>
  <c r="Z80" i="74"/>
  <c r="Y80" i="74"/>
  <c r="X80" i="74"/>
  <c r="W80" i="74"/>
  <c r="V80" i="74"/>
  <c r="U80" i="74"/>
  <c r="T80" i="74"/>
  <c r="AO79" i="74"/>
  <c r="AA77" i="74"/>
  <c r="Z77" i="74"/>
  <c r="K73" i="74"/>
  <c r="H73" i="74"/>
  <c r="E71" i="74"/>
  <c r="K70" i="74"/>
  <c r="H70" i="74"/>
  <c r="E68" i="74"/>
  <c r="K67" i="74"/>
  <c r="H67" i="74"/>
  <c r="E65" i="74"/>
  <c r="K64" i="74"/>
  <c r="H64" i="74"/>
  <c r="E62" i="74"/>
  <c r="K61" i="74"/>
  <c r="H61" i="74"/>
  <c r="K59" i="74"/>
  <c r="E59" i="74"/>
  <c r="K58" i="74"/>
  <c r="H58" i="74"/>
  <c r="E56" i="74"/>
  <c r="K53" i="74"/>
  <c r="H53" i="74"/>
  <c r="E51" i="74"/>
  <c r="K50" i="74"/>
  <c r="H50" i="74"/>
  <c r="E48" i="74"/>
  <c r="K47" i="74"/>
  <c r="H47" i="74"/>
  <c r="E45" i="74"/>
  <c r="K44" i="74"/>
  <c r="H44" i="74"/>
  <c r="E42" i="74"/>
  <c r="K41" i="74"/>
  <c r="H41" i="74"/>
  <c r="E39" i="74"/>
  <c r="K38" i="74"/>
  <c r="H38" i="74"/>
  <c r="E36" i="74"/>
  <c r="AB31" i="74"/>
  <c r="Y31" i="74"/>
  <c r="V31" i="74"/>
  <c r="AI30" i="74"/>
  <c r="AB30" i="74"/>
  <c r="AA30" i="74"/>
  <c r="Z30" i="74"/>
  <c r="Y30" i="74"/>
  <c r="X30" i="74"/>
  <c r="W30" i="74"/>
  <c r="V30" i="74"/>
  <c r="U30" i="74"/>
  <c r="T30" i="74"/>
  <c r="F30" i="74"/>
  <c r="AF29" i="74"/>
  <c r="AE29" i="74"/>
  <c r="AC29" i="74"/>
  <c r="AB29" i="74"/>
  <c r="AA29" i="74"/>
  <c r="Z29" i="74"/>
  <c r="Y29" i="74"/>
  <c r="X29" i="74"/>
  <c r="W29" i="74"/>
  <c r="V29" i="74"/>
  <c r="U29" i="74"/>
  <c r="T29" i="74"/>
  <c r="S29" i="74"/>
  <c r="F29" i="74"/>
  <c r="AO28" i="74"/>
  <c r="AC28" i="74"/>
  <c r="AB28" i="74"/>
  <c r="AA28" i="74"/>
  <c r="Z28" i="74"/>
  <c r="Y28" i="74"/>
  <c r="X28" i="74"/>
  <c r="W28" i="74"/>
  <c r="V28" i="74"/>
  <c r="U28" i="74"/>
  <c r="T28" i="74"/>
  <c r="S28" i="74"/>
  <c r="R28" i="74"/>
  <c r="C28" i="74"/>
  <c r="AO27" i="74"/>
  <c r="AI27" i="74"/>
  <c r="AF27" i="74"/>
  <c r="AE27" i="74"/>
  <c r="AC27" i="74"/>
  <c r="AB27" i="74"/>
  <c r="AA27" i="74"/>
  <c r="Z27" i="74"/>
  <c r="Y27" i="74"/>
  <c r="X27" i="74"/>
  <c r="W27" i="74"/>
  <c r="V27" i="74"/>
  <c r="U27" i="74"/>
  <c r="T27" i="74"/>
  <c r="S27" i="74"/>
  <c r="R27" i="74"/>
  <c r="H27" i="74"/>
  <c r="C27" i="74"/>
  <c r="AO26" i="74"/>
  <c r="AI26" i="74"/>
  <c r="AF26" i="74"/>
  <c r="AE26" i="74"/>
  <c r="AC26" i="74"/>
  <c r="AB26" i="74"/>
  <c r="AA26" i="74"/>
  <c r="Z26" i="74"/>
  <c r="Y26" i="74"/>
  <c r="X26" i="74"/>
  <c r="W26" i="74"/>
  <c r="V26" i="74"/>
  <c r="U26" i="74"/>
  <c r="T26" i="74"/>
  <c r="S26" i="74"/>
  <c r="R26" i="74"/>
  <c r="H26" i="74"/>
  <c r="C26" i="74"/>
  <c r="AO25" i="74"/>
  <c r="AI25" i="74"/>
  <c r="AF25" i="74"/>
  <c r="AE25" i="74"/>
  <c r="AC25" i="74"/>
  <c r="AB25" i="74"/>
  <c r="AA25" i="74"/>
  <c r="Z25" i="74"/>
  <c r="Y25" i="74"/>
  <c r="X25" i="74"/>
  <c r="W25" i="74"/>
  <c r="V25" i="74"/>
  <c r="U25" i="74"/>
  <c r="T25" i="74"/>
  <c r="S25" i="74"/>
  <c r="R25" i="74"/>
  <c r="H25" i="74"/>
  <c r="C25" i="74"/>
  <c r="AO24" i="74"/>
  <c r="AI24" i="74"/>
  <c r="AF24" i="74"/>
  <c r="AE24" i="74"/>
  <c r="AC24" i="74"/>
  <c r="AB24" i="74"/>
  <c r="AA24" i="74"/>
  <c r="Z24" i="74"/>
  <c r="Y24" i="74"/>
  <c r="X24" i="74"/>
  <c r="W24" i="74"/>
  <c r="V24" i="74"/>
  <c r="U24" i="74"/>
  <c r="T24" i="74"/>
  <c r="S24" i="74"/>
  <c r="R24" i="74"/>
  <c r="H24" i="74"/>
  <c r="C24" i="74"/>
  <c r="AO23" i="74"/>
  <c r="AI23" i="74"/>
  <c r="AF23" i="74"/>
  <c r="AE23" i="74"/>
  <c r="AC23" i="74"/>
  <c r="AB23" i="74"/>
  <c r="AA23" i="74"/>
  <c r="Z23" i="74"/>
  <c r="Y23" i="74"/>
  <c r="X23" i="74"/>
  <c r="W23" i="74"/>
  <c r="V23" i="74"/>
  <c r="U23" i="74"/>
  <c r="T23" i="74"/>
  <c r="S23" i="74"/>
  <c r="R23" i="74"/>
  <c r="H23" i="74"/>
  <c r="C23" i="74"/>
  <c r="B23" i="74"/>
  <c r="AO22" i="74"/>
  <c r="AA20" i="74"/>
  <c r="Z20" i="74"/>
  <c r="AB15" i="74"/>
  <c r="Y15" i="74"/>
  <c r="V15" i="74"/>
  <c r="AI14" i="74"/>
  <c r="AB14" i="74"/>
  <c r="AA14" i="74"/>
  <c r="Z14" i="74"/>
  <c r="Y14" i="74"/>
  <c r="X14" i="74"/>
  <c r="W14" i="74"/>
  <c r="V14" i="74"/>
  <c r="U14" i="74"/>
  <c r="T14" i="74"/>
  <c r="F14" i="74"/>
  <c r="AF13" i="74"/>
  <c r="AE13" i="74"/>
  <c r="AC13" i="74"/>
  <c r="AB13" i="74"/>
  <c r="AA13" i="74"/>
  <c r="Z13" i="74"/>
  <c r="Y13" i="74"/>
  <c r="X13" i="74"/>
  <c r="W13" i="74"/>
  <c r="V13" i="74"/>
  <c r="U13" i="74"/>
  <c r="T13" i="74"/>
  <c r="S13" i="74"/>
  <c r="R13" i="74"/>
  <c r="F13" i="74"/>
  <c r="AO12" i="74"/>
  <c r="AC12" i="74"/>
  <c r="AB12" i="74"/>
  <c r="AA12" i="74"/>
  <c r="Z12" i="74"/>
  <c r="Y12" i="74"/>
  <c r="X12" i="74"/>
  <c r="W12" i="74"/>
  <c r="V12" i="74"/>
  <c r="U12" i="74"/>
  <c r="T12" i="74"/>
  <c r="S12" i="74"/>
  <c r="R12" i="74"/>
  <c r="C12" i="74"/>
  <c r="AO11" i="74"/>
  <c r="AI11" i="74"/>
  <c r="AF11" i="74"/>
  <c r="AE11" i="74"/>
  <c r="AC11" i="74"/>
  <c r="AB11" i="74"/>
  <c r="AA11" i="74"/>
  <c r="Z11" i="74"/>
  <c r="Y11" i="74"/>
  <c r="X11" i="74"/>
  <c r="W11" i="74"/>
  <c r="V11" i="74"/>
  <c r="U11" i="74"/>
  <c r="T11" i="74"/>
  <c r="S11" i="74"/>
  <c r="R11" i="74"/>
  <c r="H11" i="74"/>
  <c r="C11" i="74"/>
  <c r="AO10" i="74"/>
  <c r="AI10" i="74"/>
  <c r="AF10" i="74"/>
  <c r="AE10" i="74"/>
  <c r="AC10" i="74"/>
  <c r="AB10" i="74"/>
  <c r="AA10" i="74"/>
  <c r="Z10" i="74"/>
  <c r="Y10" i="74"/>
  <c r="X10" i="74"/>
  <c r="W10" i="74"/>
  <c r="V10" i="74"/>
  <c r="U10" i="74"/>
  <c r="T10" i="74"/>
  <c r="S10" i="74"/>
  <c r="R10" i="74"/>
  <c r="H10" i="74"/>
  <c r="C10" i="74"/>
  <c r="AO9" i="74"/>
  <c r="AI9" i="74"/>
  <c r="AF9" i="74"/>
  <c r="AE9" i="74"/>
  <c r="AC9" i="74"/>
  <c r="AB9" i="74"/>
  <c r="AA9" i="74"/>
  <c r="Z9" i="74"/>
  <c r="Y9" i="74"/>
  <c r="X9" i="74"/>
  <c r="W9" i="74"/>
  <c r="V9" i="74"/>
  <c r="U9" i="74"/>
  <c r="T9" i="74"/>
  <c r="S9" i="74"/>
  <c r="R9" i="74"/>
  <c r="H9" i="74"/>
  <c r="C9" i="74"/>
  <c r="AO8" i="74"/>
  <c r="AI8" i="74"/>
  <c r="AF8" i="74"/>
  <c r="AE8" i="74"/>
  <c r="AC8" i="74"/>
  <c r="AB8" i="74"/>
  <c r="AA8" i="74"/>
  <c r="Z8" i="74"/>
  <c r="Y8" i="74"/>
  <c r="X8" i="74"/>
  <c r="W8" i="74"/>
  <c r="V8" i="74"/>
  <c r="U8" i="74"/>
  <c r="T8" i="74"/>
  <c r="S8" i="74"/>
  <c r="R8" i="74"/>
  <c r="H8" i="74"/>
  <c r="C8" i="74"/>
  <c r="AO7" i="74"/>
  <c r="AI7" i="74"/>
  <c r="AF7" i="74"/>
  <c r="AE7" i="74"/>
  <c r="AC7" i="74"/>
  <c r="AB7" i="74"/>
  <c r="AA7" i="74"/>
  <c r="Z7" i="74"/>
  <c r="Y7" i="74"/>
  <c r="X7" i="74"/>
  <c r="W7" i="74"/>
  <c r="V7" i="74"/>
  <c r="U7" i="74"/>
  <c r="T7" i="74"/>
  <c r="S7" i="74"/>
  <c r="R7" i="74"/>
  <c r="H7" i="74"/>
  <c r="AO6" i="74"/>
  <c r="AA4" i="74"/>
  <c r="W109" i="75"/>
  <c r="T109" i="75"/>
  <c r="W106" i="75"/>
  <c r="T106" i="75"/>
  <c r="W103" i="75"/>
  <c r="T103" i="75"/>
  <c r="W100" i="75"/>
  <c r="T100" i="75"/>
  <c r="W97" i="75"/>
  <c r="T97" i="75"/>
  <c r="W94" i="75"/>
  <c r="T94" i="75"/>
  <c r="AB88" i="75"/>
  <c r="Y88" i="75"/>
  <c r="V88" i="75"/>
  <c r="AI87" i="75"/>
  <c r="AC87" i="75"/>
  <c r="AB87" i="75"/>
  <c r="AA87" i="75"/>
  <c r="Z87" i="75"/>
  <c r="Y87" i="75"/>
  <c r="X87" i="75"/>
  <c r="W87" i="75"/>
  <c r="V87" i="75"/>
  <c r="U87" i="75"/>
  <c r="T87" i="75"/>
  <c r="F87" i="75"/>
  <c r="AF86" i="75"/>
  <c r="AE86" i="75"/>
  <c r="Y86" i="75"/>
  <c r="W86" i="75"/>
  <c r="V86" i="75"/>
  <c r="T86" i="75"/>
  <c r="F86" i="75"/>
  <c r="AC85" i="75"/>
  <c r="AB85" i="75"/>
  <c r="AA85" i="75"/>
  <c r="Z85" i="75"/>
  <c r="Y85" i="75"/>
  <c r="X85" i="75"/>
  <c r="W85" i="75"/>
  <c r="T85" i="75"/>
  <c r="F85" i="75"/>
  <c r="AO84" i="75"/>
  <c r="AI84" i="75"/>
  <c r="AF84" i="75"/>
  <c r="AE84" i="75"/>
  <c r="AC84" i="75"/>
  <c r="AB84" i="75"/>
  <c r="AA84" i="75"/>
  <c r="Z84" i="75"/>
  <c r="Y84" i="75"/>
  <c r="X84" i="75"/>
  <c r="W84" i="75"/>
  <c r="V84" i="75"/>
  <c r="U84" i="75"/>
  <c r="T84" i="75"/>
  <c r="AO83" i="75"/>
  <c r="AI83" i="75"/>
  <c r="AF83" i="75"/>
  <c r="AE83" i="75"/>
  <c r="AC83" i="75"/>
  <c r="AB83" i="75"/>
  <c r="AA83" i="75"/>
  <c r="Z83" i="75"/>
  <c r="Y83" i="75"/>
  <c r="X83" i="75"/>
  <c r="W83" i="75"/>
  <c r="V83" i="75"/>
  <c r="U83" i="75"/>
  <c r="T83" i="75"/>
  <c r="AO82" i="75"/>
  <c r="AI82" i="75"/>
  <c r="AF82" i="75"/>
  <c r="AE82" i="75"/>
  <c r="AC82" i="75"/>
  <c r="AB82" i="75"/>
  <c r="AA82" i="75"/>
  <c r="Z82" i="75"/>
  <c r="Y82" i="75"/>
  <c r="X82" i="75"/>
  <c r="W82" i="75"/>
  <c r="V82" i="75"/>
  <c r="U82" i="75"/>
  <c r="T82" i="75"/>
  <c r="AO81" i="75"/>
  <c r="AI81" i="75"/>
  <c r="AF81" i="75"/>
  <c r="AE81" i="75"/>
  <c r="AC81" i="75"/>
  <c r="AB81" i="75"/>
  <c r="AA81" i="75"/>
  <c r="Z81" i="75"/>
  <c r="Y81" i="75"/>
  <c r="X81" i="75"/>
  <c r="W81" i="75"/>
  <c r="V81" i="75"/>
  <c r="U81" i="75"/>
  <c r="T81" i="75"/>
  <c r="AO80" i="75"/>
  <c r="AI80" i="75"/>
  <c r="AF80" i="75"/>
  <c r="AE80" i="75"/>
  <c r="AC80" i="75"/>
  <c r="AB80" i="75"/>
  <c r="AA80" i="75"/>
  <c r="Z80" i="75"/>
  <c r="Y80" i="75"/>
  <c r="X80" i="75"/>
  <c r="W80" i="75"/>
  <c r="V80" i="75"/>
  <c r="U80" i="75"/>
  <c r="T80" i="75"/>
  <c r="AO79" i="75"/>
  <c r="AA77" i="75"/>
  <c r="Z77" i="75"/>
  <c r="K73" i="75"/>
  <c r="H73" i="75"/>
  <c r="E71" i="75"/>
  <c r="K70" i="75"/>
  <c r="H70" i="75"/>
  <c r="E68" i="75"/>
  <c r="K67" i="75"/>
  <c r="H67" i="75"/>
  <c r="E65" i="75"/>
  <c r="K64" i="75"/>
  <c r="H64" i="75"/>
  <c r="E62" i="75"/>
  <c r="K61" i="75"/>
  <c r="H61" i="75"/>
  <c r="E59" i="75"/>
  <c r="K58" i="75"/>
  <c r="H58" i="75"/>
  <c r="E56" i="75"/>
  <c r="K53" i="75"/>
  <c r="H53" i="75"/>
  <c r="E51" i="75"/>
  <c r="K50" i="75"/>
  <c r="H50" i="75"/>
  <c r="E48" i="75"/>
  <c r="K47" i="75"/>
  <c r="H47" i="75"/>
  <c r="E45" i="75"/>
  <c r="K44" i="75"/>
  <c r="H44" i="75"/>
  <c r="E42" i="75"/>
  <c r="K41" i="75"/>
  <c r="H41" i="75"/>
  <c r="E39" i="75"/>
  <c r="K38" i="75"/>
  <c r="H38" i="75"/>
  <c r="E36" i="75"/>
  <c r="AB31" i="75"/>
  <c r="Y31" i="75"/>
  <c r="V31" i="75"/>
  <c r="AI30" i="75"/>
  <c r="AB30" i="75"/>
  <c r="AA30" i="75"/>
  <c r="Z30" i="75"/>
  <c r="Y30" i="75"/>
  <c r="X30" i="75"/>
  <c r="W30" i="75"/>
  <c r="V30" i="75"/>
  <c r="U30" i="75"/>
  <c r="T30" i="75"/>
  <c r="F30" i="75"/>
  <c r="AF29" i="75"/>
  <c r="AE29" i="75"/>
  <c r="AC29" i="75"/>
  <c r="AB29" i="75"/>
  <c r="AA29" i="75"/>
  <c r="Z29" i="75"/>
  <c r="Y29" i="75"/>
  <c r="X29" i="75"/>
  <c r="W29" i="75"/>
  <c r="V29" i="75"/>
  <c r="U29" i="75"/>
  <c r="T29" i="75"/>
  <c r="S29" i="75"/>
  <c r="F29" i="75"/>
  <c r="AO28" i="75"/>
  <c r="AC28" i="75"/>
  <c r="AB28" i="75"/>
  <c r="AA28" i="75"/>
  <c r="Z28" i="75"/>
  <c r="Y28" i="75"/>
  <c r="X28" i="75"/>
  <c r="W28" i="75"/>
  <c r="V28" i="75"/>
  <c r="U28" i="75"/>
  <c r="T28" i="75"/>
  <c r="S28" i="75"/>
  <c r="R28" i="75"/>
  <c r="C28" i="75"/>
  <c r="AO27" i="75"/>
  <c r="AI27" i="75"/>
  <c r="AF27" i="75"/>
  <c r="AE27" i="75"/>
  <c r="AC27" i="75"/>
  <c r="AB27" i="75"/>
  <c r="AA27" i="75"/>
  <c r="Z27" i="75"/>
  <c r="Y27" i="75"/>
  <c r="X27" i="75"/>
  <c r="W27" i="75"/>
  <c r="V27" i="75"/>
  <c r="U27" i="75"/>
  <c r="T27" i="75"/>
  <c r="S27" i="75"/>
  <c r="R27" i="75"/>
  <c r="C27" i="75"/>
  <c r="AO26" i="75"/>
  <c r="AI26" i="75"/>
  <c r="AF26" i="75"/>
  <c r="AE26" i="75"/>
  <c r="AC26" i="75"/>
  <c r="AB26" i="75"/>
  <c r="AA26" i="75"/>
  <c r="Z26" i="75"/>
  <c r="Y26" i="75"/>
  <c r="X26" i="75"/>
  <c r="W26" i="75"/>
  <c r="V26" i="75"/>
  <c r="U26" i="75"/>
  <c r="T26" i="75"/>
  <c r="S26" i="75"/>
  <c r="R26" i="75"/>
  <c r="C26" i="75"/>
  <c r="AO25" i="75"/>
  <c r="AI25" i="75"/>
  <c r="AF25" i="75"/>
  <c r="AE25" i="75"/>
  <c r="AC25" i="75"/>
  <c r="AB25" i="75"/>
  <c r="AA25" i="75"/>
  <c r="Z25" i="75"/>
  <c r="Y25" i="75"/>
  <c r="X25" i="75"/>
  <c r="W25" i="75"/>
  <c r="V25" i="75"/>
  <c r="U25" i="75"/>
  <c r="T25" i="75"/>
  <c r="S25" i="75"/>
  <c r="R25" i="75"/>
  <c r="H25" i="75"/>
  <c r="C25" i="75"/>
  <c r="AO24" i="75"/>
  <c r="AI24" i="75"/>
  <c r="AF24" i="75"/>
  <c r="AE24" i="75"/>
  <c r="AC24" i="75"/>
  <c r="AB24" i="75"/>
  <c r="AA24" i="75"/>
  <c r="Z24" i="75"/>
  <c r="Y24" i="75"/>
  <c r="X24" i="75"/>
  <c r="W24" i="75"/>
  <c r="V24" i="75"/>
  <c r="U24" i="75"/>
  <c r="T24" i="75"/>
  <c r="S24" i="75"/>
  <c r="R24" i="75"/>
  <c r="H24" i="75"/>
  <c r="C24" i="75"/>
  <c r="AO23" i="75"/>
  <c r="AI23" i="75"/>
  <c r="AF23" i="75"/>
  <c r="AE23" i="75"/>
  <c r="AC23" i="75"/>
  <c r="AB23" i="75"/>
  <c r="AA23" i="75"/>
  <c r="Z23" i="75"/>
  <c r="Y23" i="75"/>
  <c r="X23" i="75"/>
  <c r="W23" i="75"/>
  <c r="V23" i="75"/>
  <c r="U23" i="75"/>
  <c r="T23" i="75"/>
  <c r="S23" i="75"/>
  <c r="R23" i="75"/>
  <c r="H23" i="75"/>
  <c r="C23" i="75"/>
  <c r="B23" i="75"/>
  <c r="AO22" i="75"/>
  <c r="AA20" i="75"/>
  <c r="Z20" i="75"/>
  <c r="AB15" i="75"/>
  <c r="Y15" i="75"/>
  <c r="V15" i="75"/>
  <c r="AI14" i="75"/>
  <c r="AB14" i="75"/>
  <c r="AA14" i="75"/>
  <c r="Z14" i="75"/>
  <c r="Y14" i="75"/>
  <c r="X14" i="75"/>
  <c r="W14" i="75"/>
  <c r="V14" i="75"/>
  <c r="U14" i="75"/>
  <c r="T14" i="75"/>
  <c r="F14" i="75"/>
  <c r="AF13" i="75"/>
  <c r="AE13" i="75"/>
  <c r="AC13" i="75"/>
  <c r="AB13" i="75"/>
  <c r="AA13" i="75"/>
  <c r="Z13" i="75"/>
  <c r="Y13" i="75"/>
  <c r="X13" i="75"/>
  <c r="W13" i="75"/>
  <c r="V13" i="75"/>
  <c r="U13" i="75"/>
  <c r="T13" i="75"/>
  <c r="S13" i="75"/>
  <c r="R13" i="75"/>
  <c r="F13" i="75"/>
  <c r="AO12" i="75"/>
  <c r="AC12" i="75"/>
  <c r="AB12" i="75"/>
  <c r="AA12" i="75"/>
  <c r="Z12" i="75"/>
  <c r="Y12" i="75"/>
  <c r="X12" i="75"/>
  <c r="W12" i="75"/>
  <c r="V12" i="75"/>
  <c r="U12" i="75"/>
  <c r="T12" i="75"/>
  <c r="S12" i="75"/>
  <c r="R12" i="75"/>
  <c r="C12" i="75"/>
  <c r="AO11" i="75"/>
  <c r="AI11" i="75"/>
  <c r="AF11" i="75"/>
  <c r="AE11" i="75"/>
  <c r="AC11" i="75"/>
  <c r="AB11" i="75"/>
  <c r="AA11" i="75"/>
  <c r="Z11" i="75"/>
  <c r="Y11" i="75"/>
  <c r="X11" i="75"/>
  <c r="W11" i="75"/>
  <c r="V11" i="75"/>
  <c r="U11" i="75"/>
  <c r="T11" i="75"/>
  <c r="S11" i="75"/>
  <c r="R11" i="75"/>
  <c r="H11" i="75"/>
  <c r="C11" i="75"/>
  <c r="AO10" i="75"/>
  <c r="AI10" i="75"/>
  <c r="AF10" i="75"/>
  <c r="AE10" i="75"/>
  <c r="AC10" i="75"/>
  <c r="AB10" i="75"/>
  <c r="AA10" i="75"/>
  <c r="Z10" i="75"/>
  <c r="Y10" i="75"/>
  <c r="X10" i="75"/>
  <c r="W10" i="75"/>
  <c r="V10" i="75"/>
  <c r="U10" i="75"/>
  <c r="T10" i="75"/>
  <c r="S10" i="75"/>
  <c r="R10" i="75"/>
  <c r="H10" i="75"/>
  <c r="C10" i="75"/>
  <c r="AO9" i="75"/>
  <c r="AI9" i="75"/>
  <c r="AF9" i="75"/>
  <c r="AE9" i="75"/>
  <c r="AC9" i="75"/>
  <c r="AB9" i="75"/>
  <c r="AA9" i="75"/>
  <c r="Z9" i="75"/>
  <c r="Y9" i="75"/>
  <c r="X9" i="75"/>
  <c r="W9" i="75"/>
  <c r="V9" i="75"/>
  <c r="U9" i="75"/>
  <c r="T9" i="75"/>
  <c r="S9" i="75"/>
  <c r="R9" i="75"/>
  <c r="H9" i="75"/>
  <c r="C9" i="75"/>
  <c r="AO8" i="75"/>
  <c r="AI8" i="75"/>
  <c r="AF8" i="75"/>
  <c r="AE8" i="75"/>
  <c r="AC8" i="75"/>
  <c r="AB8" i="75"/>
  <c r="AA8" i="75"/>
  <c r="Z8" i="75"/>
  <c r="Y8" i="75"/>
  <c r="X8" i="75"/>
  <c r="W8" i="75"/>
  <c r="V8" i="75"/>
  <c r="U8" i="75"/>
  <c r="T8" i="75"/>
  <c r="S8" i="75"/>
  <c r="R8" i="75"/>
  <c r="H8" i="75"/>
  <c r="C8" i="75"/>
  <c r="AO7" i="75"/>
  <c r="AI7" i="75"/>
  <c r="AF7" i="75"/>
  <c r="AE7" i="75"/>
  <c r="AC7" i="75"/>
  <c r="AB7" i="75"/>
  <c r="AA7" i="75"/>
  <c r="Z7" i="75"/>
  <c r="Y7" i="75"/>
  <c r="X7" i="75"/>
  <c r="W7" i="75"/>
  <c r="V7" i="75"/>
  <c r="U7" i="75"/>
  <c r="T7" i="75"/>
  <c r="S7" i="75"/>
  <c r="R7" i="75"/>
  <c r="H7" i="75"/>
  <c r="AO6" i="75"/>
  <c r="AA4" i="75"/>
  <c r="W109" i="76"/>
  <c r="T109" i="76"/>
  <c r="W106" i="76"/>
  <c r="T106" i="76"/>
  <c r="W103" i="76"/>
  <c r="T103" i="76"/>
  <c r="W100" i="76"/>
  <c r="T100" i="76"/>
  <c r="W97" i="76"/>
  <c r="T97" i="76"/>
  <c r="W94" i="76"/>
  <c r="T94" i="76"/>
  <c r="AB88" i="76"/>
  <c r="Y88" i="76"/>
  <c r="V88" i="76"/>
  <c r="AI87" i="76"/>
  <c r="AC87" i="76"/>
  <c r="AB87" i="76"/>
  <c r="AA87" i="76"/>
  <c r="Z87" i="76"/>
  <c r="Y87" i="76"/>
  <c r="X87" i="76"/>
  <c r="W87" i="76"/>
  <c r="V87" i="76"/>
  <c r="U87" i="76"/>
  <c r="T87" i="76"/>
  <c r="F87" i="76"/>
  <c r="AF86" i="76"/>
  <c r="AE86" i="76"/>
  <c r="Y86" i="76"/>
  <c r="W86" i="76"/>
  <c r="V86" i="76"/>
  <c r="T86" i="76"/>
  <c r="F86" i="76"/>
  <c r="AC85" i="76"/>
  <c r="AB85" i="76"/>
  <c r="AA85" i="76"/>
  <c r="Z85" i="76"/>
  <c r="Y85" i="76"/>
  <c r="X85" i="76"/>
  <c r="W85" i="76"/>
  <c r="T85" i="76"/>
  <c r="F85" i="76"/>
  <c r="AO84" i="76"/>
  <c r="AI84" i="76"/>
  <c r="AF84" i="76"/>
  <c r="AE84" i="76"/>
  <c r="AC84" i="76"/>
  <c r="AB84" i="76"/>
  <c r="AA84" i="76"/>
  <c r="Z84" i="76"/>
  <c r="Y84" i="76"/>
  <c r="X84" i="76"/>
  <c r="W84" i="76"/>
  <c r="V84" i="76"/>
  <c r="U84" i="76"/>
  <c r="T84" i="76"/>
  <c r="AO83" i="76"/>
  <c r="AI83" i="76"/>
  <c r="AF83" i="76"/>
  <c r="AE83" i="76"/>
  <c r="AC83" i="76"/>
  <c r="AB83" i="76"/>
  <c r="AA83" i="76"/>
  <c r="Z83" i="76"/>
  <c r="Y83" i="76"/>
  <c r="X83" i="76"/>
  <c r="W83" i="76"/>
  <c r="V83" i="76"/>
  <c r="U83" i="76"/>
  <c r="T83" i="76"/>
  <c r="AO82" i="76"/>
  <c r="AI82" i="76"/>
  <c r="AF82" i="76"/>
  <c r="AE82" i="76"/>
  <c r="AC82" i="76"/>
  <c r="AB82" i="76"/>
  <c r="AA82" i="76"/>
  <c r="Z82" i="76"/>
  <c r="Y82" i="76"/>
  <c r="X82" i="76"/>
  <c r="W82" i="76"/>
  <c r="V82" i="76"/>
  <c r="U82" i="76"/>
  <c r="T82" i="76"/>
  <c r="AO81" i="76"/>
  <c r="AI81" i="76"/>
  <c r="AF81" i="76"/>
  <c r="AE81" i="76"/>
  <c r="AC81" i="76"/>
  <c r="AB81" i="76"/>
  <c r="AA81" i="76"/>
  <c r="Z81" i="76"/>
  <c r="Y81" i="76"/>
  <c r="X81" i="76"/>
  <c r="W81" i="76"/>
  <c r="V81" i="76"/>
  <c r="U81" i="76"/>
  <c r="T81" i="76"/>
  <c r="AO80" i="76"/>
  <c r="AI80" i="76"/>
  <c r="AF80" i="76"/>
  <c r="AE80" i="76"/>
  <c r="AC80" i="76"/>
  <c r="AB80" i="76"/>
  <c r="AA80" i="76"/>
  <c r="Z80" i="76"/>
  <c r="Y80" i="76"/>
  <c r="X80" i="76"/>
  <c r="W80" i="76"/>
  <c r="V80" i="76"/>
  <c r="U80" i="76"/>
  <c r="T80" i="76"/>
  <c r="AO79" i="76"/>
  <c r="AA77" i="76"/>
  <c r="Z77" i="76"/>
  <c r="K73" i="76"/>
  <c r="H73" i="76"/>
  <c r="E71" i="76"/>
  <c r="K70" i="76"/>
  <c r="H70" i="76"/>
  <c r="E68" i="76"/>
  <c r="K67" i="76"/>
  <c r="H67" i="76"/>
  <c r="E65" i="76"/>
  <c r="K64" i="76"/>
  <c r="H64" i="76"/>
  <c r="E62" i="76"/>
  <c r="K61" i="76"/>
  <c r="H61" i="76"/>
  <c r="E59" i="76"/>
  <c r="K58" i="76"/>
  <c r="H58" i="76"/>
  <c r="E56" i="76"/>
  <c r="K53" i="76"/>
  <c r="H53" i="76"/>
  <c r="E51" i="76"/>
  <c r="K50" i="76"/>
  <c r="H50" i="76"/>
  <c r="E48" i="76"/>
  <c r="K47" i="76"/>
  <c r="H47" i="76"/>
  <c r="E45" i="76"/>
  <c r="K44" i="76"/>
  <c r="H44" i="76"/>
  <c r="E42" i="76"/>
  <c r="K41" i="76"/>
  <c r="H41" i="76"/>
  <c r="E39" i="76"/>
  <c r="K38" i="76"/>
  <c r="H38" i="76"/>
  <c r="E36" i="76"/>
  <c r="AB31" i="76"/>
  <c r="Y31" i="76"/>
  <c r="V31" i="76"/>
  <c r="AI30" i="76"/>
  <c r="AB30" i="76"/>
  <c r="AA30" i="76"/>
  <c r="Z30" i="76"/>
  <c r="Y30" i="76"/>
  <c r="X30" i="76"/>
  <c r="W30" i="76"/>
  <c r="V30" i="76"/>
  <c r="U30" i="76"/>
  <c r="T30" i="76"/>
  <c r="F30" i="76"/>
  <c r="AF29" i="76"/>
  <c r="AE29" i="76"/>
  <c r="AC29" i="76"/>
  <c r="AB29" i="76"/>
  <c r="AA29" i="76"/>
  <c r="Z29" i="76"/>
  <c r="Y29" i="76"/>
  <c r="X29" i="76"/>
  <c r="W29" i="76"/>
  <c r="V29" i="76"/>
  <c r="U29" i="76"/>
  <c r="T29" i="76"/>
  <c r="S29" i="76"/>
  <c r="F29" i="76"/>
  <c r="AO28" i="76"/>
  <c r="AC28" i="76"/>
  <c r="AB28" i="76"/>
  <c r="AA28" i="76"/>
  <c r="Z28" i="76"/>
  <c r="Y28" i="76"/>
  <c r="X28" i="76"/>
  <c r="W28" i="76"/>
  <c r="V28" i="76"/>
  <c r="U28" i="76"/>
  <c r="T28" i="76"/>
  <c r="S28" i="76"/>
  <c r="R28" i="76"/>
  <c r="H28" i="76"/>
  <c r="C28" i="76"/>
  <c r="AO27" i="76"/>
  <c r="AI27" i="76"/>
  <c r="AF27" i="76"/>
  <c r="AE27" i="76"/>
  <c r="AC27" i="76"/>
  <c r="AB27" i="76"/>
  <c r="AA27" i="76"/>
  <c r="Z27" i="76"/>
  <c r="Y27" i="76"/>
  <c r="X27" i="76"/>
  <c r="W27" i="76"/>
  <c r="V27" i="76"/>
  <c r="U27" i="76"/>
  <c r="T27" i="76"/>
  <c r="S27" i="76"/>
  <c r="R27" i="76"/>
  <c r="H27" i="76"/>
  <c r="C27" i="76"/>
  <c r="AO26" i="76"/>
  <c r="AI26" i="76"/>
  <c r="AF26" i="76"/>
  <c r="AE26" i="76"/>
  <c r="AC26" i="76"/>
  <c r="AB26" i="76"/>
  <c r="AA26" i="76"/>
  <c r="Z26" i="76"/>
  <c r="Y26" i="76"/>
  <c r="X26" i="76"/>
  <c r="W26" i="76"/>
  <c r="V26" i="76"/>
  <c r="U26" i="76"/>
  <c r="T26" i="76"/>
  <c r="S26" i="76"/>
  <c r="R26" i="76"/>
  <c r="H26" i="76"/>
  <c r="C26" i="76"/>
  <c r="AO25" i="76"/>
  <c r="AI25" i="76"/>
  <c r="AF25" i="76"/>
  <c r="AE25" i="76"/>
  <c r="AC25" i="76"/>
  <c r="AB25" i="76"/>
  <c r="AA25" i="76"/>
  <c r="Z25" i="76"/>
  <c r="Y25" i="76"/>
  <c r="X25" i="76"/>
  <c r="W25" i="76"/>
  <c r="V25" i="76"/>
  <c r="U25" i="76"/>
  <c r="T25" i="76"/>
  <c r="S25" i="76"/>
  <c r="R25" i="76"/>
  <c r="H25" i="76"/>
  <c r="C25" i="76"/>
  <c r="AO24" i="76"/>
  <c r="AI24" i="76"/>
  <c r="AF24" i="76"/>
  <c r="AE24" i="76"/>
  <c r="AC24" i="76"/>
  <c r="AB24" i="76"/>
  <c r="AA24" i="76"/>
  <c r="Z24" i="76"/>
  <c r="Y24" i="76"/>
  <c r="X24" i="76"/>
  <c r="W24" i="76"/>
  <c r="V24" i="76"/>
  <c r="U24" i="76"/>
  <c r="T24" i="76"/>
  <c r="S24" i="76"/>
  <c r="R24" i="76"/>
  <c r="H24" i="76"/>
  <c r="C24" i="76"/>
  <c r="AO23" i="76"/>
  <c r="AI23" i="76"/>
  <c r="AF23" i="76"/>
  <c r="AE23" i="76"/>
  <c r="AC23" i="76"/>
  <c r="AB23" i="76"/>
  <c r="AA23" i="76"/>
  <c r="Z23" i="76"/>
  <c r="Y23" i="76"/>
  <c r="X23" i="76"/>
  <c r="W23" i="76"/>
  <c r="V23" i="76"/>
  <c r="U23" i="76"/>
  <c r="T23" i="76"/>
  <c r="S23" i="76"/>
  <c r="R23" i="76"/>
  <c r="H23" i="76"/>
  <c r="C23" i="76"/>
  <c r="B23" i="76"/>
  <c r="AO22" i="76"/>
  <c r="AA20" i="76"/>
  <c r="Z20" i="76"/>
  <c r="AB15" i="76"/>
  <c r="Y15" i="76"/>
  <c r="V15" i="76"/>
  <c r="AI14" i="76"/>
  <c r="AB14" i="76"/>
  <c r="AA14" i="76"/>
  <c r="Z14" i="76"/>
  <c r="Y14" i="76"/>
  <c r="X14" i="76"/>
  <c r="W14" i="76"/>
  <c r="V14" i="76"/>
  <c r="U14" i="76"/>
  <c r="T14" i="76"/>
  <c r="F14" i="76"/>
  <c r="AF13" i="76"/>
  <c r="AE13" i="76"/>
  <c r="AC13" i="76"/>
  <c r="AB13" i="76"/>
  <c r="AA13" i="76"/>
  <c r="Z13" i="76"/>
  <c r="Y13" i="76"/>
  <c r="X13" i="76"/>
  <c r="W13" i="76"/>
  <c r="V13" i="76"/>
  <c r="U13" i="76"/>
  <c r="T13" i="76"/>
  <c r="S13" i="76"/>
  <c r="R13" i="76"/>
  <c r="F13" i="76"/>
  <c r="AO12" i="76"/>
  <c r="AC12" i="76"/>
  <c r="AB12" i="76"/>
  <c r="AA12" i="76"/>
  <c r="Z12" i="76"/>
  <c r="Y12" i="76"/>
  <c r="X12" i="76"/>
  <c r="W12" i="76"/>
  <c r="V12" i="76"/>
  <c r="U12" i="76"/>
  <c r="T12" i="76"/>
  <c r="S12" i="76"/>
  <c r="R12" i="76"/>
  <c r="H12" i="76"/>
  <c r="C12" i="76"/>
  <c r="AO11" i="76"/>
  <c r="AI11" i="76"/>
  <c r="AF11" i="76"/>
  <c r="AE11" i="76"/>
  <c r="AC11" i="76"/>
  <c r="AB11" i="76"/>
  <c r="AA11" i="76"/>
  <c r="Z11" i="76"/>
  <c r="Y11" i="76"/>
  <c r="X11" i="76"/>
  <c r="W11" i="76"/>
  <c r="V11" i="76"/>
  <c r="U11" i="76"/>
  <c r="T11" i="76"/>
  <c r="S11" i="76"/>
  <c r="R11" i="76"/>
  <c r="H11" i="76"/>
  <c r="C11" i="76"/>
  <c r="AO10" i="76"/>
  <c r="AI10" i="76"/>
  <c r="AF10" i="76"/>
  <c r="AE10" i="76"/>
  <c r="AC10" i="76"/>
  <c r="AB10" i="76"/>
  <c r="AA10" i="76"/>
  <c r="Z10" i="76"/>
  <c r="Y10" i="76"/>
  <c r="X10" i="76"/>
  <c r="W10" i="76"/>
  <c r="V10" i="76"/>
  <c r="U10" i="76"/>
  <c r="T10" i="76"/>
  <c r="S10" i="76"/>
  <c r="R10" i="76"/>
  <c r="H10" i="76"/>
  <c r="C10" i="76"/>
  <c r="AO9" i="76"/>
  <c r="AI9" i="76"/>
  <c r="AF9" i="76"/>
  <c r="AE9" i="76"/>
  <c r="AC9" i="76"/>
  <c r="AB9" i="76"/>
  <c r="AA9" i="76"/>
  <c r="Z9" i="76"/>
  <c r="Y9" i="76"/>
  <c r="X9" i="76"/>
  <c r="W9" i="76"/>
  <c r="V9" i="76"/>
  <c r="U9" i="76"/>
  <c r="T9" i="76"/>
  <c r="S9" i="76"/>
  <c r="R9" i="76"/>
  <c r="H9" i="76"/>
  <c r="C9" i="76"/>
  <c r="AO8" i="76"/>
  <c r="AI8" i="76"/>
  <c r="AF8" i="76"/>
  <c r="AE8" i="76"/>
  <c r="AC8" i="76"/>
  <c r="AB8" i="76"/>
  <c r="AA8" i="76"/>
  <c r="Z8" i="76"/>
  <c r="Y8" i="76"/>
  <c r="X8" i="76"/>
  <c r="W8" i="76"/>
  <c r="V8" i="76"/>
  <c r="U8" i="76"/>
  <c r="T8" i="76"/>
  <c r="S8" i="76"/>
  <c r="R8" i="76"/>
  <c r="H8" i="76"/>
  <c r="C8" i="76"/>
  <c r="AO7" i="76"/>
  <c r="AI7" i="76"/>
  <c r="AF7" i="76"/>
  <c r="AE7" i="76"/>
  <c r="AC7" i="76"/>
  <c r="AB7" i="76"/>
  <c r="AA7" i="76"/>
  <c r="Z7" i="76"/>
  <c r="Y7" i="76"/>
  <c r="X7" i="76"/>
  <c r="W7" i="76"/>
  <c r="V7" i="76"/>
  <c r="U7" i="76"/>
  <c r="T7" i="76"/>
  <c r="S7" i="76"/>
  <c r="R7" i="76"/>
  <c r="H7" i="76"/>
  <c r="AO6" i="76"/>
  <c r="AA4" i="76"/>
  <c r="X109" i="77"/>
  <c r="U109" i="77"/>
  <c r="X106" i="77"/>
  <c r="U106" i="77"/>
  <c r="X103" i="77"/>
  <c r="U103" i="77"/>
  <c r="X100" i="77"/>
  <c r="U100" i="77"/>
  <c r="X97" i="77"/>
  <c r="U97" i="77"/>
  <c r="X94" i="77"/>
  <c r="U94" i="77"/>
  <c r="AC88" i="77"/>
  <c r="Z88" i="77"/>
  <c r="W88" i="77"/>
  <c r="AJ87" i="77"/>
  <c r="AD87" i="77"/>
  <c r="AC87" i="77"/>
  <c r="AB87" i="77"/>
  <c r="AA87" i="77"/>
  <c r="Z87" i="77"/>
  <c r="Y87" i="77"/>
  <c r="X87" i="77"/>
  <c r="W87" i="77"/>
  <c r="V87" i="77"/>
  <c r="U87" i="77"/>
  <c r="F87" i="77"/>
  <c r="AG86" i="77"/>
  <c r="AF86" i="77"/>
  <c r="Z86" i="77"/>
  <c r="X86" i="77"/>
  <c r="W86" i="77"/>
  <c r="U86" i="77"/>
  <c r="F86" i="77"/>
  <c r="AD85" i="77"/>
  <c r="AC85" i="77"/>
  <c r="AB85" i="77"/>
  <c r="AA85" i="77"/>
  <c r="Z85" i="77"/>
  <c r="Y85" i="77"/>
  <c r="X85" i="77"/>
  <c r="U85" i="77"/>
  <c r="F85" i="77"/>
  <c r="AP84" i="77"/>
  <c r="AJ84" i="77"/>
  <c r="AG84" i="77"/>
  <c r="AF84" i="77"/>
  <c r="AD84" i="77"/>
  <c r="AC84" i="77"/>
  <c r="AB84" i="77"/>
  <c r="AA84" i="77"/>
  <c r="Z84" i="77"/>
  <c r="Y84" i="77"/>
  <c r="X84" i="77"/>
  <c r="W84" i="77"/>
  <c r="V84" i="77"/>
  <c r="U84" i="77"/>
  <c r="AP83" i="77"/>
  <c r="AJ83" i="77"/>
  <c r="AG83" i="77"/>
  <c r="AF83" i="77"/>
  <c r="AD83" i="77"/>
  <c r="AC83" i="77"/>
  <c r="AB83" i="77"/>
  <c r="AA83" i="77"/>
  <c r="Z83" i="77"/>
  <c r="Y83" i="77"/>
  <c r="X83" i="77"/>
  <c r="W83" i="77"/>
  <c r="V83" i="77"/>
  <c r="U83" i="77"/>
  <c r="AP82" i="77"/>
  <c r="AJ82" i="77"/>
  <c r="AG82" i="77"/>
  <c r="AF82" i="77"/>
  <c r="AD82" i="77"/>
  <c r="AC82" i="77"/>
  <c r="AB82" i="77"/>
  <c r="AA82" i="77"/>
  <c r="Z82" i="77"/>
  <c r="Y82" i="77"/>
  <c r="X82" i="77"/>
  <c r="W82" i="77"/>
  <c r="V82" i="77"/>
  <c r="U82" i="77"/>
  <c r="AP81" i="77"/>
  <c r="AJ81" i="77"/>
  <c r="AG81" i="77"/>
  <c r="AF81" i="77"/>
  <c r="AD81" i="77"/>
  <c r="AC81" i="77"/>
  <c r="AB81" i="77"/>
  <c r="AA81" i="77"/>
  <c r="Z81" i="77"/>
  <c r="Y81" i="77"/>
  <c r="X81" i="77"/>
  <c r="W81" i="77"/>
  <c r="V81" i="77"/>
  <c r="U81" i="77"/>
  <c r="AP80" i="77"/>
  <c r="AJ80" i="77"/>
  <c r="AG80" i="77"/>
  <c r="AF80" i="77"/>
  <c r="AD80" i="77"/>
  <c r="AC80" i="77"/>
  <c r="AB80" i="77"/>
  <c r="AA80" i="77"/>
  <c r="Z80" i="77"/>
  <c r="Y80" i="77"/>
  <c r="X80" i="77"/>
  <c r="W80" i="77"/>
  <c r="V80" i="77"/>
  <c r="U80" i="77"/>
  <c r="AP79" i="77"/>
  <c r="AB77" i="77"/>
  <c r="AA77" i="77"/>
  <c r="K73" i="77"/>
  <c r="H73" i="77"/>
  <c r="E71" i="77"/>
  <c r="K70" i="77"/>
  <c r="H70" i="77"/>
  <c r="K68" i="77"/>
  <c r="E68" i="77"/>
  <c r="K67" i="77"/>
  <c r="H67" i="77"/>
  <c r="E65" i="77"/>
  <c r="K64" i="77"/>
  <c r="H64" i="77"/>
  <c r="E62" i="77"/>
  <c r="K61" i="77"/>
  <c r="H61" i="77"/>
  <c r="E59" i="77"/>
  <c r="K58" i="77"/>
  <c r="H58" i="77"/>
  <c r="K56" i="77"/>
  <c r="H56" i="77"/>
  <c r="E56" i="77"/>
  <c r="K53" i="77"/>
  <c r="H53" i="77"/>
  <c r="E51" i="77"/>
  <c r="K50" i="77"/>
  <c r="H50" i="77"/>
  <c r="E48" i="77"/>
  <c r="K47" i="77"/>
  <c r="H47" i="77"/>
  <c r="E45" i="77"/>
  <c r="K44" i="77"/>
  <c r="H44" i="77"/>
  <c r="E42" i="77"/>
  <c r="K41" i="77"/>
  <c r="H41" i="77"/>
  <c r="E39" i="77"/>
  <c r="K38" i="77"/>
  <c r="H38" i="77"/>
  <c r="E36" i="77"/>
  <c r="AC31" i="77"/>
  <c r="Z31" i="77"/>
  <c r="W31" i="77"/>
  <c r="AJ30" i="77"/>
  <c r="AC30" i="77"/>
  <c r="AB30" i="77"/>
  <c r="AA30" i="77"/>
  <c r="Z30" i="77"/>
  <c r="Y30" i="77"/>
  <c r="X30" i="77"/>
  <c r="W30" i="77"/>
  <c r="V30" i="77"/>
  <c r="U30" i="77"/>
  <c r="F30" i="77"/>
  <c r="AG29" i="77"/>
  <c r="AF29" i="77"/>
  <c r="AD29" i="77"/>
  <c r="AC29" i="77"/>
  <c r="AB29" i="77"/>
  <c r="AA29" i="77"/>
  <c r="Z29" i="77"/>
  <c r="Y29" i="77"/>
  <c r="X29" i="77"/>
  <c r="W29" i="77"/>
  <c r="V29" i="77"/>
  <c r="U29" i="77"/>
  <c r="T29" i="77"/>
  <c r="F29" i="77"/>
  <c r="AP28" i="77"/>
  <c r="AD28" i="77"/>
  <c r="AC28" i="77"/>
  <c r="AB28" i="77"/>
  <c r="AA28" i="77"/>
  <c r="Z28" i="77"/>
  <c r="Y28" i="77"/>
  <c r="X28" i="77"/>
  <c r="W28" i="77"/>
  <c r="V28" i="77"/>
  <c r="U28" i="77"/>
  <c r="T28" i="77"/>
  <c r="S28" i="77"/>
  <c r="C28" i="77"/>
  <c r="AP27" i="77"/>
  <c r="AJ27" i="77"/>
  <c r="AG27" i="77"/>
  <c r="AF27" i="77"/>
  <c r="AD27" i="77"/>
  <c r="AC27" i="77"/>
  <c r="AB27" i="77"/>
  <c r="AA27" i="77"/>
  <c r="Z27" i="77"/>
  <c r="Y27" i="77"/>
  <c r="X27" i="77"/>
  <c r="W27" i="77"/>
  <c r="V27" i="77"/>
  <c r="U27" i="77"/>
  <c r="T27" i="77"/>
  <c r="S27" i="77"/>
  <c r="H27" i="77"/>
  <c r="C27" i="77"/>
  <c r="AP26" i="77"/>
  <c r="AJ26" i="77"/>
  <c r="AG26" i="77"/>
  <c r="AF26" i="77"/>
  <c r="AD26" i="77"/>
  <c r="AC26" i="77"/>
  <c r="AB26" i="77"/>
  <c r="AA26" i="77"/>
  <c r="Z26" i="77"/>
  <c r="Y26" i="77"/>
  <c r="X26" i="77"/>
  <c r="W26" i="77"/>
  <c r="V26" i="77"/>
  <c r="U26" i="77"/>
  <c r="T26" i="77"/>
  <c r="S26" i="77"/>
  <c r="H26" i="77"/>
  <c r="C26" i="77"/>
  <c r="AP25" i="77"/>
  <c r="AJ25" i="77"/>
  <c r="AG25" i="77"/>
  <c r="AF25" i="77"/>
  <c r="AD25" i="77"/>
  <c r="AC25" i="77"/>
  <c r="AB25" i="77"/>
  <c r="AA25" i="77"/>
  <c r="Z25" i="77"/>
  <c r="Y25" i="77"/>
  <c r="X25" i="77"/>
  <c r="W25" i="77"/>
  <c r="V25" i="77"/>
  <c r="U25" i="77"/>
  <c r="T25" i="77"/>
  <c r="S25" i="77"/>
  <c r="H25" i="77"/>
  <c r="C25" i="77"/>
  <c r="AP24" i="77"/>
  <c r="AJ24" i="77"/>
  <c r="AG24" i="77"/>
  <c r="AF24" i="77"/>
  <c r="AD24" i="77"/>
  <c r="AC24" i="77"/>
  <c r="AB24" i="77"/>
  <c r="AA24" i="77"/>
  <c r="Z24" i="77"/>
  <c r="Y24" i="77"/>
  <c r="X24" i="77"/>
  <c r="W24" i="77"/>
  <c r="V24" i="77"/>
  <c r="U24" i="77"/>
  <c r="T24" i="77"/>
  <c r="S24" i="77"/>
  <c r="H24" i="77"/>
  <c r="C24" i="77"/>
  <c r="AP23" i="77"/>
  <c r="AJ23" i="77"/>
  <c r="AG23" i="77"/>
  <c r="AF23" i="77"/>
  <c r="AD23" i="77"/>
  <c r="AC23" i="77"/>
  <c r="AB23" i="77"/>
  <c r="AA23" i="77"/>
  <c r="Z23" i="77"/>
  <c r="Y23" i="77"/>
  <c r="X23" i="77"/>
  <c r="W23" i="77"/>
  <c r="V23" i="77"/>
  <c r="U23" i="77"/>
  <c r="T23" i="77"/>
  <c r="S23" i="77"/>
  <c r="H23" i="77"/>
  <c r="C23" i="77"/>
  <c r="B23" i="77"/>
  <c r="AP22" i="77"/>
  <c r="AB20" i="77"/>
  <c r="AA20" i="77"/>
  <c r="AC15" i="77"/>
  <c r="Z15" i="77"/>
  <c r="W15" i="77"/>
  <c r="AJ14" i="77"/>
  <c r="AC14" i="77"/>
  <c r="AB14" i="77"/>
  <c r="AA14" i="77"/>
  <c r="Z14" i="77"/>
  <c r="Y14" i="77"/>
  <c r="X14" i="77"/>
  <c r="W14" i="77"/>
  <c r="V14" i="77"/>
  <c r="U14" i="77"/>
  <c r="F14" i="77"/>
  <c r="AG13" i="77"/>
  <c r="AF13" i="77"/>
  <c r="AD13" i="77"/>
  <c r="AC13" i="77"/>
  <c r="AB13" i="77"/>
  <c r="AA13" i="77"/>
  <c r="Z13" i="77"/>
  <c r="Y13" i="77"/>
  <c r="X13" i="77"/>
  <c r="W13" i="77"/>
  <c r="V13" i="77"/>
  <c r="U13" i="77"/>
  <c r="T13" i="77"/>
  <c r="S13" i="77"/>
  <c r="F13" i="77"/>
  <c r="AP12" i="77"/>
  <c r="AD12" i="77"/>
  <c r="AC12" i="77"/>
  <c r="AB12" i="77"/>
  <c r="AA12" i="77"/>
  <c r="Z12" i="77"/>
  <c r="Y12" i="77"/>
  <c r="X12" i="77"/>
  <c r="W12" i="77"/>
  <c r="V12" i="77"/>
  <c r="U12" i="77"/>
  <c r="T12" i="77"/>
  <c r="S12" i="77"/>
  <c r="C12" i="77"/>
  <c r="AP11" i="77"/>
  <c r="AJ11" i="77"/>
  <c r="AG11" i="77"/>
  <c r="AF11" i="77"/>
  <c r="AD11" i="77"/>
  <c r="AC11" i="77"/>
  <c r="AB11" i="77"/>
  <c r="AA11" i="77"/>
  <c r="Z11" i="77"/>
  <c r="Y11" i="77"/>
  <c r="X11" i="77"/>
  <c r="W11" i="77"/>
  <c r="V11" i="77"/>
  <c r="U11" i="77"/>
  <c r="T11" i="77"/>
  <c r="S11" i="77"/>
  <c r="H11" i="77"/>
  <c r="C11" i="77"/>
  <c r="AP10" i="77"/>
  <c r="AJ10" i="77"/>
  <c r="AG10" i="77"/>
  <c r="AF10" i="77"/>
  <c r="AD10" i="77"/>
  <c r="AC10" i="77"/>
  <c r="AB10" i="77"/>
  <c r="AA10" i="77"/>
  <c r="Z10" i="77"/>
  <c r="Y10" i="77"/>
  <c r="X10" i="77"/>
  <c r="W10" i="77"/>
  <c r="V10" i="77"/>
  <c r="U10" i="77"/>
  <c r="T10" i="77"/>
  <c r="S10" i="77"/>
  <c r="H10" i="77"/>
  <c r="C10" i="77"/>
  <c r="AP9" i="77"/>
  <c r="AJ9" i="77"/>
  <c r="AG9" i="77"/>
  <c r="AF9" i="77"/>
  <c r="AD9" i="77"/>
  <c r="AC9" i="77"/>
  <c r="AB9" i="77"/>
  <c r="AA9" i="77"/>
  <c r="Z9" i="77"/>
  <c r="Y9" i="77"/>
  <c r="X9" i="77"/>
  <c r="W9" i="77"/>
  <c r="V9" i="77"/>
  <c r="U9" i="77"/>
  <c r="T9" i="77"/>
  <c r="S9" i="77"/>
  <c r="H9" i="77"/>
  <c r="AP8" i="77"/>
  <c r="AJ8" i="77"/>
  <c r="AG8" i="77"/>
  <c r="AF8" i="77"/>
  <c r="AD8" i="77"/>
  <c r="AC8" i="77"/>
  <c r="AB8" i="77"/>
  <c r="AA8" i="77"/>
  <c r="Z8" i="77"/>
  <c r="Y8" i="77"/>
  <c r="X8" i="77"/>
  <c r="W8" i="77"/>
  <c r="V8" i="77"/>
  <c r="U8" i="77"/>
  <c r="T8" i="77"/>
  <c r="S8" i="77"/>
  <c r="H8" i="77"/>
  <c r="C8" i="77"/>
  <c r="AP7" i="77"/>
  <c r="AJ7" i="77"/>
  <c r="AG7" i="77"/>
  <c r="AF7" i="77"/>
  <c r="AD7" i="77"/>
  <c r="AC7" i="77"/>
  <c r="AB7" i="77"/>
  <c r="AA7" i="77"/>
  <c r="Z7" i="77"/>
  <c r="Y7" i="77"/>
  <c r="X7" i="77"/>
  <c r="W7" i="77"/>
  <c r="V7" i="77"/>
  <c r="U7" i="77"/>
  <c r="T7" i="77"/>
  <c r="S7" i="77"/>
  <c r="H7" i="77"/>
  <c r="AP6" i="77"/>
  <c r="AB4" i="77"/>
  <c r="X109" i="78"/>
  <c r="U109" i="78"/>
  <c r="X106" i="78"/>
  <c r="U106" i="78"/>
  <c r="X103" i="78"/>
  <c r="U103" i="78"/>
  <c r="X100" i="78"/>
  <c r="U100" i="78"/>
  <c r="X97" i="78"/>
  <c r="U97" i="78"/>
  <c r="X94" i="78"/>
  <c r="U94" i="78"/>
  <c r="AC88" i="78"/>
  <c r="Z88" i="78"/>
  <c r="W88" i="78"/>
  <c r="AJ87" i="78"/>
  <c r="AD87" i="78"/>
  <c r="AC87" i="78"/>
  <c r="AB87" i="78"/>
  <c r="AA87" i="78"/>
  <c r="Z87" i="78"/>
  <c r="Y87" i="78"/>
  <c r="X87" i="78"/>
  <c r="W87" i="78"/>
  <c r="V87" i="78"/>
  <c r="U87" i="78"/>
  <c r="F87" i="78"/>
  <c r="AG86" i="78"/>
  <c r="AF86" i="78"/>
  <c r="Z86" i="78"/>
  <c r="X86" i="78"/>
  <c r="W86" i="78"/>
  <c r="U86" i="78"/>
  <c r="F86" i="78"/>
  <c r="AD85" i="78"/>
  <c r="AC85" i="78"/>
  <c r="AB85" i="78"/>
  <c r="AA85" i="78"/>
  <c r="Z85" i="78"/>
  <c r="Y85" i="78"/>
  <c r="X85" i="78"/>
  <c r="U85" i="78"/>
  <c r="F85" i="78"/>
  <c r="AP84" i="78"/>
  <c r="AJ84" i="78"/>
  <c r="AG84" i="78"/>
  <c r="AF84" i="78"/>
  <c r="AD84" i="78"/>
  <c r="AC84" i="78"/>
  <c r="AB84" i="78"/>
  <c r="AA84" i="78"/>
  <c r="Z84" i="78"/>
  <c r="Y84" i="78"/>
  <c r="X84" i="78"/>
  <c r="W84" i="78"/>
  <c r="V84" i="78"/>
  <c r="U84" i="78"/>
  <c r="AP83" i="78"/>
  <c r="AJ83" i="78"/>
  <c r="AG83" i="78"/>
  <c r="AF83" i="78"/>
  <c r="AD83" i="78"/>
  <c r="AC83" i="78"/>
  <c r="AB83" i="78"/>
  <c r="AA83" i="78"/>
  <c r="Z83" i="78"/>
  <c r="Y83" i="78"/>
  <c r="X83" i="78"/>
  <c r="W83" i="78"/>
  <c r="V83" i="78"/>
  <c r="U83" i="78"/>
  <c r="AP82" i="78"/>
  <c r="AJ82" i="78"/>
  <c r="AG82" i="78"/>
  <c r="AF82" i="78"/>
  <c r="AD82" i="78"/>
  <c r="AC82" i="78"/>
  <c r="AB82" i="78"/>
  <c r="AA82" i="78"/>
  <c r="Z82" i="78"/>
  <c r="Y82" i="78"/>
  <c r="X82" i="78"/>
  <c r="W82" i="78"/>
  <c r="V82" i="78"/>
  <c r="U82" i="78"/>
  <c r="AP81" i="78"/>
  <c r="AJ81" i="78"/>
  <c r="AG81" i="78"/>
  <c r="AF81" i="78"/>
  <c r="AD81" i="78"/>
  <c r="AC81" i="78"/>
  <c r="AB81" i="78"/>
  <c r="AA81" i="78"/>
  <c r="Z81" i="78"/>
  <c r="Y81" i="78"/>
  <c r="X81" i="78"/>
  <c r="W81" i="78"/>
  <c r="V81" i="78"/>
  <c r="U81" i="78"/>
  <c r="AP80" i="78"/>
  <c r="AJ80" i="78"/>
  <c r="AG80" i="78"/>
  <c r="AF80" i="78"/>
  <c r="AD80" i="78"/>
  <c r="AC80" i="78"/>
  <c r="AB80" i="78"/>
  <c r="AA80" i="78"/>
  <c r="Z80" i="78"/>
  <c r="Y80" i="78"/>
  <c r="X80" i="78"/>
  <c r="W80" i="78"/>
  <c r="V80" i="78"/>
  <c r="U80" i="78"/>
  <c r="AP79" i="78"/>
  <c r="AB77" i="78"/>
  <c r="AA77" i="78"/>
  <c r="K73" i="78"/>
  <c r="H73" i="78"/>
  <c r="K71" i="78"/>
  <c r="H71" i="78"/>
  <c r="E71" i="78"/>
  <c r="K70" i="78"/>
  <c r="H70" i="78"/>
  <c r="K69" i="78"/>
  <c r="K68" i="78"/>
  <c r="E68" i="78"/>
  <c r="K67" i="78"/>
  <c r="H67" i="78"/>
  <c r="K65" i="78"/>
  <c r="H65" i="78"/>
  <c r="E65" i="78"/>
  <c r="K64" i="78"/>
  <c r="H64" i="78"/>
  <c r="E62" i="78"/>
  <c r="K61" i="78"/>
  <c r="H61" i="78"/>
  <c r="K59" i="78"/>
  <c r="H59" i="78"/>
  <c r="E59" i="78"/>
  <c r="K58" i="78"/>
  <c r="H58" i="78"/>
  <c r="K56" i="78"/>
  <c r="H56" i="78"/>
  <c r="E56" i="78"/>
  <c r="K53" i="78"/>
  <c r="H53" i="78"/>
  <c r="E51" i="78"/>
  <c r="K50" i="78"/>
  <c r="H50" i="78"/>
  <c r="E48" i="78"/>
  <c r="K47" i="78"/>
  <c r="H47" i="78"/>
  <c r="E45" i="78"/>
  <c r="K44" i="78"/>
  <c r="H44" i="78"/>
  <c r="E42" i="78"/>
  <c r="K41" i="78"/>
  <c r="H41" i="78"/>
  <c r="E39" i="78"/>
  <c r="K38" i="78"/>
  <c r="H38" i="78"/>
  <c r="E36" i="78"/>
  <c r="AC31" i="78"/>
  <c r="Z31" i="78"/>
  <c r="W31" i="78"/>
  <c r="AJ30" i="78"/>
  <c r="AC30" i="78"/>
  <c r="AB30" i="78"/>
  <c r="AA30" i="78"/>
  <c r="Z30" i="78"/>
  <c r="Y30" i="78"/>
  <c r="X30" i="78"/>
  <c r="W30" i="78"/>
  <c r="V30" i="78"/>
  <c r="U30" i="78"/>
  <c r="F30" i="78"/>
  <c r="AG29" i="78"/>
  <c r="AF29" i="78"/>
  <c r="AD29" i="78"/>
  <c r="AC29" i="78"/>
  <c r="AB29" i="78"/>
  <c r="AA29" i="78"/>
  <c r="Z29" i="78"/>
  <c r="Y29" i="78"/>
  <c r="X29" i="78"/>
  <c r="W29" i="78"/>
  <c r="V29" i="78"/>
  <c r="U29" i="78"/>
  <c r="T29" i="78"/>
  <c r="F29" i="78"/>
  <c r="AP28" i="78"/>
  <c r="AD28" i="78"/>
  <c r="AC28" i="78"/>
  <c r="AB28" i="78"/>
  <c r="AA28" i="78"/>
  <c r="Z28" i="78"/>
  <c r="Y28" i="78"/>
  <c r="X28" i="78"/>
  <c r="W28" i="78"/>
  <c r="V28" i="78"/>
  <c r="U28" i="78"/>
  <c r="T28" i="78"/>
  <c r="S28" i="78"/>
  <c r="H28" i="78"/>
  <c r="C28" i="78"/>
  <c r="AP27" i="78"/>
  <c r="AJ27" i="78"/>
  <c r="AG27" i="78"/>
  <c r="AF27" i="78"/>
  <c r="AD27" i="78"/>
  <c r="AC27" i="78"/>
  <c r="AB27" i="78"/>
  <c r="AA27" i="78"/>
  <c r="Z27" i="78"/>
  <c r="Y27" i="78"/>
  <c r="X27" i="78"/>
  <c r="W27" i="78"/>
  <c r="V27" i="78"/>
  <c r="U27" i="78"/>
  <c r="T27" i="78"/>
  <c r="S27" i="78"/>
  <c r="H27" i="78"/>
  <c r="C27" i="78"/>
  <c r="AP26" i="78"/>
  <c r="AJ26" i="78"/>
  <c r="AG26" i="78"/>
  <c r="AF26" i="78"/>
  <c r="AD26" i="78"/>
  <c r="AC26" i="78"/>
  <c r="AB26" i="78"/>
  <c r="AA26" i="78"/>
  <c r="Z26" i="78"/>
  <c r="Y26" i="78"/>
  <c r="X26" i="78"/>
  <c r="W26" i="78"/>
  <c r="V26" i="78"/>
  <c r="U26" i="78"/>
  <c r="T26" i="78"/>
  <c r="S26" i="78"/>
  <c r="H26" i="78"/>
  <c r="C26" i="78"/>
  <c r="AP25" i="78"/>
  <c r="AJ25" i="78"/>
  <c r="AG25" i="78"/>
  <c r="AF25" i="78"/>
  <c r="AD25" i="78"/>
  <c r="AC25" i="78"/>
  <c r="AB25" i="78"/>
  <c r="AA25" i="78"/>
  <c r="Z25" i="78"/>
  <c r="Y25" i="78"/>
  <c r="X25" i="78"/>
  <c r="W25" i="78"/>
  <c r="V25" i="78"/>
  <c r="U25" i="78"/>
  <c r="T25" i="78"/>
  <c r="S25" i="78"/>
  <c r="H25" i="78"/>
  <c r="C25" i="78"/>
  <c r="AP24" i="78"/>
  <c r="AJ24" i="78"/>
  <c r="AG24" i="78"/>
  <c r="AF24" i="78"/>
  <c r="AD24" i="78"/>
  <c r="AC24" i="78"/>
  <c r="AB24" i="78"/>
  <c r="AA24" i="78"/>
  <c r="Z24" i="78"/>
  <c r="Y24" i="78"/>
  <c r="X24" i="78"/>
  <c r="W24" i="78"/>
  <c r="V24" i="78"/>
  <c r="U24" i="78"/>
  <c r="T24" i="78"/>
  <c r="S24" i="78"/>
  <c r="H24" i="78"/>
  <c r="C24" i="78"/>
  <c r="AP23" i="78"/>
  <c r="AJ23" i="78"/>
  <c r="AG23" i="78"/>
  <c r="AF23" i="78"/>
  <c r="AD23" i="78"/>
  <c r="AC23" i="78"/>
  <c r="AB23" i="78"/>
  <c r="AA23" i="78"/>
  <c r="Z23" i="78"/>
  <c r="Y23" i="78"/>
  <c r="X23" i="78"/>
  <c r="W23" i="78"/>
  <c r="V23" i="78"/>
  <c r="U23" i="78"/>
  <c r="T23" i="78"/>
  <c r="S23" i="78"/>
  <c r="H23" i="78"/>
  <c r="C23" i="78"/>
  <c r="B23" i="78"/>
  <c r="AP22" i="78"/>
  <c r="AB20" i="78"/>
  <c r="AA20" i="78"/>
  <c r="AC15" i="78"/>
  <c r="Z15" i="78"/>
  <c r="W15" i="78"/>
  <c r="AJ14" i="78"/>
  <c r="AC14" i="78"/>
  <c r="AB14" i="78"/>
  <c r="AA14" i="78"/>
  <c r="Z14" i="78"/>
  <c r="Y14" i="78"/>
  <c r="X14" i="78"/>
  <c r="W14" i="78"/>
  <c r="V14" i="78"/>
  <c r="U14" i="78"/>
  <c r="F14" i="78"/>
  <c r="AG13" i="78"/>
  <c r="AF13" i="78"/>
  <c r="AD13" i="78"/>
  <c r="AC13" i="78"/>
  <c r="AB13" i="78"/>
  <c r="AA13" i="78"/>
  <c r="Z13" i="78"/>
  <c r="Y13" i="78"/>
  <c r="X13" i="78"/>
  <c r="W13" i="78"/>
  <c r="V13" i="78"/>
  <c r="U13" i="78"/>
  <c r="T13" i="78"/>
  <c r="S13" i="78"/>
  <c r="F13" i="78"/>
  <c r="AP12" i="78"/>
  <c r="AD12" i="78"/>
  <c r="AC12" i="78"/>
  <c r="AB12" i="78"/>
  <c r="AA12" i="78"/>
  <c r="Z12" i="78"/>
  <c r="Y12" i="78"/>
  <c r="X12" i="78"/>
  <c r="W12" i="78"/>
  <c r="V12" i="78"/>
  <c r="U12" i="78"/>
  <c r="T12" i="78"/>
  <c r="S12" i="78"/>
  <c r="H12" i="78"/>
  <c r="C12" i="78"/>
  <c r="AP11" i="78"/>
  <c r="AJ11" i="78"/>
  <c r="AG11" i="78"/>
  <c r="AF11" i="78"/>
  <c r="AD11" i="78"/>
  <c r="AC11" i="78"/>
  <c r="AB11" i="78"/>
  <c r="AA11" i="78"/>
  <c r="Z11" i="78"/>
  <c r="Y11" i="78"/>
  <c r="X11" i="78"/>
  <c r="W11" i="78"/>
  <c r="V11" i="78"/>
  <c r="U11" i="78"/>
  <c r="T11" i="78"/>
  <c r="S11" i="78"/>
  <c r="H11" i="78"/>
  <c r="C11" i="78"/>
  <c r="AP10" i="78"/>
  <c r="AJ10" i="78"/>
  <c r="AG10" i="78"/>
  <c r="AF10" i="78"/>
  <c r="AD10" i="78"/>
  <c r="AC10" i="78"/>
  <c r="AB10" i="78"/>
  <c r="AA10" i="78"/>
  <c r="Z10" i="78"/>
  <c r="Y10" i="78"/>
  <c r="X10" i="78"/>
  <c r="W10" i="78"/>
  <c r="V10" i="78"/>
  <c r="U10" i="78"/>
  <c r="T10" i="78"/>
  <c r="S10" i="78"/>
  <c r="H10" i="78"/>
  <c r="C10" i="78"/>
  <c r="AP9" i="78"/>
  <c r="AJ9" i="78"/>
  <c r="AG9" i="78"/>
  <c r="AF9" i="78"/>
  <c r="AD9" i="78"/>
  <c r="AC9" i="78"/>
  <c r="AB9" i="78"/>
  <c r="AA9" i="78"/>
  <c r="Z9" i="78"/>
  <c r="Y9" i="78"/>
  <c r="X9" i="78"/>
  <c r="W9" i="78"/>
  <c r="V9" i="78"/>
  <c r="U9" i="78"/>
  <c r="T9" i="78"/>
  <c r="S9" i="78"/>
  <c r="H9" i="78"/>
  <c r="C9" i="78"/>
  <c r="AP8" i="78"/>
  <c r="AJ8" i="78"/>
  <c r="AG8" i="78"/>
  <c r="AF8" i="78"/>
  <c r="AD8" i="78"/>
  <c r="AC8" i="78"/>
  <c r="AB8" i="78"/>
  <c r="AA8" i="78"/>
  <c r="Z8" i="78"/>
  <c r="Y8" i="78"/>
  <c r="X8" i="78"/>
  <c r="W8" i="78"/>
  <c r="V8" i="78"/>
  <c r="U8" i="78"/>
  <c r="T8" i="78"/>
  <c r="S8" i="78"/>
  <c r="H8" i="78"/>
  <c r="C8" i="78"/>
  <c r="AP7" i="78"/>
  <c r="AJ7" i="78"/>
  <c r="AG7" i="78"/>
  <c r="AF7" i="78"/>
  <c r="AD7" i="78"/>
  <c r="AC7" i="78"/>
  <c r="AB7" i="78"/>
  <c r="AA7" i="78"/>
  <c r="Z7" i="78"/>
  <c r="Y7" i="78"/>
  <c r="X7" i="78"/>
  <c r="W7" i="78"/>
  <c r="V7" i="78"/>
  <c r="U7" i="78"/>
  <c r="T7" i="78"/>
  <c r="S7" i="78"/>
  <c r="H7" i="78"/>
  <c r="AP6" i="78"/>
  <c r="AB4" i="78"/>
  <c r="X109" i="80"/>
  <c r="U109" i="80"/>
  <c r="X106" i="80"/>
  <c r="U106" i="80"/>
  <c r="X103" i="80"/>
  <c r="U103" i="80"/>
  <c r="X100" i="80"/>
  <c r="U100" i="80"/>
  <c r="X97" i="80"/>
  <c r="U97" i="80"/>
  <c r="X94" i="80"/>
  <c r="U94" i="80"/>
  <c r="AC88" i="80"/>
  <c r="Z88" i="80"/>
  <c r="W88" i="80"/>
  <c r="AJ87" i="80"/>
  <c r="AD87" i="80"/>
  <c r="AC87" i="80"/>
  <c r="AB87" i="80"/>
  <c r="AA87" i="80"/>
  <c r="Z87" i="80"/>
  <c r="Y87" i="80"/>
  <c r="X87" i="80"/>
  <c r="W87" i="80"/>
  <c r="V87" i="80"/>
  <c r="U87" i="80"/>
  <c r="F87" i="80"/>
  <c r="AG86" i="80"/>
  <c r="AF86" i="80"/>
  <c r="Z86" i="80"/>
  <c r="X86" i="80"/>
  <c r="W86" i="80"/>
  <c r="U86" i="80"/>
  <c r="F86" i="80"/>
  <c r="AD85" i="80"/>
  <c r="AC85" i="80"/>
  <c r="AB85" i="80"/>
  <c r="AA85" i="80"/>
  <c r="Z85" i="80"/>
  <c r="Y85" i="80"/>
  <c r="X85" i="80"/>
  <c r="U85" i="80"/>
  <c r="F85" i="80"/>
  <c r="AP84" i="80"/>
  <c r="AJ84" i="80"/>
  <c r="AG84" i="80"/>
  <c r="AF84" i="80"/>
  <c r="AD84" i="80"/>
  <c r="AC84" i="80"/>
  <c r="AB84" i="80"/>
  <c r="AA84" i="80"/>
  <c r="Z84" i="80"/>
  <c r="Y84" i="80"/>
  <c r="X84" i="80"/>
  <c r="W84" i="80"/>
  <c r="V84" i="80"/>
  <c r="U84" i="80"/>
  <c r="AP83" i="80"/>
  <c r="AJ83" i="80"/>
  <c r="AG83" i="80"/>
  <c r="AF83" i="80"/>
  <c r="AD83" i="80"/>
  <c r="AC83" i="80"/>
  <c r="AB83" i="80"/>
  <c r="AA83" i="80"/>
  <c r="Z83" i="80"/>
  <c r="Y83" i="80"/>
  <c r="X83" i="80"/>
  <c r="W83" i="80"/>
  <c r="V83" i="80"/>
  <c r="U83" i="80"/>
  <c r="AP82" i="80"/>
  <c r="AJ82" i="80"/>
  <c r="AG82" i="80"/>
  <c r="AF82" i="80"/>
  <c r="AD82" i="80"/>
  <c r="AC82" i="80"/>
  <c r="AB82" i="80"/>
  <c r="AA82" i="80"/>
  <c r="Z82" i="80"/>
  <c r="Y82" i="80"/>
  <c r="X82" i="80"/>
  <c r="W82" i="80"/>
  <c r="V82" i="80"/>
  <c r="U82" i="80"/>
  <c r="AP81" i="80"/>
  <c r="AJ81" i="80"/>
  <c r="AG81" i="80"/>
  <c r="AF81" i="80"/>
  <c r="AD81" i="80"/>
  <c r="AC81" i="80"/>
  <c r="AB81" i="80"/>
  <c r="AA81" i="80"/>
  <c r="Z81" i="80"/>
  <c r="Y81" i="80"/>
  <c r="X81" i="80"/>
  <c r="W81" i="80"/>
  <c r="V81" i="80"/>
  <c r="U81" i="80"/>
  <c r="AP80" i="80"/>
  <c r="AJ80" i="80"/>
  <c r="AG80" i="80"/>
  <c r="AF80" i="80"/>
  <c r="AD80" i="80"/>
  <c r="AC80" i="80"/>
  <c r="AB80" i="80"/>
  <c r="AA80" i="80"/>
  <c r="Z80" i="80"/>
  <c r="Y80" i="80"/>
  <c r="X80" i="80"/>
  <c r="W80" i="80"/>
  <c r="V80" i="80"/>
  <c r="U80" i="80"/>
  <c r="AP79" i="80"/>
  <c r="AB77" i="80"/>
  <c r="AA77" i="80"/>
  <c r="K73" i="80"/>
  <c r="H73" i="80"/>
  <c r="K71" i="80"/>
  <c r="H71" i="80"/>
  <c r="E71" i="80"/>
  <c r="K70" i="80"/>
  <c r="H70" i="80"/>
  <c r="E68" i="80"/>
  <c r="K67" i="80"/>
  <c r="H67" i="80"/>
  <c r="K65" i="80"/>
  <c r="H65" i="80"/>
  <c r="E65" i="80"/>
  <c r="K64" i="80"/>
  <c r="H64" i="80"/>
  <c r="K62" i="80"/>
  <c r="H62" i="80"/>
  <c r="E62" i="80"/>
  <c r="K61" i="80"/>
  <c r="H61" i="80"/>
  <c r="K59" i="80"/>
  <c r="H59" i="80"/>
  <c r="E59" i="80"/>
  <c r="K58" i="80"/>
  <c r="H58" i="80"/>
  <c r="K56" i="80"/>
  <c r="E56" i="80"/>
  <c r="K53" i="80"/>
  <c r="H53" i="80"/>
  <c r="E51" i="80"/>
  <c r="K50" i="80"/>
  <c r="H50" i="80"/>
  <c r="E48" i="80"/>
  <c r="K47" i="80"/>
  <c r="H47" i="80"/>
  <c r="E45" i="80"/>
  <c r="K44" i="80"/>
  <c r="H44" i="80"/>
  <c r="E42" i="80"/>
  <c r="K41" i="80"/>
  <c r="H41" i="80"/>
  <c r="E39" i="80"/>
  <c r="K38" i="80"/>
  <c r="H38" i="80"/>
  <c r="E36" i="80"/>
  <c r="AC31" i="80"/>
  <c r="Z31" i="80"/>
  <c r="W31" i="80"/>
  <c r="AJ30" i="80"/>
  <c r="AC30" i="80"/>
  <c r="AB30" i="80"/>
  <c r="AA30" i="80"/>
  <c r="Z30" i="80"/>
  <c r="Y30" i="80"/>
  <c r="X30" i="80"/>
  <c r="W30" i="80"/>
  <c r="V30" i="80"/>
  <c r="U30" i="80"/>
  <c r="F30" i="80"/>
  <c r="AG29" i="80"/>
  <c r="AF29" i="80"/>
  <c r="AD29" i="80"/>
  <c r="AC29" i="80"/>
  <c r="AB29" i="80"/>
  <c r="AA29" i="80"/>
  <c r="Z29" i="80"/>
  <c r="Y29" i="80"/>
  <c r="X29" i="80"/>
  <c r="W29" i="80"/>
  <c r="V29" i="80"/>
  <c r="U29" i="80"/>
  <c r="T29" i="80"/>
  <c r="F29" i="80"/>
  <c r="AP28" i="80"/>
  <c r="AD28" i="80"/>
  <c r="AC28" i="80"/>
  <c r="AB28" i="80"/>
  <c r="AA28" i="80"/>
  <c r="Z28" i="80"/>
  <c r="Y28" i="80"/>
  <c r="X28" i="80"/>
  <c r="W28" i="80"/>
  <c r="V28" i="80"/>
  <c r="U28" i="80"/>
  <c r="T28" i="80"/>
  <c r="S28" i="80"/>
  <c r="H28" i="80"/>
  <c r="C28" i="80"/>
  <c r="AP27" i="80"/>
  <c r="AJ27" i="80"/>
  <c r="AG27" i="80"/>
  <c r="AF27" i="80"/>
  <c r="AD27" i="80"/>
  <c r="AC27" i="80"/>
  <c r="AB27" i="80"/>
  <c r="AA27" i="80"/>
  <c r="Z27" i="80"/>
  <c r="Y27" i="80"/>
  <c r="X27" i="80"/>
  <c r="W27" i="80"/>
  <c r="V27" i="80"/>
  <c r="U27" i="80"/>
  <c r="T27" i="80"/>
  <c r="S27" i="80"/>
  <c r="H27" i="80"/>
  <c r="C27" i="80"/>
  <c r="AP26" i="80"/>
  <c r="AJ26" i="80"/>
  <c r="AG26" i="80"/>
  <c r="AF26" i="80"/>
  <c r="AD26" i="80"/>
  <c r="AC26" i="80"/>
  <c r="AB26" i="80"/>
  <c r="AA26" i="80"/>
  <c r="Z26" i="80"/>
  <c r="Y26" i="80"/>
  <c r="X26" i="80"/>
  <c r="W26" i="80"/>
  <c r="V26" i="80"/>
  <c r="U26" i="80"/>
  <c r="T26" i="80"/>
  <c r="S26" i="80"/>
  <c r="H26" i="80"/>
  <c r="C26" i="80"/>
  <c r="AP25" i="80"/>
  <c r="AJ25" i="80"/>
  <c r="AG25" i="80"/>
  <c r="AF25" i="80"/>
  <c r="AD25" i="80"/>
  <c r="AC25" i="80"/>
  <c r="AB25" i="80"/>
  <c r="AA25" i="80"/>
  <c r="Z25" i="80"/>
  <c r="Y25" i="80"/>
  <c r="X25" i="80"/>
  <c r="W25" i="80"/>
  <c r="V25" i="80"/>
  <c r="U25" i="80"/>
  <c r="T25" i="80"/>
  <c r="S25" i="80"/>
  <c r="H25" i="80"/>
  <c r="C25" i="80"/>
  <c r="AP24" i="80"/>
  <c r="AJ24" i="80"/>
  <c r="AG24" i="80"/>
  <c r="AF24" i="80"/>
  <c r="AD24" i="80"/>
  <c r="AB24" i="80"/>
  <c r="AA24" i="80"/>
  <c r="Z24" i="80"/>
  <c r="Y24" i="80"/>
  <c r="X24" i="80"/>
  <c r="W24" i="80"/>
  <c r="V24" i="80"/>
  <c r="U24" i="80"/>
  <c r="T24" i="80"/>
  <c r="S24" i="80"/>
  <c r="H24" i="80"/>
  <c r="C24" i="80"/>
  <c r="AP23" i="80"/>
  <c r="AJ23" i="80"/>
  <c r="AG23" i="80"/>
  <c r="AF23" i="80"/>
  <c r="AD23" i="80"/>
  <c r="AC23" i="80"/>
  <c r="AB23" i="80"/>
  <c r="AA23" i="80"/>
  <c r="Z23" i="80"/>
  <c r="Y23" i="80"/>
  <c r="X23" i="80"/>
  <c r="W23" i="80"/>
  <c r="V23" i="80"/>
  <c r="U23" i="80"/>
  <c r="T23" i="80"/>
  <c r="S23" i="80"/>
  <c r="H23" i="80"/>
  <c r="C23" i="80"/>
  <c r="B23" i="80"/>
  <c r="AP22" i="80"/>
  <c r="AB20" i="80"/>
  <c r="AA20" i="80"/>
  <c r="AC15" i="80"/>
  <c r="Z15" i="80"/>
  <c r="W15" i="80"/>
  <c r="AJ14" i="80"/>
  <c r="AC14" i="80"/>
  <c r="AB14" i="80"/>
  <c r="AA14" i="80"/>
  <c r="Z14" i="80"/>
  <c r="Y14" i="80"/>
  <c r="X14" i="80"/>
  <c r="W14" i="80"/>
  <c r="V14" i="80"/>
  <c r="U14" i="80"/>
  <c r="F14" i="80"/>
  <c r="AG13" i="80"/>
  <c r="AF13" i="80"/>
  <c r="AD13" i="80"/>
  <c r="AC13" i="80"/>
  <c r="AB13" i="80"/>
  <c r="AA13" i="80"/>
  <c r="Z13" i="80"/>
  <c r="Y13" i="80"/>
  <c r="X13" i="80"/>
  <c r="W13" i="80"/>
  <c r="V13" i="80"/>
  <c r="U13" i="80"/>
  <c r="T13" i="80"/>
  <c r="S13" i="80"/>
  <c r="F13" i="80"/>
  <c r="AP12" i="80"/>
  <c r="AD12" i="80"/>
  <c r="AC12" i="80"/>
  <c r="AB12" i="80"/>
  <c r="AA12" i="80"/>
  <c r="Z12" i="80"/>
  <c r="Y12" i="80"/>
  <c r="X12" i="80"/>
  <c r="W12" i="80"/>
  <c r="V12" i="80"/>
  <c r="U12" i="80"/>
  <c r="T12" i="80"/>
  <c r="S12" i="80"/>
  <c r="H12" i="80"/>
  <c r="C12" i="80"/>
  <c r="AP11" i="80"/>
  <c r="AJ11" i="80"/>
  <c r="AG11" i="80"/>
  <c r="AF11" i="80"/>
  <c r="AD11" i="80"/>
  <c r="AC11" i="80"/>
  <c r="AB11" i="80"/>
  <c r="AA11" i="80"/>
  <c r="Z11" i="80"/>
  <c r="Y11" i="80"/>
  <c r="X11" i="80"/>
  <c r="W11" i="80"/>
  <c r="V11" i="80"/>
  <c r="U11" i="80"/>
  <c r="T11" i="80"/>
  <c r="S11" i="80"/>
  <c r="H11" i="80"/>
  <c r="C11" i="80"/>
  <c r="AP10" i="80"/>
  <c r="AJ10" i="80"/>
  <c r="AG10" i="80"/>
  <c r="AF10" i="80"/>
  <c r="AD10" i="80"/>
  <c r="AC10" i="80"/>
  <c r="AB10" i="80"/>
  <c r="AA10" i="80"/>
  <c r="Z10" i="80"/>
  <c r="Y10" i="80"/>
  <c r="X10" i="80"/>
  <c r="W10" i="80"/>
  <c r="V10" i="80"/>
  <c r="U10" i="80"/>
  <c r="T10" i="80"/>
  <c r="S10" i="80"/>
  <c r="H10" i="80"/>
  <c r="C10" i="80"/>
  <c r="AP9" i="80"/>
  <c r="AJ9" i="80"/>
  <c r="AG9" i="80"/>
  <c r="AF9" i="80"/>
  <c r="AD9" i="80"/>
  <c r="AC9" i="80"/>
  <c r="AB9" i="80"/>
  <c r="AA9" i="80"/>
  <c r="Z9" i="80"/>
  <c r="Y9" i="80"/>
  <c r="X9" i="80"/>
  <c r="W9" i="80"/>
  <c r="V9" i="80"/>
  <c r="U9" i="80"/>
  <c r="T9" i="80"/>
  <c r="S9" i="80"/>
  <c r="H9" i="80"/>
  <c r="C9" i="80"/>
  <c r="AP8" i="80"/>
  <c r="AJ8" i="80"/>
  <c r="AG8" i="80"/>
  <c r="AF8" i="80"/>
  <c r="AD8" i="80"/>
  <c r="AC8" i="80"/>
  <c r="AB8" i="80"/>
  <c r="AA8" i="80"/>
  <c r="Z8" i="80"/>
  <c r="Y8" i="80"/>
  <c r="X8" i="80"/>
  <c r="W8" i="80"/>
  <c r="V8" i="80"/>
  <c r="U8" i="80"/>
  <c r="T8" i="80"/>
  <c r="S8" i="80"/>
  <c r="H8" i="80"/>
  <c r="C8" i="80"/>
  <c r="AP7" i="80"/>
  <c r="AJ7" i="80"/>
  <c r="AG7" i="80"/>
  <c r="AF7" i="80"/>
  <c r="AD7" i="80"/>
  <c r="AC7" i="80"/>
  <c r="AB7" i="80"/>
  <c r="AA7" i="80"/>
  <c r="Z7" i="80"/>
  <c r="Y7" i="80"/>
  <c r="X7" i="80"/>
  <c r="W7" i="80"/>
  <c r="V7" i="80"/>
  <c r="U7" i="80"/>
  <c r="T7" i="80"/>
  <c r="S7" i="80"/>
  <c r="H7" i="80"/>
  <c r="AP6" i="80"/>
  <c r="AB4" i="80"/>
  <c r="X109" i="81"/>
  <c r="U109" i="81"/>
  <c r="X106" i="81"/>
  <c r="U106" i="81"/>
  <c r="X103" i="81"/>
  <c r="U103" i="81"/>
  <c r="X100" i="81"/>
  <c r="U100" i="81"/>
  <c r="X97" i="81"/>
  <c r="U97" i="81"/>
  <c r="X94" i="81"/>
  <c r="U94" i="81"/>
  <c r="AC88" i="81"/>
  <c r="Z88" i="81"/>
  <c r="W88" i="81"/>
  <c r="AJ87" i="81"/>
  <c r="AD87" i="81"/>
  <c r="AC87" i="81"/>
  <c r="AB87" i="81"/>
  <c r="AA87" i="81"/>
  <c r="Z87" i="81"/>
  <c r="Y87" i="81"/>
  <c r="X87" i="81"/>
  <c r="W87" i="81"/>
  <c r="V87" i="81"/>
  <c r="U87" i="81"/>
  <c r="F87" i="81"/>
  <c r="AG86" i="81"/>
  <c r="AF86" i="81"/>
  <c r="Z86" i="81"/>
  <c r="X86" i="81"/>
  <c r="W86" i="81"/>
  <c r="U86" i="81"/>
  <c r="F86" i="81"/>
  <c r="AD85" i="81"/>
  <c r="AC85" i="81"/>
  <c r="AB85" i="81"/>
  <c r="AA85" i="81"/>
  <c r="Z85" i="81"/>
  <c r="Y85" i="81"/>
  <c r="X85" i="81"/>
  <c r="U85" i="81"/>
  <c r="F85" i="81"/>
  <c r="AP84" i="81"/>
  <c r="AJ84" i="81"/>
  <c r="AG84" i="81"/>
  <c r="AF84" i="81"/>
  <c r="AD84" i="81"/>
  <c r="AC84" i="81"/>
  <c r="AB84" i="81"/>
  <c r="AA84" i="81"/>
  <c r="Z84" i="81"/>
  <c r="Y84" i="81"/>
  <c r="X84" i="81"/>
  <c r="W84" i="81"/>
  <c r="V84" i="81"/>
  <c r="U84" i="81"/>
  <c r="AP83" i="81"/>
  <c r="AJ83" i="81"/>
  <c r="AG83" i="81"/>
  <c r="AF83" i="81"/>
  <c r="AD83" i="81"/>
  <c r="AC83" i="81"/>
  <c r="AB83" i="81"/>
  <c r="AA83" i="81"/>
  <c r="Z83" i="81"/>
  <c r="Y83" i="81"/>
  <c r="X83" i="81"/>
  <c r="W83" i="81"/>
  <c r="V83" i="81"/>
  <c r="U83" i="81"/>
  <c r="AP82" i="81"/>
  <c r="AJ82" i="81"/>
  <c r="AG82" i="81"/>
  <c r="AF82" i="81"/>
  <c r="AD82" i="81"/>
  <c r="AC82" i="81"/>
  <c r="AB82" i="81"/>
  <c r="AA82" i="81"/>
  <c r="Z82" i="81"/>
  <c r="Y82" i="81"/>
  <c r="X82" i="81"/>
  <c r="W82" i="81"/>
  <c r="V82" i="81"/>
  <c r="U82" i="81"/>
  <c r="AP81" i="81"/>
  <c r="AJ81" i="81"/>
  <c r="AG81" i="81"/>
  <c r="AF81" i="81"/>
  <c r="AD81" i="81"/>
  <c r="AC81" i="81"/>
  <c r="AB81" i="81"/>
  <c r="AA81" i="81"/>
  <c r="Z81" i="81"/>
  <c r="Y81" i="81"/>
  <c r="X81" i="81"/>
  <c r="W81" i="81"/>
  <c r="V81" i="81"/>
  <c r="U81" i="81"/>
  <c r="AP80" i="81"/>
  <c r="AJ80" i="81"/>
  <c r="AG80" i="81"/>
  <c r="AF80" i="81"/>
  <c r="AD80" i="81"/>
  <c r="AC80" i="81"/>
  <c r="AB80" i="81"/>
  <c r="AA80" i="81"/>
  <c r="Z80" i="81"/>
  <c r="Y80" i="81"/>
  <c r="X80" i="81"/>
  <c r="W80" i="81"/>
  <c r="V80" i="81"/>
  <c r="U80" i="81"/>
  <c r="AP79" i="81"/>
  <c r="AB77" i="81"/>
  <c r="AA77" i="81"/>
  <c r="K73" i="81"/>
  <c r="H73" i="81"/>
  <c r="K71" i="81"/>
  <c r="H71" i="81"/>
  <c r="E71" i="81"/>
  <c r="K70" i="81"/>
  <c r="H70" i="81"/>
  <c r="K68" i="81"/>
  <c r="H68" i="81"/>
  <c r="E68" i="81"/>
  <c r="K67" i="81"/>
  <c r="H67" i="81"/>
  <c r="K65" i="81"/>
  <c r="E65" i="81"/>
  <c r="K64" i="81"/>
  <c r="H64" i="81"/>
  <c r="K62" i="81"/>
  <c r="H62" i="81"/>
  <c r="E62" i="81"/>
  <c r="K61" i="81"/>
  <c r="H61" i="81"/>
  <c r="K59" i="81"/>
  <c r="H59" i="81"/>
  <c r="E59" i="81"/>
  <c r="K58" i="81"/>
  <c r="H58" i="81"/>
  <c r="K56" i="81"/>
  <c r="H56" i="81"/>
  <c r="E56" i="81"/>
  <c r="K53" i="81"/>
  <c r="H53" i="81"/>
  <c r="K51" i="81"/>
  <c r="H51" i="81"/>
  <c r="E51" i="81"/>
  <c r="K50" i="81"/>
  <c r="H50" i="81"/>
  <c r="K48" i="81"/>
  <c r="H48" i="81"/>
  <c r="E48" i="81"/>
  <c r="K47" i="81"/>
  <c r="H47" i="81"/>
  <c r="K45" i="81"/>
  <c r="H45" i="81"/>
  <c r="E45" i="81"/>
  <c r="K44" i="81"/>
  <c r="H44" i="81"/>
  <c r="K42" i="81"/>
  <c r="H42" i="81"/>
  <c r="E42" i="81"/>
  <c r="K41" i="81"/>
  <c r="H41" i="81"/>
  <c r="K39" i="81"/>
  <c r="H39" i="81"/>
  <c r="E39" i="81"/>
  <c r="K38" i="81"/>
  <c r="H38" i="81"/>
  <c r="K36" i="81"/>
  <c r="E36" i="81"/>
  <c r="AC31" i="81"/>
  <c r="Z31" i="81"/>
  <c r="W31" i="81"/>
  <c r="AJ30" i="81"/>
  <c r="AC30" i="81"/>
  <c r="AB30" i="81"/>
  <c r="AA30" i="81"/>
  <c r="Z30" i="81"/>
  <c r="Y30" i="81"/>
  <c r="X30" i="81"/>
  <c r="W30" i="81"/>
  <c r="V30" i="81"/>
  <c r="U30" i="81"/>
  <c r="F30" i="81"/>
  <c r="AG29" i="81"/>
  <c r="AF29" i="81"/>
  <c r="AD29" i="81"/>
  <c r="AC29" i="81"/>
  <c r="AB29" i="81"/>
  <c r="AA29" i="81"/>
  <c r="Z29" i="81"/>
  <c r="Y29" i="81"/>
  <c r="X29" i="81"/>
  <c r="W29" i="81"/>
  <c r="V29" i="81"/>
  <c r="U29" i="81"/>
  <c r="T29" i="81"/>
  <c r="F29" i="81"/>
  <c r="AP28" i="81"/>
  <c r="AD28" i="81"/>
  <c r="AC28" i="81"/>
  <c r="AB28" i="81"/>
  <c r="AA28" i="81"/>
  <c r="Z28" i="81"/>
  <c r="Y28" i="81"/>
  <c r="X28" i="81"/>
  <c r="W28" i="81"/>
  <c r="V28" i="81"/>
  <c r="U28" i="81"/>
  <c r="T28" i="81"/>
  <c r="S28" i="81"/>
  <c r="H28" i="81"/>
  <c r="C28" i="81"/>
  <c r="AP27" i="81"/>
  <c r="AJ27" i="81"/>
  <c r="AG27" i="81"/>
  <c r="AF27" i="81"/>
  <c r="AD27" i="81"/>
  <c r="AC27" i="81"/>
  <c r="AB27" i="81"/>
  <c r="AA27" i="81"/>
  <c r="Z27" i="81"/>
  <c r="Y27" i="81"/>
  <c r="X27" i="81"/>
  <c r="W27" i="81"/>
  <c r="V27" i="81"/>
  <c r="U27" i="81"/>
  <c r="T27" i="81"/>
  <c r="S27" i="81"/>
  <c r="H27" i="81"/>
  <c r="C27" i="81"/>
  <c r="AP26" i="81"/>
  <c r="AJ26" i="81"/>
  <c r="AG26" i="81"/>
  <c r="AF26" i="81"/>
  <c r="AD26" i="81"/>
  <c r="AC26" i="81"/>
  <c r="AB26" i="81"/>
  <c r="AA26" i="81"/>
  <c r="Z26" i="81"/>
  <c r="Y26" i="81"/>
  <c r="X26" i="81"/>
  <c r="W26" i="81"/>
  <c r="V26" i="81"/>
  <c r="U26" i="81"/>
  <c r="T26" i="81"/>
  <c r="S26" i="81"/>
  <c r="H26" i="81"/>
  <c r="C26" i="81"/>
  <c r="AP25" i="81"/>
  <c r="AJ25" i="81"/>
  <c r="AG25" i="81"/>
  <c r="AF25" i="81"/>
  <c r="AD25" i="81"/>
  <c r="AC25" i="81"/>
  <c r="AB25" i="81"/>
  <c r="AA25" i="81"/>
  <c r="Z25" i="81"/>
  <c r="Y25" i="81"/>
  <c r="X25" i="81"/>
  <c r="W25" i="81"/>
  <c r="V25" i="81"/>
  <c r="U25" i="81"/>
  <c r="T25" i="81"/>
  <c r="S25" i="81"/>
  <c r="H25" i="81"/>
  <c r="C25" i="81"/>
  <c r="AP24" i="81"/>
  <c r="AJ24" i="81"/>
  <c r="AG24" i="81"/>
  <c r="AF24" i="81"/>
  <c r="AD24" i="81"/>
  <c r="AC24" i="81"/>
  <c r="AB24" i="81"/>
  <c r="AA24" i="81"/>
  <c r="Z24" i="81"/>
  <c r="Y24" i="81"/>
  <c r="X24" i="81"/>
  <c r="W24" i="81"/>
  <c r="V24" i="81"/>
  <c r="U24" i="81"/>
  <c r="T24" i="81"/>
  <c r="S24" i="81"/>
  <c r="H24" i="81"/>
  <c r="C24" i="81"/>
  <c r="AP23" i="81"/>
  <c r="AJ23" i="81"/>
  <c r="AG23" i="81"/>
  <c r="AF23" i="81"/>
  <c r="AD23" i="81"/>
  <c r="AC23" i="81"/>
  <c r="AB23" i="81"/>
  <c r="AA23" i="81"/>
  <c r="Z23" i="81"/>
  <c r="Y23" i="81"/>
  <c r="X23" i="81"/>
  <c r="W23" i="81"/>
  <c r="V23" i="81"/>
  <c r="U23" i="81"/>
  <c r="T23" i="81"/>
  <c r="S23" i="81"/>
  <c r="H23" i="81"/>
  <c r="F23" i="81"/>
  <c r="C23" i="81"/>
  <c r="B23" i="81"/>
  <c r="AP22" i="81"/>
  <c r="AB20" i="81"/>
  <c r="AA20" i="81"/>
  <c r="AC15" i="81"/>
  <c r="Z15" i="81"/>
  <c r="W15" i="81"/>
  <c r="AJ14" i="81"/>
  <c r="AC14" i="81"/>
  <c r="AB14" i="81"/>
  <c r="AA14" i="81"/>
  <c r="Z14" i="81"/>
  <c r="Y14" i="81"/>
  <c r="X14" i="81"/>
  <c r="W14" i="81"/>
  <c r="V14" i="81"/>
  <c r="U14" i="81"/>
  <c r="F14" i="81"/>
  <c r="AG13" i="81"/>
  <c r="AF13" i="81"/>
  <c r="AD13" i="81"/>
  <c r="AC13" i="81"/>
  <c r="AB13" i="81"/>
  <c r="AA13" i="81"/>
  <c r="Z13" i="81"/>
  <c r="Y13" i="81"/>
  <c r="X13" i="81"/>
  <c r="W13" i="81"/>
  <c r="V13" i="81"/>
  <c r="U13" i="81"/>
  <c r="T13" i="81"/>
  <c r="S13" i="81"/>
  <c r="F13" i="81"/>
  <c r="AP12" i="81"/>
  <c r="AC12" i="81"/>
  <c r="AB12" i="81"/>
  <c r="AA12" i="81"/>
  <c r="Z12" i="81"/>
  <c r="Y12" i="81"/>
  <c r="X12" i="81"/>
  <c r="W12" i="81"/>
  <c r="V12" i="81"/>
  <c r="U12" i="81"/>
  <c r="T12" i="81"/>
  <c r="S12" i="81"/>
  <c r="H12" i="81"/>
  <c r="C12" i="81"/>
  <c r="AP11" i="81"/>
  <c r="AJ11" i="81"/>
  <c r="AG11" i="81"/>
  <c r="AF11" i="81"/>
  <c r="AD11" i="81"/>
  <c r="AC11" i="81"/>
  <c r="AB11" i="81"/>
  <c r="AA11" i="81"/>
  <c r="Z11" i="81"/>
  <c r="Y11" i="81"/>
  <c r="X11" i="81"/>
  <c r="W11" i="81"/>
  <c r="V11" i="81"/>
  <c r="U11" i="81"/>
  <c r="T11" i="81"/>
  <c r="S11" i="81"/>
  <c r="H11" i="81"/>
  <c r="C11" i="81"/>
  <c r="AP10" i="81"/>
  <c r="AJ10" i="81"/>
  <c r="AG10" i="81"/>
  <c r="AF10" i="81"/>
  <c r="AD10" i="81"/>
  <c r="AC10" i="81"/>
  <c r="AB10" i="81"/>
  <c r="AA10" i="81"/>
  <c r="Z10" i="81"/>
  <c r="Y10" i="81"/>
  <c r="X10" i="81"/>
  <c r="W10" i="81"/>
  <c r="V10" i="81"/>
  <c r="U10" i="81"/>
  <c r="T10" i="81"/>
  <c r="S10" i="81"/>
  <c r="H10" i="81"/>
  <c r="F10" i="81"/>
  <c r="C10" i="81"/>
  <c r="AP9" i="81"/>
  <c r="AJ9" i="81"/>
  <c r="AG9" i="81"/>
  <c r="AF9" i="81"/>
  <c r="AD9" i="81"/>
  <c r="AC9" i="81"/>
  <c r="AB9" i="81"/>
  <c r="AA9" i="81"/>
  <c r="Z9" i="81"/>
  <c r="Y9" i="81"/>
  <c r="X9" i="81"/>
  <c r="W9" i="81"/>
  <c r="V9" i="81"/>
  <c r="U9" i="81"/>
  <c r="T9" i="81"/>
  <c r="S9" i="81"/>
  <c r="H9" i="81"/>
  <c r="F9" i="81"/>
  <c r="C9" i="81"/>
  <c r="AP8" i="81"/>
  <c r="AJ8" i="81"/>
  <c r="AG8" i="81"/>
  <c r="AF8" i="81"/>
  <c r="AD8" i="81"/>
  <c r="AC8" i="81"/>
  <c r="AB8" i="81"/>
  <c r="AA8" i="81"/>
  <c r="Z8" i="81"/>
  <c r="Y8" i="81"/>
  <c r="X8" i="81"/>
  <c r="W8" i="81"/>
  <c r="V8" i="81"/>
  <c r="U8" i="81"/>
  <c r="T8" i="81"/>
  <c r="S8" i="81"/>
  <c r="H8" i="81"/>
  <c r="C8" i="81"/>
  <c r="AP7" i="81"/>
  <c r="AJ7" i="81"/>
  <c r="AG7" i="81"/>
  <c r="AF7" i="81"/>
  <c r="AD7" i="81"/>
  <c r="AC7" i="81"/>
  <c r="AB7" i="81"/>
  <c r="AA7" i="81"/>
  <c r="Z7" i="81"/>
  <c r="Y7" i="81"/>
  <c r="X7" i="81"/>
  <c r="W7" i="81"/>
  <c r="V7" i="81"/>
  <c r="U7" i="81"/>
  <c r="T7" i="81"/>
  <c r="S7" i="81"/>
  <c r="H7" i="81"/>
  <c r="AP6" i="81"/>
  <c r="AB4" i="81"/>
  <c r="X109" i="82"/>
  <c r="U109" i="82"/>
  <c r="X106" i="82"/>
  <c r="U106" i="82"/>
  <c r="X103" i="82"/>
  <c r="U103" i="82"/>
  <c r="X100" i="82"/>
  <c r="U100" i="82"/>
  <c r="X97" i="82"/>
  <c r="U97" i="82"/>
  <c r="X94" i="82"/>
  <c r="U94" i="82"/>
  <c r="AC88" i="82"/>
  <c r="Z88" i="82"/>
  <c r="W88" i="82"/>
  <c r="AJ87" i="82"/>
  <c r="AD87" i="82"/>
  <c r="AC87" i="82"/>
  <c r="AB87" i="82"/>
  <c r="AA87" i="82"/>
  <c r="Z87" i="82"/>
  <c r="Y87" i="82"/>
  <c r="X87" i="82"/>
  <c r="W87" i="82"/>
  <c r="V87" i="82"/>
  <c r="U87" i="82"/>
  <c r="F87" i="82"/>
  <c r="AG86" i="82"/>
  <c r="AF86" i="82"/>
  <c r="Z86" i="82"/>
  <c r="X86" i="82"/>
  <c r="W86" i="82"/>
  <c r="U86" i="82"/>
  <c r="F86" i="82"/>
  <c r="AD85" i="82"/>
  <c r="AC85" i="82"/>
  <c r="AB85" i="82"/>
  <c r="AA85" i="82"/>
  <c r="Z85" i="82"/>
  <c r="Y85" i="82"/>
  <c r="X85" i="82"/>
  <c r="U85" i="82"/>
  <c r="F85" i="82"/>
  <c r="AP84" i="82"/>
  <c r="AJ84" i="82"/>
  <c r="AG84" i="82"/>
  <c r="AF84" i="82"/>
  <c r="AD84" i="82"/>
  <c r="AC84" i="82"/>
  <c r="AB84" i="82"/>
  <c r="AA84" i="82"/>
  <c r="Z84" i="82"/>
  <c r="Y84" i="82"/>
  <c r="X84" i="82"/>
  <c r="W84" i="82"/>
  <c r="V84" i="82"/>
  <c r="U84" i="82"/>
  <c r="AP83" i="82"/>
  <c r="AJ83" i="82"/>
  <c r="AG83" i="82"/>
  <c r="AF83" i="82"/>
  <c r="AD83" i="82"/>
  <c r="AC83" i="82"/>
  <c r="AB83" i="82"/>
  <c r="AA83" i="82"/>
  <c r="Z83" i="82"/>
  <c r="Y83" i="82"/>
  <c r="X83" i="82"/>
  <c r="W83" i="82"/>
  <c r="V83" i="82"/>
  <c r="U83" i="82"/>
  <c r="AP82" i="82"/>
  <c r="AJ82" i="82"/>
  <c r="AG82" i="82"/>
  <c r="AF82" i="82"/>
  <c r="AD82" i="82"/>
  <c r="AC82" i="82"/>
  <c r="AB82" i="82"/>
  <c r="AA82" i="82"/>
  <c r="Z82" i="82"/>
  <c r="Y82" i="82"/>
  <c r="X82" i="82"/>
  <c r="W82" i="82"/>
  <c r="V82" i="82"/>
  <c r="U82" i="82"/>
  <c r="AP81" i="82"/>
  <c r="AJ81" i="82"/>
  <c r="AG81" i="82"/>
  <c r="AF81" i="82"/>
  <c r="AD81" i="82"/>
  <c r="AC81" i="82"/>
  <c r="AB81" i="82"/>
  <c r="AA81" i="82"/>
  <c r="Z81" i="82"/>
  <c r="Y81" i="82"/>
  <c r="X81" i="82"/>
  <c r="W81" i="82"/>
  <c r="V81" i="82"/>
  <c r="U81" i="82"/>
  <c r="AP80" i="82"/>
  <c r="AJ80" i="82"/>
  <c r="AG80" i="82"/>
  <c r="AF80" i="82"/>
  <c r="AD80" i="82"/>
  <c r="AC80" i="82"/>
  <c r="AB80" i="82"/>
  <c r="AA80" i="82"/>
  <c r="Z80" i="82"/>
  <c r="Y80" i="82"/>
  <c r="X80" i="82"/>
  <c r="W80" i="82"/>
  <c r="V80" i="82"/>
  <c r="U80" i="82"/>
  <c r="AP79" i="82"/>
  <c r="AB77" i="82"/>
  <c r="AA77" i="82"/>
  <c r="K73" i="82"/>
  <c r="H73" i="82"/>
  <c r="E71" i="82"/>
  <c r="K70" i="82"/>
  <c r="H70" i="82"/>
  <c r="E68" i="82"/>
  <c r="K67" i="82"/>
  <c r="H67" i="82"/>
  <c r="E65" i="82"/>
  <c r="K64" i="82"/>
  <c r="H64" i="82"/>
  <c r="E62" i="82"/>
  <c r="K61" i="82"/>
  <c r="H61" i="82"/>
  <c r="E59" i="82"/>
  <c r="K58" i="82"/>
  <c r="H58" i="82"/>
  <c r="E56" i="82"/>
  <c r="K53" i="82"/>
  <c r="H53" i="82"/>
  <c r="E51" i="82"/>
  <c r="K50" i="82"/>
  <c r="H50" i="82"/>
  <c r="E48" i="82"/>
  <c r="K47" i="82"/>
  <c r="H47" i="82"/>
  <c r="E45" i="82"/>
  <c r="K44" i="82"/>
  <c r="H44" i="82"/>
  <c r="E42" i="82"/>
  <c r="K41" i="82"/>
  <c r="H41" i="82"/>
  <c r="E39" i="82"/>
  <c r="K38" i="82"/>
  <c r="H38" i="82"/>
  <c r="K36" i="82"/>
  <c r="H36" i="82"/>
  <c r="E36" i="82"/>
  <c r="AC31" i="82"/>
  <c r="Z31" i="82"/>
  <c r="W31" i="82"/>
  <c r="AJ30" i="82"/>
  <c r="AC30" i="82"/>
  <c r="AB30" i="82"/>
  <c r="AA30" i="82"/>
  <c r="Z30" i="82"/>
  <c r="Y30" i="82"/>
  <c r="X30" i="82"/>
  <c r="W30" i="82"/>
  <c r="V30" i="82"/>
  <c r="U30" i="82"/>
  <c r="F30" i="82"/>
  <c r="AG29" i="82"/>
  <c r="AF29" i="82"/>
  <c r="AD29" i="82"/>
  <c r="AC29" i="82"/>
  <c r="AB29" i="82"/>
  <c r="AA29" i="82"/>
  <c r="Z29" i="82"/>
  <c r="Y29" i="82"/>
  <c r="X29" i="82"/>
  <c r="W29" i="82"/>
  <c r="V29" i="82"/>
  <c r="U29" i="82"/>
  <c r="T29" i="82"/>
  <c r="F29" i="82"/>
  <c r="AP28" i="82"/>
  <c r="AD28" i="82"/>
  <c r="AC28" i="82"/>
  <c r="AB28" i="82"/>
  <c r="AA28" i="82"/>
  <c r="Z28" i="82"/>
  <c r="Y28" i="82"/>
  <c r="X28" i="82"/>
  <c r="W28" i="82"/>
  <c r="V28" i="82"/>
  <c r="U28" i="82"/>
  <c r="T28" i="82"/>
  <c r="S28" i="82"/>
  <c r="C28" i="82"/>
  <c r="AP27" i="82"/>
  <c r="AJ27" i="82"/>
  <c r="AG27" i="82"/>
  <c r="AF27" i="82"/>
  <c r="AD27" i="82"/>
  <c r="AC27" i="82"/>
  <c r="AB27" i="82"/>
  <c r="AA27" i="82"/>
  <c r="Z27" i="82"/>
  <c r="Y27" i="82"/>
  <c r="X27" i="82"/>
  <c r="W27" i="82"/>
  <c r="V27" i="82"/>
  <c r="U27" i="82"/>
  <c r="T27" i="82"/>
  <c r="S27" i="82"/>
  <c r="C27" i="82"/>
  <c r="AP26" i="82"/>
  <c r="AJ26" i="82"/>
  <c r="AG26" i="82"/>
  <c r="AF26" i="82"/>
  <c r="AD26" i="82"/>
  <c r="AC26" i="82"/>
  <c r="AB26" i="82"/>
  <c r="AA26" i="82"/>
  <c r="Z26" i="82"/>
  <c r="Y26" i="82"/>
  <c r="X26" i="82"/>
  <c r="W26" i="82"/>
  <c r="V26" i="82"/>
  <c r="U26" i="82"/>
  <c r="T26" i="82"/>
  <c r="S26" i="82"/>
  <c r="H26" i="82"/>
  <c r="C26" i="82"/>
  <c r="AP25" i="82"/>
  <c r="AJ25" i="82"/>
  <c r="AG25" i="82"/>
  <c r="AF25" i="82"/>
  <c r="AD25" i="82"/>
  <c r="AC25" i="82"/>
  <c r="AB25" i="82"/>
  <c r="AA25" i="82"/>
  <c r="Z25" i="82"/>
  <c r="Y25" i="82"/>
  <c r="X25" i="82"/>
  <c r="W25" i="82"/>
  <c r="V25" i="82"/>
  <c r="U25" i="82"/>
  <c r="T25" i="82"/>
  <c r="S25" i="82"/>
  <c r="H25" i="82"/>
  <c r="C25" i="82"/>
  <c r="AP24" i="82"/>
  <c r="AJ24" i="82"/>
  <c r="AG24" i="82"/>
  <c r="AF24" i="82"/>
  <c r="AD24" i="82"/>
  <c r="AC24" i="82"/>
  <c r="AB24" i="82"/>
  <c r="AA24" i="82"/>
  <c r="Z24" i="82"/>
  <c r="Y24" i="82"/>
  <c r="X24" i="82"/>
  <c r="W24" i="82"/>
  <c r="V24" i="82"/>
  <c r="U24" i="82"/>
  <c r="T24" i="82"/>
  <c r="S24" i="82"/>
  <c r="H24" i="82"/>
  <c r="F24" i="82"/>
  <c r="C24" i="82"/>
  <c r="AP23" i="82"/>
  <c r="AJ23" i="82"/>
  <c r="AG23" i="82"/>
  <c r="AF23" i="82"/>
  <c r="AD23" i="82"/>
  <c r="AC23" i="82"/>
  <c r="AB23" i="82"/>
  <c r="AA23" i="82"/>
  <c r="Z23" i="82"/>
  <c r="Y23" i="82"/>
  <c r="X23" i="82"/>
  <c r="W23" i="82"/>
  <c r="V23" i="82"/>
  <c r="U23" i="82"/>
  <c r="T23" i="82"/>
  <c r="S23" i="82"/>
  <c r="H23" i="82"/>
  <c r="C23" i="82"/>
  <c r="B23" i="82"/>
  <c r="AP22" i="82"/>
  <c r="AB20" i="82"/>
  <c r="AA20" i="82"/>
  <c r="AC15" i="82"/>
  <c r="Z15" i="82"/>
  <c r="W15" i="82"/>
  <c r="AJ14" i="82"/>
  <c r="AC14" i="82"/>
  <c r="AB14" i="82"/>
  <c r="AA14" i="82"/>
  <c r="Z14" i="82"/>
  <c r="Y14" i="82"/>
  <c r="X14" i="82"/>
  <c r="W14" i="82"/>
  <c r="V14" i="82"/>
  <c r="U14" i="82"/>
  <c r="F14" i="82"/>
  <c r="AG13" i="82"/>
  <c r="AF13" i="82"/>
  <c r="AD13" i="82"/>
  <c r="AC13" i="82"/>
  <c r="AB13" i="82"/>
  <c r="AA13" i="82"/>
  <c r="Z13" i="82"/>
  <c r="Y13" i="82"/>
  <c r="X13" i="82"/>
  <c r="W13" i="82"/>
  <c r="V13" i="82"/>
  <c r="U13" i="82"/>
  <c r="T13" i="82"/>
  <c r="S13" i="82"/>
  <c r="F13" i="82"/>
  <c r="AP12" i="82"/>
  <c r="AD12" i="82"/>
  <c r="AC12" i="82"/>
  <c r="AB12" i="82"/>
  <c r="AA12" i="82"/>
  <c r="Z12" i="82"/>
  <c r="Y12" i="82"/>
  <c r="X12" i="82"/>
  <c r="W12" i="82"/>
  <c r="V12" i="82"/>
  <c r="U12" i="82"/>
  <c r="T12" i="82"/>
  <c r="S12" i="82"/>
  <c r="C12" i="82"/>
  <c r="AP11" i="82"/>
  <c r="AJ11" i="82"/>
  <c r="AG11" i="82"/>
  <c r="AF11" i="82"/>
  <c r="AD11" i="82"/>
  <c r="AC11" i="82"/>
  <c r="AB11" i="82"/>
  <c r="AA11" i="82"/>
  <c r="Z11" i="82"/>
  <c r="Y11" i="82"/>
  <c r="X11" i="82"/>
  <c r="W11" i="82"/>
  <c r="V11" i="82"/>
  <c r="U11" i="82"/>
  <c r="T11" i="82"/>
  <c r="S11" i="82"/>
  <c r="AP10" i="82"/>
  <c r="AJ10" i="82"/>
  <c r="AG10" i="82"/>
  <c r="AF10" i="82"/>
  <c r="AD10" i="82"/>
  <c r="AC10" i="82"/>
  <c r="AB10" i="82"/>
  <c r="AA10" i="82"/>
  <c r="Z10" i="82"/>
  <c r="Y10" i="82"/>
  <c r="X10" i="82"/>
  <c r="W10" i="82"/>
  <c r="V10" i="82"/>
  <c r="U10" i="82"/>
  <c r="T10" i="82"/>
  <c r="S10" i="82"/>
  <c r="H10" i="82"/>
  <c r="C10" i="82"/>
  <c r="AP9" i="82"/>
  <c r="AJ9" i="82"/>
  <c r="AG9" i="82"/>
  <c r="AF9" i="82"/>
  <c r="AD9" i="82"/>
  <c r="AC9" i="82"/>
  <c r="AB9" i="82"/>
  <c r="AA9" i="82"/>
  <c r="Z9" i="82"/>
  <c r="Y9" i="82"/>
  <c r="X9" i="82"/>
  <c r="W9" i="82"/>
  <c r="V9" i="82"/>
  <c r="U9" i="82"/>
  <c r="T9" i="82"/>
  <c r="S9" i="82"/>
  <c r="H9" i="82"/>
  <c r="C9" i="82"/>
  <c r="AP8" i="82"/>
  <c r="AJ8" i="82"/>
  <c r="AG8" i="82"/>
  <c r="AF8" i="82"/>
  <c r="AD8" i="82"/>
  <c r="AC8" i="82"/>
  <c r="AB8" i="82"/>
  <c r="AA8" i="82"/>
  <c r="Z8" i="82"/>
  <c r="Y8" i="82"/>
  <c r="X8" i="82"/>
  <c r="W8" i="82"/>
  <c r="V8" i="82"/>
  <c r="U8" i="82"/>
  <c r="T8" i="82"/>
  <c r="S8" i="82"/>
  <c r="H8" i="82"/>
  <c r="C8" i="82"/>
  <c r="AP7" i="82"/>
  <c r="AJ7" i="82"/>
  <c r="AG7" i="82"/>
  <c r="AF7" i="82"/>
  <c r="AD7" i="82"/>
  <c r="AC7" i="82"/>
  <c r="AB7" i="82"/>
  <c r="AA7" i="82"/>
  <c r="Z7" i="82"/>
  <c r="Y7" i="82"/>
  <c r="X7" i="82"/>
  <c r="W7" i="82"/>
  <c r="V7" i="82"/>
  <c r="U7" i="82"/>
  <c r="T7" i="82"/>
  <c r="S7" i="82"/>
  <c r="H7" i="82"/>
  <c r="AP6" i="82"/>
  <c r="AB4" i="82"/>
  <c r="X109" i="83"/>
  <c r="U109" i="83"/>
  <c r="X106" i="83"/>
  <c r="U106" i="83"/>
  <c r="X103" i="83"/>
  <c r="U103" i="83"/>
  <c r="X100" i="83"/>
  <c r="U100" i="83"/>
  <c r="X97" i="83"/>
  <c r="U97" i="83"/>
  <c r="X94" i="83"/>
  <c r="U94" i="83"/>
  <c r="AC88" i="83"/>
  <c r="Z88" i="83"/>
  <c r="W88" i="83"/>
  <c r="AJ87" i="83"/>
  <c r="AD87" i="83"/>
  <c r="AC87" i="83"/>
  <c r="AB87" i="83"/>
  <c r="AA87" i="83"/>
  <c r="Z87" i="83"/>
  <c r="Y87" i="83"/>
  <c r="X87" i="83"/>
  <c r="W87" i="83"/>
  <c r="V87" i="83"/>
  <c r="U87" i="83"/>
  <c r="F87" i="83"/>
  <c r="AG86" i="83"/>
  <c r="AF86" i="83"/>
  <c r="Z86" i="83"/>
  <c r="X86" i="83"/>
  <c r="W86" i="83"/>
  <c r="U86" i="83"/>
  <c r="F86" i="83"/>
  <c r="AD85" i="83"/>
  <c r="AC85" i="83"/>
  <c r="AB85" i="83"/>
  <c r="AA85" i="83"/>
  <c r="Z85" i="83"/>
  <c r="Y85" i="83"/>
  <c r="X85" i="83"/>
  <c r="U85" i="83"/>
  <c r="F85" i="83"/>
  <c r="AP84" i="83"/>
  <c r="AJ84" i="83"/>
  <c r="AG84" i="83"/>
  <c r="AF84" i="83"/>
  <c r="AD84" i="83"/>
  <c r="AC84" i="83"/>
  <c r="AB84" i="83"/>
  <c r="AA84" i="83"/>
  <c r="Z84" i="83"/>
  <c r="Y84" i="83"/>
  <c r="X84" i="83"/>
  <c r="W84" i="83"/>
  <c r="V84" i="83"/>
  <c r="U84" i="83"/>
  <c r="AP83" i="83"/>
  <c r="AJ83" i="83"/>
  <c r="AG83" i="83"/>
  <c r="AF83" i="83"/>
  <c r="AD83" i="83"/>
  <c r="AC83" i="83"/>
  <c r="AB83" i="83"/>
  <c r="AA83" i="83"/>
  <c r="Z83" i="83"/>
  <c r="Y83" i="83"/>
  <c r="X83" i="83"/>
  <c r="W83" i="83"/>
  <c r="V83" i="83"/>
  <c r="U83" i="83"/>
  <c r="AP82" i="83"/>
  <c r="AJ82" i="83"/>
  <c r="AG82" i="83"/>
  <c r="AF82" i="83"/>
  <c r="AD82" i="83"/>
  <c r="AC82" i="83"/>
  <c r="AB82" i="83"/>
  <c r="AA82" i="83"/>
  <c r="Z82" i="83"/>
  <c r="Y82" i="83"/>
  <c r="X82" i="83"/>
  <c r="W82" i="83"/>
  <c r="V82" i="83"/>
  <c r="U82" i="83"/>
  <c r="AP81" i="83"/>
  <c r="AJ81" i="83"/>
  <c r="AG81" i="83"/>
  <c r="AF81" i="83"/>
  <c r="AD81" i="83"/>
  <c r="AC81" i="83"/>
  <c r="AB81" i="83"/>
  <c r="AA81" i="83"/>
  <c r="Z81" i="83"/>
  <c r="Y81" i="83"/>
  <c r="X81" i="83"/>
  <c r="W81" i="83"/>
  <c r="V81" i="83"/>
  <c r="U81" i="83"/>
  <c r="AP80" i="83"/>
  <c r="AJ80" i="83"/>
  <c r="AG80" i="83"/>
  <c r="AF80" i="83"/>
  <c r="AD80" i="83"/>
  <c r="AC80" i="83"/>
  <c r="AB80" i="83"/>
  <c r="AA80" i="83"/>
  <c r="Z80" i="83"/>
  <c r="Y80" i="83"/>
  <c r="X80" i="83"/>
  <c r="W80" i="83"/>
  <c r="V80" i="83"/>
  <c r="U80" i="83"/>
  <c r="AP79" i="83"/>
  <c r="AB77" i="83"/>
  <c r="AA77" i="83"/>
  <c r="K73" i="83"/>
  <c r="H73" i="83"/>
  <c r="K71" i="83"/>
  <c r="H71" i="83"/>
  <c r="E71" i="83"/>
  <c r="K70" i="83"/>
  <c r="H70" i="83"/>
  <c r="K68" i="83"/>
  <c r="H68" i="83"/>
  <c r="E68" i="83"/>
  <c r="K67" i="83"/>
  <c r="H67" i="83"/>
  <c r="K65" i="83"/>
  <c r="H65" i="83"/>
  <c r="E65" i="83"/>
  <c r="K64" i="83"/>
  <c r="H64" i="83"/>
  <c r="K62" i="83"/>
  <c r="E62" i="83"/>
  <c r="K61" i="83"/>
  <c r="H61" i="83"/>
  <c r="K59" i="83"/>
  <c r="H59" i="83"/>
  <c r="E59" i="83"/>
  <c r="K58" i="83"/>
  <c r="H58" i="83"/>
  <c r="K56" i="83"/>
  <c r="E56" i="83"/>
  <c r="K53" i="83"/>
  <c r="H53" i="83"/>
  <c r="E51" i="83"/>
  <c r="K50" i="83"/>
  <c r="H50" i="83"/>
  <c r="E48" i="83"/>
  <c r="K47" i="83"/>
  <c r="H47" i="83"/>
  <c r="E45" i="83"/>
  <c r="K44" i="83"/>
  <c r="H44" i="83"/>
  <c r="E42" i="83"/>
  <c r="K41" i="83"/>
  <c r="H41" i="83"/>
  <c r="E39" i="83"/>
  <c r="K38" i="83"/>
  <c r="H38" i="83"/>
  <c r="E36" i="83"/>
  <c r="AC31" i="83"/>
  <c r="Z31" i="83"/>
  <c r="W31" i="83"/>
  <c r="AJ30" i="83"/>
  <c r="AC30" i="83"/>
  <c r="AB30" i="83"/>
  <c r="AA30" i="83"/>
  <c r="Z30" i="83"/>
  <c r="Y30" i="83"/>
  <c r="X30" i="83"/>
  <c r="W30" i="83"/>
  <c r="V30" i="83"/>
  <c r="U30" i="83"/>
  <c r="F30" i="83"/>
  <c r="AG29" i="83"/>
  <c r="AF29" i="83"/>
  <c r="AD29" i="83"/>
  <c r="AC29" i="83"/>
  <c r="AB29" i="83"/>
  <c r="AA29" i="83"/>
  <c r="Z29" i="83"/>
  <c r="Y29" i="83"/>
  <c r="X29" i="83"/>
  <c r="W29" i="83"/>
  <c r="V29" i="83"/>
  <c r="U29" i="83"/>
  <c r="T29" i="83"/>
  <c r="F29" i="83"/>
  <c r="AP28" i="83"/>
  <c r="AD28" i="83"/>
  <c r="AC28" i="83"/>
  <c r="AB28" i="83"/>
  <c r="AA28" i="83"/>
  <c r="Z28" i="83"/>
  <c r="Y28" i="83"/>
  <c r="X28" i="83"/>
  <c r="W28" i="83"/>
  <c r="V28" i="83"/>
  <c r="U28" i="83"/>
  <c r="T28" i="83"/>
  <c r="S28" i="83"/>
  <c r="H28" i="83"/>
  <c r="C28" i="83"/>
  <c r="AP27" i="83"/>
  <c r="AJ27" i="83"/>
  <c r="AG27" i="83"/>
  <c r="AF27" i="83"/>
  <c r="AD27" i="83"/>
  <c r="AC27" i="83"/>
  <c r="AB27" i="83"/>
  <c r="AA27" i="83"/>
  <c r="Z27" i="83"/>
  <c r="Y27" i="83"/>
  <c r="X27" i="83"/>
  <c r="W27" i="83"/>
  <c r="V27" i="83"/>
  <c r="U27" i="83"/>
  <c r="T27" i="83"/>
  <c r="S27" i="83"/>
  <c r="H27" i="83"/>
  <c r="C27" i="83"/>
  <c r="AP26" i="83"/>
  <c r="AJ26" i="83"/>
  <c r="AG26" i="83"/>
  <c r="AF26" i="83"/>
  <c r="AD26" i="83"/>
  <c r="AC26" i="83"/>
  <c r="AB26" i="83"/>
  <c r="AA26" i="83"/>
  <c r="Z26" i="83"/>
  <c r="Y26" i="83"/>
  <c r="X26" i="83"/>
  <c r="W26" i="83"/>
  <c r="V26" i="83"/>
  <c r="U26" i="83"/>
  <c r="T26" i="83"/>
  <c r="S26" i="83"/>
  <c r="H26" i="83"/>
  <c r="C26" i="83"/>
  <c r="AP25" i="83"/>
  <c r="AJ25" i="83"/>
  <c r="AG25" i="83"/>
  <c r="AF25" i="83"/>
  <c r="AD25" i="83"/>
  <c r="AC25" i="83"/>
  <c r="AB25" i="83"/>
  <c r="AA25" i="83"/>
  <c r="Z25" i="83"/>
  <c r="Y25" i="83"/>
  <c r="X25" i="83"/>
  <c r="W25" i="83"/>
  <c r="V25" i="83"/>
  <c r="U25" i="83"/>
  <c r="T25" i="83"/>
  <c r="S25" i="83"/>
  <c r="H25" i="83"/>
  <c r="C25" i="83"/>
  <c r="AP24" i="83"/>
  <c r="AJ24" i="83"/>
  <c r="AG24" i="83"/>
  <c r="AF24" i="83"/>
  <c r="AD24" i="83"/>
  <c r="AC24" i="83"/>
  <c r="AB24" i="83"/>
  <c r="AA24" i="83"/>
  <c r="Z24" i="83"/>
  <c r="Y24" i="83"/>
  <c r="X24" i="83"/>
  <c r="W24" i="83"/>
  <c r="V24" i="83"/>
  <c r="U24" i="83"/>
  <c r="T24" i="83"/>
  <c r="S24" i="83"/>
  <c r="H24" i="83"/>
  <c r="C24" i="83"/>
  <c r="AP23" i="83"/>
  <c r="AJ23" i="83"/>
  <c r="AG23" i="83"/>
  <c r="AF23" i="83"/>
  <c r="AD23" i="83"/>
  <c r="AC23" i="83"/>
  <c r="AB23" i="83"/>
  <c r="AA23" i="83"/>
  <c r="Z23" i="83"/>
  <c r="Y23" i="83"/>
  <c r="X23" i="83"/>
  <c r="W23" i="83"/>
  <c r="V23" i="83"/>
  <c r="U23" i="83"/>
  <c r="T23" i="83"/>
  <c r="S23" i="83"/>
  <c r="H23" i="83"/>
  <c r="C23" i="83"/>
  <c r="B23" i="83"/>
  <c r="AP22" i="83"/>
  <c r="AB20" i="83"/>
  <c r="AA20" i="83"/>
  <c r="AC15" i="83"/>
  <c r="Z15" i="83"/>
  <c r="W15" i="83"/>
  <c r="AJ14" i="83"/>
  <c r="AC14" i="83"/>
  <c r="AB14" i="83"/>
  <c r="AA14" i="83"/>
  <c r="Z14" i="83"/>
  <c r="Y14" i="83"/>
  <c r="X14" i="83"/>
  <c r="W14" i="83"/>
  <c r="V14" i="83"/>
  <c r="U14" i="83"/>
  <c r="F14" i="83"/>
  <c r="AG13" i="83"/>
  <c r="AF13" i="83"/>
  <c r="AD13" i="83"/>
  <c r="AC13" i="83"/>
  <c r="AB13" i="83"/>
  <c r="AA13" i="83"/>
  <c r="Z13" i="83"/>
  <c r="Y13" i="83"/>
  <c r="X13" i="83"/>
  <c r="W13" i="83"/>
  <c r="V13" i="83"/>
  <c r="U13" i="83"/>
  <c r="T13" i="83"/>
  <c r="S13" i="83"/>
  <c r="F13" i="83"/>
  <c r="AP12" i="83"/>
  <c r="AD12" i="83"/>
  <c r="AC12" i="83"/>
  <c r="AB12" i="83"/>
  <c r="AA12" i="83"/>
  <c r="Z12" i="83"/>
  <c r="Y12" i="83"/>
  <c r="X12" i="83"/>
  <c r="W12" i="83"/>
  <c r="V12" i="83"/>
  <c r="U12" i="83"/>
  <c r="T12" i="83"/>
  <c r="S12" i="83"/>
  <c r="H12" i="83"/>
  <c r="C12" i="83"/>
  <c r="AP11" i="83"/>
  <c r="AJ11" i="83"/>
  <c r="AG11" i="83"/>
  <c r="AF11" i="83"/>
  <c r="AD11" i="83"/>
  <c r="AC11" i="83"/>
  <c r="AB11" i="83"/>
  <c r="AA11" i="83"/>
  <c r="Z11" i="83"/>
  <c r="Y11" i="83"/>
  <c r="X11" i="83"/>
  <c r="W11" i="83"/>
  <c r="V11" i="83"/>
  <c r="U11" i="83"/>
  <c r="T11" i="83"/>
  <c r="S11" i="83"/>
  <c r="H11" i="83"/>
  <c r="C11" i="83"/>
  <c r="AP10" i="83"/>
  <c r="AJ10" i="83"/>
  <c r="AG10" i="83"/>
  <c r="AF10" i="83"/>
  <c r="AD10" i="83"/>
  <c r="AC10" i="83"/>
  <c r="AB10" i="83"/>
  <c r="AA10" i="83"/>
  <c r="Z10" i="83"/>
  <c r="Y10" i="83"/>
  <c r="X10" i="83"/>
  <c r="W10" i="83"/>
  <c r="V10" i="83"/>
  <c r="U10" i="83"/>
  <c r="T10" i="83"/>
  <c r="S10" i="83"/>
  <c r="H10" i="83"/>
  <c r="C10" i="83"/>
  <c r="AP9" i="83"/>
  <c r="AJ9" i="83"/>
  <c r="AG9" i="83"/>
  <c r="AF9" i="83"/>
  <c r="AD9" i="83"/>
  <c r="AC9" i="83"/>
  <c r="AB9" i="83"/>
  <c r="AA9" i="83"/>
  <c r="Z9" i="83"/>
  <c r="Y9" i="83"/>
  <c r="X9" i="83"/>
  <c r="W9" i="83"/>
  <c r="V9" i="83"/>
  <c r="U9" i="83"/>
  <c r="T9" i="83"/>
  <c r="S9" i="83"/>
  <c r="H9" i="83"/>
  <c r="C9" i="83"/>
  <c r="AP8" i="83"/>
  <c r="AJ8" i="83"/>
  <c r="AG8" i="83"/>
  <c r="AF8" i="83"/>
  <c r="AD8" i="83"/>
  <c r="AC8" i="83"/>
  <c r="AB8" i="83"/>
  <c r="AA8" i="83"/>
  <c r="Z8" i="83"/>
  <c r="Y8" i="83"/>
  <c r="X8" i="83"/>
  <c r="W8" i="83"/>
  <c r="V8" i="83"/>
  <c r="U8" i="83"/>
  <c r="T8" i="83"/>
  <c r="S8" i="83"/>
  <c r="H8" i="83"/>
  <c r="C8" i="83"/>
  <c r="AP7" i="83"/>
  <c r="AJ7" i="83"/>
  <c r="AG7" i="83"/>
  <c r="AF7" i="83"/>
  <c r="AD7" i="83"/>
  <c r="AC7" i="83"/>
  <c r="AB7" i="83"/>
  <c r="AA7" i="83"/>
  <c r="Z7" i="83"/>
  <c r="Y7" i="83"/>
  <c r="X7" i="83"/>
  <c r="W7" i="83"/>
  <c r="V7" i="83"/>
  <c r="U7" i="83"/>
  <c r="T7" i="83"/>
  <c r="S7" i="83"/>
  <c r="H7" i="83"/>
  <c r="AP6" i="83"/>
  <c r="AB4" i="83"/>
  <c r="X109" i="84"/>
  <c r="U109" i="84"/>
  <c r="X106" i="84"/>
  <c r="U106" i="84"/>
  <c r="X103" i="84"/>
  <c r="U103" i="84"/>
  <c r="X100" i="84"/>
  <c r="U100" i="84"/>
  <c r="X97" i="84"/>
  <c r="U97" i="84"/>
  <c r="X94" i="84"/>
  <c r="U94" i="84"/>
  <c r="AC88" i="84"/>
  <c r="Z88" i="84"/>
  <c r="W88" i="84"/>
  <c r="AJ87" i="84"/>
  <c r="AD87" i="84"/>
  <c r="AC87" i="84"/>
  <c r="AB87" i="84"/>
  <c r="AA87" i="84"/>
  <c r="Z87" i="84"/>
  <c r="Y87" i="84"/>
  <c r="X87" i="84"/>
  <c r="W87" i="84"/>
  <c r="V87" i="84"/>
  <c r="U87" i="84"/>
  <c r="F87" i="84"/>
  <c r="AG86" i="84"/>
  <c r="AF86" i="84"/>
  <c r="Z86" i="84"/>
  <c r="X86" i="84"/>
  <c r="W86" i="84"/>
  <c r="U86" i="84"/>
  <c r="F86" i="84"/>
  <c r="AD85" i="84"/>
  <c r="AC85" i="84"/>
  <c r="AB85" i="84"/>
  <c r="AA85" i="84"/>
  <c r="Z85" i="84"/>
  <c r="Y85" i="84"/>
  <c r="X85" i="84"/>
  <c r="U85" i="84"/>
  <c r="F85" i="84"/>
  <c r="AP84" i="84"/>
  <c r="AJ84" i="84"/>
  <c r="AG84" i="84"/>
  <c r="AF84" i="84"/>
  <c r="AD84" i="84"/>
  <c r="AC84" i="84"/>
  <c r="AB84" i="84"/>
  <c r="AA84" i="84"/>
  <c r="Z84" i="84"/>
  <c r="Y84" i="84"/>
  <c r="X84" i="84"/>
  <c r="W84" i="84"/>
  <c r="V84" i="84"/>
  <c r="U84" i="84"/>
  <c r="AP83" i="84"/>
  <c r="AJ83" i="84"/>
  <c r="AG83" i="84"/>
  <c r="AF83" i="84"/>
  <c r="AD83" i="84"/>
  <c r="AC83" i="84"/>
  <c r="AB83" i="84"/>
  <c r="AA83" i="84"/>
  <c r="Z83" i="84"/>
  <c r="Y83" i="84"/>
  <c r="X83" i="84"/>
  <c r="W83" i="84"/>
  <c r="V83" i="84"/>
  <c r="U83" i="84"/>
  <c r="AP82" i="84"/>
  <c r="AJ82" i="84"/>
  <c r="AG82" i="84"/>
  <c r="AF82" i="84"/>
  <c r="AD82" i="84"/>
  <c r="AC82" i="84"/>
  <c r="AB82" i="84"/>
  <c r="AA82" i="84"/>
  <c r="Z82" i="84"/>
  <c r="Y82" i="84"/>
  <c r="X82" i="84"/>
  <c r="W82" i="84"/>
  <c r="V82" i="84"/>
  <c r="U82" i="84"/>
  <c r="AP81" i="84"/>
  <c r="AJ81" i="84"/>
  <c r="AG81" i="84"/>
  <c r="AF81" i="84"/>
  <c r="AD81" i="84"/>
  <c r="AC81" i="84"/>
  <c r="AB81" i="84"/>
  <c r="AA81" i="84"/>
  <c r="Z81" i="84"/>
  <c r="Y81" i="84"/>
  <c r="X81" i="84"/>
  <c r="W81" i="84"/>
  <c r="V81" i="84"/>
  <c r="U81" i="84"/>
  <c r="AP80" i="84"/>
  <c r="AJ80" i="84"/>
  <c r="AG80" i="84"/>
  <c r="AF80" i="84"/>
  <c r="AD80" i="84"/>
  <c r="AC80" i="84"/>
  <c r="AB80" i="84"/>
  <c r="AA80" i="84"/>
  <c r="Z80" i="84"/>
  <c r="Y80" i="84"/>
  <c r="X80" i="84"/>
  <c r="W80" i="84"/>
  <c r="V80" i="84"/>
  <c r="U80" i="84"/>
  <c r="AP79" i="84"/>
  <c r="AB77" i="84"/>
  <c r="AA77" i="84"/>
  <c r="K73" i="84"/>
  <c r="H73" i="84"/>
  <c r="K71" i="84"/>
  <c r="H71" i="84"/>
  <c r="E71" i="84"/>
  <c r="K70" i="84"/>
  <c r="H70" i="84"/>
  <c r="K68" i="84"/>
  <c r="H68" i="84"/>
  <c r="E68" i="84"/>
  <c r="K67" i="84"/>
  <c r="H67" i="84"/>
  <c r="E65" i="84"/>
  <c r="K64" i="84"/>
  <c r="H64" i="84"/>
  <c r="E62" i="84"/>
  <c r="K61" i="84"/>
  <c r="H61" i="84"/>
  <c r="E59" i="84"/>
  <c r="K58" i="84"/>
  <c r="H58" i="84"/>
  <c r="E56" i="84"/>
  <c r="K53" i="84"/>
  <c r="H53" i="84"/>
  <c r="E51" i="84"/>
  <c r="K50" i="84"/>
  <c r="H50" i="84"/>
  <c r="K48" i="84"/>
  <c r="H48" i="84"/>
  <c r="E48" i="84"/>
  <c r="K47" i="84"/>
  <c r="H47" i="84"/>
  <c r="K45" i="84"/>
  <c r="H45" i="84"/>
  <c r="E45" i="84"/>
  <c r="K44" i="84"/>
  <c r="H44" i="84"/>
  <c r="E42" i="84"/>
  <c r="K41" i="84"/>
  <c r="H41" i="84"/>
  <c r="K39" i="84"/>
  <c r="H39" i="84"/>
  <c r="E39" i="84"/>
  <c r="K38" i="84"/>
  <c r="H38" i="84"/>
  <c r="K36" i="84"/>
  <c r="E36" i="84"/>
  <c r="AC31" i="84"/>
  <c r="Z31" i="84"/>
  <c r="W31" i="84"/>
  <c r="AJ30" i="84"/>
  <c r="AC30" i="84"/>
  <c r="AB30" i="84"/>
  <c r="AA30" i="84"/>
  <c r="Z30" i="84"/>
  <c r="Y30" i="84"/>
  <c r="X30" i="84"/>
  <c r="W30" i="84"/>
  <c r="V30" i="84"/>
  <c r="U30" i="84"/>
  <c r="F30" i="84"/>
  <c r="AG29" i="84"/>
  <c r="AF29" i="84"/>
  <c r="AD29" i="84"/>
  <c r="AC29" i="84"/>
  <c r="AB29" i="84"/>
  <c r="AA29" i="84"/>
  <c r="Z29" i="84"/>
  <c r="Y29" i="84"/>
  <c r="X29" i="84"/>
  <c r="W29" i="84"/>
  <c r="V29" i="84"/>
  <c r="U29" i="84"/>
  <c r="T29" i="84"/>
  <c r="F29" i="84"/>
  <c r="AP28" i="84"/>
  <c r="AD28" i="84"/>
  <c r="AC28" i="84"/>
  <c r="AB28" i="84"/>
  <c r="AA28" i="84"/>
  <c r="Z28" i="84"/>
  <c r="Y28" i="84"/>
  <c r="X28" i="84"/>
  <c r="W28" i="84"/>
  <c r="V28" i="84"/>
  <c r="U28" i="84"/>
  <c r="T28" i="84"/>
  <c r="S28" i="84"/>
  <c r="H28" i="84"/>
  <c r="C28" i="84"/>
  <c r="AP27" i="84"/>
  <c r="AJ27" i="84"/>
  <c r="AG27" i="84"/>
  <c r="AF27" i="84"/>
  <c r="AD27" i="84"/>
  <c r="AC27" i="84"/>
  <c r="AB27" i="84"/>
  <c r="AA27" i="84"/>
  <c r="Z27" i="84"/>
  <c r="Y27" i="84"/>
  <c r="X27" i="84"/>
  <c r="W27" i="84"/>
  <c r="V27" i="84"/>
  <c r="U27" i="84"/>
  <c r="T27" i="84"/>
  <c r="S27" i="84"/>
  <c r="H27" i="84"/>
  <c r="C27" i="84"/>
  <c r="AP26" i="84"/>
  <c r="AJ26" i="84"/>
  <c r="AG26" i="84"/>
  <c r="AF26" i="84"/>
  <c r="AD26" i="84"/>
  <c r="AC26" i="84"/>
  <c r="AB26" i="84"/>
  <c r="AA26" i="84"/>
  <c r="Z26" i="84"/>
  <c r="Y26" i="84"/>
  <c r="X26" i="84"/>
  <c r="W26" i="84"/>
  <c r="V26" i="84"/>
  <c r="U26" i="84"/>
  <c r="T26" i="84"/>
  <c r="S26" i="84"/>
  <c r="H26" i="84"/>
  <c r="C26" i="84"/>
  <c r="AP25" i="84"/>
  <c r="AJ25" i="84"/>
  <c r="AG25" i="84"/>
  <c r="AF25" i="84"/>
  <c r="AD25" i="84"/>
  <c r="AC25" i="84"/>
  <c r="AB25" i="84"/>
  <c r="AA25" i="84"/>
  <c r="Z25" i="84"/>
  <c r="Y25" i="84"/>
  <c r="X25" i="84"/>
  <c r="W25" i="84"/>
  <c r="V25" i="84"/>
  <c r="U25" i="84"/>
  <c r="T25" i="84"/>
  <c r="S25" i="84"/>
  <c r="H25" i="84"/>
  <c r="C25" i="84"/>
  <c r="AP24" i="84"/>
  <c r="AJ24" i="84"/>
  <c r="AG24" i="84"/>
  <c r="AF24" i="84"/>
  <c r="AD24" i="84"/>
  <c r="AC24" i="84"/>
  <c r="AB24" i="84"/>
  <c r="AA24" i="84"/>
  <c r="Z24" i="84"/>
  <c r="Y24" i="84"/>
  <c r="X24" i="84"/>
  <c r="W24" i="84"/>
  <c r="V24" i="84"/>
  <c r="U24" i="84"/>
  <c r="T24" i="84"/>
  <c r="S24" i="84"/>
  <c r="H24" i="84"/>
  <c r="C24" i="84"/>
  <c r="AP23" i="84"/>
  <c r="AJ23" i="84"/>
  <c r="AG23" i="84"/>
  <c r="AF23" i="84"/>
  <c r="AD23" i="84"/>
  <c r="AC23" i="84"/>
  <c r="AB23" i="84"/>
  <c r="AA23" i="84"/>
  <c r="Z23" i="84"/>
  <c r="Y23" i="84"/>
  <c r="X23" i="84"/>
  <c r="W23" i="84"/>
  <c r="V23" i="84"/>
  <c r="U23" i="84"/>
  <c r="T23" i="84"/>
  <c r="S23" i="84"/>
  <c r="H23" i="84"/>
  <c r="C23" i="84"/>
  <c r="B23" i="84"/>
  <c r="AP22" i="84"/>
  <c r="AB20" i="84"/>
  <c r="AA20" i="84"/>
  <c r="AC15" i="84"/>
  <c r="Z15" i="84"/>
  <c r="W15" i="84"/>
  <c r="AJ14" i="84"/>
  <c r="AC14" i="84"/>
  <c r="AB14" i="84"/>
  <c r="AA14" i="84"/>
  <c r="Z14" i="84"/>
  <c r="Y14" i="84"/>
  <c r="X14" i="84"/>
  <c r="W14" i="84"/>
  <c r="V14" i="84"/>
  <c r="U14" i="84"/>
  <c r="F14" i="84"/>
  <c r="AG13" i="84"/>
  <c r="AF13" i="84"/>
  <c r="AD13" i="84"/>
  <c r="AC13" i="84"/>
  <c r="AB13" i="84"/>
  <c r="AA13" i="84"/>
  <c r="Z13" i="84"/>
  <c r="Y13" i="84"/>
  <c r="X13" i="84"/>
  <c r="W13" i="84"/>
  <c r="V13" i="84"/>
  <c r="U13" i="84"/>
  <c r="T13" i="84"/>
  <c r="S13" i="84"/>
  <c r="F13" i="84"/>
  <c r="AP12" i="84"/>
  <c r="AD12" i="84"/>
  <c r="AC12" i="84"/>
  <c r="AB12" i="84"/>
  <c r="AA12" i="84"/>
  <c r="Z12" i="84"/>
  <c r="Y12" i="84"/>
  <c r="X12" i="84"/>
  <c r="W12" i="84"/>
  <c r="V12" i="84"/>
  <c r="U12" i="84"/>
  <c r="T12" i="84"/>
  <c r="S12" i="84"/>
  <c r="H12" i="84"/>
  <c r="F12" i="84"/>
  <c r="C12" i="84"/>
  <c r="AP11" i="84"/>
  <c r="AJ11" i="84"/>
  <c r="AG11" i="84"/>
  <c r="AF11" i="84"/>
  <c r="AD11" i="84"/>
  <c r="AC11" i="84"/>
  <c r="AB11" i="84"/>
  <c r="AA11" i="84"/>
  <c r="Z11" i="84"/>
  <c r="Y11" i="84"/>
  <c r="X11" i="84"/>
  <c r="W11" i="84"/>
  <c r="V11" i="84"/>
  <c r="U11" i="84"/>
  <c r="T11" i="84"/>
  <c r="S11" i="84"/>
  <c r="H11" i="84"/>
  <c r="C11" i="84"/>
  <c r="AP10" i="84"/>
  <c r="AJ10" i="84"/>
  <c r="AG10" i="84"/>
  <c r="AF10" i="84"/>
  <c r="AD10" i="84"/>
  <c r="AC10" i="84"/>
  <c r="AB10" i="84"/>
  <c r="AA10" i="84"/>
  <c r="Z10" i="84"/>
  <c r="Y10" i="84"/>
  <c r="X10" i="84"/>
  <c r="W10" i="84"/>
  <c r="V10" i="84"/>
  <c r="U10" i="84"/>
  <c r="T10" i="84"/>
  <c r="S10" i="84"/>
  <c r="H10" i="84"/>
  <c r="C10" i="84"/>
  <c r="AP9" i="84"/>
  <c r="AJ9" i="84"/>
  <c r="AG9" i="84"/>
  <c r="AF9" i="84"/>
  <c r="AC9" i="84"/>
  <c r="AB9" i="84"/>
  <c r="AA9" i="84"/>
  <c r="Z9" i="84"/>
  <c r="Y9" i="84"/>
  <c r="X9" i="84"/>
  <c r="W9" i="84"/>
  <c r="V9" i="84"/>
  <c r="U9" i="84"/>
  <c r="T9" i="84"/>
  <c r="S9" i="84"/>
  <c r="H9" i="84"/>
  <c r="C9" i="84"/>
  <c r="AP8" i="84"/>
  <c r="AJ8" i="84"/>
  <c r="AG8" i="84"/>
  <c r="AF8" i="84"/>
  <c r="AD8" i="84"/>
  <c r="AC8" i="84"/>
  <c r="AB8" i="84"/>
  <c r="AA8" i="84"/>
  <c r="Z8" i="84"/>
  <c r="Y8" i="84"/>
  <c r="X8" i="84"/>
  <c r="W8" i="84"/>
  <c r="V8" i="84"/>
  <c r="U8" i="84"/>
  <c r="T8" i="84"/>
  <c r="S8" i="84"/>
  <c r="H8" i="84"/>
  <c r="C8" i="84"/>
  <c r="AP7" i="84"/>
  <c r="AJ7" i="84"/>
  <c r="AG7" i="84"/>
  <c r="AF7" i="84"/>
  <c r="AC7" i="84"/>
  <c r="AB7" i="84"/>
  <c r="AA7" i="84"/>
  <c r="Z7" i="84"/>
  <c r="Y7" i="84"/>
  <c r="X7" i="84"/>
  <c r="W7" i="84"/>
  <c r="V7" i="84"/>
  <c r="U7" i="84"/>
  <c r="T7" i="84"/>
  <c r="S7" i="84"/>
  <c r="H7" i="84"/>
  <c r="AP6" i="84"/>
  <c r="AB4" i="84"/>
  <c r="X109" i="85"/>
  <c r="U109" i="85"/>
  <c r="X106" i="85"/>
  <c r="U106" i="85"/>
  <c r="X103" i="85"/>
  <c r="U103" i="85"/>
  <c r="X100" i="85"/>
  <c r="U100" i="85"/>
  <c r="X97" i="85"/>
  <c r="U97" i="85"/>
  <c r="X94" i="85"/>
  <c r="U94" i="85"/>
  <c r="AC88" i="85"/>
  <c r="Z88" i="85"/>
  <c r="W88" i="85"/>
  <c r="AJ87" i="85"/>
  <c r="AD87" i="85"/>
  <c r="AC87" i="85"/>
  <c r="AB87" i="85"/>
  <c r="AA87" i="85"/>
  <c r="Z87" i="85"/>
  <c r="Y87" i="85"/>
  <c r="X87" i="85"/>
  <c r="W87" i="85"/>
  <c r="V87" i="85"/>
  <c r="U87" i="85"/>
  <c r="F87" i="85"/>
  <c r="AG86" i="85"/>
  <c r="AF86" i="85"/>
  <c r="Z86" i="85"/>
  <c r="X86" i="85"/>
  <c r="W86" i="85"/>
  <c r="U86" i="85"/>
  <c r="F86" i="85"/>
  <c r="AD85" i="85"/>
  <c r="AC85" i="85"/>
  <c r="AB85" i="85"/>
  <c r="AA85" i="85"/>
  <c r="Z85" i="85"/>
  <c r="Y85" i="85"/>
  <c r="X85" i="85"/>
  <c r="U85" i="85"/>
  <c r="F85" i="85"/>
  <c r="AP84" i="85"/>
  <c r="AJ84" i="85"/>
  <c r="AG84" i="85"/>
  <c r="AF84" i="85"/>
  <c r="AD84" i="85"/>
  <c r="AC84" i="85"/>
  <c r="AB84" i="85"/>
  <c r="AA84" i="85"/>
  <c r="Z84" i="85"/>
  <c r="Y84" i="85"/>
  <c r="X84" i="85"/>
  <c r="W84" i="85"/>
  <c r="V84" i="85"/>
  <c r="U84" i="85"/>
  <c r="AP83" i="85"/>
  <c r="AJ83" i="85"/>
  <c r="AG83" i="85"/>
  <c r="AF83" i="85"/>
  <c r="AD83" i="85"/>
  <c r="AC83" i="85"/>
  <c r="AB83" i="85"/>
  <c r="AA83" i="85"/>
  <c r="Z83" i="85"/>
  <c r="Y83" i="85"/>
  <c r="X83" i="85"/>
  <c r="W83" i="85"/>
  <c r="V83" i="85"/>
  <c r="U83" i="85"/>
  <c r="AP82" i="85"/>
  <c r="AJ82" i="85"/>
  <c r="AG82" i="85"/>
  <c r="AF82" i="85"/>
  <c r="AD82" i="85"/>
  <c r="AC82" i="85"/>
  <c r="AB82" i="85"/>
  <c r="AA82" i="85"/>
  <c r="Z82" i="85"/>
  <c r="Y82" i="85"/>
  <c r="X82" i="85"/>
  <c r="W82" i="85"/>
  <c r="V82" i="85"/>
  <c r="U82" i="85"/>
  <c r="AP81" i="85"/>
  <c r="AJ81" i="85"/>
  <c r="AG81" i="85"/>
  <c r="AF81" i="85"/>
  <c r="AD81" i="85"/>
  <c r="AC81" i="85"/>
  <c r="AB81" i="85"/>
  <c r="AA81" i="85"/>
  <c r="Z81" i="85"/>
  <c r="Y81" i="85"/>
  <c r="X81" i="85"/>
  <c r="W81" i="85"/>
  <c r="V81" i="85"/>
  <c r="U81" i="85"/>
  <c r="AP80" i="85"/>
  <c r="AJ80" i="85"/>
  <c r="AG80" i="85"/>
  <c r="AF80" i="85"/>
  <c r="AD80" i="85"/>
  <c r="AC80" i="85"/>
  <c r="AB80" i="85"/>
  <c r="AA80" i="85"/>
  <c r="Z80" i="85"/>
  <c r="Y80" i="85"/>
  <c r="X80" i="85"/>
  <c r="W80" i="85"/>
  <c r="V80" i="85"/>
  <c r="U80" i="85"/>
  <c r="AP79" i="85"/>
  <c r="AB77" i="85"/>
  <c r="AA77" i="85"/>
  <c r="K73" i="85"/>
  <c r="H73" i="85"/>
  <c r="E71" i="85"/>
  <c r="K70" i="85"/>
  <c r="H70" i="85"/>
  <c r="K68" i="85"/>
  <c r="H68" i="85"/>
  <c r="E68" i="85"/>
  <c r="K67" i="85"/>
  <c r="H67" i="85"/>
  <c r="E65" i="85"/>
  <c r="K64" i="85"/>
  <c r="H64" i="85"/>
  <c r="K62" i="85"/>
  <c r="H62" i="85"/>
  <c r="E62" i="85"/>
  <c r="K61" i="85"/>
  <c r="H61" i="85"/>
  <c r="K60" i="85"/>
  <c r="K59" i="85"/>
  <c r="H59" i="85"/>
  <c r="E59" i="85"/>
  <c r="K58" i="85"/>
  <c r="H58" i="85"/>
  <c r="K56" i="85"/>
  <c r="H56" i="85"/>
  <c r="E56" i="85"/>
  <c r="K53" i="85"/>
  <c r="H53" i="85"/>
  <c r="K51" i="85"/>
  <c r="H51" i="85"/>
  <c r="E51" i="85"/>
  <c r="K50" i="85"/>
  <c r="H50" i="85"/>
  <c r="K48" i="85"/>
  <c r="H48" i="85"/>
  <c r="E48" i="85"/>
  <c r="K47" i="85"/>
  <c r="H47" i="85"/>
  <c r="K45" i="85"/>
  <c r="E45" i="85"/>
  <c r="K44" i="85"/>
  <c r="H44" i="85"/>
  <c r="K42" i="85"/>
  <c r="H42" i="85"/>
  <c r="E42" i="85"/>
  <c r="K41" i="85"/>
  <c r="H41" i="85"/>
  <c r="K39" i="85"/>
  <c r="H39" i="85"/>
  <c r="E39" i="85"/>
  <c r="K38" i="85"/>
  <c r="H38" i="85"/>
  <c r="K36" i="85"/>
  <c r="H36" i="85"/>
  <c r="E36" i="85"/>
  <c r="AC31" i="85"/>
  <c r="Z31" i="85"/>
  <c r="W31" i="85"/>
  <c r="AJ30" i="85"/>
  <c r="AC30" i="85"/>
  <c r="AB30" i="85"/>
  <c r="AA30" i="85"/>
  <c r="Z30" i="85"/>
  <c r="Y30" i="85"/>
  <c r="X30" i="85"/>
  <c r="W30" i="85"/>
  <c r="V30" i="85"/>
  <c r="U30" i="85"/>
  <c r="F30" i="85"/>
  <c r="AG29" i="85"/>
  <c r="AF29" i="85"/>
  <c r="AD29" i="85"/>
  <c r="AC29" i="85"/>
  <c r="AB29" i="85"/>
  <c r="AA29" i="85"/>
  <c r="Z29" i="85"/>
  <c r="Y29" i="85"/>
  <c r="X29" i="85"/>
  <c r="W29" i="85"/>
  <c r="V29" i="85"/>
  <c r="U29" i="85"/>
  <c r="T29" i="85"/>
  <c r="F29" i="85"/>
  <c r="AP28" i="85"/>
  <c r="AD28" i="85"/>
  <c r="AC28" i="85"/>
  <c r="AB28" i="85"/>
  <c r="AA28" i="85"/>
  <c r="Z28" i="85"/>
  <c r="Y28" i="85"/>
  <c r="W28" i="85"/>
  <c r="V28" i="85"/>
  <c r="T28" i="85"/>
  <c r="S28" i="85"/>
  <c r="H28" i="85"/>
  <c r="C28" i="85"/>
  <c r="AP27" i="85"/>
  <c r="AJ27" i="85"/>
  <c r="AG27" i="85"/>
  <c r="AF27" i="85"/>
  <c r="AD27" i="85"/>
  <c r="AC27" i="85"/>
  <c r="AB27" i="85"/>
  <c r="AA27" i="85"/>
  <c r="Z27" i="85"/>
  <c r="Y27" i="85"/>
  <c r="X27" i="85"/>
  <c r="W27" i="85"/>
  <c r="V27" i="85"/>
  <c r="U27" i="85"/>
  <c r="T27" i="85"/>
  <c r="S27" i="85"/>
  <c r="H27" i="85"/>
  <c r="C27" i="85"/>
  <c r="AP26" i="85"/>
  <c r="AJ26" i="85"/>
  <c r="AG26" i="85"/>
  <c r="AF26" i="85"/>
  <c r="AD26" i="85"/>
  <c r="AC26" i="85"/>
  <c r="AB26" i="85"/>
  <c r="AA26" i="85"/>
  <c r="Z26" i="85"/>
  <c r="Y26" i="85"/>
  <c r="X26" i="85"/>
  <c r="W26" i="85"/>
  <c r="V26" i="85"/>
  <c r="U26" i="85"/>
  <c r="T26" i="85"/>
  <c r="S26" i="85"/>
  <c r="H26" i="85"/>
  <c r="C26" i="85"/>
  <c r="AP25" i="85"/>
  <c r="AJ25" i="85"/>
  <c r="AG25" i="85"/>
  <c r="AF25" i="85"/>
  <c r="AD25" i="85"/>
  <c r="AC25" i="85"/>
  <c r="AB25" i="85"/>
  <c r="AA25" i="85"/>
  <c r="Z25" i="85"/>
  <c r="Y25" i="85"/>
  <c r="X25" i="85"/>
  <c r="W25" i="85"/>
  <c r="V25" i="85"/>
  <c r="U25" i="85"/>
  <c r="T25" i="85"/>
  <c r="S25" i="85"/>
  <c r="H25" i="85"/>
  <c r="C25" i="85"/>
  <c r="AP24" i="85"/>
  <c r="AJ24" i="85"/>
  <c r="AG24" i="85"/>
  <c r="AF24" i="85"/>
  <c r="AD24" i="85"/>
  <c r="AC24" i="85"/>
  <c r="AB24" i="85"/>
  <c r="AA24" i="85"/>
  <c r="Z24" i="85"/>
  <c r="Y24" i="85"/>
  <c r="X24" i="85"/>
  <c r="W24" i="85"/>
  <c r="V24" i="85"/>
  <c r="U24" i="85"/>
  <c r="T24" i="85"/>
  <c r="S24" i="85"/>
  <c r="H24" i="85"/>
  <c r="C24" i="85"/>
  <c r="AP23" i="85"/>
  <c r="AJ23" i="85"/>
  <c r="AG23" i="85"/>
  <c r="AF23" i="85"/>
  <c r="AD23" i="85"/>
  <c r="AC23" i="85"/>
  <c r="AB23" i="85"/>
  <c r="AA23" i="85"/>
  <c r="Z23" i="85"/>
  <c r="Y23" i="85"/>
  <c r="X23" i="85"/>
  <c r="W23" i="85"/>
  <c r="V23" i="85"/>
  <c r="U23" i="85"/>
  <c r="T23" i="85"/>
  <c r="S23" i="85"/>
  <c r="H23" i="85"/>
  <c r="C23" i="85"/>
  <c r="B23" i="85"/>
  <c r="AP22" i="85"/>
  <c r="AB20" i="85"/>
  <c r="AA20" i="85"/>
  <c r="AC15" i="85"/>
  <c r="Z15" i="85"/>
  <c r="W15" i="85"/>
  <c r="AJ14" i="85"/>
  <c r="AC14" i="85"/>
  <c r="AB14" i="85"/>
  <c r="AA14" i="85"/>
  <c r="Z14" i="85"/>
  <c r="Y14" i="85"/>
  <c r="X14" i="85"/>
  <c r="W14" i="85"/>
  <c r="V14" i="85"/>
  <c r="U14" i="85"/>
  <c r="F14" i="85"/>
  <c r="AG13" i="85"/>
  <c r="AF13" i="85"/>
  <c r="AD13" i="85"/>
  <c r="AC13" i="85"/>
  <c r="AB13" i="85"/>
  <c r="AA13" i="85"/>
  <c r="Z13" i="85"/>
  <c r="Y13" i="85"/>
  <c r="X13" i="85"/>
  <c r="W13" i="85"/>
  <c r="V13" i="85"/>
  <c r="U13" i="85"/>
  <c r="T13" i="85"/>
  <c r="S13" i="85"/>
  <c r="F13" i="85"/>
  <c r="AP12" i="85"/>
  <c r="AD12" i="85"/>
  <c r="AC12" i="85"/>
  <c r="AB12" i="85"/>
  <c r="AA12" i="85"/>
  <c r="Z12" i="85"/>
  <c r="Y12" i="85"/>
  <c r="W12" i="85"/>
  <c r="V12" i="85"/>
  <c r="T12" i="85"/>
  <c r="S12" i="85"/>
  <c r="H12" i="85"/>
  <c r="C12" i="85"/>
  <c r="AP11" i="85"/>
  <c r="AJ11" i="85"/>
  <c r="AG11" i="85"/>
  <c r="AF11" i="85"/>
  <c r="AD11" i="85"/>
  <c r="AC11" i="85"/>
  <c r="AB11" i="85"/>
  <c r="AA11" i="85"/>
  <c r="Z11" i="85"/>
  <c r="Y11" i="85"/>
  <c r="X11" i="85"/>
  <c r="W11" i="85"/>
  <c r="V11" i="85"/>
  <c r="U11" i="85"/>
  <c r="T11" i="85"/>
  <c r="S11" i="85"/>
  <c r="H11" i="85"/>
  <c r="C11" i="85"/>
  <c r="AP10" i="85"/>
  <c r="AJ10" i="85"/>
  <c r="AG10" i="85"/>
  <c r="AF10" i="85"/>
  <c r="AD10" i="85"/>
  <c r="AC10" i="85"/>
  <c r="AB10" i="85"/>
  <c r="AA10" i="85"/>
  <c r="Z10" i="85"/>
  <c r="Y10" i="85"/>
  <c r="X10" i="85"/>
  <c r="W10" i="85"/>
  <c r="V10" i="85"/>
  <c r="U10" i="85"/>
  <c r="T10" i="85"/>
  <c r="S10" i="85"/>
  <c r="H10" i="85"/>
  <c r="F10" i="85"/>
  <c r="C10" i="85"/>
  <c r="AP9" i="85"/>
  <c r="AJ9" i="85"/>
  <c r="AG9" i="85"/>
  <c r="AF9" i="85"/>
  <c r="AD9" i="85"/>
  <c r="AC9" i="85"/>
  <c r="AB9" i="85"/>
  <c r="AA9" i="85"/>
  <c r="Z9" i="85"/>
  <c r="Y9" i="85"/>
  <c r="X9" i="85"/>
  <c r="W9" i="85"/>
  <c r="V9" i="85"/>
  <c r="U9" i="85"/>
  <c r="T9" i="85"/>
  <c r="S9" i="85"/>
  <c r="H9" i="85"/>
  <c r="C9" i="85"/>
  <c r="AP8" i="85"/>
  <c r="AJ8" i="85"/>
  <c r="AG8" i="85"/>
  <c r="AF8" i="85"/>
  <c r="AC8" i="85"/>
  <c r="AB8" i="85"/>
  <c r="AA8" i="85"/>
  <c r="Z8" i="85"/>
  <c r="Y8" i="85"/>
  <c r="X8" i="85"/>
  <c r="W8" i="85"/>
  <c r="V8" i="85"/>
  <c r="U8" i="85"/>
  <c r="T8" i="85"/>
  <c r="S8" i="85"/>
  <c r="H8" i="85"/>
  <c r="C8" i="85"/>
  <c r="AP7" i="85"/>
  <c r="AJ7" i="85"/>
  <c r="AG7" i="85"/>
  <c r="AF7" i="85"/>
  <c r="AD7" i="85"/>
  <c r="AC7" i="85"/>
  <c r="AB7" i="85"/>
  <c r="AA7" i="85"/>
  <c r="Z7" i="85"/>
  <c r="Y7" i="85"/>
  <c r="X7" i="85"/>
  <c r="W7" i="85"/>
  <c r="V7" i="85"/>
  <c r="U7" i="85"/>
  <c r="T7" i="85"/>
  <c r="S7" i="85"/>
  <c r="H7" i="85"/>
  <c r="AP6" i="85"/>
  <c r="AB4" i="85"/>
  <c r="X109" i="86"/>
  <c r="U109" i="86"/>
  <c r="X106" i="86"/>
  <c r="U106" i="86"/>
  <c r="X103" i="86"/>
  <c r="U103" i="86"/>
  <c r="X100" i="86"/>
  <c r="U100" i="86"/>
  <c r="X97" i="86"/>
  <c r="U97" i="86"/>
  <c r="X94" i="86"/>
  <c r="U94" i="86"/>
  <c r="AC88" i="86"/>
  <c r="Z88" i="86"/>
  <c r="W88" i="86"/>
  <c r="AJ87" i="86"/>
  <c r="AD87" i="86"/>
  <c r="AC87" i="86"/>
  <c r="AB87" i="86"/>
  <c r="AA87" i="86"/>
  <c r="Z87" i="86"/>
  <c r="Y87" i="86"/>
  <c r="X87" i="86"/>
  <c r="W87" i="86"/>
  <c r="V87" i="86"/>
  <c r="U87" i="86"/>
  <c r="F87" i="86"/>
  <c r="AG86" i="86"/>
  <c r="AF86" i="86"/>
  <c r="Z86" i="86"/>
  <c r="X86" i="86"/>
  <c r="W86" i="86"/>
  <c r="U86" i="86"/>
  <c r="F86" i="86"/>
  <c r="AD85" i="86"/>
  <c r="AC85" i="86"/>
  <c r="AB85" i="86"/>
  <c r="AA85" i="86"/>
  <c r="Z85" i="86"/>
  <c r="Y85" i="86"/>
  <c r="X85" i="86"/>
  <c r="U85" i="86"/>
  <c r="F85" i="86"/>
  <c r="AP84" i="86"/>
  <c r="AJ84" i="86"/>
  <c r="AG84" i="86"/>
  <c r="AF84" i="86"/>
  <c r="AD84" i="86"/>
  <c r="AC84" i="86"/>
  <c r="AB84" i="86"/>
  <c r="AA84" i="86"/>
  <c r="Z84" i="86"/>
  <c r="Y84" i="86"/>
  <c r="X84" i="86"/>
  <c r="W84" i="86"/>
  <c r="V84" i="86"/>
  <c r="U84" i="86"/>
  <c r="AP83" i="86"/>
  <c r="AJ83" i="86"/>
  <c r="AG83" i="86"/>
  <c r="AF83" i="86"/>
  <c r="AD83" i="86"/>
  <c r="AC83" i="86"/>
  <c r="AB83" i="86"/>
  <c r="AA83" i="86"/>
  <c r="Z83" i="86"/>
  <c r="Y83" i="86"/>
  <c r="X83" i="86"/>
  <c r="W83" i="86"/>
  <c r="V83" i="86"/>
  <c r="U83" i="86"/>
  <c r="AP82" i="86"/>
  <c r="AJ82" i="86"/>
  <c r="AG82" i="86"/>
  <c r="AF82" i="86"/>
  <c r="AD82" i="86"/>
  <c r="AC82" i="86"/>
  <c r="AB82" i="86"/>
  <c r="AA82" i="86"/>
  <c r="Z82" i="86"/>
  <c r="Y82" i="86"/>
  <c r="X82" i="86"/>
  <c r="W82" i="86"/>
  <c r="V82" i="86"/>
  <c r="U82" i="86"/>
  <c r="AP81" i="86"/>
  <c r="AJ81" i="86"/>
  <c r="AG81" i="86"/>
  <c r="AF81" i="86"/>
  <c r="AD81" i="86"/>
  <c r="AC81" i="86"/>
  <c r="AB81" i="86"/>
  <c r="AA81" i="86"/>
  <c r="Z81" i="86"/>
  <c r="Y81" i="86"/>
  <c r="X81" i="86"/>
  <c r="W81" i="86"/>
  <c r="V81" i="86"/>
  <c r="U81" i="86"/>
  <c r="AP80" i="86"/>
  <c r="AJ80" i="86"/>
  <c r="AG80" i="86"/>
  <c r="AF80" i="86"/>
  <c r="AD80" i="86"/>
  <c r="AC80" i="86"/>
  <c r="AB80" i="86"/>
  <c r="AA80" i="86"/>
  <c r="Z80" i="86"/>
  <c r="Y80" i="86"/>
  <c r="X80" i="86"/>
  <c r="W80" i="86"/>
  <c r="V80" i="86"/>
  <c r="U80" i="86"/>
  <c r="AP79" i="86"/>
  <c r="AB77" i="86"/>
  <c r="AA77" i="86"/>
  <c r="K73" i="86"/>
  <c r="H73" i="86"/>
  <c r="E71" i="86"/>
  <c r="K70" i="86"/>
  <c r="H70" i="86"/>
  <c r="E68" i="86"/>
  <c r="K67" i="86"/>
  <c r="H67" i="86"/>
  <c r="K65" i="86"/>
  <c r="H65" i="86"/>
  <c r="E65" i="86"/>
  <c r="K64" i="86"/>
  <c r="H64" i="86"/>
  <c r="K62" i="86"/>
  <c r="H62" i="86"/>
  <c r="E62" i="86"/>
  <c r="K61" i="86"/>
  <c r="H61" i="86"/>
  <c r="K59" i="86"/>
  <c r="H59" i="86"/>
  <c r="E59" i="86"/>
  <c r="K58" i="86"/>
  <c r="H58" i="86"/>
  <c r="K56" i="86"/>
  <c r="H56" i="86"/>
  <c r="E56" i="86"/>
  <c r="K53" i="86"/>
  <c r="H53" i="86"/>
  <c r="E51" i="86"/>
  <c r="K50" i="86"/>
  <c r="H50" i="86"/>
  <c r="K49" i="86"/>
  <c r="K48" i="86"/>
  <c r="H48" i="86"/>
  <c r="E48" i="86"/>
  <c r="K47" i="86"/>
  <c r="H47" i="86"/>
  <c r="K45" i="86"/>
  <c r="H45" i="86"/>
  <c r="E45" i="86"/>
  <c r="K44" i="86"/>
  <c r="H44" i="86"/>
  <c r="K42" i="86"/>
  <c r="H42" i="86"/>
  <c r="E42" i="86"/>
  <c r="K41" i="86"/>
  <c r="H41" i="86"/>
  <c r="K39" i="86"/>
  <c r="H39" i="86"/>
  <c r="E39" i="86"/>
  <c r="K38" i="86"/>
  <c r="H38" i="86"/>
  <c r="E36" i="86"/>
  <c r="AC31" i="86"/>
  <c r="Z31" i="86"/>
  <c r="W31" i="86"/>
  <c r="AJ30" i="86"/>
  <c r="AC30" i="86"/>
  <c r="AB30" i="86"/>
  <c r="AA30" i="86"/>
  <c r="Z30" i="86"/>
  <c r="Y30" i="86"/>
  <c r="X30" i="86"/>
  <c r="W30" i="86"/>
  <c r="V30" i="86"/>
  <c r="U30" i="86"/>
  <c r="F30" i="86"/>
  <c r="AG29" i="86"/>
  <c r="AF29" i="86"/>
  <c r="AD29" i="86"/>
  <c r="AC29" i="86"/>
  <c r="AB29" i="86"/>
  <c r="AA29" i="86"/>
  <c r="Z29" i="86"/>
  <c r="Y29" i="86"/>
  <c r="X29" i="86"/>
  <c r="W29" i="86"/>
  <c r="V29" i="86"/>
  <c r="U29" i="86"/>
  <c r="T29" i="86"/>
  <c r="F29" i="86"/>
  <c r="AP28" i="86"/>
  <c r="AD28" i="86"/>
  <c r="AC28" i="86"/>
  <c r="AB28" i="86"/>
  <c r="AA28" i="86"/>
  <c r="Z28" i="86"/>
  <c r="Y28" i="86"/>
  <c r="X28" i="86"/>
  <c r="W28" i="86"/>
  <c r="V28" i="86"/>
  <c r="U28" i="86"/>
  <c r="T28" i="86"/>
  <c r="S28" i="86"/>
  <c r="H28" i="86"/>
  <c r="C28" i="86"/>
  <c r="AP27" i="86"/>
  <c r="AJ27" i="86"/>
  <c r="AG27" i="86"/>
  <c r="AF27" i="86"/>
  <c r="AD27" i="86"/>
  <c r="AC27" i="86"/>
  <c r="AB27" i="86"/>
  <c r="AA27" i="86"/>
  <c r="Z27" i="86"/>
  <c r="Y27" i="86"/>
  <c r="X27" i="86"/>
  <c r="W27" i="86"/>
  <c r="V27" i="86"/>
  <c r="U27" i="86"/>
  <c r="T27" i="86"/>
  <c r="S27" i="86"/>
  <c r="H27" i="86"/>
  <c r="C27" i="86"/>
  <c r="AP26" i="86"/>
  <c r="AJ26" i="86"/>
  <c r="AG26" i="86"/>
  <c r="AF26" i="86"/>
  <c r="AD26" i="86"/>
  <c r="AC26" i="86"/>
  <c r="AB26" i="86"/>
  <c r="AA26" i="86"/>
  <c r="Z26" i="86"/>
  <c r="Y26" i="86"/>
  <c r="X26" i="86"/>
  <c r="W26" i="86"/>
  <c r="V26" i="86"/>
  <c r="U26" i="86"/>
  <c r="T26" i="86"/>
  <c r="S26" i="86"/>
  <c r="H26" i="86"/>
  <c r="C26" i="86"/>
  <c r="AP25" i="86"/>
  <c r="AJ25" i="86"/>
  <c r="AG25" i="86"/>
  <c r="AF25" i="86"/>
  <c r="AD25" i="86"/>
  <c r="AC25" i="86"/>
  <c r="AB25" i="86"/>
  <c r="AA25" i="86"/>
  <c r="Z25" i="86"/>
  <c r="Y25" i="86"/>
  <c r="X25" i="86"/>
  <c r="W25" i="86"/>
  <c r="V25" i="86"/>
  <c r="U25" i="86"/>
  <c r="T25" i="86"/>
  <c r="S25" i="86"/>
  <c r="H25" i="86"/>
  <c r="C25" i="86"/>
  <c r="AP24" i="86"/>
  <c r="AJ24" i="86"/>
  <c r="AG24" i="86"/>
  <c r="AF24" i="86"/>
  <c r="AD24" i="86"/>
  <c r="AC24" i="86"/>
  <c r="AB24" i="86"/>
  <c r="AA24" i="86"/>
  <c r="Z24" i="86"/>
  <c r="Y24" i="86"/>
  <c r="X24" i="86"/>
  <c r="W24" i="86"/>
  <c r="V24" i="86"/>
  <c r="U24" i="86"/>
  <c r="T24" i="86"/>
  <c r="S24" i="86"/>
  <c r="H24" i="86"/>
  <c r="C24" i="86"/>
  <c r="AP23" i="86"/>
  <c r="AJ23" i="86"/>
  <c r="AG23" i="86"/>
  <c r="AF23" i="86"/>
  <c r="AD23" i="86"/>
  <c r="AC23" i="86"/>
  <c r="AB23" i="86"/>
  <c r="AA23" i="86"/>
  <c r="Z23" i="86"/>
  <c r="Y23" i="86"/>
  <c r="X23" i="86"/>
  <c r="W23" i="86"/>
  <c r="V23" i="86"/>
  <c r="U23" i="86"/>
  <c r="T23" i="86"/>
  <c r="S23" i="86"/>
  <c r="H23" i="86"/>
  <c r="C23" i="86"/>
  <c r="B23" i="86"/>
  <c r="AP22" i="86"/>
  <c r="AB20" i="86"/>
  <c r="AA20" i="86"/>
  <c r="AC15" i="86"/>
  <c r="Z15" i="86"/>
  <c r="W15" i="86"/>
  <c r="AJ14" i="86"/>
  <c r="AC14" i="86"/>
  <c r="AB14" i="86"/>
  <c r="AA14" i="86"/>
  <c r="Z14" i="86"/>
  <c r="Y14" i="86"/>
  <c r="X14" i="86"/>
  <c r="W14" i="86"/>
  <c r="V14" i="86"/>
  <c r="U14" i="86"/>
  <c r="F14" i="86"/>
  <c r="AG13" i="86"/>
  <c r="AF13" i="86"/>
  <c r="AD13" i="86"/>
  <c r="AC13" i="86"/>
  <c r="AB13" i="86"/>
  <c r="AA13" i="86"/>
  <c r="Z13" i="86"/>
  <c r="Y13" i="86"/>
  <c r="X13" i="86"/>
  <c r="W13" i="86"/>
  <c r="V13" i="86"/>
  <c r="U13" i="86"/>
  <c r="T13" i="86"/>
  <c r="S13" i="86"/>
  <c r="F13" i="86"/>
  <c r="AP12" i="86"/>
  <c r="AD12" i="86"/>
  <c r="AC12" i="86"/>
  <c r="AB12" i="86"/>
  <c r="AA12" i="86"/>
  <c r="Z12" i="86"/>
  <c r="Y12" i="86"/>
  <c r="X12" i="86"/>
  <c r="W12" i="86"/>
  <c r="V12" i="86"/>
  <c r="U12" i="86"/>
  <c r="T12" i="86"/>
  <c r="S12" i="86"/>
  <c r="H12" i="86"/>
  <c r="C12" i="86"/>
  <c r="AP11" i="86"/>
  <c r="AJ11" i="86"/>
  <c r="AG11" i="86"/>
  <c r="AF11" i="86"/>
  <c r="AD11" i="86"/>
  <c r="AC11" i="86"/>
  <c r="AB11" i="86"/>
  <c r="AA11" i="86"/>
  <c r="Z11" i="86"/>
  <c r="Y11" i="86"/>
  <c r="X11" i="86"/>
  <c r="W11" i="86"/>
  <c r="V11" i="86"/>
  <c r="U11" i="86"/>
  <c r="T11" i="86"/>
  <c r="S11" i="86"/>
  <c r="H11" i="86"/>
  <c r="C11" i="86"/>
  <c r="AP10" i="86"/>
  <c r="AJ10" i="86"/>
  <c r="AG10" i="86"/>
  <c r="AF10" i="86"/>
  <c r="AD10" i="86"/>
  <c r="AC10" i="86"/>
  <c r="AB10" i="86"/>
  <c r="AA10" i="86"/>
  <c r="Z10" i="86"/>
  <c r="Y10" i="86"/>
  <c r="X10" i="86"/>
  <c r="W10" i="86"/>
  <c r="V10" i="86"/>
  <c r="U10" i="86"/>
  <c r="T10" i="86"/>
  <c r="S10" i="86"/>
  <c r="H10" i="86"/>
  <c r="C10" i="86"/>
  <c r="AP9" i="86"/>
  <c r="AJ9" i="86"/>
  <c r="AG9" i="86"/>
  <c r="AF9" i="86"/>
  <c r="AD9" i="86"/>
  <c r="AC9" i="86"/>
  <c r="AB9" i="86"/>
  <c r="AA9" i="86"/>
  <c r="Z9" i="86"/>
  <c r="Y9" i="86"/>
  <c r="X9" i="86"/>
  <c r="W9" i="86"/>
  <c r="V9" i="86"/>
  <c r="U9" i="86"/>
  <c r="T9" i="86"/>
  <c r="S9" i="86"/>
  <c r="H9" i="86"/>
  <c r="C9" i="86"/>
  <c r="AP8" i="86"/>
  <c r="AJ8" i="86"/>
  <c r="AG8" i="86"/>
  <c r="AF8" i="86"/>
  <c r="AD8" i="86"/>
  <c r="AC8" i="86"/>
  <c r="AB8" i="86"/>
  <c r="AA8" i="86"/>
  <c r="Z8" i="86"/>
  <c r="Y8" i="86"/>
  <c r="X8" i="86"/>
  <c r="W8" i="86"/>
  <c r="V8" i="86"/>
  <c r="U8" i="86"/>
  <c r="T8" i="86"/>
  <c r="S8" i="86"/>
  <c r="H8" i="86"/>
  <c r="C8" i="86"/>
  <c r="AP7" i="86"/>
  <c r="AJ7" i="86"/>
  <c r="AG7" i="86"/>
  <c r="AF7" i="86"/>
  <c r="AD7" i="86"/>
  <c r="AC7" i="86"/>
  <c r="AB7" i="86"/>
  <c r="AA7" i="86"/>
  <c r="Z7" i="86"/>
  <c r="Y7" i="86"/>
  <c r="X7" i="86"/>
  <c r="W7" i="86"/>
  <c r="V7" i="86"/>
  <c r="U7" i="86"/>
  <c r="T7" i="86"/>
  <c r="S7" i="86"/>
  <c r="H7" i="86"/>
  <c r="AP6" i="86"/>
  <c r="AB4" i="86"/>
  <c r="X109" i="87"/>
  <c r="U109" i="87"/>
  <c r="X106" i="87"/>
  <c r="U106" i="87"/>
  <c r="X103" i="87"/>
  <c r="U103" i="87"/>
  <c r="X100" i="87"/>
  <c r="U100" i="87"/>
  <c r="X97" i="87"/>
  <c r="U97" i="87"/>
  <c r="X94" i="87"/>
  <c r="U94" i="87"/>
  <c r="AC88" i="87"/>
  <c r="Z88" i="87"/>
  <c r="W88" i="87"/>
  <c r="AJ87" i="87"/>
  <c r="AD87" i="87"/>
  <c r="AC87" i="87"/>
  <c r="AB87" i="87"/>
  <c r="AA87" i="87"/>
  <c r="Z87" i="87"/>
  <c r="Y87" i="87"/>
  <c r="X87" i="87"/>
  <c r="W87" i="87"/>
  <c r="V87" i="87"/>
  <c r="U87" i="87"/>
  <c r="F87" i="87"/>
  <c r="AG86" i="87"/>
  <c r="AF86" i="87"/>
  <c r="Z86" i="87"/>
  <c r="X86" i="87"/>
  <c r="W86" i="87"/>
  <c r="U86" i="87"/>
  <c r="F86" i="87"/>
  <c r="AD85" i="87"/>
  <c r="AC85" i="87"/>
  <c r="AB85" i="87"/>
  <c r="AA85" i="87"/>
  <c r="Z85" i="87"/>
  <c r="Y85" i="87"/>
  <c r="X85" i="87"/>
  <c r="U85" i="87"/>
  <c r="F85" i="87"/>
  <c r="AP84" i="87"/>
  <c r="AJ84" i="87"/>
  <c r="AG84" i="87"/>
  <c r="AF84" i="87"/>
  <c r="AD84" i="87"/>
  <c r="AC84" i="87"/>
  <c r="AB84" i="87"/>
  <c r="AA84" i="87"/>
  <c r="Z84" i="87"/>
  <c r="Y84" i="87"/>
  <c r="X84" i="87"/>
  <c r="W84" i="87"/>
  <c r="V84" i="87"/>
  <c r="U84" i="87"/>
  <c r="AP83" i="87"/>
  <c r="AJ83" i="87"/>
  <c r="AG83" i="87"/>
  <c r="AF83" i="87"/>
  <c r="AD83" i="87"/>
  <c r="AC83" i="87"/>
  <c r="AB83" i="87"/>
  <c r="AA83" i="87"/>
  <c r="Z83" i="87"/>
  <c r="Y83" i="87"/>
  <c r="X83" i="87"/>
  <c r="W83" i="87"/>
  <c r="V83" i="87"/>
  <c r="U83" i="87"/>
  <c r="AP82" i="87"/>
  <c r="AJ82" i="87"/>
  <c r="AG82" i="87"/>
  <c r="AF82" i="87"/>
  <c r="AD82" i="87"/>
  <c r="AC82" i="87"/>
  <c r="AB82" i="87"/>
  <c r="AA82" i="87"/>
  <c r="Z82" i="87"/>
  <c r="Y82" i="87"/>
  <c r="X82" i="87"/>
  <c r="W82" i="87"/>
  <c r="V82" i="87"/>
  <c r="U82" i="87"/>
  <c r="AP81" i="87"/>
  <c r="AJ81" i="87"/>
  <c r="AG81" i="87"/>
  <c r="AF81" i="87"/>
  <c r="AD81" i="87"/>
  <c r="AC81" i="87"/>
  <c r="AB81" i="87"/>
  <c r="AA81" i="87"/>
  <c r="Z81" i="87"/>
  <c r="Y81" i="87"/>
  <c r="X81" i="87"/>
  <c r="W81" i="87"/>
  <c r="V81" i="87"/>
  <c r="U81" i="87"/>
  <c r="AP80" i="87"/>
  <c r="AJ80" i="87"/>
  <c r="AG80" i="87"/>
  <c r="AF80" i="87"/>
  <c r="AD80" i="87"/>
  <c r="AC80" i="87"/>
  <c r="AB80" i="87"/>
  <c r="AA80" i="87"/>
  <c r="Z80" i="87"/>
  <c r="Y80" i="87"/>
  <c r="X80" i="87"/>
  <c r="W80" i="87"/>
  <c r="V80" i="87"/>
  <c r="U80" i="87"/>
  <c r="AP79" i="87"/>
  <c r="AB77" i="87"/>
  <c r="AA77" i="87"/>
  <c r="K73" i="87"/>
  <c r="H73" i="87"/>
  <c r="E71" i="87"/>
  <c r="K70" i="87"/>
  <c r="H70" i="87"/>
  <c r="E68" i="87"/>
  <c r="K67" i="87"/>
  <c r="H67" i="87"/>
  <c r="K65" i="87"/>
  <c r="H65" i="87"/>
  <c r="E65" i="87"/>
  <c r="K64" i="87"/>
  <c r="H64" i="87"/>
  <c r="E62" i="87"/>
  <c r="K61" i="87"/>
  <c r="H61" i="87"/>
  <c r="E59" i="87"/>
  <c r="K58" i="87"/>
  <c r="H58" i="87"/>
  <c r="E56" i="87"/>
  <c r="K53" i="87"/>
  <c r="H53" i="87"/>
  <c r="K51" i="87"/>
  <c r="H51" i="87"/>
  <c r="E51" i="87"/>
  <c r="K50" i="87"/>
  <c r="H50" i="87"/>
  <c r="K48" i="87"/>
  <c r="H48" i="87"/>
  <c r="E48" i="87"/>
  <c r="K47" i="87"/>
  <c r="H47" i="87"/>
  <c r="E45" i="87"/>
  <c r="K44" i="87"/>
  <c r="H44" i="87"/>
  <c r="K42" i="87"/>
  <c r="H42" i="87"/>
  <c r="E42" i="87"/>
  <c r="K41" i="87"/>
  <c r="H41" i="87"/>
  <c r="K39" i="87"/>
  <c r="H39" i="87"/>
  <c r="E39" i="87"/>
  <c r="K38" i="87"/>
  <c r="H38" i="87"/>
  <c r="K36" i="87"/>
  <c r="H36" i="87"/>
  <c r="E36" i="87"/>
  <c r="AC31" i="87"/>
  <c r="Z31" i="87"/>
  <c r="W31" i="87"/>
  <c r="AJ30" i="87"/>
  <c r="AC30" i="87"/>
  <c r="AB30" i="87"/>
  <c r="AA30" i="87"/>
  <c r="Z30" i="87"/>
  <c r="Y30" i="87"/>
  <c r="X30" i="87"/>
  <c r="W30" i="87"/>
  <c r="V30" i="87"/>
  <c r="U30" i="87"/>
  <c r="F30" i="87"/>
  <c r="AG29" i="87"/>
  <c r="AF29" i="87"/>
  <c r="AD29" i="87"/>
  <c r="AC29" i="87"/>
  <c r="AB29" i="87"/>
  <c r="AA29" i="87"/>
  <c r="Z29" i="87"/>
  <c r="Y29" i="87"/>
  <c r="X29" i="87"/>
  <c r="W29" i="87"/>
  <c r="V29" i="87"/>
  <c r="U29" i="87"/>
  <c r="T29" i="87"/>
  <c r="F29" i="87"/>
  <c r="AP28" i="87"/>
  <c r="AD28" i="87"/>
  <c r="AC28" i="87"/>
  <c r="AB28" i="87"/>
  <c r="AA28" i="87"/>
  <c r="Z28" i="87"/>
  <c r="Y28" i="87"/>
  <c r="X28" i="87"/>
  <c r="W28" i="87"/>
  <c r="V28" i="87"/>
  <c r="U28" i="87"/>
  <c r="T28" i="87"/>
  <c r="S28" i="87"/>
  <c r="H28" i="87"/>
  <c r="C28" i="87"/>
  <c r="AP27" i="87"/>
  <c r="AJ27" i="87"/>
  <c r="AG27" i="87"/>
  <c r="AF27" i="87"/>
  <c r="AD27" i="87"/>
  <c r="AC27" i="87"/>
  <c r="AB27" i="87"/>
  <c r="AA27" i="87"/>
  <c r="Z27" i="87"/>
  <c r="Y27" i="87"/>
  <c r="X27" i="87"/>
  <c r="W27" i="87"/>
  <c r="V27" i="87"/>
  <c r="U27" i="87"/>
  <c r="T27" i="87"/>
  <c r="S27" i="87"/>
  <c r="H27" i="87"/>
  <c r="C27" i="87"/>
  <c r="AP26" i="87"/>
  <c r="AJ26" i="87"/>
  <c r="AG26" i="87"/>
  <c r="AF26" i="87"/>
  <c r="AC26" i="87"/>
  <c r="AB26" i="87"/>
  <c r="AA26" i="87"/>
  <c r="Z26" i="87"/>
  <c r="Y26" i="87"/>
  <c r="X26" i="87"/>
  <c r="W26" i="87"/>
  <c r="V26" i="87"/>
  <c r="U26" i="87"/>
  <c r="T26" i="87"/>
  <c r="S26" i="87"/>
  <c r="H26" i="87"/>
  <c r="C26" i="87"/>
  <c r="AP25" i="87"/>
  <c r="AJ25" i="87"/>
  <c r="AG25" i="87"/>
  <c r="AF25" i="87"/>
  <c r="AD25" i="87"/>
  <c r="AC25" i="87"/>
  <c r="AB25" i="87"/>
  <c r="AA25" i="87"/>
  <c r="Z25" i="87"/>
  <c r="Y25" i="87"/>
  <c r="X25" i="87"/>
  <c r="W25" i="87"/>
  <c r="V25" i="87"/>
  <c r="U25" i="87"/>
  <c r="T25" i="87"/>
  <c r="S25" i="87"/>
  <c r="H25" i="87"/>
  <c r="C25" i="87"/>
  <c r="AP24" i="87"/>
  <c r="AJ24" i="87"/>
  <c r="AG24" i="87"/>
  <c r="AF24" i="87"/>
  <c r="AD24" i="87"/>
  <c r="AC24" i="87"/>
  <c r="AB24" i="87"/>
  <c r="AA24" i="87"/>
  <c r="Z24" i="87"/>
  <c r="Y24" i="87"/>
  <c r="X24" i="87"/>
  <c r="W24" i="87"/>
  <c r="V24" i="87"/>
  <c r="U24" i="87"/>
  <c r="T24" i="87"/>
  <c r="S24" i="87"/>
  <c r="H24" i="87"/>
  <c r="C24" i="87"/>
  <c r="AP23" i="87"/>
  <c r="AJ23" i="87"/>
  <c r="AG23" i="87"/>
  <c r="AF23" i="87"/>
  <c r="AD23" i="87"/>
  <c r="AC23" i="87"/>
  <c r="AB23" i="87"/>
  <c r="AA23" i="87"/>
  <c r="Z23" i="87"/>
  <c r="Y23" i="87"/>
  <c r="X23" i="87"/>
  <c r="W23" i="87"/>
  <c r="V23" i="87"/>
  <c r="U23" i="87"/>
  <c r="T23" i="87"/>
  <c r="S23" i="87"/>
  <c r="H23" i="87"/>
  <c r="C23" i="87"/>
  <c r="B23" i="87"/>
  <c r="AP22" i="87"/>
  <c r="AB20" i="87"/>
  <c r="AA20" i="87"/>
  <c r="AC15" i="87"/>
  <c r="Z15" i="87"/>
  <c r="W15" i="87"/>
  <c r="AJ14" i="87"/>
  <c r="AC14" i="87"/>
  <c r="AB14" i="87"/>
  <c r="AA14" i="87"/>
  <c r="Z14" i="87"/>
  <c r="Y14" i="87"/>
  <c r="X14" i="87"/>
  <c r="W14" i="87"/>
  <c r="V14" i="87"/>
  <c r="U14" i="87"/>
  <c r="F14" i="87"/>
  <c r="AG13" i="87"/>
  <c r="AF13" i="87"/>
  <c r="AD13" i="87"/>
  <c r="AC13" i="87"/>
  <c r="AB13" i="87"/>
  <c r="AA13" i="87"/>
  <c r="Z13" i="87"/>
  <c r="Y13" i="87"/>
  <c r="X13" i="87"/>
  <c r="W13" i="87"/>
  <c r="V13" i="87"/>
  <c r="U13" i="87"/>
  <c r="T13" i="87"/>
  <c r="S13" i="87"/>
  <c r="F13" i="87"/>
  <c r="AP12" i="87"/>
  <c r="AD12" i="87"/>
  <c r="AC12" i="87"/>
  <c r="AB12" i="87"/>
  <c r="AA12" i="87"/>
  <c r="Z12" i="87"/>
  <c r="Y12" i="87"/>
  <c r="X12" i="87"/>
  <c r="W12" i="87"/>
  <c r="V12" i="87"/>
  <c r="U12" i="87"/>
  <c r="T12" i="87"/>
  <c r="S12" i="87"/>
  <c r="H12" i="87"/>
  <c r="F12" i="87"/>
  <c r="C12" i="87"/>
  <c r="AP11" i="87"/>
  <c r="AJ11" i="87"/>
  <c r="AG11" i="87"/>
  <c r="AF11" i="87"/>
  <c r="AD11" i="87"/>
  <c r="AC11" i="87"/>
  <c r="AB11" i="87"/>
  <c r="AA11" i="87"/>
  <c r="Z11" i="87"/>
  <c r="Y11" i="87"/>
  <c r="X11" i="87"/>
  <c r="W11" i="87"/>
  <c r="V11" i="87"/>
  <c r="U11" i="87"/>
  <c r="T11" i="87"/>
  <c r="S11" i="87"/>
  <c r="H11" i="87"/>
  <c r="C11" i="87"/>
  <c r="AP10" i="87"/>
  <c r="AJ10" i="87"/>
  <c r="AG10" i="87"/>
  <c r="AF10" i="87"/>
  <c r="AD10" i="87"/>
  <c r="AC10" i="87"/>
  <c r="AB10" i="87"/>
  <c r="AA10" i="87"/>
  <c r="Z10" i="87"/>
  <c r="Y10" i="87"/>
  <c r="X10" i="87"/>
  <c r="W10" i="87"/>
  <c r="V10" i="87"/>
  <c r="U10" i="87"/>
  <c r="T10" i="87"/>
  <c r="S10" i="87"/>
  <c r="H10" i="87"/>
  <c r="C10" i="87"/>
  <c r="AP9" i="87"/>
  <c r="AJ9" i="87"/>
  <c r="AG9" i="87"/>
  <c r="AF9" i="87"/>
  <c r="AD9" i="87"/>
  <c r="AC9" i="87"/>
  <c r="AB9" i="87"/>
  <c r="AA9" i="87"/>
  <c r="Z9" i="87"/>
  <c r="Y9" i="87"/>
  <c r="X9" i="87"/>
  <c r="W9" i="87"/>
  <c r="V9" i="87"/>
  <c r="U9" i="87"/>
  <c r="T9" i="87"/>
  <c r="S9" i="87"/>
  <c r="H9" i="87"/>
  <c r="C9" i="87"/>
  <c r="AP8" i="87"/>
  <c r="AJ8" i="87"/>
  <c r="AG8" i="87"/>
  <c r="AF8" i="87"/>
  <c r="AD8" i="87"/>
  <c r="AC8" i="87"/>
  <c r="AB8" i="87"/>
  <c r="AA8" i="87"/>
  <c r="Z8" i="87"/>
  <c r="Y8" i="87"/>
  <c r="X8" i="87"/>
  <c r="W8" i="87"/>
  <c r="V8" i="87"/>
  <c r="U8" i="87"/>
  <c r="T8" i="87"/>
  <c r="S8" i="87"/>
  <c r="H8" i="87"/>
  <c r="C8" i="87"/>
  <c r="AP7" i="87"/>
  <c r="AJ7" i="87"/>
  <c r="AG7" i="87"/>
  <c r="AF7" i="87"/>
  <c r="AD7" i="87"/>
  <c r="AC7" i="87"/>
  <c r="AB7" i="87"/>
  <c r="AA7" i="87"/>
  <c r="Z7" i="87"/>
  <c r="Y7" i="87"/>
  <c r="X7" i="87"/>
  <c r="W7" i="87"/>
  <c r="V7" i="87"/>
  <c r="U7" i="87"/>
  <c r="T7" i="87"/>
  <c r="S7" i="87"/>
  <c r="H7" i="87"/>
  <c r="F7" i="87"/>
  <c r="AP6" i="87"/>
  <c r="AB4" i="87"/>
  <c r="X109" i="88"/>
  <c r="U109" i="88"/>
  <c r="X106" i="88"/>
  <c r="U106" i="88"/>
  <c r="X103" i="88"/>
  <c r="U103" i="88"/>
  <c r="X100" i="88"/>
  <c r="U100" i="88"/>
  <c r="X97" i="88"/>
  <c r="U97" i="88"/>
  <c r="X94" i="88"/>
  <c r="U94" i="88"/>
  <c r="AC88" i="88"/>
  <c r="Z88" i="88"/>
  <c r="W88" i="88"/>
  <c r="AJ87" i="88"/>
  <c r="AD87" i="88"/>
  <c r="AC87" i="88"/>
  <c r="AB87" i="88"/>
  <c r="AA87" i="88"/>
  <c r="Z87" i="88"/>
  <c r="Y87" i="88"/>
  <c r="X87" i="88"/>
  <c r="W87" i="88"/>
  <c r="V87" i="88"/>
  <c r="U87" i="88"/>
  <c r="F87" i="88"/>
  <c r="AG86" i="88"/>
  <c r="AF86" i="88"/>
  <c r="Z86" i="88"/>
  <c r="X86" i="88"/>
  <c r="W86" i="88"/>
  <c r="U86" i="88"/>
  <c r="F86" i="88"/>
  <c r="AD85" i="88"/>
  <c r="AC85" i="88"/>
  <c r="AB85" i="88"/>
  <c r="AA85" i="88"/>
  <c r="Z85" i="88"/>
  <c r="Y85" i="88"/>
  <c r="X85" i="88"/>
  <c r="U85" i="88"/>
  <c r="F85" i="88"/>
  <c r="AP84" i="88"/>
  <c r="AJ84" i="88"/>
  <c r="AG84" i="88"/>
  <c r="AF84" i="88"/>
  <c r="AD84" i="88"/>
  <c r="AC84" i="88"/>
  <c r="AB84" i="88"/>
  <c r="AA84" i="88"/>
  <c r="Z84" i="88"/>
  <c r="Y84" i="88"/>
  <c r="X84" i="88"/>
  <c r="W84" i="88"/>
  <c r="V84" i="88"/>
  <c r="U84" i="88"/>
  <c r="AP83" i="88"/>
  <c r="AJ83" i="88"/>
  <c r="AG83" i="88"/>
  <c r="AF83" i="88"/>
  <c r="AD83" i="88"/>
  <c r="AC83" i="88"/>
  <c r="AB83" i="88"/>
  <c r="AA83" i="88"/>
  <c r="Z83" i="88"/>
  <c r="Y83" i="88"/>
  <c r="X83" i="88"/>
  <c r="W83" i="88"/>
  <c r="V83" i="88"/>
  <c r="U83" i="88"/>
  <c r="AP82" i="88"/>
  <c r="AJ82" i="88"/>
  <c r="AG82" i="88"/>
  <c r="AF82" i="88"/>
  <c r="AD82" i="88"/>
  <c r="AC82" i="88"/>
  <c r="AB82" i="88"/>
  <c r="AA82" i="88"/>
  <c r="Z82" i="88"/>
  <c r="Y82" i="88"/>
  <c r="X82" i="88"/>
  <c r="W82" i="88"/>
  <c r="V82" i="88"/>
  <c r="U82" i="88"/>
  <c r="AP81" i="88"/>
  <c r="AJ81" i="88"/>
  <c r="AG81" i="88"/>
  <c r="AF81" i="88"/>
  <c r="AD81" i="88"/>
  <c r="AC81" i="88"/>
  <c r="AB81" i="88"/>
  <c r="AA81" i="88"/>
  <c r="Z81" i="88"/>
  <c r="Y81" i="88"/>
  <c r="X81" i="88"/>
  <c r="W81" i="88"/>
  <c r="V81" i="88"/>
  <c r="U81" i="88"/>
  <c r="AP80" i="88"/>
  <c r="AJ80" i="88"/>
  <c r="AG80" i="88"/>
  <c r="AF80" i="88"/>
  <c r="AD80" i="88"/>
  <c r="AC80" i="88"/>
  <c r="AB80" i="88"/>
  <c r="AA80" i="88"/>
  <c r="Z80" i="88"/>
  <c r="Y80" i="88"/>
  <c r="X80" i="88"/>
  <c r="W80" i="88"/>
  <c r="V80" i="88"/>
  <c r="U80" i="88"/>
  <c r="AP79" i="88"/>
  <c r="AB77" i="88"/>
  <c r="AA77" i="88"/>
  <c r="K73" i="88"/>
  <c r="H73" i="88"/>
  <c r="E71" i="88"/>
  <c r="K70" i="88"/>
  <c r="H70" i="88"/>
  <c r="K68" i="88"/>
  <c r="H68" i="88"/>
  <c r="E68" i="88"/>
  <c r="K67" i="88"/>
  <c r="H67" i="88"/>
  <c r="K65" i="88"/>
  <c r="E65" i="88"/>
  <c r="K64" i="88"/>
  <c r="H64" i="88"/>
  <c r="K62" i="88"/>
  <c r="H62" i="88"/>
  <c r="E62" i="88"/>
  <c r="K61" i="88"/>
  <c r="H61" i="88"/>
  <c r="E59" i="88"/>
  <c r="K58" i="88"/>
  <c r="H58" i="88"/>
  <c r="K56" i="88"/>
  <c r="H56" i="88"/>
  <c r="E56" i="88"/>
  <c r="K53" i="88"/>
  <c r="H53" i="88"/>
  <c r="E51" i="88"/>
  <c r="K50" i="88"/>
  <c r="H50" i="88"/>
  <c r="E48" i="88"/>
  <c r="K47" i="88"/>
  <c r="H47" i="88"/>
  <c r="E45" i="88"/>
  <c r="K44" i="88"/>
  <c r="H44" i="88"/>
  <c r="K42" i="88"/>
  <c r="H42" i="88"/>
  <c r="E42" i="88"/>
  <c r="K41" i="88"/>
  <c r="H41" i="88"/>
  <c r="K40" i="88"/>
  <c r="H39" i="88"/>
  <c r="E39" i="88"/>
  <c r="K38" i="88"/>
  <c r="H38" i="88"/>
  <c r="H36" i="88"/>
  <c r="E36" i="88"/>
  <c r="AC31" i="88"/>
  <c r="Z31" i="88"/>
  <c r="W31" i="88"/>
  <c r="AJ30" i="88"/>
  <c r="AC30" i="88"/>
  <c r="AB30" i="88"/>
  <c r="AA30" i="88"/>
  <c r="Z30" i="88"/>
  <c r="Y30" i="88"/>
  <c r="X30" i="88"/>
  <c r="W30" i="88"/>
  <c r="V30" i="88"/>
  <c r="U30" i="88"/>
  <c r="F30" i="88"/>
  <c r="AG29" i="88"/>
  <c r="AF29" i="88"/>
  <c r="AD29" i="88"/>
  <c r="AC29" i="88"/>
  <c r="AB29" i="88"/>
  <c r="AA29" i="88"/>
  <c r="Z29" i="88"/>
  <c r="Y29" i="88"/>
  <c r="X29" i="88"/>
  <c r="W29" i="88"/>
  <c r="V29" i="88"/>
  <c r="U29" i="88"/>
  <c r="T29" i="88"/>
  <c r="F29" i="88"/>
  <c r="AP28" i="88"/>
  <c r="AD28" i="88"/>
  <c r="AC28" i="88"/>
  <c r="AB28" i="88"/>
  <c r="AA28" i="88"/>
  <c r="Z28" i="88"/>
  <c r="Y28" i="88"/>
  <c r="X28" i="88"/>
  <c r="W28" i="88"/>
  <c r="V28" i="88"/>
  <c r="U28" i="88"/>
  <c r="T28" i="88"/>
  <c r="S28" i="88"/>
  <c r="H28" i="88"/>
  <c r="C28" i="88"/>
  <c r="AP27" i="88"/>
  <c r="AJ27" i="88"/>
  <c r="AG27" i="88"/>
  <c r="AF27" i="88"/>
  <c r="AD27" i="88"/>
  <c r="AC27" i="88"/>
  <c r="AB27" i="88"/>
  <c r="AA27" i="88"/>
  <c r="Z27" i="88"/>
  <c r="Y27" i="88"/>
  <c r="X27" i="88"/>
  <c r="W27" i="88"/>
  <c r="V27" i="88"/>
  <c r="U27" i="88"/>
  <c r="T27" i="88"/>
  <c r="S27" i="88"/>
  <c r="H27" i="88"/>
  <c r="F27" i="88"/>
  <c r="C27" i="88"/>
  <c r="AP26" i="88"/>
  <c r="AJ26" i="88"/>
  <c r="AG26" i="88"/>
  <c r="AF26" i="88"/>
  <c r="AD26" i="88"/>
  <c r="AC26" i="88"/>
  <c r="AB26" i="88"/>
  <c r="AA26" i="88"/>
  <c r="Z26" i="88"/>
  <c r="Y26" i="88"/>
  <c r="X26" i="88"/>
  <c r="W26" i="88"/>
  <c r="V26" i="88"/>
  <c r="U26" i="88"/>
  <c r="T26" i="88"/>
  <c r="S26" i="88"/>
  <c r="H26" i="88"/>
  <c r="C26" i="88"/>
  <c r="AP25" i="88"/>
  <c r="AJ25" i="88"/>
  <c r="AG25" i="88"/>
  <c r="AF25" i="88"/>
  <c r="AD25" i="88"/>
  <c r="AC25" i="88"/>
  <c r="AB25" i="88"/>
  <c r="AA25" i="88"/>
  <c r="Z25" i="88"/>
  <c r="Y25" i="88"/>
  <c r="X25" i="88"/>
  <c r="W25" i="88"/>
  <c r="V25" i="88"/>
  <c r="U25" i="88"/>
  <c r="T25" i="88"/>
  <c r="S25" i="88"/>
  <c r="H25" i="88"/>
  <c r="C25" i="88"/>
  <c r="AP24" i="88"/>
  <c r="AJ24" i="88"/>
  <c r="AG24" i="88"/>
  <c r="AF24" i="88"/>
  <c r="AD24" i="88"/>
  <c r="AC24" i="88"/>
  <c r="AB24" i="88"/>
  <c r="AA24" i="88"/>
  <c r="Z24" i="88"/>
  <c r="Y24" i="88"/>
  <c r="X24" i="88"/>
  <c r="W24" i="88"/>
  <c r="V24" i="88"/>
  <c r="U24" i="88"/>
  <c r="T24" i="88"/>
  <c r="S24" i="88"/>
  <c r="H24" i="88"/>
  <c r="C24" i="88"/>
  <c r="AP23" i="88"/>
  <c r="AJ23" i="88"/>
  <c r="AG23" i="88"/>
  <c r="AF23" i="88"/>
  <c r="AD23" i="88"/>
  <c r="AC23" i="88"/>
  <c r="AB23" i="88"/>
  <c r="AA23" i="88"/>
  <c r="Z23" i="88"/>
  <c r="Y23" i="88"/>
  <c r="X23" i="88"/>
  <c r="W23" i="88"/>
  <c r="V23" i="88"/>
  <c r="U23" i="88"/>
  <c r="T23" i="88"/>
  <c r="S23" i="88"/>
  <c r="H23" i="88"/>
  <c r="C23" i="88"/>
  <c r="B23" i="88"/>
  <c r="AP22" i="88"/>
  <c r="AB20" i="88"/>
  <c r="AA20" i="88"/>
  <c r="AC15" i="88"/>
  <c r="Z15" i="88"/>
  <c r="W15" i="88"/>
  <c r="AJ14" i="88"/>
  <c r="AC14" i="88"/>
  <c r="AB14" i="88"/>
  <c r="AA14" i="88"/>
  <c r="Z14" i="88"/>
  <c r="Y14" i="88"/>
  <c r="X14" i="88"/>
  <c r="W14" i="88"/>
  <c r="V14" i="88"/>
  <c r="U14" i="88"/>
  <c r="F14" i="88"/>
  <c r="AG13" i="88"/>
  <c r="AF13" i="88"/>
  <c r="AD13" i="88"/>
  <c r="AC13" i="88"/>
  <c r="AB13" i="88"/>
  <c r="AA13" i="88"/>
  <c r="Z13" i="88"/>
  <c r="Y13" i="88"/>
  <c r="X13" i="88"/>
  <c r="W13" i="88"/>
  <c r="V13" i="88"/>
  <c r="U13" i="88"/>
  <c r="T13" i="88"/>
  <c r="S13" i="88"/>
  <c r="F13" i="88"/>
  <c r="AP12" i="88"/>
  <c r="AD12" i="88"/>
  <c r="AC12" i="88"/>
  <c r="AB12" i="88"/>
  <c r="AA12" i="88"/>
  <c r="Z12" i="88"/>
  <c r="Y12" i="88"/>
  <c r="X12" i="88"/>
  <c r="W12" i="88"/>
  <c r="V12" i="88"/>
  <c r="U12" i="88"/>
  <c r="T12" i="88"/>
  <c r="S12" i="88"/>
  <c r="C12" i="88"/>
  <c r="AP11" i="88"/>
  <c r="AJ11" i="88"/>
  <c r="AG11" i="88"/>
  <c r="AF11" i="88"/>
  <c r="AD11" i="88"/>
  <c r="AC11" i="88"/>
  <c r="AB11" i="88"/>
  <c r="AA11" i="88"/>
  <c r="Z11" i="88"/>
  <c r="Y11" i="88"/>
  <c r="X11" i="88"/>
  <c r="W11" i="88"/>
  <c r="V11" i="88"/>
  <c r="U11" i="88"/>
  <c r="T11" i="88"/>
  <c r="S11" i="88"/>
  <c r="H11" i="88"/>
  <c r="C11" i="88"/>
  <c r="AP10" i="88"/>
  <c r="AJ10" i="88"/>
  <c r="AG10" i="88"/>
  <c r="AF10" i="88"/>
  <c r="AD10" i="88"/>
  <c r="AC10" i="88"/>
  <c r="AB10" i="88"/>
  <c r="AA10" i="88"/>
  <c r="Z10" i="88"/>
  <c r="Y10" i="88"/>
  <c r="X10" i="88"/>
  <c r="W10" i="88"/>
  <c r="V10" i="88"/>
  <c r="U10" i="88"/>
  <c r="T10" i="88"/>
  <c r="S10" i="88"/>
  <c r="H10" i="88"/>
  <c r="C10" i="88"/>
  <c r="AP9" i="88"/>
  <c r="AJ9" i="88"/>
  <c r="AG9" i="88"/>
  <c r="AF9" i="88"/>
  <c r="AD9" i="88"/>
  <c r="AC9" i="88"/>
  <c r="AB9" i="88"/>
  <c r="AA9" i="88"/>
  <c r="Z9" i="88"/>
  <c r="Y9" i="88"/>
  <c r="X9" i="88"/>
  <c r="W9" i="88"/>
  <c r="V9" i="88"/>
  <c r="U9" i="88"/>
  <c r="T9" i="88"/>
  <c r="S9" i="88"/>
  <c r="H9" i="88"/>
  <c r="C9" i="88"/>
  <c r="AP8" i="88"/>
  <c r="AJ8" i="88"/>
  <c r="AG8" i="88"/>
  <c r="AF8" i="88"/>
  <c r="AD8" i="88"/>
  <c r="AC8" i="88"/>
  <c r="AB8" i="88"/>
  <c r="AA8" i="88"/>
  <c r="Z8" i="88"/>
  <c r="Y8" i="88"/>
  <c r="X8" i="88"/>
  <c r="W8" i="88"/>
  <c r="V8" i="88"/>
  <c r="U8" i="88"/>
  <c r="T8" i="88"/>
  <c r="S8" i="88"/>
  <c r="H8" i="88"/>
  <c r="C8" i="88"/>
  <c r="AP7" i="88"/>
  <c r="AJ7" i="88"/>
  <c r="AG7" i="88"/>
  <c r="AF7" i="88"/>
  <c r="AD7" i="88"/>
  <c r="AC7" i="88"/>
  <c r="AB7" i="88"/>
  <c r="AA7" i="88"/>
  <c r="Z7" i="88"/>
  <c r="Y7" i="88"/>
  <c r="X7" i="88"/>
  <c r="W7" i="88"/>
  <c r="V7" i="88"/>
  <c r="U7" i="88"/>
  <c r="T7" i="88"/>
  <c r="S7" i="88"/>
  <c r="H7" i="88"/>
  <c r="AP6" i="88"/>
  <c r="AB4" i="88"/>
  <c r="X109" i="90"/>
  <c r="U109" i="90"/>
  <c r="X106" i="90"/>
  <c r="U106" i="90"/>
  <c r="X103" i="90"/>
  <c r="U103" i="90"/>
  <c r="X100" i="90"/>
  <c r="U100" i="90"/>
  <c r="X97" i="90"/>
  <c r="U97" i="90"/>
  <c r="X94" i="90"/>
  <c r="U94" i="90"/>
  <c r="AC88" i="90"/>
  <c r="Z88" i="90"/>
  <c r="W88" i="90"/>
  <c r="AJ87" i="90"/>
  <c r="AD87" i="90"/>
  <c r="AC87" i="90"/>
  <c r="AB87" i="90"/>
  <c r="AA87" i="90"/>
  <c r="Z87" i="90"/>
  <c r="Y87" i="90"/>
  <c r="X87" i="90"/>
  <c r="W87" i="90"/>
  <c r="V87" i="90"/>
  <c r="U87" i="90"/>
  <c r="F87" i="90"/>
  <c r="AG86" i="90"/>
  <c r="AF86" i="90"/>
  <c r="Z86" i="90"/>
  <c r="X86" i="90"/>
  <c r="W86" i="90"/>
  <c r="U86" i="90"/>
  <c r="F86" i="90"/>
  <c r="AD85" i="90"/>
  <c r="AC85" i="90"/>
  <c r="AB85" i="90"/>
  <c r="AA85" i="90"/>
  <c r="Z85" i="90"/>
  <c r="Y85" i="90"/>
  <c r="X85" i="90"/>
  <c r="U85" i="90"/>
  <c r="F85" i="90"/>
  <c r="AP84" i="90"/>
  <c r="AJ84" i="90"/>
  <c r="AG84" i="90"/>
  <c r="AF84" i="90"/>
  <c r="AD84" i="90"/>
  <c r="AC84" i="90"/>
  <c r="AB84" i="90"/>
  <c r="AA84" i="90"/>
  <c r="Z84" i="90"/>
  <c r="Y84" i="90"/>
  <c r="X84" i="90"/>
  <c r="W84" i="90"/>
  <c r="V84" i="90"/>
  <c r="U84" i="90"/>
  <c r="AP83" i="90"/>
  <c r="AJ83" i="90"/>
  <c r="AG83" i="90"/>
  <c r="AF83" i="90"/>
  <c r="AD83" i="90"/>
  <c r="AC83" i="90"/>
  <c r="AB83" i="90"/>
  <c r="AA83" i="90"/>
  <c r="Z83" i="90"/>
  <c r="Y83" i="90"/>
  <c r="X83" i="90"/>
  <c r="W83" i="90"/>
  <c r="V83" i="90"/>
  <c r="U83" i="90"/>
  <c r="AP82" i="90"/>
  <c r="AJ82" i="90"/>
  <c r="AG82" i="90"/>
  <c r="AF82" i="90"/>
  <c r="AD82" i="90"/>
  <c r="AC82" i="90"/>
  <c r="AB82" i="90"/>
  <c r="AA82" i="90"/>
  <c r="Z82" i="90"/>
  <c r="Y82" i="90"/>
  <c r="X82" i="90"/>
  <c r="W82" i="90"/>
  <c r="V82" i="90"/>
  <c r="U82" i="90"/>
  <c r="AP81" i="90"/>
  <c r="AJ81" i="90"/>
  <c r="AG81" i="90"/>
  <c r="AF81" i="90"/>
  <c r="AD81" i="90"/>
  <c r="AC81" i="90"/>
  <c r="AB81" i="90"/>
  <c r="AA81" i="90"/>
  <c r="Z81" i="90"/>
  <c r="Y81" i="90"/>
  <c r="X81" i="90"/>
  <c r="W81" i="90"/>
  <c r="V81" i="90"/>
  <c r="U81" i="90"/>
  <c r="AP80" i="90"/>
  <c r="AJ80" i="90"/>
  <c r="AG80" i="90"/>
  <c r="AF80" i="90"/>
  <c r="AD80" i="90"/>
  <c r="AC80" i="90"/>
  <c r="AB80" i="90"/>
  <c r="AA80" i="90"/>
  <c r="Z80" i="90"/>
  <c r="Y80" i="90"/>
  <c r="X80" i="90"/>
  <c r="W80" i="90"/>
  <c r="V80" i="90"/>
  <c r="U80" i="90"/>
  <c r="AP79" i="90"/>
  <c r="AB77" i="90"/>
  <c r="AA77" i="90"/>
  <c r="K73" i="90"/>
  <c r="H73" i="90"/>
  <c r="K71" i="90"/>
  <c r="H71" i="90"/>
  <c r="E71" i="90"/>
  <c r="K70" i="90"/>
  <c r="H70" i="90"/>
  <c r="K68" i="90"/>
  <c r="H68" i="90"/>
  <c r="E68" i="90"/>
  <c r="K67" i="90"/>
  <c r="H67" i="90"/>
  <c r="K65" i="90"/>
  <c r="H65" i="90"/>
  <c r="E65" i="90"/>
  <c r="K64" i="90"/>
  <c r="H64" i="90"/>
  <c r="K62" i="90"/>
  <c r="H62" i="90"/>
  <c r="E62" i="90"/>
  <c r="K61" i="90"/>
  <c r="H61" i="90"/>
  <c r="K59" i="90"/>
  <c r="H59" i="90"/>
  <c r="E59" i="90"/>
  <c r="K58" i="90"/>
  <c r="H58" i="90"/>
  <c r="K56" i="90"/>
  <c r="H56" i="90"/>
  <c r="E56" i="90"/>
  <c r="K53" i="90"/>
  <c r="H53" i="90"/>
  <c r="E51" i="90"/>
  <c r="K50" i="90"/>
  <c r="H50" i="90"/>
  <c r="K48" i="90"/>
  <c r="H48" i="90"/>
  <c r="E48" i="90"/>
  <c r="K47" i="90"/>
  <c r="H47" i="90"/>
  <c r="E45" i="90"/>
  <c r="K44" i="90"/>
  <c r="H44" i="90"/>
  <c r="E42" i="90"/>
  <c r="K41" i="90"/>
  <c r="H41" i="90"/>
  <c r="K39" i="90"/>
  <c r="E39" i="90"/>
  <c r="K38" i="90"/>
  <c r="H38" i="90"/>
  <c r="K36" i="90"/>
  <c r="H36" i="90"/>
  <c r="E36" i="90"/>
  <c r="AC31" i="90"/>
  <c r="Z31" i="90"/>
  <c r="W31" i="90"/>
  <c r="AJ30" i="90"/>
  <c r="AC30" i="90"/>
  <c r="AB30" i="90"/>
  <c r="AA30" i="90"/>
  <c r="Z30" i="90"/>
  <c r="Y30" i="90"/>
  <c r="X30" i="90"/>
  <c r="W30" i="90"/>
  <c r="V30" i="90"/>
  <c r="U30" i="90"/>
  <c r="F30" i="90"/>
  <c r="AG29" i="90"/>
  <c r="AF29" i="90"/>
  <c r="AD29" i="90"/>
  <c r="AC29" i="90"/>
  <c r="AB29" i="90"/>
  <c r="AA29" i="90"/>
  <c r="Z29" i="90"/>
  <c r="Y29" i="90"/>
  <c r="X29" i="90"/>
  <c r="W29" i="90"/>
  <c r="V29" i="90"/>
  <c r="U29" i="90"/>
  <c r="T29" i="90"/>
  <c r="F29" i="90"/>
  <c r="AP28" i="90"/>
  <c r="AD28" i="90"/>
  <c r="AC28" i="90"/>
  <c r="AB28" i="90"/>
  <c r="AA28" i="90"/>
  <c r="Z28" i="90"/>
  <c r="Y28" i="90"/>
  <c r="X28" i="90"/>
  <c r="W28" i="90"/>
  <c r="V28" i="90"/>
  <c r="U28" i="90"/>
  <c r="T28" i="90"/>
  <c r="S28" i="90"/>
  <c r="H28" i="90"/>
  <c r="C28" i="90"/>
  <c r="AP27" i="90"/>
  <c r="AJ27" i="90"/>
  <c r="AG27" i="90"/>
  <c r="AF27" i="90"/>
  <c r="AD27" i="90"/>
  <c r="AC27" i="90"/>
  <c r="AB27" i="90"/>
  <c r="AA27" i="90"/>
  <c r="Z27" i="90"/>
  <c r="Y27" i="90"/>
  <c r="X27" i="90"/>
  <c r="W27" i="90"/>
  <c r="V27" i="90"/>
  <c r="U27" i="90"/>
  <c r="T27" i="90"/>
  <c r="S27" i="90"/>
  <c r="H27" i="90"/>
  <c r="C27" i="90"/>
  <c r="AP26" i="90"/>
  <c r="AJ26" i="90"/>
  <c r="AG26" i="90"/>
  <c r="AF26" i="90"/>
  <c r="AC26" i="90"/>
  <c r="AB26" i="90"/>
  <c r="AA26" i="90"/>
  <c r="Z26" i="90"/>
  <c r="Y26" i="90"/>
  <c r="X26" i="90"/>
  <c r="W26" i="90"/>
  <c r="V26" i="90"/>
  <c r="U26" i="90"/>
  <c r="T26" i="90"/>
  <c r="S26" i="90"/>
  <c r="H26" i="90"/>
  <c r="C26" i="90"/>
  <c r="AP25" i="90"/>
  <c r="AJ25" i="90"/>
  <c r="AG25" i="90"/>
  <c r="AF25" i="90"/>
  <c r="AD25" i="90"/>
  <c r="AC25" i="90"/>
  <c r="AB25" i="90"/>
  <c r="AA25" i="90"/>
  <c r="Z25" i="90"/>
  <c r="Y25" i="90"/>
  <c r="X25" i="90"/>
  <c r="W25" i="90"/>
  <c r="V25" i="90"/>
  <c r="U25" i="90"/>
  <c r="T25" i="90"/>
  <c r="S25" i="90"/>
  <c r="H25" i="90"/>
  <c r="C25" i="90"/>
  <c r="AP24" i="90"/>
  <c r="AJ24" i="90"/>
  <c r="AG24" i="90"/>
  <c r="AF24" i="90"/>
  <c r="AD24" i="90"/>
  <c r="AC24" i="90"/>
  <c r="AB24" i="90"/>
  <c r="AA24" i="90"/>
  <c r="Z24" i="90"/>
  <c r="Y24" i="90"/>
  <c r="X24" i="90"/>
  <c r="W24" i="90"/>
  <c r="V24" i="90"/>
  <c r="U24" i="90"/>
  <c r="T24" i="90"/>
  <c r="S24" i="90"/>
  <c r="H24" i="90"/>
  <c r="C24" i="90"/>
  <c r="AP23" i="90"/>
  <c r="AJ23" i="90"/>
  <c r="AG23" i="90"/>
  <c r="AF23" i="90"/>
  <c r="AD23" i="90"/>
  <c r="AC23" i="90"/>
  <c r="AB23" i="90"/>
  <c r="AA23" i="90"/>
  <c r="Z23" i="90"/>
  <c r="Y23" i="90"/>
  <c r="X23" i="90"/>
  <c r="W23" i="90"/>
  <c r="V23" i="90"/>
  <c r="U23" i="90"/>
  <c r="T23" i="90"/>
  <c r="S23" i="90"/>
  <c r="H23" i="90"/>
  <c r="C23" i="90"/>
  <c r="B23" i="90"/>
  <c r="AP22" i="90"/>
  <c r="AB20" i="90"/>
  <c r="AA20" i="90"/>
  <c r="AC15" i="90"/>
  <c r="Z15" i="90"/>
  <c r="W15" i="90"/>
  <c r="AJ14" i="90"/>
  <c r="AC14" i="90"/>
  <c r="AB14" i="90"/>
  <c r="AA14" i="90"/>
  <c r="Z14" i="90"/>
  <c r="Y14" i="90"/>
  <c r="X14" i="90"/>
  <c r="W14" i="90"/>
  <c r="V14" i="90"/>
  <c r="U14" i="90"/>
  <c r="F14" i="90"/>
  <c r="AG13" i="90"/>
  <c r="AF13" i="90"/>
  <c r="AD13" i="90"/>
  <c r="AC13" i="90"/>
  <c r="AB13" i="90"/>
  <c r="AA13" i="90"/>
  <c r="Z13" i="90"/>
  <c r="Y13" i="90"/>
  <c r="X13" i="90"/>
  <c r="W13" i="90"/>
  <c r="V13" i="90"/>
  <c r="U13" i="90"/>
  <c r="T13" i="90"/>
  <c r="S13" i="90"/>
  <c r="F13" i="90"/>
  <c r="AP12" i="90"/>
  <c r="AD12" i="90"/>
  <c r="AC12" i="90"/>
  <c r="AB12" i="90"/>
  <c r="AA12" i="90"/>
  <c r="Z12" i="90"/>
  <c r="Y12" i="90"/>
  <c r="X12" i="90"/>
  <c r="W12" i="90"/>
  <c r="V12" i="90"/>
  <c r="U12" i="90"/>
  <c r="T12" i="90"/>
  <c r="S12" i="90"/>
  <c r="H12" i="90"/>
  <c r="C12" i="90"/>
  <c r="AP11" i="90"/>
  <c r="AJ11" i="90"/>
  <c r="AG11" i="90"/>
  <c r="AF11" i="90"/>
  <c r="AD11" i="90"/>
  <c r="AC11" i="90"/>
  <c r="AB11" i="90"/>
  <c r="AA11" i="90"/>
  <c r="Z11" i="90"/>
  <c r="Y11" i="90"/>
  <c r="X11" i="90"/>
  <c r="W11" i="90"/>
  <c r="V11" i="90"/>
  <c r="U11" i="90"/>
  <c r="T11" i="90"/>
  <c r="S11" i="90"/>
  <c r="H11" i="90"/>
  <c r="C11" i="90"/>
  <c r="AP10" i="90"/>
  <c r="AJ10" i="90"/>
  <c r="AG10" i="90"/>
  <c r="AF10" i="90"/>
  <c r="AD10" i="90"/>
  <c r="AC10" i="90"/>
  <c r="AB10" i="90"/>
  <c r="AA10" i="90"/>
  <c r="Z10" i="90"/>
  <c r="Y10" i="90"/>
  <c r="X10" i="90"/>
  <c r="W10" i="90"/>
  <c r="V10" i="90"/>
  <c r="U10" i="90"/>
  <c r="T10" i="90"/>
  <c r="S10" i="90"/>
  <c r="H10" i="90"/>
  <c r="C10" i="90"/>
  <c r="AP9" i="90"/>
  <c r="AJ9" i="90"/>
  <c r="AG9" i="90"/>
  <c r="AF9" i="90"/>
  <c r="AD9" i="90"/>
  <c r="AC9" i="90"/>
  <c r="AB9" i="90"/>
  <c r="AA9" i="90"/>
  <c r="Z9" i="90"/>
  <c r="Y9" i="90"/>
  <c r="X9" i="90"/>
  <c r="W9" i="90"/>
  <c r="V9" i="90"/>
  <c r="U9" i="90"/>
  <c r="T9" i="90"/>
  <c r="S9" i="90"/>
  <c r="H9" i="90"/>
  <c r="F9" i="90"/>
  <c r="C9" i="90"/>
  <c r="AP8" i="90"/>
  <c r="AJ8" i="90"/>
  <c r="AG8" i="90"/>
  <c r="AF8" i="90"/>
  <c r="AD8" i="90"/>
  <c r="AC8" i="90"/>
  <c r="AB8" i="90"/>
  <c r="AA8" i="90"/>
  <c r="Z8" i="90"/>
  <c r="Y8" i="90"/>
  <c r="X8" i="90"/>
  <c r="W8" i="90"/>
  <c r="V8" i="90"/>
  <c r="U8" i="90"/>
  <c r="T8" i="90"/>
  <c r="S8" i="90"/>
  <c r="H8" i="90"/>
  <c r="C8" i="90"/>
  <c r="AP7" i="90"/>
  <c r="AJ7" i="90"/>
  <c r="AG7" i="90"/>
  <c r="AF7" i="90"/>
  <c r="AD7" i="90"/>
  <c r="AC7" i="90"/>
  <c r="AB7" i="90"/>
  <c r="AA7" i="90"/>
  <c r="Z7" i="90"/>
  <c r="Y7" i="90"/>
  <c r="X7" i="90"/>
  <c r="W7" i="90"/>
  <c r="V7" i="90"/>
  <c r="U7" i="90"/>
  <c r="T7" i="90"/>
  <c r="S7" i="90"/>
  <c r="H7" i="90"/>
  <c r="AP6" i="90"/>
  <c r="AB4" i="90"/>
  <c r="X109" i="91"/>
  <c r="U109" i="91"/>
  <c r="X106" i="91"/>
  <c r="U106" i="91"/>
  <c r="X103" i="91"/>
  <c r="U103" i="91"/>
  <c r="X100" i="91"/>
  <c r="U100" i="91"/>
  <c r="X97" i="91"/>
  <c r="U97" i="91"/>
  <c r="X94" i="91"/>
  <c r="U94" i="91"/>
  <c r="AC88" i="91"/>
  <c r="Z88" i="91"/>
  <c r="W88" i="91"/>
  <c r="AJ87" i="91"/>
  <c r="AD87" i="91"/>
  <c r="AC87" i="91"/>
  <c r="AB87" i="91"/>
  <c r="AA87" i="91"/>
  <c r="Z87" i="91"/>
  <c r="Y87" i="91"/>
  <c r="X87" i="91"/>
  <c r="W87" i="91"/>
  <c r="V87" i="91"/>
  <c r="U87" i="91"/>
  <c r="F87" i="91"/>
  <c r="AG86" i="91"/>
  <c r="AF86" i="91"/>
  <c r="Z86" i="91"/>
  <c r="X86" i="91"/>
  <c r="W86" i="91"/>
  <c r="U86" i="91"/>
  <c r="F86" i="91"/>
  <c r="AD85" i="91"/>
  <c r="AC85" i="91"/>
  <c r="AB85" i="91"/>
  <c r="AA85" i="91"/>
  <c r="Z85" i="91"/>
  <c r="Y85" i="91"/>
  <c r="X85" i="91"/>
  <c r="U85" i="91"/>
  <c r="F85" i="91"/>
  <c r="AP84" i="91"/>
  <c r="AJ84" i="91"/>
  <c r="AG84" i="91"/>
  <c r="AF84" i="91"/>
  <c r="AD84" i="91"/>
  <c r="AC84" i="91"/>
  <c r="AB84" i="91"/>
  <c r="AA84" i="91"/>
  <c r="Z84" i="91"/>
  <c r="Y84" i="91"/>
  <c r="X84" i="91"/>
  <c r="W84" i="91"/>
  <c r="V84" i="91"/>
  <c r="U84" i="91"/>
  <c r="AP83" i="91"/>
  <c r="AJ83" i="91"/>
  <c r="AG83" i="91"/>
  <c r="AF83" i="91"/>
  <c r="AD83" i="91"/>
  <c r="AC83" i="91"/>
  <c r="AB83" i="91"/>
  <c r="AA83" i="91"/>
  <c r="Z83" i="91"/>
  <c r="Y83" i="91"/>
  <c r="X83" i="91"/>
  <c r="W83" i="91"/>
  <c r="V83" i="91"/>
  <c r="U83" i="91"/>
  <c r="AP82" i="91"/>
  <c r="AJ82" i="91"/>
  <c r="AG82" i="91"/>
  <c r="AF82" i="91"/>
  <c r="AD82" i="91"/>
  <c r="AC82" i="91"/>
  <c r="AB82" i="91"/>
  <c r="AA82" i="91"/>
  <c r="Z82" i="91"/>
  <c r="Y82" i="91"/>
  <c r="X82" i="91"/>
  <c r="W82" i="91"/>
  <c r="V82" i="91"/>
  <c r="U82" i="91"/>
  <c r="AP81" i="91"/>
  <c r="AJ81" i="91"/>
  <c r="AG81" i="91"/>
  <c r="AF81" i="91"/>
  <c r="AD81" i="91"/>
  <c r="AC81" i="91"/>
  <c r="AB81" i="91"/>
  <c r="AA81" i="91"/>
  <c r="Z81" i="91"/>
  <c r="Y81" i="91"/>
  <c r="X81" i="91"/>
  <c r="W81" i="91"/>
  <c r="V81" i="91"/>
  <c r="U81" i="91"/>
  <c r="AP80" i="91"/>
  <c r="AJ80" i="91"/>
  <c r="AG80" i="91"/>
  <c r="AF80" i="91"/>
  <c r="AD80" i="91"/>
  <c r="AC80" i="91"/>
  <c r="AB80" i="91"/>
  <c r="AA80" i="91"/>
  <c r="Z80" i="91"/>
  <c r="Y80" i="91"/>
  <c r="X80" i="91"/>
  <c r="W80" i="91"/>
  <c r="V80" i="91"/>
  <c r="U80" i="91"/>
  <c r="AP79" i="91"/>
  <c r="AB77" i="91"/>
  <c r="AA77" i="91"/>
  <c r="K73" i="91"/>
  <c r="H73" i="91"/>
  <c r="K71" i="91"/>
  <c r="H71" i="91"/>
  <c r="E71" i="91"/>
  <c r="K70" i="91"/>
  <c r="H70" i="91"/>
  <c r="K68" i="91"/>
  <c r="H68" i="91"/>
  <c r="E68" i="91"/>
  <c r="K67" i="91"/>
  <c r="H67" i="91"/>
  <c r="E65" i="91"/>
  <c r="K64" i="91"/>
  <c r="H64" i="91"/>
  <c r="K62" i="91"/>
  <c r="E62" i="91"/>
  <c r="K61" i="91"/>
  <c r="H61" i="91"/>
  <c r="K59" i="91"/>
  <c r="E59" i="91"/>
  <c r="K58" i="91"/>
  <c r="H58" i="91"/>
  <c r="K56" i="91"/>
  <c r="E56" i="91"/>
  <c r="K53" i="91"/>
  <c r="H53" i="91"/>
  <c r="E51" i="91"/>
  <c r="K50" i="91"/>
  <c r="H50" i="91"/>
  <c r="E48" i="91"/>
  <c r="K47" i="91"/>
  <c r="H47" i="91"/>
  <c r="E45" i="91"/>
  <c r="K44" i="91"/>
  <c r="H44" i="91"/>
  <c r="E42" i="91"/>
  <c r="K41" i="91"/>
  <c r="H41" i="91"/>
  <c r="E39" i="91"/>
  <c r="K38" i="91"/>
  <c r="H38" i="91"/>
  <c r="E36" i="91"/>
  <c r="AC31" i="91"/>
  <c r="Z31" i="91"/>
  <c r="W31" i="91"/>
  <c r="AJ30" i="91"/>
  <c r="AC30" i="91"/>
  <c r="AB30" i="91"/>
  <c r="AA30" i="91"/>
  <c r="Z30" i="91"/>
  <c r="Y30" i="91"/>
  <c r="X30" i="91"/>
  <c r="W30" i="91"/>
  <c r="V30" i="91"/>
  <c r="U30" i="91"/>
  <c r="F30" i="91"/>
  <c r="AG29" i="91"/>
  <c r="AF29" i="91"/>
  <c r="AD29" i="91"/>
  <c r="AC29" i="91"/>
  <c r="AB29" i="91"/>
  <c r="AA29" i="91"/>
  <c r="Z29" i="91"/>
  <c r="Y29" i="91"/>
  <c r="X29" i="91"/>
  <c r="W29" i="91"/>
  <c r="V29" i="91"/>
  <c r="U29" i="91"/>
  <c r="T29" i="91"/>
  <c r="F29" i="91"/>
  <c r="AP28" i="91"/>
  <c r="AD28" i="91"/>
  <c r="AC28" i="91"/>
  <c r="AB28" i="91"/>
  <c r="AA28" i="91"/>
  <c r="Z28" i="91"/>
  <c r="Y28" i="91"/>
  <c r="X28" i="91"/>
  <c r="W28" i="91"/>
  <c r="V28" i="91"/>
  <c r="U28" i="91"/>
  <c r="T28" i="91"/>
  <c r="S28" i="91"/>
  <c r="H28" i="91"/>
  <c r="C28" i="91"/>
  <c r="AP27" i="91"/>
  <c r="AJ27" i="91"/>
  <c r="AG27" i="91"/>
  <c r="AF27" i="91"/>
  <c r="AD27" i="91"/>
  <c r="AC27" i="91"/>
  <c r="AB27" i="91"/>
  <c r="AA27" i="91"/>
  <c r="Z27" i="91"/>
  <c r="Y27" i="91"/>
  <c r="X27" i="91"/>
  <c r="W27" i="91"/>
  <c r="V27" i="91"/>
  <c r="U27" i="91"/>
  <c r="T27" i="91"/>
  <c r="S27" i="91"/>
  <c r="H27" i="91"/>
  <c r="C27" i="91"/>
  <c r="AP26" i="91"/>
  <c r="AJ26" i="91"/>
  <c r="AG26" i="91"/>
  <c r="AF26" i="91"/>
  <c r="AD26" i="91"/>
  <c r="AC26" i="91"/>
  <c r="AB26" i="91"/>
  <c r="AA26" i="91"/>
  <c r="Z26" i="91"/>
  <c r="Y26" i="91"/>
  <c r="X26" i="91"/>
  <c r="W26" i="91"/>
  <c r="V26" i="91"/>
  <c r="U26" i="91"/>
  <c r="T26" i="91"/>
  <c r="S26" i="91"/>
  <c r="H26" i="91"/>
  <c r="C26" i="91"/>
  <c r="AP25" i="91"/>
  <c r="AJ25" i="91"/>
  <c r="AG25" i="91"/>
  <c r="AF25" i="91"/>
  <c r="AD25" i="91"/>
  <c r="AC25" i="91"/>
  <c r="AB25" i="91"/>
  <c r="AA25" i="91"/>
  <c r="Z25" i="91"/>
  <c r="Y25" i="91"/>
  <c r="X25" i="91"/>
  <c r="W25" i="91"/>
  <c r="V25" i="91"/>
  <c r="U25" i="91"/>
  <c r="T25" i="91"/>
  <c r="S25" i="91"/>
  <c r="H25" i="91"/>
  <c r="C25" i="91"/>
  <c r="AP24" i="91"/>
  <c r="AJ24" i="91"/>
  <c r="AG24" i="91"/>
  <c r="AF24" i="91"/>
  <c r="AD24" i="91"/>
  <c r="AC24" i="91"/>
  <c r="AB24" i="91"/>
  <c r="AA24" i="91"/>
  <c r="Z24" i="91"/>
  <c r="Y24" i="91"/>
  <c r="X24" i="91"/>
  <c r="W24" i="91"/>
  <c r="V24" i="91"/>
  <c r="U24" i="91"/>
  <c r="T24" i="91"/>
  <c r="S24" i="91"/>
  <c r="H24" i="91"/>
  <c r="C24" i="91"/>
  <c r="AP23" i="91"/>
  <c r="AJ23" i="91"/>
  <c r="AG23" i="91"/>
  <c r="AF23" i="91"/>
  <c r="AD23" i="91"/>
  <c r="AC23" i="91"/>
  <c r="AB23" i="91"/>
  <c r="AA23" i="91"/>
  <c r="Z23" i="91"/>
  <c r="Y23" i="91"/>
  <c r="X23" i="91"/>
  <c r="W23" i="91"/>
  <c r="V23" i="91"/>
  <c r="U23" i="91"/>
  <c r="T23" i="91"/>
  <c r="S23" i="91"/>
  <c r="H23" i="91"/>
  <c r="C23" i="91"/>
  <c r="B23" i="91"/>
  <c r="AP22" i="91"/>
  <c r="AB20" i="91"/>
  <c r="AA20" i="91"/>
  <c r="AC15" i="91"/>
  <c r="Z15" i="91"/>
  <c r="W15" i="91"/>
  <c r="AJ14" i="91"/>
  <c r="AC14" i="91"/>
  <c r="AB14" i="91"/>
  <c r="AA14" i="91"/>
  <c r="Z14" i="91"/>
  <c r="Y14" i="91"/>
  <c r="X14" i="91"/>
  <c r="W14" i="91"/>
  <c r="V14" i="91"/>
  <c r="U14" i="91"/>
  <c r="F14" i="91"/>
  <c r="AG13" i="91"/>
  <c r="AF13" i="91"/>
  <c r="AD13" i="91"/>
  <c r="AC13" i="91"/>
  <c r="AB13" i="91"/>
  <c r="AA13" i="91"/>
  <c r="Z13" i="91"/>
  <c r="Y13" i="91"/>
  <c r="X13" i="91"/>
  <c r="W13" i="91"/>
  <c r="V13" i="91"/>
  <c r="U13" i="91"/>
  <c r="T13" i="91"/>
  <c r="S13" i="91"/>
  <c r="F13" i="91"/>
  <c r="AP12" i="91"/>
  <c r="AD12" i="91"/>
  <c r="AC12" i="91"/>
  <c r="AB12" i="91"/>
  <c r="AA12" i="91"/>
  <c r="Z12" i="91"/>
  <c r="Y12" i="91"/>
  <c r="X12" i="91"/>
  <c r="W12" i="91"/>
  <c r="V12" i="91"/>
  <c r="U12" i="91"/>
  <c r="T12" i="91"/>
  <c r="S12" i="91"/>
  <c r="H12" i="91"/>
  <c r="C12" i="91"/>
  <c r="AP11" i="91"/>
  <c r="AJ11" i="91"/>
  <c r="AG11" i="91"/>
  <c r="AF11" i="91"/>
  <c r="AD11" i="91"/>
  <c r="AC11" i="91"/>
  <c r="AB11" i="91"/>
  <c r="AA11" i="91"/>
  <c r="Z11" i="91"/>
  <c r="Y11" i="91"/>
  <c r="X11" i="91"/>
  <c r="W11" i="91"/>
  <c r="V11" i="91"/>
  <c r="U11" i="91"/>
  <c r="T11" i="91"/>
  <c r="S11" i="91"/>
  <c r="H11" i="91"/>
  <c r="C11" i="91"/>
  <c r="AP10" i="91"/>
  <c r="AJ10" i="91"/>
  <c r="AG10" i="91"/>
  <c r="AF10" i="91"/>
  <c r="AD10" i="91"/>
  <c r="AC10" i="91"/>
  <c r="AB10" i="91"/>
  <c r="AA10" i="91"/>
  <c r="Z10" i="91"/>
  <c r="Y10" i="91"/>
  <c r="X10" i="91"/>
  <c r="W10" i="91"/>
  <c r="V10" i="91"/>
  <c r="U10" i="91"/>
  <c r="T10" i="91"/>
  <c r="S10" i="91"/>
  <c r="H10" i="91"/>
  <c r="C10" i="91"/>
  <c r="AP9" i="91"/>
  <c r="AJ9" i="91"/>
  <c r="AG9" i="91"/>
  <c r="AF9" i="91"/>
  <c r="AD9" i="91"/>
  <c r="AC9" i="91"/>
  <c r="AB9" i="91"/>
  <c r="AA9" i="91"/>
  <c r="Z9" i="91"/>
  <c r="Y9" i="91"/>
  <c r="X9" i="91"/>
  <c r="W9" i="91"/>
  <c r="V9" i="91"/>
  <c r="U9" i="91"/>
  <c r="T9" i="91"/>
  <c r="S9" i="91"/>
  <c r="H9" i="91"/>
  <c r="C9" i="91"/>
  <c r="AP8" i="91"/>
  <c r="AJ8" i="91"/>
  <c r="AG8" i="91"/>
  <c r="AF8" i="91"/>
  <c r="AD8" i="91"/>
  <c r="AC8" i="91"/>
  <c r="AB8" i="91"/>
  <c r="AA8" i="91"/>
  <c r="Z8" i="91"/>
  <c r="Y8" i="91"/>
  <c r="X8" i="91"/>
  <c r="W8" i="91"/>
  <c r="V8" i="91"/>
  <c r="U8" i="91"/>
  <c r="T8" i="91"/>
  <c r="S8" i="91"/>
  <c r="H8" i="91"/>
  <c r="C8" i="91"/>
  <c r="AP7" i="91"/>
  <c r="AJ7" i="91"/>
  <c r="AG7" i="91"/>
  <c r="AF7" i="91"/>
  <c r="AD7" i="91"/>
  <c r="AC7" i="91"/>
  <c r="AB7" i="91"/>
  <c r="AA7" i="91"/>
  <c r="Z7" i="91"/>
  <c r="Y7" i="91"/>
  <c r="X7" i="91"/>
  <c r="W7" i="91"/>
  <c r="V7" i="91"/>
  <c r="U7" i="91"/>
  <c r="T7" i="91"/>
  <c r="S7" i="91"/>
  <c r="H7" i="91"/>
  <c r="AP6" i="91"/>
  <c r="AB4" i="91"/>
  <c r="X109" i="92"/>
  <c r="U109" i="92"/>
  <c r="X106" i="92"/>
  <c r="U106" i="92"/>
  <c r="X103" i="92"/>
  <c r="U103" i="92"/>
  <c r="X100" i="92"/>
  <c r="U100" i="92"/>
  <c r="X97" i="92"/>
  <c r="U97" i="92"/>
  <c r="X94" i="92"/>
  <c r="U94" i="92"/>
  <c r="AC88" i="92"/>
  <c r="Z88" i="92"/>
  <c r="W88" i="92"/>
  <c r="AJ87" i="92"/>
  <c r="AD87" i="92"/>
  <c r="AC87" i="92"/>
  <c r="AB87" i="92"/>
  <c r="AA87" i="92"/>
  <c r="Z87" i="92"/>
  <c r="Y87" i="92"/>
  <c r="X87" i="92"/>
  <c r="W87" i="92"/>
  <c r="V87" i="92"/>
  <c r="U87" i="92"/>
  <c r="F87" i="92"/>
  <c r="AG86" i="92"/>
  <c r="AF86" i="92"/>
  <c r="Z86" i="92"/>
  <c r="X86" i="92"/>
  <c r="W86" i="92"/>
  <c r="U86" i="92"/>
  <c r="F86" i="92"/>
  <c r="AD85" i="92"/>
  <c r="AC85" i="92"/>
  <c r="AB85" i="92"/>
  <c r="AA85" i="92"/>
  <c r="Z85" i="92"/>
  <c r="Y85" i="92"/>
  <c r="X85" i="92"/>
  <c r="U85" i="92"/>
  <c r="F85" i="92"/>
  <c r="AP84" i="92"/>
  <c r="AJ84" i="92"/>
  <c r="AG84" i="92"/>
  <c r="AF84" i="92"/>
  <c r="AD84" i="92"/>
  <c r="AC84" i="92"/>
  <c r="AB84" i="92"/>
  <c r="AA84" i="92"/>
  <c r="Z84" i="92"/>
  <c r="Y84" i="92"/>
  <c r="X84" i="92"/>
  <c r="W84" i="92"/>
  <c r="V84" i="92"/>
  <c r="U84" i="92"/>
  <c r="AP83" i="92"/>
  <c r="AJ83" i="92"/>
  <c r="AG83" i="92"/>
  <c r="AF83" i="92"/>
  <c r="AD83" i="92"/>
  <c r="AC83" i="92"/>
  <c r="AB83" i="92"/>
  <c r="AA83" i="92"/>
  <c r="Z83" i="92"/>
  <c r="Y83" i="92"/>
  <c r="X83" i="92"/>
  <c r="W83" i="92"/>
  <c r="V83" i="92"/>
  <c r="U83" i="92"/>
  <c r="AP82" i="92"/>
  <c r="AJ82" i="92"/>
  <c r="AG82" i="92"/>
  <c r="AF82" i="92"/>
  <c r="AD82" i="92"/>
  <c r="AC82" i="92"/>
  <c r="AB82" i="92"/>
  <c r="AA82" i="92"/>
  <c r="Z82" i="92"/>
  <c r="Y82" i="92"/>
  <c r="X82" i="92"/>
  <c r="W82" i="92"/>
  <c r="V82" i="92"/>
  <c r="U82" i="92"/>
  <c r="AP81" i="92"/>
  <c r="AJ81" i="92"/>
  <c r="AG81" i="92"/>
  <c r="AF81" i="92"/>
  <c r="AD81" i="92"/>
  <c r="AC81" i="92"/>
  <c r="AB81" i="92"/>
  <c r="AA81" i="92"/>
  <c r="Z81" i="92"/>
  <c r="Y81" i="92"/>
  <c r="X81" i="92"/>
  <c r="W81" i="92"/>
  <c r="V81" i="92"/>
  <c r="U81" i="92"/>
  <c r="AP80" i="92"/>
  <c r="AJ80" i="92"/>
  <c r="AG80" i="92"/>
  <c r="AF80" i="92"/>
  <c r="AD80" i="92"/>
  <c r="AC80" i="92"/>
  <c r="AB80" i="92"/>
  <c r="AA80" i="92"/>
  <c r="Z80" i="92"/>
  <c r="Y80" i="92"/>
  <c r="X80" i="92"/>
  <c r="W80" i="92"/>
  <c r="V80" i="92"/>
  <c r="U80" i="92"/>
  <c r="AP79" i="92"/>
  <c r="AB77" i="92"/>
  <c r="AA77" i="92"/>
  <c r="K73" i="92"/>
  <c r="H73" i="92"/>
  <c r="K71" i="92"/>
  <c r="H71" i="92"/>
  <c r="E71" i="92"/>
  <c r="K70" i="92"/>
  <c r="H70" i="92"/>
  <c r="K69" i="92"/>
  <c r="K68" i="92"/>
  <c r="H68" i="92"/>
  <c r="E68" i="92"/>
  <c r="K67" i="92"/>
  <c r="H67" i="92"/>
  <c r="K65" i="92"/>
  <c r="H65" i="92"/>
  <c r="E65" i="92"/>
  <c r="K64" i="92"/>
  <c r="H64" i="92"/>
  <c r="K62" i="92"/>
  <c r="H62" i="92"/>
  <c r="E62" i="92"/>
  <c r="K61" i="92"/>
  <c r="H61" i="92"/>
  <c r="K59" i="92"/>
  <c r="H59" i="92"/>
  <c r="E59" i="92"/>
  <c r="K58" i="92"/>
  <c r="H58" i="92"/>
  <c r="K56" i="92"/>
  <c r="H56" i="92"/>
  <c r="E56" i="92"/>
  <c r="K53" i="92"/>
  <c r="H53" i="92"/>
  <c r="E51" i="92"/>
  <c r="K50" i="92"/>
  <c r="H50" i="92"/>
  <c r="E48" i="92"/>
  <c r="K47" i="92"/>
  <c r="H47" i="92"/>
  <c r="K45" i="92"/>
  <c r="H45" i="92"/>
  <c r="E45" i="92"/>
  <c r="K44" i="92"/>
  <c r="H44" i="92"/>
  <c r="E42" i="92"/>
  <c r="K41" i="92"/>
  <c r="H41" i="92"/>
  <c r="E39" i="92"/>
  <c r="K38" i="92"/>
  <c r="H38" i="92"/>
  <c r="K36" i="92"/>
  <c r="H36" i="92"/>
  <c r="E36" i="92"/>
  <c r="AC31" i="92"/>
  <c r="Z31" i="92"/>
  <c r="W31" i="92"/>
  <c r="AJ30" i="92"/>
  <c r="AC30" i="92"/>
  <c r="AB30" i="92"/>
  <c r="AA30" i="92"/>
  <c r="Z30" i="92"/>
  <c r="Y30" i="92"/>
  <c r="X30" i="92"/>
  <c r="W30" i="92"/>
  <c r="V30" i="92"/>
  <c r="U30" i="92"/>
  <c r="F30" i="92"/>
  <c r="AG29" i="92"/>
  <c r="AF29" i="92"/>
  <c r="AD29" i="92"/>
  <c r="AC29" i="92"/>
  <c r="AB29" i="92"/>
  <c r="AA29" i="92"/>
  <c r="Z29" i="92"/>
  <c r="Y29" i="92"/>
  <c r="X29" i="92"/>
  <c r="W29" i="92"/>
  <c r="V29" i="92"/>
  <c r="U29" i="92"/>
  <c r="T29" i="92"/>
  <c r="F29" i="92"/>
  <c r="AP28" i="92"/>
  <c r="AD28" i="92"/>
  <c r="AC28" i="92"/>
  <c r="AB28" i="92"/>
  <c r="AA28" i="92"/>
  <c r="Z28" i="92"/>
  <c r="Y28" i="92"/>
  <c r="X28" i="92"/>
  <c r="W28" i="92"/>
  <c r="V28" i="92"/>
  <c r="U28" i="92"/>
  <c r="T28" i="92"/>
  <c r="S28" i="92"/>
  <c r="H28" i="92"/>
  <c r="C28" i="92"/>
  <c r="AP27" i="92"/>
  <c r="AJ27" i="92"/>
  <c r="AG27" i="92"/>
  <c r="AF27" i="92"/>
  <c r="AD27" i="92"/>
  <c r="AC27" i="92"/>
  <c r="AB27" i="92"/>
  <c r="AA27" i="92"/>
  <c r="Z27" i="92"/>
  <c r="Y27" i="92"/>
  <c r="X27" i="92"/>
  <c r="W27" i="92"/>
  <c r="V27" i="92"/>
  <c r="U27" i="92"/>
  <c r="T27" i="92"/>
  <c r="S27" i="92"/>
  <c r="H27" i="92"/>
  <c r="C27" i="92"/>
  <c r="AP26" i="92"/>
  <c r="AJ26" i="92"/>
  <c r="AG26" i="92"/>
  <c r="AF26" i="92"/>
  <c r="AD26" i="92"/>
  <c r="AC26" i="92"/>
  <c r="AB26" i="92"/>
  <c r="AA26" i="92"/>
  <c r="Z26" i="92"/>
  <c r="Y26" i="92"/>
  <c r="X26" i="92"/>
  <c r="W26" i="92"/>
  <c r="V26" i="92"/>
  <c r="U26" i="92"/>
  <c r="T26" i="92"/>
  <c r="S26" i="92"/>
  <c r="H26" i="92"/>
  <c r="C26" i="92"/>
  <c r="AP25" i="92"/>
  <c r="AJ25" i="92"/>
  <c r="AG25" i="92"/>
  <c r="AF25" i="92"/>
  <c r="AD25" i="92"/>
  <c r="AC25" i="92"/>
  <c r="AB25" i="92"/>
  <c r="AA25" i="92"/>
  <c r="Z25" i="92"/>
  <c r="Y25" i="92"/>
  <c r="X25" i="92"/>
  <c r="W25" i="92"/>
  <c r="V25" i="92"/>
  <c r="U25" i="92"/>
  <c r="T25" i="92"/>
  <c r="S25" i="92"/>
  <c r="H25" i="92"/>
  <c r="C25" i="92"/>
  <c r="AP24" i="92"/>
  <c r="AJ24" i="92"/>
  <c r="AG24" i="92"/>
  <c r="AF24" i="92"/>
  <c r="AD24" i="92"/>
  <c r="AC24" i="92"/>
  <c r="AB24" i="92"/>
  <c r="AA24" i="92"/>
  <c r="Z24" i="92"/>
  <c r="Y24" i="92"/>
  <c r="X24" i="92"/>
  <c r="W24" i="92"/>
  <c r="V24" i="92"/>
  <c r="U24" i="92"/>
  <c r="T24" i="92"/>
  <c r="S24" i="92"/>
  <c r="H24" i="92"/>
  <c r="C24" i="92"/>
  <c r="AP23" i="92"/>
  <c r="AJ23" i="92"/>
  <c r="AG23" i="92"/>
  <c r="AF23" i="92"/>
  <c r="AD23" i="92"/>
  <c r="AC23" i="92"/>
  <c r="AB23" i="92"/>
  <c r="AA23" i="92"/>
  <c r="Z23" i="92"/>
  <c r="Y23" i="92"/>
  <c r="X23" i="92"/>
  <c r="W23" i="92"/>
  <c r="V23" i="92"/>
  <c r="U23" i="92"/>
  <c r="T23" i="92"/>
  <c r="S23" i="92"/>
  <c r="H23" i="92"/>
  <c r="F23" i="92"/>
  <c r="C23" i="92"/>
  <c r="AP22" i="92"/>
  <c r="AB20" i="92"/>
  <c r="AA20" i="92"/>
  <c r="AC15" i="92"/>
  <c r="Z15" i="92"/>
  <c r="W15" i="92"/>
  <c r="AJ14" i="92"/>
  <c r="AC14" i="92"/>
  <c r="AB14" i="92"/>
  <c r="AA14" i="92"/>
  <c r="Z14" i="92"/>
  <c r="Y14" i="92"/>
  <c r="X14" i="92"/>
  <c r="W14" i="92"/>
  <c r="V14" i="92"/>
  <c r="U14" i="92"/>
  <c r="F14" i="92"/>
  <c r="AG13" i="92"/>
  <c r="AF13" i="92"/>
  <c r="AD13" i="92"/>
  <c r="AC13" i="92"/>
  <c r="AB13" i="92"/>
  <c r="AA13" i="92"/>
  <c r="Z13" i="92"/>
  <c r="Y13" i="92"/>
  <c r="X13" i="92"/>
  <c r="W13" i="92"/>
  <c r="V13" i="92"/>
  <c r="U13" i="92"/>
  <c r="T13" i="92"/>
  <c r="S13" i="92"/>
  <c r="F13" i="92"/>
  <c r="AP12" i="92"/>
  <c r="AD12" i="92"/>
  <c r="AC12" i="92"/>
  <c r="AB12" i="92"/>
  <c r="AA12" i="92"/>
  <c r="Z12" i="92"/>
  <c r="Y12" i="92"/>
  <c r="X12" i="92"/>
  <c r="W12" i="92"/>
  <c r="V12" i="92"/>
  <c r="U12" i="92"/>
  <c r="T12" i="92"/>
  <c r="S12" i="92"/>
  <c r="H12" i="92"/>
  <c r="C12" i="92"/>
  <c r="AP11" i="92"/>
  <c r="AJ11" i="92"/>
  <c r="AG11" i="92"/>
  <c r="AF11" i="92"/>
  <c r="AD11" i="92"/>
  <c r="AC11" i="92"/>
  <c r="AB11" i="92"/>
  <c r="AA11" i="92"/>
  <c r="Z11" i="92"/>
  <c r="Y11" i="92"/>
  <c r="X11" i="92"/>
  <c r="W11" i="92"/>
  <c r="V11" i="92"/>
  <c r="U11" i="92"/>
  <c r="T11" i="92"/>
  <c r="S11" i="92"/>
  <c r="H11" i="92"/>
  <c r="C11" i="92"/>
  <c r="AP10" i="92"/>
  <c r="AJ10" i="92"/>
  <c r="AG10" i="92"/>
  <c r="AF10" i="92"/>
  <c r="AD10" i="92"/>
  <c r="AC10" i="92"/>
  <c r="AB10" i="92"/>
  <c r="AA10" i="92"/>
  <c r="Z10" i="92"/>
  <c r="Y10" i="92"/>
  <c r="X10" i="92"/>
  <c r="W10" i="92"/>
  <c r="V10" i="92"/>
  <c r="U10" i="92"/>
  <c r="T10" i="92"/>
  <c r="S10" i="92"/>
  <c r="H10" i="92"/>
  <c r="C10" i="92"/>
  <c r="AP9" i="92"/>
  <c r="AJ9" i="92"/>
  <c r="AG9" i="92"/>
  <c r="AF9" i="92"/>
  <c r="AD9" i="92"/>
  <c r="AC9" i="92"/>
  <c r="AB9" i="92"/>
  <c r="AA9" i="92"/>
  <c r="Z9" i="92"/>
  <c r="Y9" i="92"/>
  <c r="X9" i="92"/>
  <c r="W9" i="92"/>
  <c r="V9" i="92"/>
  <c r="U9" i="92"/>
  <c r="T9" i="92"/>
  <c r="S9" i="92"/>
  <c r="H9" i="92"/>
  <c r="AP8" i="92"/>
  <c r="AJ8" i="92"/>
  <c r="AG8" i="92"/>
  <c r="AF8" i="92"/>
  <c r="AD8" i="92"/>
  <c r="AC8" i="92"/>
  <c r="AB8" i="92"/>
  <c r="AA8" i="92"/>
  <c r="Z8" i="92"/>
  <c r="Y8" i="92"/>
  <c r="X8" i="92"/>
  <c r="W8" i="92"/>
  <c r="V8" i="92"/>
  <c r="U8" i="92"/>
  <c r="T8" i="92"/>
  <c r="S8" i="92"/>
  <c r="H8" i="92"/>
  <c r="C8" i="92"/>
  <c r="AP7" i="92"/>
  <c r="AJ7" i="92"/>
  <c r="AG7" i="92"/>
  <c r="AF7" i="92"/>
  <c r="AD7" i="92"/>
  <c r="AC7" i="92"/>
  <c r="AB7" i="92"/>
  <c r="AA7" i="92"/>
  <c r="Z7" i="92"/>
  <c r="Y7" i="92"/>
  <c r="X7" i="92"/>
  <c r="W7" i="92"/>
  <c r="V7" i="92"/>
  <c r="U7" i="92"/>
  <c r="T7" i="92"/>
  <c r="S7" i="92"/>
  <c r="H7" i="92"/>
  <c r="AP6" i="92"/>
  <c r="AB4" i="92"/>
  <c r="X109" i="93"/>
  <c r="U109" i="93"/>
  <c r="X106" i="93"/>
  <c r="U106" i="93"/>
  <c r="X103" i="93"/>
  <c r="U103" i="93"/>
  <c r="X100" i="93"/>
  <c r="U100" i="93"/>
  <c r="X97" i="93"/>
  <c r="U97" i="93"/>
  <c r="X94" i="93"/>
  <c r="U94" i="93"/>
  <c r="AC88" i="93"/>
  <c r="Z88" i="93"/>
  <c r="W88" i="93"/>
  <c r="AJ87" i="93"/>
  <c r="AD87" i="93"/>
  <c r="AC87" i="93"/>
  <c r="AB87" i="93"/>
  <c r="AA87" i="93"/>
  <c r="Z87" i="93"/>
  <c r="Y87" i="93"/>
  <c r="X87" i="93"/>
  <c r="W87" i="93"/>
  <c r="V87" i="93"/>
  <c r="U87" i="93"/>
  <c r="F87" i="93"/>
  <c r="AG86" i="93"/>
  <c r="AF86" i="93"/>
  <c r="Z86" i="93"/>
  <c r="X86" i="93"/>
  <c r="W86" i="93"/>
  <c r="U86" i="93"/>
  <c r="F86" i="93"/>
  <c r="AD85" i="93"/>
  <c r="AC85" i="93"/>
  <c r="AB85" i="93"/>
  <c r="AA85" i="93"/>
  <c r="Z85" i="93"/>
  <c r="Y85" i="93"/>
  <c r="X85" i="93"/>
  <c r="U85" i="93"/>
  <c r="F85" i="93"/>
  <c r="AP84" i="93"/>
  <c r="AJ84" i="93"/>
  <c r="AG84" i="93"/>
  <c r="AF84" i="93"/>
  <c r="AD84" i="93"/>
  <c r="AC84" i="93"/>
  <c r="AB84" i="93"/>
  <c r="AA84" i="93"/>
  <c r="Z84" i="93"/>
  <c r="Y84" i="93"/>
  <c r="X84" i="93"/>
  <c r="W84" i="93"/>
  <c r="V84" i="93"/>
  <c r="U84" i="93"/>
  <c r="AP83" i="93"/>
  <c r="AJ83" i="93"/>
  <c r="AG83" i="93"/>
  <c r="AF83" i="93"/>
  <c r="AD83" i="93"/>
  <c r="AC83" i="93"/>
  <c r="AB83" i="93"/>
  <c r="AA83" i="93"/>
  <c r="Z83" i="93"/>
  <c r="Y83" i="93"/>
  <c r="X83" i="93"/>
  <c r="W83" i="93"/>
  <c r="V83" i="93"/>
  <c r="U83" i="93"/>
  <c r="AP82" i="93"/>
  <c r="AJ82" i="93"/>
  <c r="AG82" i="93"/>
  <c r="AF82" i="93"/>
  <c r="AD82" i="93"/>
  <c r="AC82" i="93"/>
  <c r="AB82" i="93"/>
  <c r="AA82" i="93"/>
  <c r="Z82" i="93"/>
  <c r="Y82" i="93"/>
  <c r="X82" i="93"/>
  <c r="W82" i="93"/>
  <c r="V82" i="93"/>
  <c r="U82" i="93"/>
  <c r="AP81" i="93"/>
  <c r="AJ81" i="93"/>
  <c r="AG81" i="93"/>
  <c r="AF81" i="93"/>
  <c r="AD81" i="93"/>
  <c r="AC81" i="93"/>
  <c r="AB81" i="93"/>
  <c r="AA81" i="93"/>
  <c r="Z81" i="93"/>
  <c r="Y81" i="93"/>
  <c r="X81" i="93"/>
  <c r="W81" i="93"/>
  <c r="V81" i="93"/>
  <c r="U81" i="93"/>
  <c r="AP80" i="93"/>
  <c r="AJ80" i="93"/>
  <c r="AG80" i="93"/>
  <c r="AF80" i="93"/>
  <c r="AD80" i="93"/>
  <c r="AC80" i="93"/>
  <c r="AB80" i="93"/>
  <c r="AA80" i="93"/>
  <c r="Z80" i="93"/>
  <c r="Y80" i="93"/>
  <c r="X80" i="93"/>
  <c r="W80" i="93"/>
  <c r="V80" i="93"/>
  <c r="U80" i="93"/>
  <c r="AP79" i="93"/>
  <c r="AB77" i="93"/>
  <c r="AA77" i="93"/>
  <c r="K73" i="93"/>
  <c r="H73" i="93"/>
  <c r="E71" i="93"/>
  <c r="K70" i="93"/>
  <c r="H70" i="93"/>
  <c r="K68" i="93"/>
  <c r="H68" i="93"/>
  <c r="E68" i="93"/>
  <c r="K67" i="93"/>
  <c r="H67" i="93"/>
  <c r="K65" i="93"/>
  <c r="H65" i="93"/>
  <c r="E65" i="93"/>
  <c r="K64" i="93"/>
  <c r="H64" i="93"/>
  <c r="K62" i="93"/>
  <c r="H62" i="93"/>
  <c r="E62" i="93"/>
  <c r="K61" i="93"/>
  <c r="H61" i="93"/>
  <c r="K59" i="93"/>
  <c r="H59" i="93"/>
  <c r="E59" i="93"/>
  <c r="K58" i="93"/>
  <c r="H58" i="93"/>
  <c r="K56" i="93"/>
  <c r="H56" i="93"/>
  <c r="E56" i="93"/>
  <c r="K53" i="93"/>
  <c r="H53" i="93"/>
  <c r="E51" i="93"/>
  <c r="K50" i="93"/>
  <c r="H50" i="93"/>
  <c r="E48" i="93"/>
  <c r="K47" i="93"/>
  <c r="H47" i="93"/>
  <c r="E45" i="93"/>
  <c r="K44" i="93"/>
  <c r="H44" i="93"/>
  <c r="K42" i="93"/>
  <c r="H42" i="93"/>
  <c r="E42" i="93"/>
  <c r="K41" i="93"/>
  <c r="H41" i="93"/>
  <c r="E39" i="93"/>
  <c r="K38" i="93"/>
  <c r="H38" i="93"/>
  <c r="E36" i="93"/>
  <c r="AC31" i="93"/>
  <c r="Z31" i="93"/>
  <c r="W31" i="93"/>
  <c r="AJ30" i="93"/>
  <c r="AC30" i="93"/>
  <c r="AB30" i="93"/>
  <c r="AA30" i="93"/>
  <c r="Z30" i="93"/>
  <c r="Y30" i="93"/>
  <c r="X30" i="93"/>
  <c r="W30" i="93"/>
  <c r="V30" i="93"/>
  <c r="U30" i="93"/>
  <c r="F30" i="93"/>
  <c r="AG29" i="93"/>
  <c r="AF29" i="93"/>
  <c r="AD29" i="93"/>
  <c r="AC29" i="93"/>
  <c r="AB29" i="93"/>
  <c r="AA29" i="93"/>
  <c r="Z29" i="93"/>
  <c r="Y29" i="93"/>
  <c r="X29" i="93"/>
  <c r="W29" i="93"/>
  <c r="V29" i="93"/>
  <c r="U29" i="93"/>
  <c r="T29" i="93"/>
  <c r="F29" i="93"/>
  <c r="AP28" i="93"/>
  <c r="AD28" i="93"/>
  <c r="AC28" i="93"/>
  <c r="AB28" i="93"/>
  <c r="AA28" i="93"/>
  <c r="Z28" i="93"/>
  <c r="Y28" i="93"/>
  <c r="X28" i="93"/>
  <c r="W28" i="93"/>
  <c r="V28" i="93"/>
  <c r="U28" i="93"/>
  <c r="T28" i="93"/>
  <c r="S28" i="93"/>
  <c r="H28" i="93"/>
  <c r="C28" i="93"/>
  <c r="AP27" i="93"/>
  <c r="AJ27" i="93"/>
  <c r="AG27" i="93"/>
  <c r="AF27" i="93"/>
  <c r="AC27" i="93"/>
  <c r="AB27" i="93"/>
  <c r="AA27" i="93"/>
  <c r="Z27" i="93"/>
  <c r="Y27" i="93"/>
  <c r="X27" i="93"/>
  <c r="W27" i="93"/>
  <c r="V27" i="93"/>
  <c r="U27" i="93"/>
  <c r="T27" i="93"/>
  <c r="S27" i="93"/>
  <c r="H27" i="93"/>
  <c r="C27" i="93"/>
  <c r="AP26" i="93"/>
  <c r="AJ26" i="93"/>
  <c r="AG26" i="93"/>
  <c r="AF26" i="93"/>
  <c r="AD26" i="93"/>
  <c r="AC26" i="93"/>
  <c r="AB26" i="93"/>
  <c r="AA26" i="93"/>
  <c r="Z26" i="93"/>
  <c r="Y26" i="93"/>
  <c r="X26" i="93"/>
  <c r="W26" i="93"/>
  <c r="V26" i="93"/>
  <c r="U26" i="93"/>
  <c r="T26" i="93"/>
  <c r="S26" i="93"/>
  <c r="H26" i="93"/>
  <c r="C26" i="93"/>
  <c r="AP25" i="93"/>
  <c r="AJ25" i="93"/>
  <c r="AG25" i="93"/>
  <c r="AF25" i="93"/>
  <c r="AC25" i="93"/>
  <c r="AB25" i="93"/>
  <c r="AA25" i="93"/>
  <c r="Z25" i="93"/>
  <c r="Y25" i="93"/>
  <c r="X25" i="93"/>
  <c r="W25" i="93"/>
  <c r="V25" i="93"/>
  <c r="U25" i="93"/>
  <c r="T25" i="93"/>
  <c r="S25" i="93"/>
  <c r="H25" i="93"/>
  <c r="C25" i="93"/>
  <c r="AP24" i="93"/>
  <c r="AJ24" i="93"/>
  <c r="AG24" i="93"/>
  <c r="AF24" i="93"/>
  <c r="AD24" i="93"/>
  <c r="AC24" i="93"/>
  <c r="AB24" i="93"/>
  <c r="AA24" i="93"/>
  <c r="Z24" i="93"/>
  <c r="Y24" i="93"/>
  <c r="X24" i="93"/>
  <c r="W24" i="93"/>
  <c r="V24" i="93"/>
  <c r="U24" i="93"/>
  <c r="T24" i="93"/>
  <c r="S24" i="93"/>
  <c r="H24" i="93"/>
  <c r="C24" i="93"/>
  <c r="AP23" i="93"/>
  <c r="AJ23" i="93"/>
  <c r="AG23" i="93"/>
  <c r="AF23" i="93"/>
  <c r="AD23" i="93"/>
  <c r="AC23" i="93"/>
  <c r="AB23" i="93"/>
  <c r="AA23" i="93"/>
  <c r="Z23" i="93"/>
  <c r="Y23" i="93"/>
  <c r="X23" i="93"/>
  <c r="W23" i="93"/>
  <c r="V23" i="93"/>
  <c r="U23" i="93"/>
  <c r="T23" i="93"/>
  <c r="S23" i="93"/>
  <c r="H23" i="93"/>
  <c r="C23" i="93"/>
  <c r="B23" i="93"/>
  <c r="AP22" i="93"/>
  <c r="AB20" i="93"/>
  <c r="AA20" i="93"/>
  <c r="AC15" i="93"/>
  <c r="Z15" i="93"/>
  <c r="W15" i="93"/>
  <c r="AJ14" i="93"/>
  <c r="AC14" i="93"/>
  <c r="AB14" i="93"/>
  <c r="AA14" i="93"/>
  <c r="Z14" i="93"/>
  <c r="Y14" i="93"/>
  <c r="X14" i="93"/>
  <c r="W14" i="93"/>
  <c r="V14" i="93"/>
  <c r="U14" i="93"/>
  <c r="F14" i="93"/>
  <c r="AG13" i="93"/>
  <c r="AF13" i="93"/>
  <c r="AD13" i="93"/>
  <c r="AC13" i="93"/>
  <c r="AB13" i="93"/>
  <c r="AA13" i="93"/>
  <c r="Z13" i="93"/>
  <c r="Y13" i="93"/>
  <c r="X13" i="93"/>
  <c r="W13" i="93"/>
  <c r="V13" i="93"/>
  <c r="U13" i="93"/>
  <c r="T13" i="93"/>
  <c r="S13" i="93"/>
  <c r="F13" i="93"/>
  <c r="AP12" i="93"/>
  <c r="AD12" i="93"/>
  <c r="AC12" i="93"/>
  <c r="AB12" i="93"/>
  <c r="AA12" i="93"/>
  <c r="Z12" i="93"/>
  <c r="Y12" i="93"/>
  <c r="X12" i="93"/>
  <c r="W12" i="93"/>
  <c r="V12" i="93"/>
  <c r="U12" i="93"/>
  <c r="T12" i="93"/>
  <c r="S12" i="93"/>
  <c r="H12" i="93"/>
  <c r="C12" i="93"/>
  <c r="AP11" i="93"/>
  <c r="AJ11" i="93"/>
  <c r="AG11" i="93"/>
  <c r="AF11" i="93"/>
  <c r="AD11" i="93"/>
  <c r="AC11" i="93"/>
  <c r="AB11" i="93"/>
  <c r="AA11" i="93"/>
  <c r="Z11" i="93"/>
  <c r="Y11" i="93"/>
  <c r="X11" i="93"/>
  <c r="W11" i="93"/>
  <c r="V11" i="93"/>
  <c r="U11" i="93"/>
  <c r="T11" i="93"/>
  <c r="S11" i="93"/>
  <c r="H11" i="93"/>
  <c r="C11" i="93"/>
  <c r="AP10" i="93"/>
  <c r="AJ10" i="93"/>
  <c r="AG10" i="93"/>
  <c r="AF10" i="93"/>
  <c r="AD10" i="93"/>
  <c r="AC10" i="93"/>
  <c r="AB10" i="93"/>
  <c r="AA10" i="93"/>
  <c r="Z10" i="93"/>
  <c r="Y10" i="93"/>
  <c r="X10" i="93"/>
  <c r="W10" i="93"/>
  <c r="V10" i="93"/>
  <c r="U10" i="93"/>
  <c r="T10" i="93"/>
  <c r="S10" i="93"/>
  <c r="H10" i="93"/>
  <c r="C10" i="93"/>
  <c r="AP9" i="93"/>
  <c r="AJ9" i="93"/>
  <c r="AG9" i="93"/>
  <c r="AF9" i="93"/>
  <c r="AD9" i="93"/>
  <c r="AC9" i="93"/>
  <c r="AB9" i="93"/>
  <c r="AA9" i="93"/>
  <c r="Z9" i="93"/>
  <c r="Y9" i="93"/>
  <c r="X9" i="93"/>
  <c r="W9" i="93"/>
  <c r="V9" i="93"/>
  <c r="U9" i="93"/>
  <c r="T9" i="93"/>
  <c r="S9" i="93"/>
  <c r="H9" i="93"/>
  <c r="C9" i="93"/>
  <c r="AP8" i="93"/>
  <c r="AJ8" i="93"/>
  <c r="AG8" i="93"/>
  <c r="AF8" i="93"/>
  <c r="AD8" i="93"/>
  <c r="AC8" i="93"/>
  <c r="AB8" i="93"/>
  <c r="AA8" i="93"/>
  <c r="Z8" i="93"/>
  <c r="Y8" i="93"/>
  <c r="X8" i="93"/>
  <c r="W8" i="93"/>
  <c r="V8" i="93"/>
  <c r="U8" i="93"/>
  <c r="T8" i="93"/>
  <c r="S8" i="93"/>
  <c r="H8" i="93"/>
  <c r="C8" i="93"/>
  <c r="AP7" i="93"/>
  <c r="AJ7" i="93"/>
  <c r="AG7" i="93"/>
  <c r="AF7" i="93"/>
  <c r="AD7" i="93"/>
  <c r="AC7" i="93"/>
  <c r="AB7" i="93"/>
  <c r="AA7" i="93"/>
  <c r="Z7" i="93"/>
  <c r="Y7" i="93"/>
  <c r="X7" i="93"/>
  <c r="W7" i="93"/>
  <c r="V7" i="93"/>
  <c r="U7" i="93"/>
  <c r="T7" i="93"/>
  <c r="S7" i="93"/>
  <c r="H7" i="93"/>
  <c r="AP6" i="93"/>
  <c r="AB4" i="93"/>
  <c r="X109" i="94"/>
  <c r="U109" i="94"/>
  <c r="X106" i="94"/>
  <c r="U106" i="94"/>
  <c r="X103" i="94"/>
  <c r="U103" i="94"/>
  <c r="X100" i="94"/>
  <c r="U100" i="94"/>
  <c r="X97" i="94"/>
  <c r="U97" i="94"/>
  <c r="X94" i="94"/>
  <c r="U94" i="94"/>
  <c r="AC88" i="94"/>
  <c r="Z88" i="94"/>
  <c r="W88" i="94"/>
  <c r="AJ87" i="94"/>
  <c r="AD87" i="94"/>
  <c r="AC87" i="94"/>
  <c r="AB87" i="94"/>
  <c r="AA87" i="94"/>
  <c r="Z87" i="94"/>
  <c r="Y87" i="94"/>
  <c r="X87" i="94"/>
  <c r="W87" i="94"/>
  <c r="V87" i="94"/>
  <c r="U87" i="94"/>
  <c r="F87" i="94"/>
  <c r="AG86" i="94"/>
  <c r="AF86" i="94"/>
  <c r="Z86" i="94"/>
  <c r="X86" i="94"/>
  <c r="W86" i="94"/>
  <c r="U86" i="94"/>
  <c r="F86" i="94"/>
  <c r="AD85" i="94"/>
  <c r="AC85" i="94"/>
  <c r="AB85" i="94"/>
  <c r="AA85" i="94"/>
  <c r="Z85" i="94"/>
  <c r="Y85" i="94"/>
  <c r="X85" i="94"/>
  <c r="U85" i="94"/>
  <c r="F85" i="94"/>
  <c r="AP84" i="94"/>
  <c r="AJ84" i="94"/>
  <c r="AG84" i="94"/>
  <c r="AF84" i="94"/>
  <c r="AD84" i="94"/>
  <c r="AC84" i="94"/>
  <c r="AB84" i="94"/>
  <c r="AA84" i="94"/>
  <c r="Z84" i="94"/>
  <c r="Y84" i="94"/>
  <c r="X84" i="94"/>
  <c r="W84" i="94"/>
  <c r="V84" i="94"/>
  <c r="U84" i="94"/>
  <c r="AP83" i="94"/>
  <c r="AJ83" i="94"/>
  <c r="AG83" i="94"/>
  <c r="AF83" i="94"/>
  <c r="AD83" i="94"/>
  <c r="AC83" i="94"/>
  <c r="AB83" i="94"/>
  <c r="AA83" i="94"/>
  <c r="Z83" i="94"/>
  <c r="Y83" i="94"/>
  <c r="X83" i="94"/>
  <c r="W83" i="94"/>
  <c r="V83" i="94"/>
  <c r="U83" i="94"/>
  <c r="AP82" i="94"/>
  <c r="AJ82" i="94"/>
  <c r="AG82" i="94"/>
  <c r="AF82" i="94"/>
  <c r="AD82" i="94"/>
  <c r="AC82" i="94"/>
  <c r="AB82" i="94"/>
  <c r="AA82" i="94"/>
  <c r="Z82" i="94"/>
  <c r="Y82" i="94"/>
  <c r="X82" i="94"/>
  <c r="W82" i="94"/>
  <c r="V82" i="94"/>
  <c r="U82" i="94"/>
  <c r="AP81" i="94"/>
  <c r="AJ81" i="94"/>
  <c r="AG81" i="94"/>
  <c r="AF81" i="94"/>
  <c r="AD81" i="94"/>
  <c r="AC81" i="94"/>
  <c r="AB81" i="94"/>
  <c r="AA81" i="94"/>
  <c r="Z81" i="94"/>
  <c r="Y81" i="94"/>
  <c r="X81" i="94"/>
  <c r="W81" i="94"/>
  <c r="V81" i="94"/>
  <c r="U81" i="94"/>
  <c r="AP80" i="94"/>
  <c r="AJ80" i="94"/>
  <c r="AG80" i="94"/>
  <c r="AF80" i="94"/>
  <c r="AD80" i="94"/>
  <c r="AC80" i="94"/>
  <c r="AB80" i="94"/>
  <c r="AA80" i="94"/>
  <c r="Z80" i="94"/>
  <c r="Y80" i="94"/>
  <c r="X80" i="94"/>
  <c r="W80" i="94"/>
  <c r="V80" i="94"/>
  <c r="U80" i="94"/>
  <c r="AP79" i="94"/>
  <c r="AB77" i="94"/>
  <c r="AA77" i="94"/>
  <c r="K73" i="94"/>
  <c r="H73" i="94"/>
  <c r="E71" i="94"/>
  <c r="K70" i="94"/>
  <c r="H70" i="94"/>
  <c r="E68" i="94"/>
  <c r="K67" i="94"/>
  <c r="H67" i="94"/>
  <c r="E65" i="94"/>
  <c r="K64" i="94"/>
  <c r="H64" i="94"/>
  <c r="K62" i="94"/>
  <c r="E62" i="94"/>
  <c r="K61" i="94"/>
  <c r="H61" i="94"/>
  <c r="K59" i="94"/>
  <c r="H59" i="94"/>
  <c r="E59" i="94"/>
  <c r="K58" i="94"/>
  <c r="H58" i="94"/>
  <c r="E56" i="94"/>
  <c r="K53" i="94"/>
  <c r="H53" i="94"/>
  <c r="K51" i="94"/>
  <c r="H51" i="94"/>
  <c r="E51" i="94"/>
  <c r="K50" i="94"/>
  <c r="H50" i="94"/>
  <c r="K48" i="94"/>
  <c r="H48" i="94"/>
  <c r="E48" i="94"/>
  <c r="K47" i="94"/>
  <c r="H47" i="94"/>
  <c r="K45" i="94"/>
  <c r="H45" i="94"/>
  <c r="E45" i="94"/>
  <c r="K44" i="94"/>
  <c r="H44" i="94"/>
  <c r="K42" i="94"/>
  <c r="H42" i="94"/>
  <c r="E42" i="94"/>
  <c r="K41" i="94"/>
  <c r="H41" i="94"/>
  <c r="E39" i="94"/>
  <c r="K38" i="94"/>
  <c r="H38" i="94"/>
  <c r="E36" i="94"/>
  <c r="AC31" i="94"/>
  <c r="Z31" i="94"/>
  <c r="W31" i="94"/>
  <c r="AJ30" i="94"/>
  <c r="AC30" i="94"/>
  <c r="AB30" i="94"/>
  <c r="AA30" i="94"/>
  <c r="Z30" i="94"/>
  <c r="Y30" i="94"/>
  <c r="X30" i="94"/>
  <c r="W30" i="94"/>
  <c r="V30" i="94"/>
  <c r="U30" i="94"/>
  <c r="F30" i="94"/>
  <c r="AG29" i="94"/>
  <c r="AF29" i="94"/>
  <c r="AD29" i="94"/>
  <c r="AC29" i="94"/>
  <c r="AB29" i="94"/>
  <c r="AA29" i="94"/>
  <c r="Z29" i="94"/>
  <c r="Y29" i="94"/>
  <c r="X29" i="94"/>
  <c r="W29" i="94"/>
  <c r="V29" i="94"/>
  <c r="U29" i="94"/>
  <c r="T29" i="94"/>
  <c r="F29" i="94"/>
  <c r="AP28" i="94"/>
  <c r="AD28" i="94"/>
  <c r="AC28" i="94"/>
  <c r="AB28" i="94"/>
  <c r="AA28" i="94"/>
  <c r="Z28" i="94"/>
  <c r="Y28" i="94"/>
  <c r="X28" i="94"/>
  <c r="W28" i="94"/>
  <c r="V28" i="94"/>
  <c r="U28" i="94"/>
  <c r="T28" i="94"/>
  <c r="S28" i="94"/>
  <c r="H28" i="94"/>
  <c r="C28" i="94"/>
  <c r="AP27" i="94"/>
  <c r="AJ27" i="94"/>
  <c r="AG27" i="94"/>
  <c r="AF27" i="94"/>
  <c r="AD27" i="94"/>
  <c r="AC27" i="94"/>
  <c r="AB27" i="94"/>
  <c r="AA27" i="94"/>
  <c r="Z27" i="94"/>
  <c r="Y27" i="94"/>
  <c r="X27" i="94"/>
  <c r="W27" i="94"/>
  <c r="V27" i="94"/>
  <c r="U27" i="94"/>
  <c r="T27" i="94"/>
  <c r="S27" i="94"/>
  <c r="H27" i="94"/>
  <c r="C27" i="94"/>
  <c r="AP26" i="94"/>
  <c r="AJ26" i="94"/>
  <c r="AG26" i="94"/>
  <c r="AF26" i="94"/>
  <c r="AD26" i="94"/>
  <c r="AC26" i="94"/>
  <c r="AB26" i="94"/>
  <c r="AA26" i="94"/>
  <c r="Z26" i="94"/>
  <c r="Y26" i="94"/>
  <c r="X26" i="94"/>
  <c r="W26" i="94"/>
  <c r="V26" i="94"/>
  <c r="U26" i="94"/>
  <c r="T26" i="94"/>
  <c r="S26" i="94"/>
  <c r="H26" i="94"/>
  <c r="C26" i="94"/>
  <c r="AP25" i="94"/>
  <c r="AJ25" i="94"/>
  <c r="AG25" i="94"/>
  <c r="AF25" i="94"/>
  <c r="AD25" i="94"/>
  <c r="AC25" i="94"/>
  <c r="AB25" i="94"/>
  <c r="AA25" i="94"/>
  <c r="Z25" i="94"/>
  <c r="Y25" i="94"/>
  <c r="X25" i="94"/>
  <c r="W25" i="94"/>
  <c r="V25" i="94"/>
  <c r="U25" i="94"/>
  <c r="T25" i="94"/>
  <c r="S25" i="94"/>
  <c r="H25" i="94"/>
  <c r="C25" i="94"/>
  <c r="AP24" i="94"/>
  <c r="AJ24" i="94"/>
  <c r="AG24" i="94"/>
  <c r="AF24" i="94"/>
  <c r="AD24" i="94"/>
  <c r="AC24" i="94"/>
  <c r="AB24" i="94"/>
  <c r="AA24" i="94"/>
  <c r="Z24" i="94"/>
  <c r="Y24" i="94"/>
  <c r="X24" i="94"/>
  <c r="W24" i="94"/>
  <c r="V24" i="94"/>
  <c r="U24" i="94"/>
  <c r="T24" i="94"/>
  <c r="S24" i="94"/>
  <c r="H24" i="94"/>
  <c r="C24" i="94"/>
  <c r="AP23" i="94"/>
  <c r="AJ23" i="94"/>
  <c r="AG23" i="94"/>
  <c r="AF23" i="94"/>
  <c r="AD23" i="94"/>
  <c r="AC23" i="94"/>
  <c r="AB23" i="94"/>
  <c r="AA23" i="94"/>
  <c r="Z23" i="94"/>
  <c r="Y23" i="94"/>
  <c r="X23" i="94"/>
  <c r="W23" i="94"/>
  <c r="V23" i="94"/>
  <c r="U23" i="94"/>
  <c r="T23" i="94"/>
  <c r="S23" i="94"/>
  <c r="H23" i="94"/>
  <c r="C23" i="94"/>
  <c r="B23" i="94"/>
  <c r="AP22" i="94"/>
  <c r="AB20" i="94"/>
  <c r="AA20" i="94"/>
  <c r="AC15" i="94"/>
  <c r="Z15" i="94"/>
  <c r="W15" i="94"/>
  <c r="AJ14" i="94"/>
  <c r="AC14" i="94"/>
  <c r="AB14" i="94"/>
  <c r="AA14" i="94"/>
  <c r="Z14" i="94"/>
  <c r="Y14" i="94"/>
  <c r="X14" i="94"/>
  <c r="W14" i="94"/>
  <c r="V14" i="94"/>
  <c r="U14" i="94"/>
  <c r="F14" i="94"/>
  <c r="AG13" i="94"/>
  <c r="AF13" i="94"/>
  <c r="AD13" i="94"/>
  <c r="AC13" i="94"/>
  <c r="AB13" i="94"/>
  <c r="AA13" i="94"/>
  <c r="Z13" i="94"/>
  <c r="Y13" i="94"/>
  <c r="X13" i="94"/>
  <c r="W13" i="94"/>
  <c r="V13" i="94"/>
  <c r="U13" i="94"/>
  <c r="T13" i="94"/>
  <c r="S13" i="94"/>
  <c r="F13" i="94"/>
  <c r="AP12" i="94"/>
  <c r="AD12" i="94"/>
  <c r="AC12" i="94"/>
  <c r="AB12" i="94"/>
  <c r="AA12" i="94"/>
  <c r="Z12" i="94"/>
  <c r="Y12" i="94"/>
  <c r="X12" i="94"/>
  <c r="W12" i="94"/>
  <c r="V12" i="94"/>
  <c r="U12" i="94"/>
  <c r="T12" i="94"/>
  <c r="S12" i="94"/>
  <c r="H12" i="94"/>
  <c r="C12" i="94"/>
  <c r="AP11" i="94"/>
  <c r="AJ11" i="94"/>
  <c r="AG11" i="94"/>
  <c r="AF11" i="94"/>
  <c r="AD11" i="94"/>
  <c r="AC11" i="94"/>
  <c r="AB11" i="94"/>
  <c r="AA11" i="94"/>
  <c r="Z11" i="94"/>
  <c r="Y11" i="94"/>
  <c r="X11" i="94"/>
  <c r="W11" i="94"/>
  <c r="V11" i="94"/>
  <c r="U11" i="94"/>
  <c r="T11" i="94"/>
  <c r="S11" i="94"/>
  <c r="H11" i="94"/>
  <c r="C11" i="94"/>
  <c r="AP10" i="94"/>
  <c r="AJ10" i="94"/>
  <c r="AG10" i="94"/>
  <c r="AF10" i="94"/>
  <c r="AD10" i="94"/>
  <c r="AC10" i="94"/>
  <c r="AB10" i="94"/>
  <c r="AA10" i="94"/>
  <c r="Z10" i="94"/>
  <c r="Y10" i="94"/>
  <c r="X10" i="94"/>
  <c r="W10" i="94"/>
  <c r="V10" i="94"/>
  <c r="U10" i="94"/>
  <c r="T10" i="94"/>
  <c r="S10" i="94"/>
  <c r="H10" i="94"/>
  <c r="C10" i="94"/>
  <c r="AP9" i="94"/>
  <c r="AJ9" i="94"/>
  <c r="AG9" i="94"/>
  <c r="AF9" i="94"/>
  <c r="AD9" i="94"/>
  <c r="AC9" i="94"/>
  <c r="AB9" i="94"/>
  <c r="AA9" i="94"/>
  <c r="Z9" i="94"/>
  <c r="Y9" i="94"/>
  <c r="X9" i="94"/>
  <c r="W9" i="94"/>
  <c r="V9" i="94"/>
  <c r="U9" i="94"/>
  <c r="T9" i="94"/>
  <c r="S9" i="94"/>
  <c r="H9" i="94"/>
  <c r="C9" i="94"/>
  <c r="AP8" i="94"/>
  <c r="AJ8" i="94"/>
  <c r="AG8" i="94"/>
  <c r="AF8" i="94"/>
  <c r="AD8" i="94"/>
  <c r="AC8" i="94"/>
  <c r="AB8" i="94"/>
  <c r="AA8" i="94"/>
  <c r="Z8" i="94"/>
  <c r="Y8" i="94"/>
  <c r="X8" i="94"/>
  <c r="W8" i="94"/>
  <c r="V8" i="94"/>
  <c r="U8" i="94"/>
  <c r="T8" i="94"/>
  <c r="S8" i="94"/>
  <c r="H8" i="94"/>
  <c r="C8" i="94"/>
  <c r="AP7" i="94"/>
  <c r="AJ7" i="94"/>
  <c r="AG7" i="94"/>
  <c r="AF7" i="94"/>
  <c r="AD7" i="94"/>
  <c r="AC7" i="94"/>
  <c r="AB7" i="94"/>
  <c r="AA7" i="94"/>
  <c r="Z7" i="94"/>
  <c r="Y7" i="94"/>
  <c r="X7" i="94"/>
  <c r="W7" i="94"/>
  <c r="V7" i="94"/>
  <c r="U7" i="94"/>
  <c r="T7" i="94"/>
  <c r="S7" i="94"/>
  <c r="H7" i="94"/>
  <c r="F7" i="94"/>
  <c r="AP6" i="94"/>
  <c r="AB4" i="94"/>
  <c r="X109" i="95"/>
  <c r="U109" i="95"/>
  <c r="X106" i="95"/>
  <c r="U106" i="95"/>
  <c r="X103" i="95"/>
  <c r="U103" i="95"/>
  <c r="X100" i="95"/>
  <c r="U100" i="95"/>
  <c r="X97" i="95"/>
  <c r="U97" i="95"/>
  <c r="X94" i="95"/>
  <c r="U94" i="95"/>
  <c r="AC88" i="95"/>
  <c r="Z88" i="95"/>
  <c r="W88" i="95"/>
  <c r="AJ87" i="95"/>
  <c r="AD87" i="95"/>
  <c r="AC87" i="95"/>
  <c r="AB87" i="95"/>
  <c r="AA87" i="95"/>
  <c r="Z87" i="95"/>
  <c r="Y87" i="95"/>
  <c r="X87" i="95"/>
  <c r="W87" i="95"/>
  <c r="V87" i="95"/>
  <c r="U87" i="95"/>
  <c r="F87" i="95"/>
  <c r="AG86" i="95"/>
  <c r="AF86" i="95"/>
  <c r="Z86" i="95"/>
  <c r="X86" i="95"/>
  <c r="W86" i="95"/>
  <c r="U86" i="95"/>
  <c r="F86" i="95"/>
  <c r="AD85" i="95"/>
  <c r="AC85" i="95"/>
  <c r="AB85" i="95"/>
  <c r="AA85" i="95"/>
  <c r="Z85" i="95"/>
  <c r="Y85" i="95"/>
  <c r="X85" i="95"/>
  <c r="U85" i="95"/>
  <c r="F85" i="95"/>
  <c r="AP84" i="95"/>
  <c r="AJ84" i="95"/>
  <c r="AG84" i="95"/>
  <c r="AF84" i="95"/>
  <c r="AD84" i="95"/>
  <c r="AC84" i="95"/>
  <c r="AB84" i="95"/>
  <c r="AA84" i="95"/>
  <c r="Z84" i="95"/>
  <c r="Y84" i="95"/>
  <c r="X84" i="95"/>
  <c r="W84" i="95"/>
  <c r="V84" i="95"/>
  <c r="U84" i="95"/>
  <c r="AP83" i="95"/>
  <c r="AJ83" i="95"/>
  <c r="AG83" i="95"/>
  <c r="AF83" i="95"/>
  <c r="AD83" i="95"/>
  <c r="AC83" i="95"/>
  <c r="AB83" i="95"/>
  <c r="AA83" i="95"/>
  <c r="Z83" i="95"/>
  <c r="Y83" i="95"/>
  <c r="X83" i="95"/>
  <c r="W83" i="95"/>
  <c r="V83" i="95"/>
  <c r="U83" i="95"/>
  <c r="AP82" i="95"/>
  <c r="AJ82" i="95"/>
  <c r="AG82" i="95"/>
  <c r="AF82" i="95"/>
  <c r="AD82" i="95"/>
  <c r="AC82" i="95"/>
  <c r="AB82" i="95"/>
  <c r="AA82" i="95"/>
  <c r="Z82" i="95"/>
  <c r="Y82" i="95"/>
  <c r="X82" i="95"/>
  <c r="W82" i="95"/>
  <c r="V82" i="95"/>
  <c r="U82" i="95"/>
  <c r="AP81" i="95"/>
  <c r="AJ81" i="95"/>
  <c r="AG81" i="95"/>
  <c r="AF81" i="95"/>
  <c r="AD81" i="95"/>
  <c r="AC81" i="95"/>
  <c r="AB81" i="95"/>
  <c r="AA81" i="95"/>
  <c r="Z81" i="95"/>
  <c r="Y81" i="95"/>
  <c r="X81" i="95"/>
  <c r="W81" i="95"/>
  <c r="V81" i="95"/>
  <c r="U81" i="95"/>
  <c r="AP80" i="95"/>
  <c r="AJ80" i="95"/>
  <c r="AG80" i="95"/>
  <c r="AF80" i="95"/>
  <c r="AD80" i="95"/>
  <c r="AC80" i="95"/>
  <c r="AB80" i="95"/>
  <c r="AA80" i="95"/>
  <c r="Z80" i="95"/>
  <c r="Y80" i="95"/>
  <c r="X80" i="95"/>
  <c r="W80" i="95"/>
  <c r="V80" i="95"/>
  <c r="U80" i="95"/>
  <c r="AP79" i="95"/>
  <c r="AB77" i="95"/>
  <c r="AA77" i="95"/>
  <c r="K73" i="95"/>
  <c r="H73" i="95"/>
  <c r="K71" i="95"/>
  <c r="E71" i="95"/>
  <c r="K70" i="95"/>
  <c r="H70" i="95"/>
  <c r="K69" i="95"/>
  <c r="K68" i="95"/>
  <c r="E68" i="95"/>
  <c r="K67" i="95"/>
  <c r="H67" i="95"/>
  <c r="K65" i="95"/>
  <c r="H65" i="95"/>
  <c r="E65" i="95"/>
  <c r="K64" i="95"/>
  <c r="H64" i="95"/>
  <c r="K63" i="95"/>
  <c r="H63" i="95"/>
  <c r="K62" i="95"/>
  <c r="H62" i="95"/>
  <c r="E62" i="95"/>
  <c r="K61" i="95"/>
  <c r="H61" i="95"/>
  <c r="E59" i="95"/>
  <c r="K58" i="95"/>
  <c r="H58" i="95"/>
  <c r="E56" i="95"/>
  <c r="K53" i="95"/>
  <c r="H53" i="95"/>
  <c r="K51" i="95"/>
  <c r="H51" i="95"/>
  <c r="E51" i="95"/>
  <c r="K50" i="95"/>
  <c r="H50" i="95"/>
  <c r="E48" i="95"/>
  <c r="K47" i="95"/>
  <c r="H47" i="95"/>
  <c r="K45" i="95"/>
  <c r="H45" i="95"/>
  <c r="E45" i="95"/>
  <c r="K44" i="95"/>
  <c r="H44" i="95"/>
  <c r="K42" i="95"/>
  <c r="H42" i="95"/>
  <c r="E42" i="95"/>
  <c r="K41" i="95"/>
  <c r="H41" i="95"/>
  <c r="K39" i="95"/>
  <c r="H39" i="95"/>
  <c r="E39" i="95"/>
  <c r="K38" i="95"/>
  <c r="H38" i="95"/>
  <c r="E36" i="95"/>
  <c r="AC31" i="95"/>
  <c r="Z31" i="95"/>
  <c r="W31" i="95"/>
  <c r="AJ30" i="95"/>
  <c r="AC30" i="95"/>
  <c r="AB30" i="95"/>
  <c r="AA30" i="95"/>
  <c r="Z30" i="95"/>
  <c r="Y30" i="95"/>
  <c r="X30" i="95"/>
  <c r="W30" i="95"/>
  <c r="V30" i="95"/>
  <c r="U30" i="95"/>
  <c r="F30" i="95"/>
  <c r="AG29" i="95"/>
  <c r="AF29" i="95"/>
  <c r="AD29" i="95"/>
  <c r="AC29" i="95"/>
  <c r="AB29" i="95"/>
  <c r="AA29" i="95"/>
  <c r="Z29" i="95"/>
  <c r="Y29" i="95"/>
  <c r="X29" i="95"/>
  <c r="W29" i="95"/>
  <c r="V29" i="95"/>
  <c r="U29" i="95"/>
  <c r="T29" i="95"/>
  <c r="F29" i="95"/>
  <c r="AP28" i="95"/>
  <c r="AD28" i="95"/>
  <c r="AC28" i="95"/>
  <c r="AB28" i="95"/>
  <c r="AA28" i="95"/>
  <c r="Z28" i="95"/>
  <c r="Y28" i="95"/>
  <c r="X28" i="95"/>
  <c r="W28" i="95"/>
  <c r="V28" i="95"/>
  <c r="U28" i="95"/>
  <c r="T28" i="95"/>
  <c r="S28" i="95"/>
  <c r="H28" i="95"/>
  <c r="C28" i="95"/>
  <c r="AP27" i="95"/>
  <c r="AJ27" i="95"/>
  <c r="AG27" i="95"/>
  <c r="AF27" i="95"/>
  <c r="AD27" i="95"/>
  <c r="AC27" i="95"/>
  <c r="AB27" i="95"/>
  <c r="AA27" i="95"/>
  <c r="Z27" i="95"/>
  <c r="Y27" i="95"/>
  <c r="X27" i="95"/>
  <c r="W27" i="95"/>
  <c r="V27" i="95"/>
  <c r="U27" i="95"/>
  <c r="T27" i="95"/>
  <c r="S27" i="95"/>
  <c r="H27" i="95"/>
  <c r="C27" i="95"/>
  <c r="AP26" i="95"/>
  <c r="AJ26" i="95"/>
  <c r="AG26" i="95"/>
  <c r="AF26" i="95"/>
  <c r="AD26" i="95"/>
  <c r="AC26" i="95"/>
  <c r="AB26" i="95"/>
  <c r="AA26" i="95"/>
  <c r="Z26" i="95"/>
  <c r="Y26" i="95"/>
  <c r="X26" i="95"/>
  <c r="W26" i="95"/>
  <c r="V26" i="95"/>
  <c r="U26" i="95"/>
  <c r="T26" i="95"/>
  <c r="S26" i="95"/>
  <c r="H26" i="95"/>
  <c r="C26" i="95"/>
  <c r="AP25" i="95"/>
  <c r="AJ25" i="95"/>
  <c r="AG25" i="95"/>
  <c r="AF25" i="95"/>
  <c r="AD25" i="95"/>
  <c r="AC25" i="95"/>
  <c r="AB25" i="95"/>
  <c r="AA25" i="95"/>
  <c r="Z25" i="95"/>
  <c r="Y25" i="95"/>
  <c r="X25" i="95"/>
  <c r="W25" i="95"/>
  <c r="V25" i="95"/>
  <c r="U25" i="95"/>
  <c r="T25" i="95"/>
  <c r="S25" i="95"/>
  <c r="H25" i="95"/>
  <c r="C25" i="95"/>
  <c r="AP24" i="95"/>
  <c r="AJ24" i="95"/>
  <c r="AG24" i="95"/>
  <c r="AF24" i="95"/>
  <c r="AD24" i="95"/>
  <c r="AC24" i="95"/>
  <c r="AB24" i="95"/>
  <c r="AA24" i="95"/>
  <c r="Z24" i="95"/>
  <c r="Y24" i="95"/>
  <c r="X24" i="95"/>
  <c r="W24" i="95"/>
  <c r="V24" i="95"/>
  <c r="U24" i="95"/>
  <c r="T24" i="95"/>
  <c r="S24" i="95"/>
  <c r="H24" i="95"/>
  <c r="C24" i="95"/>
  <c r="AP23" i="95"/>
  <c r="AJ23" i="95"/>
  <c r="AG23" i="95"/>
  <c r="AF23" i="95"/>
  <c r="AD23" i="95"/>
  <c r="AC23" i="95"/>
  <c r="AB23" i="95"/>
  <c r="AA23" i="95"/>
  <c r="Z23" i="95"/>
  <c r="Y23" i="95"/>
  <c r="X23" i="95"/>
  <c r="W23" i="95"/>
  <c r="V23" i="95"/>
  <c r="U23" i="95"/>
  <c r="T23" i="95"/>
  <c r="S23" i="95"/>
  <c r="H23" i="95"/>
  <c r="C23" i="95"/>
  <c r="B23" i="95"/>
  <c r="AP22" i="95"/>
  <c r="AB20" i="95"/>
  <c r="AA20" i="95"/>
  <c r="AC15" i="95"/>
  <c r="Z15" i="95"/>
  <c r="W15" i="95"/>
  <c r="AJ14" i="95"/>
  <c r="AC14" i="95"/>
  <c r="AB14" i="95"/>
  <c r="AA14" i="95"/>
  <c r="Z14" i="95"/>
  <c r="Y14" i="95"/>
  <c r="X14" i="95"/>
  <c r="W14" i="95"/>
  <c r="V14" i="95"/>
  <c r="U14" i="95"/>
  <c r="F14" i="95"/>
  <c r="AG13" i="95"/>
  <c r="AF13" i="95"/>
  <c r="AD13" i="95"/>
  <c r="AC13" i="95"/>
  <c r="AB13" i="95"/>
  <c r="AA13" i="95"/>
  <c r="Z13" i="95"/>
  <c r="Y13" i="95"/>
  <c r="X13" i="95"/>
  <c r="W13" i="95"/>
  <c r="V13" i="95"/>
  <c r="U13" i="95"/>
  <c r="T13" i="95"/>
  <c r="S13" i="95"/>
  <c r="F13" i="95"/>
  <c r="AP12" i="95"/>
  <c r="AD12" i="95"/>
  <c r="AC12" i="95"/>
  <c r="AB12" i="95"/>
  <c r="AA12" i="95"/>
  <c r="Z12" i="95"/>
  <c r="Y12" i="95"/>
  <c r="X12" i="95"/>
  <c r="W12" i="95"/>
  <c r="V12" i="95"/>
  <c r="U12" i="95"/>
  <c r="T12" i="95"/>
  <c r="S12" i="95"/>
  <c r="H12" i="95"/>
  <c r="C12" i="95"/>
  <c r="AP11" i="95"/>
  <c r="AJ11" i="95"/>
  <c r="AG11" i="95"/>
  <c r="AF11" i="95"/>
  <c r="AD11" i="95"/>
  <c r="AC11" i="95"/>
  <c r="AB11" i="95"/>
  <c r="AA11" i="95"/>
  <c r="Z11" i="95"/>
  <c r="Y11" i="95"/>
  <c r="X11" i="95"/>
  <c r="W11" i="95"/>
  <c r="V11" i="95"/>
  <c r="U11" i="95"/>
  <c r="T11" i="95"/>
  <c r="S11" i="95"/>
  <c r="H11" i="95"/>
  <c r="C11" i="95"/>
  <c r="AP10" i="95"/>
  <c r="AJ10" i="95"/>
  <c r="AG10" i="95"/>
  <c r="AF10" i="95"/>
  <c r="AD10" i="95"/>
  <c r="AC10" i="95"/>
  <c r="AB10" i="95"/>
  <c r="AA10" i="95"/>
  <c r="Z10" i="95"/>
  <c r="Y10" i="95"/>
  <c r="X10" i="95"/>
  <c r="W10" i="95"/>
  <c r="V10" i="95"/>
  <c r="U10" i="95"/>
  <c r="T10" i="95"/>
  <c r="S10" i="95"/>
  <c r="H10" i="95"/>
  <c r="C10" i="95"/>
  <c r="AP9" i="95"/>
  <c r="AJ9" i="95"/>
  <c r="AG9" i="95"/>
  <c r="AF9" i="95"/>
  <c r="AD9" i="95"/>
  <c r="AC9" i="95"/>
  <c r="AB9" i="95"/>
  <c r="AA9" i="95"/>
  <c r="Z9" i="95"/>
  <c r="Y9" i="95"/>
  <c r="X9" i="95"/>
  <c r="W9" i="95"/>
  <c r="V9" i="95"/>
  <c r="U9" i="95"/>
  <c r="T9" i="95"/>
  <c r="S9" i="95"/>
  <c r="H9" i="95"/>
  <c r="C9" i="95"/>
  <c r="AP8" i="95"/>
  <c r="AJ8" i="95"/>
  <c r="AG8" i="95"/>
  <c r="AF8" i="95"/>
  <c r="AD8" i="95"/>
  <c r="AC8" i="95"/>
  <c r="AB8" i="95"/>
  <c r="AA8" i="95"/>
  <c r="Z8" i="95"/>
  <c r="Y8" i="95"/>
  <c r="X8" i="95"/>
  <c r="W8" i="95"/>
  <c r="V8" i="95"/>
  <c r="U8" i="95"/>
  <c r="T8" i="95"/>
  <c r="S8" i="95"/>
  <c r="H8" i="95"/>
  <c r="C8" i="95"/>
  <c r="AP7" i="95"/>
  <c r="AJ7" i="95"/>
  <c r="AG7" i="95"/>
  <c r="AF7" i="95"/>
  <c r="AD7" i="95"/>
  <c r="AC7" i="95"/>
  <c r="AB7" i="95"/>
  <c r="AA7" i="95"/>
  <c r="Z7" i="95"/>
  <c r="Y7" i="95"/>
  <c r="X7" i="95"/>
  <c r="W7" i="95"/>
  <c r="V7" i="95"/>
  <c r="U7" i="95"/>
  <c r="T7" i="95"/>
  <c r="S7" i="95"/>
  <c r="H7" i="95"/>
  <c r="AP6" i="95"/>
  <c r="AB4" i="95"/>
  <c r="X109" i="96"/>
  <c r="U109" i="96"/>
  <c r="X106" i="96"/>
  <c r="U106" i="96"/>
  <c r="X103" i="96"/>
  <c r="U103" i="96"/>
  <c r="X100" i="96"/>
  <c r="U100" i="96"/>
  <c r="X97" i="96"/>
  <c r="U97" i="96"/>
  <c r="X94" i="96"/>
  <c r="U94" i="96"/>
  <c r="AC88" i="96"/>
  <c r="Z88" i="96"/>
  <c r="W88" i="96"/>
  <c r="AJ87" i="96"/>
  <c r="AD87" i="96"/>
  <c r="AC87" i="96"/>
  <c r="AB87" i="96"/>
  <c r="AA87" i="96"/>
  <c r="Z87" i="96"/>
  <c r="Y87" i="96"/>
  <c r="X87" i="96"/>
  <c r="W87" i="96"/>
  <c r="V87" i="96"/>
  <c r="U87" i="96"/>
  <c r="F87" i="96"/>
  <c r="AG86" i="96"/>
  <c r="AF86" i="96"/>
  <c r="Z86" i="96"/>
  <c r="X86" i="96"/>
  <c r="W86" i="96"/>
  <c r="U86" i="96"/>
  <c r="F86" i="96"/>
  <c r="AD85" i="96"/>
  <c r="AC85" i="96"/>
  <c r="AB85" i="96"/>
  <c r="AA85" i="96"/>
  <c r="Z85" i="96"/>
  <c r="Y85" i="96"/>
  <c r="X85" i="96"/>
  <c r="U85" i="96"/>
  <c r="F85" i="96"/>
  <c r="AP84" i="96"/>
  <c r="AJ84" i="96"/>
  <c r="AG84" i="96"/>
  <c r="AF84" i="96"/>
  <c r="AD84" i="96"/>
  <c r="AC84" i="96"/>
  <c r="AB84" i="96"/>
  <c r="AA84" i="96"/>
  <c r="Z84" i="96"/>
  <c r="Y84" i="96"/>
  <c r="X84" i="96"/>
  <c r="W84" i="96"/>
  <c r="V84" i="96"/>
  <c r="U84" i="96"/>
  <c r="AP83" i="96"/>
  <c r="AJ83" i="96"/>
  <c r="AG83" i="96"/>
  <c r="AF83" i="96"/>
  <c r="AD83" i="96"/>
  <c r="AC83" i="96"/>
  <c r="AB83" i="96"/>
  <c r="AA83" i="96"/>
  <c r="Z83" i="96"/>
  <c r="Y83" i="96"/>
  <c r="X83" i="96"/>
  <c r="W83" i="96"/>
  <c r="V83" i="96"/>
  <c r="U83" i="96"/>
  <c r="AP82" i="96"/>
  <c r="AJ82" i="96"/>
  <c r="AG82" i="96"/>
  <c r="AF82" i="96"/>
  <c r="AD82" i="96"/>
  <c r="AC82" i="96"/>
  <c r="AB82" i="96"/>
  <c r="AA82" i="96"/>
  <c r="Z82" i="96"/>
  <c r="Y82" i="96"/>
  <c r="X82" i="96"/>
  <c r="W82" i="96"/>
  <c r="V82" i="96"/>
  <c r="U82" i="96"/>
  <c r="AP81" i="96"/>
  <c r="AJ81" i="96"/>
  <c r="AG81" i="96"/>
  <c r="AF81" i="96"/>
  <c r="AD81" i="96"/>
  <c r="AC81" i="96"/>
  <c r="AB81" i="96"/>
  <c r="AA81" i="96"/>
  <c r="Z81" i="96"/>
  <c r="Y81" i="96"/>
  <c r="X81" i="96"/>
  <c r="W81" i="96"/>
  <c r="V81" i="96"/>
  <c r="U81" i="96"/>
  <c r="AP80" i="96"/>
  <c r="AJ80" i="96"/>
  <c r="AG80" i="96"/>
  <c r="AF80" i="96"/>
  <c r="AD80" i="96"/>
  <c r="AC80" i="96"/>
  <c r="AB80" i="96"/>
  <c r="AA80" i="96"/>
  <c r="Z80" i="96"/>
  <c r="Y80" i="96"/>
  <c r="X80" i="96"/>
  <c r="W80" i="96"/>
  <c r="V80" i="96"/>
  <c r="U80" i="96"/>
  <c r="AP79" i="96"/>
  <c r="AB77" i="96"/>
  <c r="AA77" i="96"/>
  <c r="K73" i="96"/>
  <c r="H73" i="96"/>
  <c r="E71" i="96"/>
  <c r="K70" i="96"/>
  <c r="H70" i="96"/>
  <c r="K68" i="96"/>
  <c r="H68" i="96"/>
  <c r="E68" i="96"/>
  <c r="K67" i="96"/>
  <c r="H67" i="96"/>
  <c r="K65" i="96"/>
  <c r="H65" i="96"/>
  <c r="E65" i="96"/>
  <c r="K64" i="96"/>
  <c r="H64" i="96"/>
  <c r="K62" i="96"/>
  <c r="E62" i="96"/>
  <c r="K61" i="96"/>
  <c r="H61" i="96"/>
  <c r="K59" i="96"/>
  <c r="E59" i="96"/>
  <c r="K58" i="96"/>
  <c r="H58" i="96"/>
  <c r="K56" i="96"/>
  <c r="H56" i="96"/>
  <c r="E56" i="96"/>
  <c r="K53" i="96"/>
  <c r="H53" i="96"/>
  <c r="E51" i="96"/>
  <c r="K50" i="96"/>
  <c r="H50" i="96"/>
  <c r="E48" i="96"/>
  <c r="K47" i="96"/>
  <c r="H47" i="96"/>
  <c r="E45" i="96"/>
  <c r="K44" i="96"/>
  <c r="H44" i="96"/>
  <c r="K42" i="96"/>
  <c r="H42" i="96"/>
  <c r="E42" i="96"/>
  <c r="K41" i="96"/>
  <c r="H41" i="96"/>
  <c r="E39" i="96"/>
  <c r="K38" i="96"/>
  <c r="H38" i="96"/>
  <c r="K36" i="96"/>
  <c r="H36" i="96"/>
  <c r="E36" i="96"/>
  <c r="AC31" i="96"/>
  <c r="Z31" i="96"/>
  <c r="W31" i="96"/>
  <c r="AJ30" i="96"/>
  <c r="AC30" i="96"/>
  <c r="AB30" i="96"/>
  <c r="AA30" i="96"/>
  <c r="Z30" i="96"/>
  <c r="Y30" i="96"/>
  <c r="X30" i="96"/>
  <c r="W30" i="96"/>
  <c r="V30" i="96"/>
  <c r="U30" i="96"/>
  <c r="F30" i="96"/>
  <c r="AG29" i="96"/>
  <c r="AF29" i="96"/>
  <c r="AD29" i="96"/>
  <c r="AC29" i="96"/>
  <c r="AB29" i="96"/>
  <c r="AA29" i="96"/>
  <c r="Z29" i="96"/>
  <c r="Y29" i="96"/>
  <c r="X29" i="96"/>
  <c r="W29" i="96"/>
  <c r="V29" i="96"/>
  <c r="U29" i="96"/>
  <c r="T29" i="96"/>
  <c r="F29" i="96"/>
  <c r="AP28" i="96"/>
  <c r="AD28" i="96"/>
  <c r="AC28" i="96"/>
  <c r="AB28" i="96"/>
  <c r="AA28" i="96"/>
  <c r="Z28" i="96"/>
  <c r="Y28" i="96"/>
  <c r="X28" i="96"/>
  <c r="W28" i="96"/>
  <c r="V28" i="96"/>
  <c r="U28" i="96"/>
  <c r="T28" i="96"/>
  <c r="S28" i="96"/>
  <c r="H28" i="96"/>
  <c r="C28" i="96"/>
  <c r="AP27" i="96"/>
  <c r="AJ27" i="96"/>
  <c r="AG27" i="96"/>
  <c r="AF27" i="96"/>
  <c r="AD27" i="96"/>
  <c r="AC27" i="96"/>
  <c r="AB27" i="96"/>
  <c r="AA27" i="96"/>
  <c r="Z27" i="96"/>
  <c r="Y27" i="96"/>
  <c r="X27" i="96"/>
  <c r="W27" i="96"/>
  <c r="V27" i="96"/>
  <c r="U27" i="96"/>
  <c r="T27" i="96"/>
  <c r="S27" i="96"/>
  <c r="H27" i="96"/>
  <c r="C27" i="96"/>
  <c r="AP26" i="96"/>
  <c r="AJ26" i="96"/>
  <c r="AG26" i="96"/>
  <c r="AF26" i="96"/>
  <c r="AD26" i="96"/>
  <c r="AC26" i="96"/>
  <c r="AB26" i="96"/>
  <c r="AA26" i="96"/>
  <c r="Z26" i="96"/>
  <c r="Y26" i="96"/>
  <c r="X26" i="96"/>
  <c r="W26" i="96"/>
  <c r="V26" i="96"/>
  <c r="U26" i="96"/>
  <c r="T26" i="96"/>
  <c r="S26" i="96"/>
  <c r="H26" i="96"/>
  <c r="C26" i="96"/>
  <c r="AP25" i="96"/>
  <c r="AJ25" i="96"/>
  <c r="AG25" i="96"/>
  <c r="AF25" i="96"/>
  <c r="AD25" i="96"/>
  <c r="AC25" i="96"/>
  <c r="AB25" i="96"/>
  <c r="AA25" i="96"/>
  <c r="Z25" i="96"/>
  <c r="Y25" i="96"/>
  <c r="X25" i="96"/>
  <c r="W25" i="96"/>
  <c r="V25" i="96"/>
  <c r="U25" i="96"/>
  <c r="T25" i="96"/>
  <c r="S25" i="96"/>
  <c r="H25" i="96"/>
  <c r="C25" i="96"/>
  <c r="AP24" i="96"/>
  <c r="AJ24" i="96"/>
  <c r="AG24" i="96"/>
  <c r="AF24" i="96"/>
  <c r="AD24" i="96"/>
  <c r="AC24" i="96"/>
  <c r="AB24" i="96"/>
  <c r="AA24" i="96"/>
  <c r="Z24" i="96"/>
  <c r="Y24" i="96"/>
  <c r="X24" i="96"/>
  <c r="W24" i="96"/>
  <c r="V24" i="96"/>
  <c r="U24" i="96"/>
  <c r="T24" i="96"/>
  <c r="S24" i="96"/>
  <c r="H24" i="96"/>
  <c r="C24" i="96"/>
  <c r="AP23" i="96"/>
  <c r="AJ23" i="96"/>
  <c r="AG23" i="96"/>
  <c r="AF23" i="96"/>
  <c r="AD23" i="96"/>
  <c r="AC23" i="96"/>
  <c r="AB23" i="96"/>
  <c r="AA23" i="96"/>
  <c r="Z23" i="96"/>
  <c r="Y23" i="96"/>
  <c r="X23" i="96"/>
  <c r="W23" i="96"/>
  <c r="V23" i="96"/>
  <c r="U23" i="96"/>
  <c r="T23" i="96"/>
  <c r="S23" i="96"/>
  <c r="H23" i="96"/>
  <c r="C23" i="96"/>
  <c r="B23" i="96"/>
  <c r="AP22" i="96"/>
  <c r="AB20" i="96"/>
  <c r="AA20" i="96"/>
  <c r="AC15" i="96"/>
  <c r="Z15" i="96"/>
  <c r="W15" i="96"/>
  <c r="AJ14" i="96"/>
  <c r="AC14" i="96"/>
  <c r="AB14" i="96"/>
  <c r="AA14" i="96"/>
  <c r="Z14" i="96"/>
  <c r="Y14" i="96"/>
  <c r="X14" i="96"/>
  <c r="W14" i="96"/>
  <c r="V14" i="96"/>
  <c r="U14" i="96"/>
  <c r="F14" i="96"/>
  <c r="AG13" i="96"/>
  <c r="AF13" i="96"/>
  <c r="AD13" i="96"/>
  <c r="AC13" i="96"/>
  <c r="AB13" i="96"/>
  <c r="AA13" i="96"/>
  <c r="Z13" i="96"/>
  <c r="Y13" i="96"/>
  <c r="X13" i="96"/>
  <c r="W13" i="96"/>
  <c r="V13" i="96"/>
  <c r="U13" i="96"/>
  <c r="T13" i="96"/>
  <c r="S13" i="96"/>
  <c r="F13" i="96"/>
  <c r="AP12" i="96"/>
  <c r="AD12" i="96"/>
  <c r="AC12" i="96"/>
  <c r="AB12" i="96"/>
  <c r="AA12" i="96"/>
  <c r="Z12" i="96"/>
  <c r="Y12" i="96"/>
  <c r="X12" i="96"/>
  <c r="W12" i="96"/>
  <c r="V12" i="96"/>
  <c r="U12" i="96"/>
  <c r="T12" i="96"/>
  <c r="S12" i="96"/>
  <c r="H12" i="96"/>
  <c r="AP11" i="96"/>
  <c r="AJ11" i="96"/>
  <c r="AG11" i="96"/>
  <c r="AF11" i="96"/>
  <c r="AD11" i="96"/>
  <c r="AC11" i="96"/>
  <c r="AB11" i="96"/>
  <c r="AA11" i="96"/>
  <c r="Z11" i="96"/>
  <c r="Y11" i="96"/>
  <c r="X11" i="96"/>
  <c r="W11" i="96"/>
  <c r="V11" i="96"/>
  <c r="U11" i="96"/>
  <c r="T11" i="96"/>
  <c r="S11" i="96"/>
  <c r="H11" i="96"/>
  <c r="F11" i="96"/>
  <c r="C11" i="96"/>
  <c r="AP10" i="96"/>
  <c r="AJ10" i="96"/>
  <c r="AG10" i="96"/>
  <c r="AF10" i="96"/>
  <c r="AD10" i="96"/>
  <c r="AC10" i="96"/>
  <c r="AB10" i="96"/>
  <c r="AA10" i="96"/>
  <c r="Z10" i="96"/>
  <c r="Y10" i="96"/>
  <c r="X10" i="96"/>
  <c r="W10" i="96"/>
  <c r="V10" i="96"/>
  <c r="U10" i="96"/>
  <c r="T10" i="96"/>
  <c r="S10" i="96"/>
  <c r="H10" i="96"/>
  <c r="C10" i="96"/>
  <c r="AP9" i="96"/>
  <c r="AJ9" i="96"/>
  <c r="AG9" i="96"/>
  <c r="AF9" i="96"/>
  <c r="AD9" i="96"/>
  <c r="AC9" i="96"/>
  <c r="AB9" i="96"/>
  <c r="AA9" i="96"/>
  <c r="Z9" i="96"/>
  <c r="Y9" i="96"/>
  <c r="X9" i="96"/>
  <c r="W9" i="96"/>
  <c r="V9" i="96"/>
  <c r="U9" i="96"/>
  <c r="T9" i="96"/>
  <c r="S9" i="96"/>
  <c r="H9" i="96"/>
  <c r="F9" i="96"/>
  <c r="C9" i="96"/>
  <c r="AP8" i="96"/>
  <c r="AJ8" i="96"/>
  <c r="AG8" i="96"/>
  <c r="AF8" i="96"/>
  <c r="AD8" i="96"/>
  <c r="AC8" i="96"/>
  <c r="AB8" i="96"/>
  <c r="AA8" i="96"/>
  <c r="Z8" i="96"/>
  <c r="Y8" i="96"/>
  <c r="X8" i="96"/>
  <c r="W8" i="96"/>
  <c r="V8" i="96"/>
  <c r="U8" i="96"/>
  <c r="T8" i="96"/>
  <c r="S8" i="96"/>
  <c r="H8" i="96"/>
  <c r="C8" i="96"/>
  <c r="AP7" i="96"/>
  <c r="AJ7" i="96"/>
  <c r="AG7" i="96"/>
  <c r="AF7" i="96"/>
  <c r="AD7" i="96"/>
  <c r="AC7" i="96"/>
  <c r="AB7" i="96"/>
  <c r="AA7" i="96"/>
  <c r="Z7" i="96"/>
  <c r="Y7" i="96"/>
  <c r="X7" i="96"/>
  <c r="W7" i="96"/>
  <c r="V7" i="96"/>
  <c r="U7" i="96"/>
  <c r="T7" i="96"/>
  <c r="S7" i="96"/>
  <c r="H7" i="96"/>
  <c r="AP6" i="96"/>
  <c r="AB4" i="96"/>
  <c r="X109" i="97"/>
  <c r="U109" i="97"/>
  <c r="X106" i="97"/>
  <c r="U106" i="97"/>
  <c r="X103" i="97"/>
  <c r="U103" i="97"/>
  <c r="X100" i="97"/>
  <c r="U100" i="97"/>
  <c r="X97" i="97"/>
  <c r="U97" i="97"/>
  <c r="X94" i="97"/>
  <c r="U94" i="97"/>
  <c r="AC88" i="97"/>
  <c r="Z88" i="97"/>
  <c r="W88" i="97"/>
  <c r="AJ87" i="97"/>
  <c r="AD87" i="97"/>
  <c r="AC87" i="97"/>
  <c r="AB87" i="97"/>
  <c r="AA87" i="97"/>
  <c r="Z87" i="97"/>
  <c r="Y87" i="97"/>
  <c r="X87" i="97"/>
  <c r="W87" i="97"/>
  <c r="V87" i="97"/>
  <c r="U87" i="97"/>
  <c r="F87" i="97"/>
  <c r="AG86" i="97"/>
  <c r="AF86" i="97"/>
  <c r="Z86" i="97"/>
  <c r="X86" i="97"/>
  <c r="W86" i="97"/>
  <c r="U86" i="97"/>
  <c r="F86" i="97"/>
  <c r="AD85" i="97"/>
  <c r="AC85" i="97"/>
  <c r="AB85" i="97"/>
  <c r="AA85" i="97"/>
  <c r="Z85" i="97"/>
  <c r="Y85" i="97"/>
  <c r="X85" i="97"/>
  <c r="U85" i="97"/>
  <c r="F85" i="97"/>
  <c r="AP84" i="97"/>
  <c r="AJ84" i="97"/>
  <c r="AG84" i="97"/>
  <c r="AF84" i="97"/>
  <c r="AD84" i="97"/>
  <c r="AC84" i="97"/>
  <c r="AB84" i="97"/>
  <c r="AA84" i="97"/>
  <c r="Z84" i="97"/>
  <c r="Y84" i="97"/>
  <c r="X84" i="97"/>
  <c r="W84" i="97"/>
  <c r="V84" i="97"/>
  <c r="U84" i="97"/>
  <c r="AP83" i="97"/>
  <c r="AJ83" i="97"/>
  <c r="AG83" i="97"/>
  <c r="AF83" i="97"/>
  <c r="AD83" i="97"/>
  <c r="AC83" i="97"/>
  <c r="AB83" i="97"/>
  <c r="AA83" i="97"/>
  <c r="Z83" i="97"/>
  <c r="Y83" i="97"/>
  <c r="X83" i="97"/>
  <c r="W83" i="97"/>
  <c r="V83" i="97"/>
  <c r="U83" i="97"/>
  <c r="AP82" i="97"/>
  <c r="AJ82" i="97"/>
  <c r="AG82" i="97"/>
  <c r="AF82" i="97"/>
  <c r="AD82" i="97"/>
  <c r="AC82" i="97"/>
  <c r="AB82" i="97"/>
  <c r="AA82" i="97"/>
  <c r="Z82" i="97"/>
  <c r="Y82" i="97"/>
  <c r="X82" i="97"/>
  <c r="W82" i="97"/>
  <c r="V82" i="97"/>
  <c r="U82" i="97"/>
  <c r="AP81" i="97"/>
  <c r="AJ81" i="97"/>
  <c r="AG81" i="97"/>
  <c r="AF81" i="97"/>
  <c r="AD81" i="97"/>
  <c r="AC81" i="97"/>
  <c r="AB81" i="97"/>
  <c r="AA81" i="97"/>
  <c r="Z81" i="97"/>
  <c r="Y81" i="97"/>
  <c r="X81" i="97"/>
  <c r="W81" i="97"/>
  <c r="V81" i="97"/>
  <c r="U81" i="97"/>
  <c r="AP80" i="97"/>
  <c r="AJ80" i="97"/>
  <c r="AG80" i="97"/>
  <c r="AF80" i="97"/>
  <c r="AD80" i="97"/>
  <c r="AC80" i="97"/>
  <c r="AB80" i="97"/>
  <c r="AA80" i="97"/>
  <c r="Z80" i="97"/>
  <c r="Y80" i="97"/>
  <c r="X80" i="97"/>
  <c r="W80" i="97"/>
  <c r="V80" i="97"/>
  <c r="U80" i="97"/>
  <c r="AP79" i="97"/>
  <c r="AB77" i="97"/>
  <c r="AA77" i="97"/>
  <c r="K73" i="97"/>
  <c r="H73" i="97"/>
  <c r="E71" i="97"/>
  <c r="K70" i="97"/>
  <c r="H70" i="97"/>
  <c r="K68" i="97"/>
  <c r="H68" i="97"/>
  <c r="E68" i="97"/>
  <c r="K67" i="97"/>
  <c r="H67" i="97"/>
  <c r="K65" i="97"/>
  <c r="H65" i="97"/>
  <c r="E65" i="97"/>
  <c r="K64" i="97"/>
  <c r="H64" i="97"/>
  <c r="H62" i="97"/>
  <c r="E62" i="97"/>
  <c r="K61" i="97"/>
  <c r="H61" i="97"/>
  <c r="K59" i="97"/>
  <c r="H59" i="97"/>
  <c r="E59" i="97"/>
  <c r="K58" i="97"/>
  <c r="H58" i="97"/>
  <c r="K56" i="97"/>
  <c r="H56" i="97"/>
  <c r="E56" i="97"/>
  <c r="K53" i="97"/>
  <c r="H53" i="97"/>
  <c r="K51" i="97"/>
  <c r="H51" i="97"/>
  <c r="E51" i="97"/>
  <c r="K50" i="97"/>
  <c r="H50" i="97"/>
  <c r="E48" i="97"/>
  <c r="K47" i="97"/>
  <c r="H47" i="97"/>
  <c r="E45" i="97"/>
  <c r="K44" i="97"/>
  <c r="H44" i="97"/>
  <c r="K42" i="97"/>
  <c r="H42" i="97"/>
  <c r="E42" i="97"/>
  <c r="K41" i="97"/>
  <c r="H41" i="97"/>
  <c r="K39" i="97"/>
  <c r="H39" i="97"/>
  <c r="E39" i="97"/>
  <c r="K38" i="97"/>
  <c r="H38" i="97"/>
  <c r="E36" i="97"/>
  <c r="AC31" i="97"/>
  <c r="Z31" i="97"/>
  <c r="W31" i="97"/>
  <c r="AJ30" i="97"/>
  <c r="AC30" i="97"/>
  <c r="AB30" i="97"/>
  <c r="AA30" i="97"/>
  <c r="Z30" i="97"/>
  <c r="Y30" i="97"/>
  <c r="X30" i="97"/>
  <c r="W30" i="97"/>
  <c r="V30" i="97"/>
  <c r="U30" i="97"/>
  <c r="F30" i="97"/>
  <c r="AG29" i="97"/>
  <c r="AF29" i="97"/>
  <c r="AD29" i="97"/>
  <c r="AC29" i="97"/>
  <c r="AB29" i="97"/>
  <c r="AA29" i="97"/>
  <c r="Z29" i="97"/>
  <c r="Y29" i="97"/>
  <c r="X29" i="97"/>
  <c r="W29" i="97"/>
  <c r="V29" i="97"/>
  <c r="U29" i="97"/>
  <c r="T29" i="97"/>
  <c r="F29" i="97"/>
  <c r="AP28" i="97"/>
  <c r="AD28" i="97"/>
  <c r="AC28" i="97"/>
  <c r="AB28" i="97"/>
  <c r="AA28" i="97"/>
  <c r="Z28" i="97"/>
  <c r="Y28" i="97"/>
  <c r="X28" i="97"/>
  <c r="W28" i="97"/>
  <c r="V28" i="97"/>
  <c r="U28" i="97"/>
  <c r="T28" i="97"/>
  <c r="S28" i="97"/>
  <c r="H28" i="97"/>
  <c r="C28" i="97"/>
  <c r="AP27" i="97"/>
  <c r="AJ27" i="97"/>
  <c r="AG27" i="97"/>
  <c r="AF27" i="97"/>
  <c r="AD27" i="97"/>
  <c r="AC27" i="97"/>
  <c r="AB27" i="97"/>
  <c r="AA27" i="97"/>
  <c r="Z27" i="97"/>
  <c r="Y27" i="97"/>
  <c r="X27" i="97"/>
  <c r="W27" i="97"/>
  <c r="V27" i="97"/>
  <c r="U27" i="97"/>
  <c r="T27" i="97"/>
  <c r="S27" i="97"/>
  <c r="H27" i="97"/>
  <c r="F27" i="97"/>
  <c r="C27" i="97"/>
  <c r="AP26" i="97"/>
  <c r="AJ26" i="97"/>
  <c r="AG26" i="97"/>
  <c r="AF26" i="97"/>
  <c r="AD26" i="97"/>
  <c r="AC26" i="97"/>
  <c r="AB26" i="97"/>
  <c r="AA26" i="97"/>
  <c r="Z26" i="97"/>
  <c r="Y26" i="97"/>
  <c r="X26" i="97"/>
  <c r="W26" i="97"/>
  <c r="V26" i="97"/>
  <c r="U26" i="97"/>
  <c r="T26" i="97"/>
  <c r="S26" i="97"/>
  <c r="H26" i="97"/>
  <c r="C26" i="97"/>
  <c r="AP25" i="97"/>
  <c r="AJ25" i="97"/>
  <c r="AG25" i="97"/>
  <c r="AF25" i="97"/>
  <c r="AD25" i="97"/>
  <c r="AC25" i="97"/>
  <c r="AB25" i="97"/>
  <c r="AA25" i="97"/>
  <c r="Z25" i="97"/>
  <c r="Y25" i="97"/>
  <c r="X25" i="97"/>
  <c r="W25" i="97"/>
  <c r="V25" i="97"/>
  <c r="U25" i="97"/>
  <c r="T25" i="97"/>
  <c r="S25" i="97"/>
  <c r="H25" i="97"/>
  <c r="C25" i="97"/>
  <c r="AP24" i="97"/>
  <c r="AJ24" i="97"/>
  <c r="AG24" i="97"/>
  <c r="AF24" i="97"/>
  <c r="AD24" i="97"/>
  <c r="AC24" i="97"/>
  <c r="AB24" i="97"/>
  <c r="AA24" i="97"/>
  <c r="Z24" i="97"/>
  <c r="Y24" i="97"/>
  <c r="X24" i="97"/>
  <c r="W24" i="97"/>
  <c r="V24" i="97"/>
  <c r="U24" i="97"/>
  <c r="T24" i="97"/>
  <c r="S24" i="97"/>
  <c r="H24" i="97"/>
  <c r="C24" i="97"/>
  <c r="AP23" i="97"/>
  <c r="AJ23" i="97"/>
  <c r="AG23" i="97"/>
  <c r="AF23" i="97"/>
  <c r="AD23" i="97"/>
  <c r="AC23" i="97"/>
  <c r="AB23" i="97"/>
  <c r="AA23" i="97"/>
  <c r="Z23" i="97"/>
  <c r="Y23" i="97"/>
  <c r="X23" i="97"/>
  <c r="W23" i="97"/>
  <c r="V23" i="97"/>
  <c r="U23" i="97"/>
  <c r="T23" i="97"/>
  <c r="S23" i="97"/>
  <c r="H23" i="97"/>
  <c r="C23" i="97"/>
  <c r="B23" i="97"/>
  <c r="AP22" i="97"/>
  <c r="AB20" i="97"/>
  <c r="AA20" i="97"/>
  <c r="AC15" i="97"/>
  <c r="Z15" i="97"/>
  <c r="W15" i="97"/>
  <c r="AJ14" i="97"/>
  <c r="AC14" i="97"/>
  <c r="AB14" i="97"/>
  <c r="AA14" i="97"/>
  <c r="Z14" i="97"/>
  <c r="Y14" i="97"/>
  <c r="X14" i="97"/>
  <c r="W14" i="97"/>
  <c r="V14" i="97"/>
  <c r="U14" i="97"/>
  <c r="F14" i="97"/>
  <c r="AG13" i="97"/>
  <c r="AF13" i="97"/>
  <c r="AD13" i="97"/>
  <c r="AC13" i="97"/>
  <c r="AB13" i="97"/>
  <c r="AA13" i="97"/>
  <c r="Z13" i="97"/>
  <c r="Y13" i="97"/>
  <c r="X13" i="97"/>
  <c r="W13" i="97"/>
  <c r="V13" i="97"/>
  <c r="U13" i="97"/>
  <c r="T13" i="97"/>
  <c r="S13" i="97"/>
  <c r="F13" i="97"/>
  <c r="AP12" i="97"/>
  <c r="AD12" i="97"/>
  <c r="AC12" i="97"/>
  <c r="AB12" i="97"/>
  <c r="AA12" i="97"/>
  <c r="Z12" i="97"/>
  <c r="Y12" i="97"/>
  <c r="X12" i="97"/>
  <c r="W12" i="97"/>
  <c r="V12" i="97"/>
  <c r="U12" i="97"/>
  <c r="T12" i="97"/>
  <c r="S12" i="97"/>
  <c r="H12" i="97"/>
  <c r="C12" i="97"/>
  <c r="AP11" i="97"/>
  <c r="AJ11" i="97"/>
  <c r="AG11" i="97"/>
  <c r="AF11" i="97"/>
  <c r="AD11" i="97"/>
  <c r="AC11" i="97"/>
  <c r="AB11" i="97"/>
  <c r="AA11" i="97"/>
  <c r="Z11" i="97"/>
  <c r="Y11" i="97"/>
  <c r="X11" i="97"/>
  <c r="W11" i="97"/>
  <c r="V11" i="97"/>
  <c r="U11" i="97"/>
  <c r="T11" i="97"/>
  <c r="S11" i="97"/>
  <c r="H11" i="97"/>
  <c r="C11" i="97"/>
  <c r="AP10" i="97"/>
  <c r="AJ10" i="97"/>
  <c r="AG10" i="97"/>
  <c r="AF10" i="97"/>
  <c r="AD10" i="97"/>
  <c r="AC10" i="97"/>
  <c r="AB10" i="97"/>
  <c r="AA10" i="97"/>
  <c r="Z10" i="97"/>
  <c r="Y10" i="97"/>
  <c r="X10" i="97"/>
  <c r="W10" i="97"/>
  <c r="V10" i="97"/>
  <c r="U10" i="97"/>
  <c r="T10" i="97"/>
  <c r="S10" i="97"/>
  <c r="H10" i="97"/>
  <c r="C10" i="97"/>
  <c r="AP9" i="97"/>
  <c r="AJ9" i="97"/>
  <c r="AG9" i="97"/>
  <c r="AF9" i="97"/>
  <c r="AD9" i="97"/>
  <c r="AC9" i="97"/>
  <c r="AB9" i="97"/>
  <c r="AA9" i="97"/>
  <c r="Z9" i="97"/>
  <c r="Y9" i="97"/>
  <c r="X9" i="97"/>
  <c r="W9" i="97"/>
  <c r="V9" i="97"/>
  <c r="U9" i="97"/>
  <c r="T9" i="97"/>
  <c r="S9" i="97"/>
  <c r="H9" i="97"/>
  <c r="C9" i="97"/>
  <c r="AP8" i="97"/>
  <c r="AJ8" i="97"/>
  <c r="AG8" i="97"/>
  <c r="AF8" i="97"/>
  <c r="AD8" i="97"/>
  <c r="AC8" i="97"/>
  <c r="AB8" i="97"/>
  <c r="AA8" i="97"/>
  <c r="Z8" i="97"/>
  <c r="Y8" i="97"/>
  <c r="X8" i="97"/>
  <c r="W8" i="97"/>
  <c r="V8" i="97"/>
  <c r="U8" i="97"/>
  <c r="T8" i="97"/>
  <c r="S8" i="97"/>
  <c r="H8" i="97"/>
  <c r="C8" i="97"/>
  <c r="AP7" i="97"/>
  <c r="AJ7" i="97"/>
  <c r="AG7" i="97"/>
  <c r="AF7" i="97"/>
  <c r="AD7" i="97"/>
  <c r="AC7" i="97"/>
  <c r="AB7" i="97"/>
  <c r="AA7" i="97"/>
  <c r="Z7" i="97"/>
  <c r="Y7" i="97"/>
  <c r="X7" i="97"/>
  <c r="W7" i="97"/>
  <c r="V7" i="97"/>
  <c r="U7" i="97"/>
  <c r="T7" i="97"/>
  <c r="S7" i="97"/>
  <c r="H7" i="97"/>
  <c r="AP6" i="97"/>
  <c r="AB4" i="97"/>
  <c r="X109" i="98"/>
  <c r="U109" i="98"/>
  <c r="X106" i="98"/>
  <c r="U106" i="98"/>
  <c r="X103" i="98"/>
  <c r="U103" i="98"/>
  <c r="X100" i="98"/>
  <c r="U100" i="98"/>
  <c r="X97" i="98"/>
  <c r="U97" i="98"/>
  <c r="X94" i="98"/>
  <c r="U94" i="98"/>
  <c r="AC88" i="98"/>
  <c r="Z88" i="98"/>
  <c r="W88" i="98"/>
  <c r="AJ87" i="98"/>
  <c r="AD87" i="98"/>
  <c r="AC87" i="98"/>
  <c r="AB87" i="98"/>
  <c r="AA87" i="98"/>
  <c r="Z87" i="98"/>
  <c r="Y87" i="98"/>
  <c r="X87" i="98"/>
  <c r="W87" i="98"/>
  <c r="V87" i="98"/>
  <c r="U87" i="98"/>
  <c r="F87" i="98"/>
  <c r="AG86" i="98"/>
  <c r="AF86" i="98"/>
  <c r="Z86" i="98"/>
  <c r="X86" i="98"/>
  <c r="W86" i="98"/>
  <c r="U86" i="98"/>
  <c r="F86" i="98"/>
  <c r="AD85" i="98"/>
  <c r="AC85" i="98"/>
  <c r="AB85" i="98"/>
  <c r="AA85" i="98"/>
  <c r="Z85" i="98"/>
  <c r="Y85" i="98"/>
  <c r="X85" i="98"/>
  <c r="U85" i="98"/>
  <c r="F85" i="98"/>
  <c r="AP84" i="98"/>
  <c r="AJ84" i="98"/>
  <c r="AG84" i="98"/>
  <c r="AF84" i="98"/>
  <c r="AD84" i="98"/>
  <c r="AC84" i="98"/>
  <c r="AB84" i="98"/>
  <c r="AA84" i="98"/>
  <c r="Z84" i="98"/>
  <c r="Y84" i="98"/>
  <c r="X84" i="98"/>
  <c r="W84" i="98"/>
  <c r="V84" i="98"/>
  <c r="U84" i="98"/>
  <c r="AP83" i="98"/>
  <c r="AJ83" i="98"/>
  <c r="AG83" i="98"/>
  <c r="AF83" i="98"/>
  <c r="AD83" i="98"/>
  <c r="AC83" i="98"/>
  <c r="AB83" i="98"/>
  <c r="AA83" i="98"/>
  <c r="Z83" i="98"/>
  <c r="Y83" i="98"/>
  <c r="X83" i="98"/>
  <c r="W83" i="98"/>
  <c r="V83" i="98"/>
  <c r="U83" i="98"/>
  <c r="AP82" i="98"/>
  <c r="AJ82" i="98"/>
  <c r="AG82" i="98"/>
  <c r="AF82" i="98"/>
  <c r="AD82" i="98"/>
  <c r="AC82" i="98"/>
  <c r="AB82" i="98"/>
  <c r="AA82" i="98"/>
  <c r="Z82" i="98"/>
  <c r="Y82" i="98"/>
  <c r="X82" i="98"/>
  <c r="W82" i="98"/>
  <c r="V82" i="98"/>
  <c r="U82" i="98"/>
  <c r="AP81" i="98"/>
  <c r="AJ81" i="98"/>
  <c r="AG81" i="98"/>
  <c r="AF81" i="98"/>
  <c r="AD81" i="98"/>
  <c r="AC81" i="98"/>
  <c r="AB81" i="98"/>
  <c r="AA81" i="98"/>
  <c r="Z81" i="98"/>
  <c r="Y81" i="98"/>
  <c r="X81" i="98"/>
  <c r="W81" i="98"/>
  <c r="V81" i="98"/>
  <c r="U81" i="98"/>
  <c r="AP80" i="98"/>
  <c r="AJ80" i="98"/>
  <c r="AG80" i="98"/>
  <c r="AF80" i="98"/>
  <c r="AD80" i="98"/>
  <c r="AC80" i="98"/>
  <c r="AB80" i="98"/>
  <c r="AA80" i="98"/>
  <c r="Z80" i="98"/>
  <c r="Y80" i="98"/>
  <c r="X80" i="98"/>
  <c r="W80" i="98"/>
  <c r="V80" i="98"/>
  <c r="U80" i="98"/>
  <c r="AP79" i="98"/>
  <c r="AB77" i="98"/>
  <c r="AA77" i="98"/>
  <c r="K73" i="98"/>
  <c r="H73" i="98"/>
  <c r="E71" i="98"/>
  <c r="K70" i="98"/>
  <c r="H70" i="98"/>
  <c r="E68" i="98"/>
  <c r="K67" i="98"/>
  <c r="H67" i="98"/>
  <c r="E65" i="98"/>
  <c r="K64" i="98"/>
  <c r="H64" i="98"/>
  <c r="H62" i="98"/>
  <c r="E62" i="98"/>
  <c r="K61" i="98"/>
  <c r="H61" i="98"/>
  <c r="K59" i="98"/>
  <c r="H59" i="98"/>
  <c r="E59" i="98"/>
  <c r="K58" i="98"/>
  <c r="H58" i="98"/>
  <c r="K56" i="98"/>
  <c r="H56" i="98"/>
  <c r="E56" i="98"/>
  <c r="K53" i="98"/>
  <c r="H53" i="98"/>
  <c r="E51" i="98"/>
  <c r="K50" i="98"/>
  <c r="H50" i="98"/>
  <c r="E48" i="98"/>
  <c r="K47" i="98"/>
  <c r="H47" i="98"/>
  <c r="E45" i="98"/>
  <c r="K44" i="98"/>
  <c r="H44" i="98"/>
  <c r="E42" i="98"/>
  <c r="K41" i="98"/>
  <c r="H41" i="98"/>
  <c r="E39" i="98"/>
  <c r="K38" i="98"/>
  <c r="H38" i="98"/>
  <c r="E36" i="98"/>
  <c r="AC31" i="98"/>
  <c r="Z31" i="98"/>
  <c r="W31" i="98"/>
  <c r="AJ30" i="98"/>
  <c r="AC30" i="98"/>
  <c r="AB30" i="98"/>
  <c r="AA30" i="98"/>
  <c r="Z30" i="98"/>
  <c r="Y30" i="98"/>
  <c r="X30" i="98"/>
  <c r="W30" i="98"/>
  <c r="V30" i="98"/>
  <c r="U30" i="98"/>
  <c r="F30" i="98"/>
  <c r="AG29" i="98"/>
  <c r="AF29" i="98"/>
  <c r="AD29" i="98"/>
  <c r="AC29" i="98"/>
  <c r="AB29" i="98"/>
  <c r="AA29" i="98"/>
  <c r="Z29" i="98"/>
  <c r="Y29" i="98"/>
  <c r="X29" i="98"/>
  <c r="W29" i="98"/>
  <c r="V29" i="98"/>
  <c r="U29" i="98"/>
  <c r="T29" i="98"/>
  <c r="F29" i="98"/>
  <c r="AP28" i="98"/>
  <c r="AD28" i="98"/>
  <c r="AC28" i="98"/>
  <c r="AB28" i="98"/>
  <c r="AA28" i="98"/>
  <c r="Z28" i="98"/>
  <c r="Y28" i="98"/>
  <c r="X28" i="98"/>
  <c r="W28" i="98"/>
  <c r="V28" i="98"/>
  <c r="U28" i="98"/>
  <c r="T28" i="98"/>
  <c r="S28" i="98"/>
  <c r="C28" i="98"/>
  <c r="AP27" i="98"/>
  <c r="AJ27" i="98"/>
  <c r="AG27" i="98"/>
  <c r="AF27" i="98"/>
  <c r="AD27" i="98"/>
  <c r="AC27" i="98"/>
  <c r="AB27" i="98"/>
  <c r="AA27" i="98"/>
  <c r="Z27" i="98"/>
  <c r="Y27" i="98"/>
  <c r="X27" i="98"/>
  <c r="W27" i="98"/>
  <c r="V27" i="98"/>
  <c r="U27" i="98"/>
  <c r="T27" i="98"/>
  <c r="S27" i="98"/>
  <c r="H27" i="98"/>
  <c r="C27" i="98"/>
  <c r="AP26" i="98"/>
  <c r="AJ26" i="98"/>
  <c r="AG26" i="98"/>
  <c r="AF26" i="98"/>
  <c r="AD26" i="98"/>
  <c r="AC26" i="98"/>
  <c r="AB26" i="98"/>
  <c r="AA26" i="98"/>
  <c r="Z26" i="98"/>
  <c r="Y26" i="98"/>
  <c r="X26" i="98"/>
  <c r="W26" i="98"/>
  <c r="V26" i="98"/>
  <c r="U26" i="98"/>
  <c r="T26" i="98"/>
  <c r="S26" i="98"/>
  <c r="H26" i="98"/>
  <c r="C26" i="98"/>
  <c r="AP25" i="98"/>
  <c r="AJ25" i="98"/>
  <c r="AG25" i="98"/>
  <c r="AF25" i="98"/>
  <c r="AD25" i="98"/>
  <c r="AC25" i="98"/>
  <c r="AB25" i="98"/>
  <c r="AA25" i="98"/>
  <c r="Z25" i="98"/>
  <c r="Y25" i="98"/>
  <c r="X25" i="98"/>
  <c r="W25" i="98"/>
  <c r="V25" i="98"/>
  <c r="U25" i="98"/>
  <c r="T25" i="98"/>
  <c r="S25" i="98"/>
  <c r="H25" i="98"/>
  <c r="C25" i="98"/>
  <c r="AP24" i="98"/>
  <c r="AJ24" i="98"/>
  <c r="AG24" i="98"/>
  <c r="AF24" i="98"/>
  <c r="AD24" i="98"/>
  <c r="AC24" i="98"/>
  <c r="AB24" i="98"/>
  <c r="AA24" i="98"/>
  <c r="Z24" i="98"/>
  <c r="Y24" i="98"/>
  <c r="X24" i="98"/>
  <c r="W24" i="98"/>
  <c r="V24" i="98"/>
  <c r="U24" i="98"/>
  <c r="T24" i="98"/>
  <c r="S24" i="98"/>
  <c r="H24" i="98"/>
  <c r="C24" i="98"/>
  <c r="AP23" i="98"/>
  <c r="AJ23" i="98"/>
  <c r="AG23" i="98"/>
  <c r="AF23" i="98"/>
  <c r="AD23" i="98"/>
  <c r="AC23" i="98"/>
  <c r="AB23" i="98"/>
  <c r="AA23" i="98"/>
  <c r="Z23" i="98"/>
  <c r="Y23" i="98"/>
  <c r="X23" i="98"/>
  <c r="W23" i="98"/>
  <c r="V23" i="98"/>
  <c r="U23" i="98"/>
  <c r="T23" i="98"/>
  <c r="S23" i="98"/>
  <c r="H23" i="98"/>
  <c r="C23" i="98"/>
  <c r="B23" i="98"/>
  <c r="AP22" i="98"/>
  <c r="AB20" i="98"/>
  <c r="AA20" i="98"/>
  <c r="AC15" i="98"/>
  <c r="Z15" i="98"/>
  <c r="W15" i="98"/>
  <c r="AJ14" i="98"/>
  <c r="AC14" i="98"/>
  <c r="AB14" i="98"/>
  <c r="AA14" i="98"/>
  <c r="Z14" i="98"/>
  <c r="Y14" i="98"/>
  <c r="X14" i="98"/>
  <c r="W14" i="98"/>
  <c r="V14" i="98"/>
  <c r="U14" i="98"/>
  <c r="F14" i="98"/>
  <c r="AG13" i="98"/>
  <c r="AF13" i="98"/>
  <c r="AD13" i="98"/>
  <c r="AC13" i="98"/>
  <c r="AB13" i="98"/>
  <c r="AA13" i="98"/>
  <c r="Z13" i="98"/>
  <c r="Y13" i="98"/>
  <c r="X13" i="98"/>
  <c r="W13" i="98"/>
  <c r="V13" i="98"/>
  <c r="U13" i="98"/>
  <c r="T13" i="98"/>
  <c r="S13" i="98"/>
  <c r="F13" i="98"/>
  <c r="AP12" i="98"/>
  <c r="AD12" i="98"/>
  <c r="AC12" i="98"/>
  <c r="AB12" i="98"/>
  <c r="AA12" i="98"/>
  <c r="Z12" i="98"/>
  <c r="Y12" i="98"/>
  <c r="X12" i="98"/>
  <c r="W12" i="98"/>
  <c r="V12" i="98"/>
  <c r="U12" i="98"/>
  <c r="T12" i="98"/>
  <c r="S12" i="98"/>
  <c r="C12" i="98"/>
  <c r="AP11" i="98"/>
  <c r="AJ11" i="98"/>
  <c r="AG11" i="98"/>
  <c r="AF11" i="98"/>
  <c r="AD11" i="98"/>
  <c r="AC11" i="98"/>
  <c r="AB11" i="98"/>
  <c r="AA11" i="98"/>
  <c r="Z11" i="98"/>
  <c r="Y11" i="98"/>
  <c r="X11" i="98"/>
  <c r="W11" i="98"/>
  <c r="V11" i="98"/>
  <c r="U11" i="98"/>
  <c r="T11" i="98"/>
  <c r="S11" i="98"/>
  <c r="C11" i="98"/>
  <c r="AP10" i="98"/>
  <c r="AJ10" i="98"/>
  <c r="AG10" i="98"/>
  <c r="AF10" i="98"/>
  <c r="AD10" i="98"/>
  <c r="AC10" i="98"/>
  <c r="AB10" i="98"/>
  <c r="AA10" i="98"/>
  <c r="Z10" i="98"/>
  <c r="Y10" i="98"/>
  <c r="X10" i="98"/>
  <c r="W10" i="98"/>
  <c r="V10" i="98"/>
  <c r="U10" i="98"/>
  <c r="T10" i="98"/>
  <c r="S10" i="98"/>
  <c r="C10" i="98"/>
  <c r="AP9" i="98"/>
  <c r="AJ9" i="98"/>
  <c r="AG9" i="98"/>
  <c r="AF9" i="98"/>
  <c r="AD9" i="98"/>
  <c r="AC9" i="98"/>
  <c r="AB9" i="98"/>
  <c r="AA9" i="98"/>
  <c r="Z9" i="98"/>
  <c r="Y9" i="98"/>
  <c r="X9" i="98"/>
  <c r="W9" i="98"/>
  <c r="V9" i="98"/>
  <c r="U9" i="98"/>
  <c r="T9" i="98"/>
  <c r="S9" i="98"/>
  <c r="H9" i="98"/>
  <c r="C9" i="98"/>
  <c r="AP8" i="98"/>
  <c r="AJ8" i="98"/>
  <c r="AG8" i="98"/>
  <c r="AF8" i="98"/>
  <c r="AD8" i="98"/>
  <c r="AC8" i="98"/>
  <c r="AB8" i="98"/>
  <c r="AA8" i="98"/>
  <c r="Z8" i="98"/>
  <c r="Y8" i="98"/>
  <c r="X8" i="98"/>
  <c r="W8" i="98"/>
  <c r="V8" i="98"/>
  <c r="U8" i="98"/>
  <c r="T8" i="98"/>
  <c r="S8" i="98"/>
  <c r="H8" i="98"/>
  <c r="C8" i="98"/>
  <c r="AP7" i="98"/>
  <c r="AJ7" i="98"/>
  <c r="AG7" i="98"/>
  <c r="AF7" i="98"/>
  <c r="AD7" i="98"/>
  <c r="AC7" i="98"/>
  <c r="AB7" i="98"/>
  <c r="AA7" i="98"/>
  <c r="Z7" i="98"/>
  <c r="Y7" i="98"/>
  <c r="X7" i="98"/>
  <c r="W7" i="98"/>
  <c r="V7" i="98"/>
  <c r="U7" i="98"/>
  <c r="T7" i="98"/>
  <c r="S7" i="98"/>
  <c r="H7" i="98"/>
  <c r="AP6" i="98"/>
  <c r="AB4" i="98"/>
  <c r="X109" i="99"/>
  <c r="U109" i="99"/>
  <c r="X106" i="99"/>
  <c r="U106" i="99"/>
  <c r="X103" i="99"/>
  <c r="U103" i="99"/>
  <c r="X100" i="99"/>
  <c r="U100" i="99"/>
  <c r="X97" i="99"/>
  <c r="U97" i="99"/>
  <c r="X94" i="99"/>
  <c r="U94" i="99"/>
  <c r="AC88" i="99"/>
  <c r="Z88" i="99"/>
  <c r="W88" i="99"/>
  <c r="AJ87" i="99"/>
  <c r="AD87" i="99"/>
  <c r="AC87" i="99"/>
  <c r="AB87" i="99"/>
  <c r="AA87" i="99"/>
  <c r="Z87" i="99"/>
  <c r="Y87" i="99"/>
  <c r="X87" i="99"/>
  <c r="W87" i="99"/>
  <c r="V87" i="99"/>
  <c r="U87" i="99"/>
  <c r="F87" i="99"/>
  <c r="AG86" i="99"/>
  <c r="AF86" i="99"/>
  <c r="Z86" i="99"/>
  <c r="X86" i="99"/>
  <c r="W86" i="99"/>
  <c r="U86" i="99"/>
  <c r="F86" i="99"/>
  <c r="AD85" i="99"/>
  <c r="AC85" i="99"/>
  <c r="AB85" i="99"/>
  <c r="AA85" i="99"/>
  <c r="Z85" i="99"/>
  <c r="Y85" i="99"/>
  <c r="X85" i="99"/>
  <c r="U85" i="99"/>
  <c r="F85" i="99"/>
  <c r="AP84" i="99"/>
  <c r="AJ84" i="99"/>
  <c r="AG84" i="99"/>
  <c r="AF84" i="99"/>
  <c r="AD84" i="99"/>
  <c r="AC84" i="99"/>
  <c r="AB84" i="99"/>
  <c r="AA84" i="99"/>
  <c r="Z84" i="99"/>
  <c r="Y84" i="99"/>
  <c r="X84" i="99"/>
  <c r="W84" i="99"/>
  <c r="V84" i="99"/>
  <c r="U84" i="99"/>
  <c r="AP83" i="99"/>
  <c r="AJ83" i="99"/>
  <c r="AG83" i="99"/>
  <c r="AF83" i="99"/>
  <c r="AD83" i="99"/>
  <c r="AC83" i="99"/>
  <c r="AB83" i="99"/>
  <c r="AA83" i="99"/>
  <c r="Z83" i="99"/>
  <c r="Y83" i="99"/>
  <c r="X83" i="99"/>
  <c r="W83" i="99"/>
  <c r="V83" i="99"/>
  <c r="U83" i="99"/>
  <c r="AP82" i="99"/>
  <c r="AJ82" i="99"/>
  <c r="AG82" i="99"/>
  <c r="AF82" i="99"/>
  <c r="AD82" i="99"/>
  <c r="AC82" i="99"/>
  <c r="AB82" i="99"/>
  <c r="AA82" i="99"/>
  <c r="Z82" i="99"/>
  <c r="Y82" i="99"/>
  <c r="X82" i="99"/>
  <c r="W82" i="99"/>
  <c r="V82" i="99"/>
  <c r="U82" i="99"/>
  <c r="AP81" i="99"/>
  <c r="AJ81" i="99"/>
  <c r="AG81" i="99"/>
  <c r="AF81" i="99"/>
  <c r="AD81" i="99"/>
  <c r="AC81" i="99"/>
  <c r="AB81" i="99"/>
  <c r="AA81" i="99"/>
  <c r="Z81" i="99"/>
  <c r="Y81" i="99"/>
  <c r="X81" i="99"/>
  <c r="W81" i="99"/>
  <c r="V81" i="99"/>
  <c r="U81" i="99"/>
  <c r="AP80" i="99"/>
  <c r="AJ80" i="99"/>
  <c r="AG80" i="99"/>
  <c r="AF80" i="99"/>
  <c r="AD80" i="99"/>
  <c r="AC80" i="99"/>
  <c r="AB80" i="99"/>
  <c r="AA80" i="99"/>
  <c r="Z80" i="99"/>
  <c r="Y80" i="99"/>
  <c r="X80" i="99"/>
  <c r="W80" i="99"/>
  <c r="V80" i="99"/>
  <c r="U80" i="99"/>
  <c r="AP79" i="99"/>
  <c r="AB77" i="99"/>
  <c r="AA77" i="99"/>
  <c r="K73" i="99"/>
  <c r="H73" i="99"/>
  <c r="E71" i="99"/>
  <c r="K70" i="99"/>
  <c r="H70" i="99"/>
  <c r="K68" i="99"/>
  <c r="E68" i="99"/>
  <c r="K67" i="99"/>
  <c r="H67" i="99"/>
  <c r="K65" i="99"/>
  <c r="H65" i="99"/>
  <c r="E65" i="99"/>
  <c r="K64" i="99"/>
  <c r="H64" i="99"/>
  <c r="E62" i="99"/>
  <c r="K61" i="99"/>
  <c r="H61" i="99"/>
  <c r="E59" i="99"/>
  <c r="K58" i="99"/>
  <c r="H58" i="99"/>
  <c r="E56" i="99"/>
  <c r="K53" i="99"/>
  <c r="H53" i="99"/>
  <c r="K51" i="99"/>
  <c r="H51" i="99"/>
  <c r="E51" i="99"/>
  <c r="K50" i="99"/>
  <c r="H50" i="99"/>
  <c r="E48" i="99"/>
  <c r="K47" i="99"/>
  <c r="H47" i="99"/>
  <c r="E45" i="99"/>
  <c r="K44" i="99"/>
  <c r="H44" i="99"/>
  <c r="H42" i="99"/>
  <c r="E42" i="99"/>
  <c r="K41" i="99"/>
  <c r="H41" i="99"/>
  <c r="K39" i="99"/>
  <c r="H39" i="99"/>
  <c r="E39" i="99"/>
  <c r="K38" i="99"/>
  <c r="H38" i="99"/>
  <c r="E36" i="99"/>
  <c r="AC31" i="99"/>
  <c r="Z31" i="99"/>
  <c r="W31" i="99"/>
  <c r="AJ30" i="99"/>
  <c r="AC30" i="99"/>
  <c r="AB30" i="99"/>
  <c r="AA30" i="99"/>
  <c r="Z30" i="99"/>
  <c r="Y30" i="99"/>
  <c r="X30" i="99"/>
  <c r="W30" i="99"/>
  <c r="V30" i="99"/>
  <c r="U30" i="99"/>
  <c r="F30" i="99"/>
  <c r="AG29" i="99"/>
  <c r="AF29" i="99"/>
  <c r="AD29" i="99"/>
  <c r="AC29" i="99"/>
  <c r="AB29" i="99"/>
  <c r="AA29" i="99"/>
  <c r="Z29" i="99"/>
  <c r="Y29" i="99"/>
  <c r="X29" i="99"/>
  <c r="W29" i="99"/>
  <c r="V29" i="99"/>
  <c r="U29" i="99"/>
  <c r="T29" i="99"/>
  <c r="F29" i="99"/>
  <c r="AP28" i="99"/>
  <c r="AD28" i="99"/>
  <c r="AC28" i="99"/>
  <c r="AB28" i="99"/>
  <c r="AA28" i="99"/>
  <c r="Z28" i="99"/>
  <c r="Y28" i="99"/>
  <c r="X28" i="99"/>
  <c r="W28" i="99"/>
  <c r="V28" i="99"/>
  <c r="U28" i="99"/>
  <c r="T28" i="99"/>
  <c r="S28" i="99"/>
  <c r="H28" i="99"/>
  <c r="C28" i="99"/>
  <c r="AP27" i="99"/>
  <c r="AJ27" i="99"/>
  <c r="AG27" i="99"/>
  <c r="AF27" i="99"/>
  <c r="AD27" i="99"/>
  <c r="AC27" i="99"/>
  <c r="AB27" i="99"/>
  <c r="AA27" i="99"/>
  <c r="Z27" i="99"/>
  <c r="Y27" i="99"/>
  <c r="X27" i="99"/>
  <c r="W27" i="99"/>
  <c r="V27" i="99"/>
  <c r="U27" i="99"/>
  <c r="T27" i="99"/>
  <c r="S27" i="99"/>
  <c r="H27" i="99"/>
  <c r="C27" i="99"/>
  <c r="AP26" i="99"/>
  <c r="AJ26" i="99"/>
  <c r="AG26" i="99"/>
  <c r="AF26" i="99"/>
  <c r="AD26" i="99"/>
  <c r="AC26" i="99"/>
  <c r="AB26" i="99"/>
  <c r="AA26" i="99"/>
  <c r="Z26" i="99"/>
  <c r="Y26" i="99"/>
  <c r="X26" i="99"/>
  <c r="W26" i="99"/>
  <c r="V26" i="99"/>
  <c r="U26" i="99"/>
  <c r="T26" i="99"/>
  <c r="S26" i="99"/>
  <c r="H26" i="99"/>
  <c r="C26" i="99"/>
  <c r="AP25" i="99"/>
  <c r="AJ25" i="99"/>
  <c r="AG25" i="99"/>
  <c r="AF25" i="99"/>
  <c r="AD25" i="99"/>
  <c r="AC25" i="99"/>
  <c r="AB25" i="99"/>
  <c r="AA25" i="99"/>
  <c r="Z25" i="99"/>
  <c r="Y25" i="99"/>
  <c r="X25" i="99"/>
  <c r="W25" i="99"/>
  <c r="V25" i="99"/>
  <c r="U25" i="99"/>
  <c r="T25" i="99"/>
  <c r="S25" i="99"/>
  <c r="C25" i="99"/>
  <c r="AP24" i="99"/>
  <c r="AJ24" i="99"/>
  <c r="AG24" i="99"/>
  <c r="AF24" i="99"/>
  <c r="AD24" i="99"/>
  <c r="AC24" i="99"/>
  <c r="AB24" i="99"/>
  <c r="AA24" i="99"/>
  <c r="Z24" i="99"/>
  <c r="Y24" i="99"/>
  <c r="X24" i="99"/>
  <c r="W24" i="99"/>
  <c r="V24" i="99"/>
  <c r="U24" i="99"/>
  <c r="T24" i="99"/>
  <c r="S24" i="99"/>
  <c r="C24" i="99"/>
  <c r="AP23" i="99"/>
  <c r="AJ23" i="99"/>
  <c r="AG23" i="99"/>
  <c r="AF23" i="99"/>
  <c r="AD23" i="99"/>
  <c r="AC23" i="99"/>
  <c r="AB23" i="99"/>
  <c r="AA23" i="99"/>
  <c r="Z23" i="99"/>
  <c r="Y23" i="99"/>
  <c r="X23" i="99"/>
  <c r="W23" i="99"/>
  <c r="V23" i="99"/>
  <c r="U23" i="99"/>
  <c r="T23" i="99"/>
  <c r="S23" i="99"/>
  <c r="C23" i="99"/>
  <c r="B23" i="99"/>
  <c r="AP22" i="99"/>
  <c r="AB20" i="99"/>
  <c r="AA20" i="99"/>
  <c r="AC15" i="99"/>
  <c r="Z15" i="99"/>
  <c r="W15" i="99"/>
  <c r="AJ14" i="99"/>
  <c r="AC14" i="99"/>
  <c r="AB14" i="99"/>
  <c r="AA14" i="99"/>
  <c r="Z14" i="99"/>
  <c r="Y14" i="99"/>
  <c r="X14" i="99"/>
  <c r="W14" i="99"/>
  <c r="V14" i="99"/>
  <c r="U14" i="99"/>
  <c r="F14" i="99"/>
  <c r="AG13" i="99"/>
  <c r="AF13" i="99"/>
  <c r="AD13" i="99"/>
  <c r="AC13" i="99"/>
  <c r="AB13" i="99"/>
  <c r="AA13" i="99"/>
  <c r="Z13" i="99"/>
  <c r="Y13" i="99"/>
  <c r="X13" i="99"/>
  <c r="W13" i="99"/>
  <c r="V13" i="99"/>
  <c r="U13" i="99"/>
  <c r="T13" i="99"/>
  <c r="S13" i="99"/>
  <c r="F13" i="99"/>
  <c r="AP12" i="99"/>
  <c r="AD12" i="99"/>
  <c r="AC12" i="99"/>
  <c r="AB12" i="99"/>
  <c r="AA12" i="99"/>
  <c r="Z12" i="99"/>
  <c r="Y12" i="99"/>
  <c r="X12" i="99"/>
  <c r="W12" i="99"/>
  <c r="V12" i="99"/>
  <c r="U12" i="99"/>
  <c r="T12" i="99"/>
  <c r="S12" i="99"/>
  <c r="H12" i="99"/>
  <c r="C12" i="99"/>
  <c r="AP11" i="99"/>
  <c r="AJ11" i="99"/>
  <c r="AG11" i="99"/>
  <c r="AF11" i="99"/>
  <c r="AD11" i="99"/>
  <c r="AC11" i="99"/>
  <c r="AB11" i="99"/>
  <c r="AA11" i="99"/>
  <c r="Z11" i="99"/>
  <c r="Y11" i="99"/>
  <c r="X11" i="99"/>
  <c r="W11" i="99"/>
  <c r="V11" i="99"/>
  <c r="U11" i="99"/>
  <c r="T11" i="99"/>
  <c r="S11" i="99"/>
  <c r="H11" i="99"/>
  <c r="C11" i="99"/>
  <c r="AP10" i="99"/>
  <c r="AJ10" i="99"/>
  <c r="AG10" i="99"/>
  <c r="AF10" i="99"/>
  <c r="AD10" i="99"/>
  <c r="AC10" i="99"/>
  <c r="AB10" i="99"/>
  <c r="AA10" i="99"/>
  <c r="Z10" i="99"/>
  <c r="Y10" i="99"/>
  <c r="X10" i="99"/>
  <c r="W10" i="99"/>
  <c r="V10" i="99"/>
  <c r="U10" i="99"/>
  <c r="T10" i="99"/>
  <c r="S10" i="99"/>
  <c r="H10" i="99"/>
  <c r="C10" i="99"/>
  <c r="AP9" i="99"/>
  <c r="AJ9" i="99"/>
  <c r="AG9" i="99"/>
  <c r="AF9" i="99"/>
  <c r="AD9" i="99"/>
  <c r="AC9" i="99"/>
  <c r="AB9" i="99"/>
  <c r="AA9" i="99"/>
  <c r="Z9" i="99"/>
  <c r="Y9" i="99"/>
  <c r="X9" i="99"/>
  <c r="W9" i="99"/>
  <c r="V9" i="99"/>
  <c r="U9" i="99"/>
  <c r="T9" i="99"/>
  <c r="S9" i="99"/>
  <c r="H9" i="99"/>
  <c r="C9" i="99"/>
  <c r="AP8" i="99"/>
  <c r="AJ8" i="99"/>
  <c r="AG8" i="99"/>
  <c r="AF8" i="99"/>
  <c r="AD8" i="99"/>
  <c r="AC8" i="99"/>
  <c r="AB8" i="99"/>
  <c r="AA8" i="99"/>
  <c r="Z8" i="99"/>
  <c r="Y8" i="99"/>
  <c r="X8" i="99"/>
  <c r="W8" i="99"/>
  <c r="V8" i="99"/>
  <c r="U8" i="99"/>
  <c r="T8" i="99"/>
  <c r="S8" i="99"/>
  <c r="H8" i="99"/>
  <c r="C8" i="99"/>
  <c r="AP7" i="99"/>
  <c r="AJ7" i="99"/>
  <c r="AG7" i="99"/>
  <c r="AF7" i="99"/>
  <c r="AD7" i="99"/>
  <c r="AC7" i="99"/>
  <c r="AB7" i="99"/>
  <c r="AA7" i="99"/>
  <c r="Z7" i="99"/>
  <c r="Y7" i="99"/>
  <c r="X7" i="99"/>
  <c r="W7" i="99"/>
  <c r="V7" i="99"/>
  <c r="U7" i="99"/>
  <c r="T7" i="99"/>
  <c r="S7" i="99"/>
  <c r="AP6" i="99"/>
  <c r="AB4" i="99"/>
  <c r="X109" i="89"/>
  <c r="U109" i="89"/>
  <c r="X106" i="89"/>
  <c r="U106" i="89"/>
  <c r="X103" i="89"/>
  <c r="U103" i="89"/>
  <c r="X100" i="89"/>
  <c r="U100" i="89"/>
  <c r="X97" i="89"/>
  <c r="U97" i="89"/>
  <c r="X94" i="89"/>
  <c r="U94" i="89"/>
  <c r="AC88" i="89"/>
  <c r="Z88" i="89"/>
  <c r="W88" i="89"/>
  <c r="AJ87" i="89"/>
  <c r="AD87" i="89"/>
  <c r="AC87" i="89"/>
  <c r="AB87" i="89"/>
  <c r="AA87" i="89"/>
  <c r="Z87" i="89"/>
  <c r="Y87" i="89"/>
  <c r="X87" i="89"/>
  <c r="W87" i="89"/>
  <c r="V87" i="89"/>
  <c r="U87" i="89"/>
  <c r="F87" i="89"/>
  <c r="AG86" i="89"/>
  <c r="AF86" i="89"/>
  <c r="Z86" i="89"/>
  <c r="X86" i="89"/>
  <c r="W86" i="89"/>
  <c r="U86" i="89"/>
  <c r="F86" i="89"/>
  <c r="AD85" i="89"/>
  <c r="AC85" i="89"/>
  <c r="AB85" i="89"/>
  <c r="AA85" i="89"/>
  <c r="Z85" i="89"/>
  <c r="Y85" i="89"/>
  <c r="X85" i="89"/>
  <c r="U85" i="89"/>
  <c r="F85" i="89"/>
  <c r="AP84" i="89"/>
  <c r="AJ84" i="89"/>
  <c r="AG84" i="89"/>
  <c r="AF84" i="89"/>
  <c r="AD84" i="89"/>
  <c r="AC84" i="89"/>
  <c r="AB84" i="89"/>
  <c r="AA84" i="89"/>
  <c r="Z84" i="89"/>
  <c r="Y84" i="89"/>
  <c r="X84" i="89"/>
  <c r="W84" i="89"/>
  <c r="V84" i="89"/>
  <c r="U84" i="89"/>
  <c r="AP83" i="89"/>
  <c r="AJ83" i="89"/>
  <c r="AG83" i="89"/>
  <c r="AF83" i="89"/>
  <c r="AD83" i="89"/>
  <c r="AC83" i="89"/>
  <c r="AB83" i="89"/>
  <c r="AA83" i="89"/>
  <c r="Z83" i="89"/>
  <c r="Y83" i="89"/>
  <c r="X83" i="89"/>
  <c r="W83" i="89"/>
  <c r="V83" i="89"/>
  <c r="U83" i="89"/>
  <c r="AP82" i="89"/>
  <c r="AJ82" i="89"/>
  <c r="AG82" i="89"/>
  <c r="AF82" i="89"/>
  <c r="AD82" i="89"/>
  <c r="AC82" i="89"/>
  <c r="AB82" i="89"/>
  <c r="AA82" i="89"/>
  <c r="Z82" i="89"/>
  <c r="Y82" i="89"/>
  <c r="X82" i="89"/>
  <c r="W82" i="89"/>
  <c r="V82" i="89"/>
  <c r="U82" i="89"/>
  <c r="AP81" i="89"/>
  <c r="AJ81" i="89"/>
  <c r="AG81" i="89"/>
  <c r="AF81" i="89"/>
  <c r="AD81" i="89"/>
  <c r="AC81" i="89"/>
  <c r="AB81" i="89"/>
  <c r="AA81" i="89"/>
  <c r="Z81" i="89"/>
  <c r="Y81" i="89"/>
  <c r="X81" i="89"/>
  <c r="W81" i="89"/>
  <c r="V81" i="89"/>
  <c r="U81" i="89"/>
  <c r="AP80" i="89"/>
  <c r="AJ80" i="89"/>
  <c r="AG80" i="89"/>
  <c r="AF80" i="89"/>
  <c r="AD80" i="89"/>
  <c r="AC80" i="89"/>
  <c r="AB80" i="89"/>
  <c r="AA80" i="89"/>
  <c r="Z80" i="89"/>
  <c r="Y80" i="89"/>
  <c r="X80" i="89"/>
  <c r="W80" i="89"/>
  <c r="V80" i="89"/>
  <c r="U80" i="89"/>
  <c r="AP79" i="89"/>
  <c r="AB77" i="89"/>
  <c r="AA77" i="89"/>
  <c r="K73" i="89"/>
  <c r="H73" i="89"/>
  <c r="E71" i="89"/>
  <c r="K70" i="89"/>
  <c r="H70" i="89"/>
  <c r="E68" i="89"/>
  <c r="K67" i="89"/>
  <c r="H67" i="89"/>
  <c r="E65" i="89"/>
  <c r="K64" i="89"/>
  <c r="H64" i="89"/>
  <c r="E62" i="89"/>
  <c r="K61" i="89"/>
  <c r="H61" i="89"/>
  <c r="E59" i="89"/>
  <c r="K58" i="89"/>
  <c r="H58" i="89"/>
  <c r="E56" i="89"/>
  <c r="K53" i="89"/>
  <c r="H53" i="89"/>
  <c r="E51" i="89"/>
  <c r="K50" i="89"/>
  <c r="H50" i="89"/>
  <c r="E48" i="89"/>
  <c r="K47" i="89"/>
  <c r="H47" i="89"/>
  <c r="E45" i="89"/>
  <c r="K44" i="89"/>
  <c r="H44" i="89"/>
  <c r="E42" i="89"/>
  <c r="K41" i="89"/>
  <c r="H41" i="89"/>
  <c r="E39" i="89"/>
  <c r="K38" i="89"/>
  <c r="H38" i="89"/>
  <c r="E36" i="89"/>
  <c r="AC31" i="89"/>
  <c r="Z31" i="89"/>
  <c r="W31" i="89"/>
  <c r="AJ30" i="89"/>
  <c r="AC30" i="89"/>
  <c r="AB30" i="89"/>
  <c r="AA30" i="89"/>
  <c r="Z30" i="89"/>
  <c r="Y30" i="89"/>
  <c r="X30" i="89"/>
  <c r="W30" i="89"/>
  <c r="V30" i="89"/>
  <c r="U30" i="89"/>
  <c r="F30" i="89"/>
  <c r="AG29" i="89"/>
  <c r="AF29" i="89"/>
  <c r="AD29" i="89"/>
  <c r="AC29" i="89"/>
  <c r="AB29" i="89"/>
  <c r="AA29" i="89"/>
  <c r="Z29" i="89"/>
  <c r="Y29" i="89"/>
  <c r="X29" i="89"/>
  <c r="W29" i="89"/>
  <c r="V29" i="89"/>
  <c r="U29" i="89"/>
  <c r="T29" i="89"/>
  <c r="F29" i="89"/>
  <c r="AP28" i="89"/>
  <c r="AD28" i="89"/>
  <c r="AC28" i="89"/>
  <c r="AB28" i="89"/>
  <c r="AA28" i="89"/>
  <c r="Z28" i="89"/>
  <c r="Y28" i="89"/>
  <c r="X28" i="89"/>
  <c r="W28" i="89"/>
  <c r="V28" i="89"/>
  <c r="U28" i="89"/>
  <c r="T28" i="89"/>
  <c r="S28" i="89"/>
  <c r="H28" i="89"/>
  <c r="C28" i="89"/>
  <c r="AP27" i="89"/>
  <c r="AJ27" i="89"/>
  <c r="AG27" i="89"/>
  <c r="AF27" i="89"/>
  <c r="AD27" i="89"/>
  <c r="AC27" i="89"/>
  <c r="AB27" i="89"/>
  <c r="AA27" i="89"/>
  <c r="Z27" i="89"/>
  <c r="Y27" i="89"/>
  <c r="X27" i="89"/>
  <c r="W27" i="89"/>
  <c r="V27" i="89"/>
  <c r="U27" i="89"/>
  <c r="T27" i="89"/>
  <c r="S27" i="89"/>
  <c r="H27" i="89"/>
  <c r="C27" i="89"/>
  <c r="AP26" i="89"/>
  <c r="AJ26" i="89"/>
  <c r="AG26" i="89"/>
  <c r="AF26" i="89"/>
  <c r="AD26" i="89"/>
  <c r="AC26" i="89"/>
  <c r="AB26" i="89"/>
  <c r="AA26" i="89"/>
  <c r="Z26" i="89"/>
  <c r="Y26" i="89"/>
  <c r="X26" i="89"/>
  <c r="W26" i="89"/>
  <c r="V26" i="89"/>
  <c r="U26" i="89"/>
  <c r="T26" i="89"/>
  <c r="S26" i="89"/>
  <c r="H26" i="89"/>
  <c r="C26" i="89"/>
  <c r="AP25" i="89"/>
  <c r="AJ25" i="89"/>
  <c r="AG25" i="89"/>
  <c r="AF25" i="89"/>
  <c r="AD25" i="89"/>
  <c r="AC25" i="89"/>
  <c r="AB25" i="89"/>
  <c r="AA25" i="89"/>
  <c r="Z25" i="89"/>
  <c r="Y25" i="89"/>
  <c r="X25" i="89"/>
  <c r="W25" i="89"/>
  <c r="V25" i="89"/>
  <c r="U25" i="89"/>
  <c r="T25" i="89"/>
  <c r="S25" i="89"/>
  <c r="H25" i="89"/>
  <c r="C25" i="89"/>
  <c r="AP24" i="89"/>
  <c r="AJ24" i="89"/>
  <c r="AG24" i="89"/>
  <c r="AF24" i="89"/>
  <c r="AD24" i="89"/>
  <c r="AC24" i="89"/>
  <c r="AB24" i="89"/>
  <c r="AA24" i="89"/>
  <c r="Z24" i="89"/>
  <c r="Y24" i="89"/>
  <c r="X24" i="89"/>
  <c r="W24" i="89"/>
  <c r="V24" i="89"/>
  <c r="U24" i="89"/>
  <c r="T24" i="89"/>
  <c r="S24" i="89"/>
  <c r="H24" i="89"/>
  <c r="C24" i="89"/>
  <c r="AP23" i="89"/>
  <c r="AJ23" i="89"/>
  <c r="AG23" i="89"/>
  <c r="AF23" i="89"/>
  <c r="AD23" i="89"/>
  <c r="AC23" i="89"/>
  <c r="AB23" i="89"/>
  <c r="AA23" i="89"/>
  <c r="Z23" i="89"/>
  <c r="Y23" i="89"/>
  <c r="X23" i="89"/>
  <c r="W23" i="89"/>
  <c r="V23" i="89"/>
  <c r="U23" i="89"/>
  <c r="T23" i="89"/>
  <c r="S23" i="89"/>
  <c r="H23" i="89"/>
  <c r="C23" i="89"/>
  <c r="B23" i="89"/>
  <c r="AP22" i="89"/>
  <c r="AB20" i="89"/>
  <c r="AA20" i="89"/>
  <c r="AC15" i="89"/>
  <c r="Z15" i="89"/>
  <c r="W15" i="89"/>
  <c r="AJ14" i="89"/>
  <c r="AC14" i="89"/>
  <c r="AB14" i="89"/>
  <c r="AA14" i="89"/>
  <c r="Z14" i="89"/>
  <c r="Y14" i="89"/>
  <c r="X14" i="89"/>
  <c r="W14" i="89"/>
  <c r="V14" i="89"/>
  <c r="U14" i="89"/>
  <c r="F14" i="89"/>
  <c r="AG13" i="89"/>
  <c r="AF13" i="89"/>
  <c r="AD13" i="89"/>
  <c r="AC13" i="89"/>
  <c r="AB13" i="89"/>
  <c r="AA13" i="89"/>
  <c r="Z13" i="89"/>
  <c r="Y13" i="89"/>
  <c r="X13" i="89"/>
  <c r="W13" i="89"/>
  <c r="V13" i="89"/>
  <c r="U13" i="89"/>
  <c r="T13" i="89"/>
  <c r="S13" i="89"/>
  <c r="F13" i="89"/>
  <c r="AP12" i="89"/>
  <c r="AD12" i="89"/>
  <c r="AC12" i="89"/>
  <c r="AB12" i="89"/>
  <c r="AA12" i="89"/>
  <c r="Z12" i="89"/>
  <c r="Y12" i="89"/>
  <c r="X12" i="89"/>
  <c r="W12" i="89"/>
  <c r="V12" i="89"/>
  <c r="U12" i="89"/>
  <c r="T12" i="89"/>
  <c r="S12" i="89"/>
  <c r="H12" i="89"/>
  <c r="C12" i="89"/>
  <c r="AP11" i="89"/>
  <c r="AJ11" i="89"/>
  <c r="AG11" i="89"/>
  <c r="AF11" i="89"/>
  <c r="AD11" i="89"/>
  <c r="AC11" i="89"/>
  <c r="AB11" i="89"/>
  <c r="AA11" i="89"/>
  <c r="Z11" i="89"/>
  <c r="Y11" i="89"/>
  <c r="X11" i="89"/>
  <c r="W11" i="89"/>
  <c r="V11" i="89"/>
  <c r="U11" i="89"/>
  <c r="T11" i="89"/>
  <c r="S11" i="89"/>
  <c r="H11" i="89"/>
  <c r="C11" i="89"/>
  <c r="AP10" i="89"/>
  <c r="AJ10" i="89"/>
  <c r="AG10" i="89"/>
  <c r="AF10" i="89"/>
  <c r="AD10" i="89"/>
  <c r="AC10" i="89"/>
  <c r="AB10" i="89"/>
  <c r="AA10" i="89"/>
  <c r="Z10" i="89"/>
  <c r="Y10" i="89"/>
  <c r="X10" i="89"/>
  <c r="W10" i="89"/>
  <c r="V10" i="89"/>
  <c r="U10" i="89"/>
  <c r="T10" i="89"/>
  <c r="S10" i="89"/>
  <c r="H10" i="89"/>
  <c r="C10" i="89"/>
  <c r="AP9" i="89"/>
  <c r="AJ9" i="89"/>
  <c r="AG9" i="89"/>
  <c r="AF9" i="89"/>
  <c r="AD9" i="89"/>
  <c r="AC9" i="89"/>
  <c r="AB9" i="89"/>
  <c r="AA9" i="89"/>
  <c r="Z9" i="89"/>
  <c r="Y9" i="89"/>
  <c r="X9" i="89"/>
  <c r="W9" i="89"/>
  <c r="V9" i="89"/>
  <c r="U9" i="89"/>
  <c r="T9" i="89"/>
  <c r="S9" i="89"/>
  <c r="H9" i="89"/>
  <c r="C9" i="89"/>
  <c r="AP8" i="89"/>
  <c r="AJ8" i="89"/>
  <c r="AG8" i="89"/>
  <c r="AF8" i="89"/>
  <c r="AD8" i="89"/>
  <c r="AC8" i="89"/>
  <c r="AB8" i="89"/>
  <c r="AA8" i="89"/>
  <c r="Z8" i="89"/>
  <c r="Y8" i="89"/>
  <c r="X8" i="89"/>
  <c r="W8" i="89"/>
  <c r="V8" i="89"/>
  <c r="U8" i="89"/>
  <c r="T8" i="89"/>
  <c r="S8" i="89"/>
  <c r="H8" i="89"/>
  <c r="C8" i="89"/>
  <c r="AP7" i="89"/>
  <c r="AJ7" i="89"/>
  <c r="AG7" i="89"/>
  <c r="AF7" i="89"/>
  <c r="AD7" i="89"/>
  <c r="AC7" i="89"/>
  <c r="AB7" i="89"/>
  <c r="AA7" i="89"/>
  <c r="Z7" i="89"/>
  <c r="Y7" i="89"/>
  <c r="X7" i="89"/>
  <c r="W7" i="89"/>
  <c r="V7" i="89"/>
  <c r="U7" i="89"/>
  <c r="T7" i="89"/>
  <c r="S7" i="89"/>
  <c r="H7" i="89"/>
  <c r="AP6" i="89"/>
  <c r="AB4" i="89"/>
</calcChain>
</file>

<file path=xl/comments1.xml><?xml version="1.0" encoding="utf-8"?>
<comments xmlns="http://schemas.openxmlformats.org/spreadsheetml/2006/main">
  <authors>
    <author>ONE</author>
  </authors>
  <commentList>
    <comment ref="K26" authorId="0" shapeId="0">
      <text>
        <r>
          <rPr>
            <sz val="9"/>
            <color indexed="81"/>
            <rFont val="돋움"/>
            <family val="3"/>
            <charset val="129"/>
          </rPr>
          <t>마이켈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강화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마감
딴저묘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에칭</t>
        </r>
      </text>
    </comment>
    <comment ref="K27" authorId="0" shapeId="0">
      <text>
        <r>
          <rPr>
            <sz val="9"/>
            <color indexed="81"/>
            <rFont val="Tahoma"/>
            <family val="2"/>
          </rPr>
          <t xml:space="preserve">TPS
</t>
        </r>
        <r>
          <rPr>
            <sz val="9"/>
            <color indexed="81"/>
            <rFont val="돋움"/>
            <family val="3"/>
            <charset val="129"/>
          </rPr>
          <t>마이켈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강화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밴딩
딴저묘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에칭</t>
        </r>
      </text>
    </comment>
  </commentList>
</comments>
</file>

<file path=xl/comments2.xml><?xml version="1.0" encoding="utf-8"?>
<comments xmlns="http://schemas.openxmlformats.org/spreadsheetml/2006/main">
  <authors>
    <author>ONE</author>
  </authors>
  <commentList>
    <comment ref="K23" authorId="0" shapeId="0">
      <text>
        <r>
          <rPr>
            <sz val="9"/>
            <color indexed="81"/>
            <rFont val="Tahoma"/>
            <family val="2"/>
          </rPr>
          <t>14:00~17:30</t>
        </r>
      </text>
    </comment>
    <comment ref="K24" authorId="0" shapeId="0">
      <text>
        <r>
          <rPr>
            <sz val="9"/>
            <color indexed="81"/>
            <rFont val="Tahoma"/>
            <family val="2"/>
          </rPr>
          <t>14:00~17:30</t>
        </r>
      </text>
    </comment>
    <comment ref="K25" authorId="0" shapeId="0">
      <text>
        <r>
          <rPr>
            <sz val="9"/>
            <color indexed="81"/>
            <rFont val="Tahoma"/>
            <family val="2"/>
          </rPr>
          <t>14:00~17:30</t>
        </r>
      </text>
    </comment>
    <comment ref="K26" authorId="0" shapeId="0">
      <text>
        <r>
          <rPr>
            <sz val="9"/>
            <color indexed="81"/>
            <rFont val="Tahoma"/>
            <family val="2"/>
          </rPr>
          <t>14:00~17:30</t>
        </r>
      </text>
    </comment>
    <comment ref="K27" authorId="0" shapeId="0">
      <text>
        <r>
          <rPr>
            <sz val="9"/>
            <color indexed="81"/>
            <rFont val="Tahoma"/>
            <family val="2"/>
          </rPr>
          <t>14:00~17:30</t>
        </r>
      </text>
    </comment>
    <comment ref="K28" authorId="0" shapeId="0">
      <text>
        <r>
          <rPr>
            <sz val="9"/>
            <color indexed="81"/>
            <rFont val="Tahoma"/>
            <family val="2"/>
          </rPr>
          <t>14:00~17:30</t>
        </r>
      </text>
    </comment>
  </commentList>
</comments>
</file>

<file path=xl/sharedStrings.xml><?xml version="1.0" encoding="utf-8"?>
<sst xmlns="http://schemas.openxmlformats.org/spreadsheetml/2006/main" count="12313" uniqueCount="346">
  <si>
    <t>담당</t>
    <phoneticPr fontId="4" type="noConversion"/>
  </si>
  <si>
    <t>이사</t>
    <phoneticPr fontId="4" type="noConversion"/>
  </si>
  <si>
    <t>전무</t>
    <phoneticPr fontId="4" type="noConversion"/>
  </si>
  <si>
    <t>대표이사</t>
    <phoneticPr fontId="4" type="noConversion"/>
  </si>
  <si>
    <r>
      <t xml:space="preserve">주  간  생  산  일  지  </t>
    </r>
    <r>
      <rPr>
        <b/>
        <u val="double"/>
        <sz val="24"/>
        <color theme="1"/>
        <rFont val="맑은 고딕"/>
        <family val="3"/>
        <charset val="129"/>
        <scheme val="minor"/>
      </rPr>
      <t>1호기</t>
    </r>
    <phoneticPr fontId="4" type="noConversion"/>
  </si>
  <si>
    <t>최소기준:</t>
    <phoneticPr fontId="4" type="noConversion"/>
  </si>
  <si>
    <t>목표비율:</t>
    <phoneticPr fontId="4" type="noConversion"/>
  </si>
  <si>
    <t>월</t>
    <phoneticPr fontId="4" type="noConversion"/>
  </si>
  <si>
    <t>요일</t>
    <phoneticPr fontId="4" type="noConversion"/>
  </si>
  <si>
    <t>근무
구분</t>
    <phoneticPr fontId="4" type="noConversion"/>
  </si>
  <si>
    <t>근무
시간</t>
    <phoneticPr fontId="4" type="noConversion"/>
  </si>
  <si>
    <r>
      <t>목표
(조,M</t>
    </r>
    <r>
      <rPr>
        <b/>
        <vertAlign val="superscript"/>
        <sz val="11"/>
        <color theme="1"/>
        <rFont val="맑은 고딕"/>
        <family val="3"/>
        <charset val="129"/>
        <scheme val="minor"/>
      </rPr>
      <t>2</t>
    </r>
    <r>
      <rPr>
        <b/>
        <sz val="11"/>
        <color theme="1"/>
        <rFont val="맑은 고딕"/>
        <family val="2"/>
        <charset val="129"/>
        <scheme val="minor"/>
      </rPr>
      <t>)</t>
    </r>
    <phoneticPr fontId="4" type="noConversion"/>
  </si>
  <si>
    <t>생산조</t>
    <phoneticPr fontId="4" type="noConversion"/>
  </si>
  <si>
    <r>
      <t>생산M</t>
    </r>
    <r>
      <rPr>
        <b/>
        <vertAlign val="superscript"/>
        <sz val="11"/>
        <color theme="1"/>
        <rFont val="맑은 고딕"/>
        <family val="3"/>
        <charset val="129"/>
        <scheme val="minor"/>
      </rPr>
      <t>2</t>
    </r>
    <phoneticPr fontId="4" type="noConversion"/>
  </si>
  <si>
    <t>환산
계</t>
    <phoneticPr fontId="4" type="noConversion"/>
  </si>
  <si>
    <t>평가</t>
    <phoneticPr fontId="4" type="noConversion"/>
  </si>
  <si>
    <t>사유</t>
    <phoneticPr fontId="4" type="noConversion"/>
  </si>
  <si>
    <t>시간당
생산조</t>
    <phoneticPr fontId="4" type="noConversion"/>
  </si>
  <si>
    <t>목표
대비%</t>
    <phoneticPr fontId="4" type="noConversion"/>
  </si>
  <si>
    <r>
      <t>시간당
생산M</t>
    </r>
    <r>
      <rPr>
        <b/>
        <vertAlign val="superscript"/>
        <sz val="11"/>
        <color theme="1"/>
        <rFont val="맑은 고딕"/>
        <family val="3"/>
        <charset val="129"/>
        <scheme val="minor"/>
      </rPr>
      <t>2</t>
    </r>
    <phoneticPr fontId="4" type="noConversion"/>
  </si>
  <si>
    <t>환산
A</t>
    <phoneticPr fontId="4" type="noConversion"/>
  </si>
  <si>
    <t>환산
B</t>
    <phoneticPr fontId="4" type="noConversion"/>
  </si>
  <si>
    <t>로스
시간</t>
    <phoneticPr fontId="4" type="noConversion"/>
  </si>
  <si>
    <t>목표
시간</t>
    <phoneticPr fontId="4" type="noConversion"/>
  </si>
  <si>
    <t>조당면적</t>
    <phoneticPr fontId="4" type="noConversion"/>
  </si>
  <si>
    <t>생산조</t>
  </si>
  <si>
    <t>생산M2</t>
  </si>
  <si>
    <t>계산시간</t>
    <phoneticPr fontId="4" type="noConversion"/>
  </si>
  <si>
    <t>주간연장</t>
  </si>
  <si>
    <t>평일</t>
    <phoneticPr fontId="4" type="noConversion"/>
  </si>
  <si>
    <t>화</t>
    <phoneticPr fontId="4" type="noConversion"/>
  </si>
  <si>
    <t>1H</t>
    <phoneticPr fontId="4" type="noConversion"/>
  </si>
  <si>
    <t>수</t>
    <phoneticPr fontId="4" type="noConversion"/>
  </si>
  <si>
    <t>휴무</t>
    <phoneticPr fontId="4" type="noConversion"/>
  </si>
  <si>
    <t>야근</t>
    <phoneticPr fontId="4" type="noConversion"/>
  </si>
  <si>
    <t>목</t>
    <phoneticPr fontId="4" type="noConversion"/>
  </si>
  <si>
    <t>주말</t>
    <phoneticPr fontId="4" type="noConversion"/>
  </si>
  <si>
    <t>금</t>
    <phoneticPr fontId="4" type="noConversion"/>
  </si>
  <si>
    <t>토</t>
    <phoneticPr fontId="4" type="noConversion"/>
  </si>
  <si>
    <t>소계</t>
    <phoneticPr fontId="4" type="noConversion"/>
  </si>
  <si>
    <t>일평균</t>
    <phoneticPr fontId="4" type="noConversion"/>
  </si>
  <si>
    <r>
      <t>* 생산기준: 분당 1조,1M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phoneticPr fontId="4" type="noConversion"/>
  </si>
  <si>
    <t>*</t>
    <phoneticPr fontId="4" type="noConversion"/>
  </si>
  <si>
    <t>부분만 채워주세요..</t>
    <phoneticPr fontId="4" type="noConversion"/>
  </si>
  <si>
    <r>
      <t xml:space="preserve">주  간  생  산  일  지  </t>
    </r>
    <r>
      <rPr>
        <b/>
        <u val="double"/>
        <sz val="24"/>
        <color theme="1"/>
        <rFont val="맑은 고딕"/>
        <family val="3"/>
        <charset val="129"/>
        <scheme val="minor"/>
      </rPr>
      <t>2호기</t>
    </r>
    <phoneticPr fontId="4" type="noConversion"/>
  </si>
  <si>
    <t>일</t>
    <phoneticPr fontId="4" type="noConversion"/>
  </si>
  <si>
    <t>공휴일</t>
    <phoneticPr fontId="4" type="noConversion"/>
  </si>
  <si>
    <t>토</t>
  </si>
  <si>
    <t>복층</t>
    <phoneticPr fontId="4" type="noConversion"/>
  </si>
  <si>
    <t>1호기</t>
    <phoneticPr fontId="4" type="noConversion"/>
  </si>
  <si>
    <t>3복층</t>
    <phoneticPr fontId="4" type="noConversion"/>
  </si>
  <si>
    <t>합계</t>
    <phoneticPr fontId="4" type="noConversion"/>
  </si>
  <si>
    <t>화</t>
  </si>
  <si>
    <t>수</t>
  </si>
  <si>
    <r>
      <t xml:space="preserve">+  </t>
    </r>
    <r>
      <rPr>
        <sz val="11"/>
        <color theme="1"/>
        <rFont val="맑은 고딕"/>
        <family val="3"/>
        <charset val="129"/>
      </rPr>
      <t>→</t>
    </r>
    <r>
      <rPr>
        <sz val="9.35"/>
        <color theme="1"/>
        <rFont val="맑은 고딕"/>
        <family val="3"/>
        <charset val="129"/>
      </rPr>
      <t xml:space="preserve">  해당일 합계 클릭 → enter</t>
    </r>
    <phoneticPr fontId="4" type="noConversion"/>
  </si>
  <si>
    <t>목</t>
  </si>
  <si>
    <t>금</t>
  </si>
  <si>
    <t xml:space="preserve">2호기 </t>
    <phoneticPr fontId="4" type="noConversion"/>
  </si>
  <si>
    <r>
      <t xml:space="preserve">야  간  생  산  일  지  </t>
    </r>
    <r>
      <rPr>
        <b/>
        <u val="double"/>
        <sz val="24"/>
        <color theme="1"/>
        <rFont val="맑은 고딕"/>
        <family val="3"/>
        <charset val="129"/>
        <scheme val="minor"/>
      </rPr>
      <t>2호기(야간)</t>
    </r>
    <phoneticPr fontId="4" type="noConversion"/>
  </si>
  <si>
    <t>야간</t>
  </si>
  <si>
    <t>휴무</t>
  </si>
  <si>
    <t>* 2022.1.3부로 비중 50:54.45으로 수정. 삼복층 160% 적용.</t>
    <phoneticPr fontId="4" type="noConversion"/>
  </si>
  <si>
    <t>2023년 6월 1주</t>
    <phoneticPr fontId="4" type="noConversion"/>
  </si>
  <si>
    <t>날짜</t>
    <phoneticPr fontId="4" type="noConversion"/>
  </si>
  <si>
    <t>생산M2</t>
    <phoneticPr fontId="4" type="noConversion"/>
  </si>
  <si>
    <t>2호기주간</t>
    <phoneticPr fontId="4" type="noConversion"/>
  </si>
  <si>
    <t>2호기야간</t>
    <phoneticPr fontId="4" type="noConversion"/>
  </si>
  <si>
    <t>* 2022.1.3부로 비중 50:54.45으로 수정. 삼복층 200% 적용(24.10.29~).</t>
    <phoneticPr fontId="4" type="noConversion"/>
  </si>
  <si>
    <t>투입</t>
  </si>
  <si>
    <t>마킹</t>
  </si>
  <si>
    <t>부틸</t>
  </si>
  <si>
    <t>마감1</t>
  </si>
  <si>
    <t>마감2</t>
  </si>
  <si>
    <t>사라이</t>
  </si>
  <si>
    <t>김동숙</t>
  </si>
  <si>
    <t>기타
(간봉)</t>
  </si>
  <si>
    <t>기타
(간봉
절단)</t>
  </si>
  <si>
    <t>기타
(밴딩)</t>
  </si>
  <si>
    <t>팀타</t>
  </si>
  <si>
    <t>생산 투입 총 인원-복층2호기</t>
  </si>
  <si>
    <t>총계</t>
  </si>
  <si>
    <t>생산 투입 총 인원-복층1호기</t>
  </si>
  <si>
    <t>바코드
입력
비율</t>
  </si>
  <si>
    <t>바코드
기준
생산량</t>
  </si>
  <si>
    <t>롬론</t>
    <phoneticPr fontId="4" type="noConversion"/>
  </si>
  <si>
    <t>피제이</t>
    <phoneticPr fontId="4" type="noConversion"/>
  </si>
  <si>
    <t>냐링</t>
    <phoneticPr fontId="4" type="noConversion"/>
  </si>
  <si>
    <t>케빈</t>
    <phoneticPr fontId="4" type="noConversion"/>
  </si>
  <si>
    <t>조비토</t>
    <phoneticPr fontId="4" type="noConversion"/>
  </si>
  <si>
    <t>완낙</t>
    <phoneticPr fontId="4" type="noConversion"/>
  </si>
  <si>
    <t>유문걸</t>
    <phoneticPr fontId="4" type="noConversion"/>
  </si>
  <si>
    <t>묘낭윈</t>
    <phoneticPr fontId="4" type="noConversion"/>
  </si>
  <si>
    <t>마이켈</t>
    <phoneticPr fontId="4" type="noConversion"/>
  </si>
  <si>
    <t>월일</t>
    <phoneticPr fontId="4" type="noConversion"/>
  </si>
  <si>
    <t xml:space="preserve"> 2026년 2주차  (1월 2주)</t>
    <phoneticPr fontId="4" type="noConversion"/>
  </si>
  <si>
    <t xml:space="preserve"> 2026년 주차  ( 월  주)</t>
    <phoneticPr fontId="4" type="noConversion"/>
  </si>
  <si>
    <t>현산 신월2 - Ar+대규격 : 137조 203.82㎡
동성 태성 천안신공장 - 배강도+Ar+소규격 : 85조 43.51㎡
신동아 하나은행 - 배강도+Ar+대규격 : 9조 30.14㎡
현산-광주센테니얼 - 양배강도+Ar+대규격 : 19조 30.05㎡</t>
    <phoneticPr fontId="4" type="noConversion"/>
  </si>
  <si>
    <t>마감 송출 서브모터 감속기 고장 (10:30~17:00 5.5H)
현산 신월2 - Ar+대규격 : 189조 229.05㎡
포스코 아산탕정 - Ar+대규격 : 43조 65.79㎡</t>
    <phoneticPr fontId="4" type="noConversion"/>
  </si>
  <si>
    <t xml:space="preserve"> 2025년 52주차  (12월 5주)</t>
    <phoneticPr fontId="4" type="noConversion"/>
  </si>
  <si>
    <t>뽓티라</t>
    <phoneticPr fontId="4" type="noConversion"/>
  </si>
  <si>
    <t>가스주입 고장 부동시간 2.5H
우미 울산다운2 - 소규격 : 283조 239.74㎡
현산 신월2 - Ar+소규격 : 37조  28.49㎡</t>
    <phoneticPr fontId="4" type="noConversion"/>
  </si>
  <si>
    <t>정석 청주테크노 - Ar+소규격 : 287조 227.95㎡
태영 메디컬카운티 - 대규격 : 37조 58.83㎡
씨제이 오리온 - 양배강도+Ar+스팬드럴+대규격 : 66조 97.67㎡
현산 신월2 - Ar+소규격 : 103조 74.83㎡</t>
    <phoneticPr fontId="4" type="noConversion"/>
  </si>
  <si>
    <t>정석 청주테크노 - Ar+소규격 : 432조 356.06㎡
태영 메디컬카운티 - 배강도+소규격 : 155조 109.6㎡</t>
    <phoneticPr fontId="4" type="noConversion"/>
  </si>
  <si>
    <t>딴저묘</t>
    <phoneticPr fontId="4" type="noConversion"/>
  </si>
  <si>
    <t>빅토리아노</t>
    <phoneticPr fontId="4" type="noConversion"/>
  </si>
  <si>
    <t xml:space="preserve"> 2026년 3주차  ( 1월  3주)</t>
    <phoneticPr fontId="4" type="noConversion"/>
  </si>
  <si>
    <t>* 부틸기 고장 부동시간 1.75H (08:30~10:15)</t>
    <phoneticPr fontId="4" type="noConversion"/>
  </si>
  <si>
    <t>딴저묘</t>
    <phoneticPr fontId="4" type="noConversion"/>
  </si>
  <si>
    <t>씨제이 오리온 - 양배강도+Ar : 93조
우미 울산다운2 - 소규격 : 350조 269.5㎡</t>
    <phoneticPr fontId="4" type="noConversion"/>
  </si>
  <si>
    <t xml:space="preserve"> 2026년 4주차  ( 1월  4주)</t>
    <phoneticPr fontId="4" type="noConversion"/>
  </si>
  <si>
    <t>뽓티라</t>
    <phoneticPr fontId="4" type="noConversion"/>
  </si>
  <si>
    <t xml:space="preserve">믹싱파이프교체 
건조실 바닥롤러 교체 13:30~14:20
현산 광주센테니얼 - 양배강도+Ar+오더많음 : 299조 326.62㎡
동성 태성천안공장 - 배강도+Ar+오더많음 :84조 </t>
    <phoneticPr fontId="4" type="noConversion"/>
  </si>
  <si>
    <t>태영 메디컬카운티 : 접합+배강도+Ar+3복층+소규격 : 30조 13㎡ 
지에스시스템 청주대 - Ar+3복층+오더많음 : 186조</t>
    <phoneticPr fontId="4" type="noConversion"/>
  </si>
  <si>
    <t>태영 메디컬카운티 - 소규격 : 320조 246.6㎡
씨제이 오리온 - 양배강도+Ar+대규격 : 80조 288.14㎡</t>
    <phoneticPr fontId="4" type="noConversion"/>
  </si>
  <si>
    <t xml:space="preserve">태영 메디컬카운티 - 소규격 : 262조 187.04㎡
씨제이 오리온 - 양배강도+Ar : 141조 148.41㎡
씨제이 오리온 - 양배강도+Ar+이형 : 4조 </t>
    <phoneticPr fontId="4" type="noConversion"/>
  </si>
  <si>
    <t xml:space="preserve"> 2026년 5주차  ( 1월  5주)</t>
    <phoneticPr fontId="4" type="noConversion"/>
  </si>
  <si>
    <t xml:space="preserve"> 2026년 6주차  ( 2월  1주)</t>
    <phoneticPr fontId="4" type="noConversion"/>
  </si>
  <si>
    <t>세척기 베어링교체 08:30~09:25</t>
    <phoneticPr fontId="4" type="noConversion"/>
  </si>
  <si>
    <t xml:space="preserve">부틸기계 고장 11:10~11:40 부동시간 0.5H </t>
    <phoneticPr fontId="4" type="noConversion"/>
  </si>
  <si>
    <t>태영 부산메디컬 - 소규격 : 317조 167.03㎡
대건 형석고 - 배강도+Ar+소규격 : 136조 57.4㎡
정석 청주테크노 - Ar+오더많음 : 76조</t>
    <phoneticPr fontId="4" type="noConversion"/>
  </si>
  <si>
    <t>신동아 하나은행 - 배강도+Ar+대규격+원판품질이슈 : 73조 115.97㎡
덕양 혁신기술 - 배강도+Ar : 221조
디엘 대전문화2 - 접합+Ar : 7조
지에스 청주대학교 - 배강도+Ar+3복층 : 4조</t>
    <phoneticPr fontId="4" type="noConversion"/>
  </si>
  <si>
    <t>제일 인천검단 - 소규격 200조 171.3㎡
동성 태성천안 - 배강도+Ar+소규격 : 171조 153.24㎡
대성 천호동 - 양배강도+Ar+3복층+대규격 : 3조 7.21㎡
지에스 청주대학교 - 배강도+Ar+3복층 : 11조</t>
    <phoneticPr fontId="4" type="noConversion"/>
  </si>
  <si>
    <t>태영 부산메디컬 - 소규격 : 335조 218.81㎡
현산 신월2 - Ar+대규격+오더많음 : 79조98.61㎡</t>
    <phoneticPr fontId="4" type="noConversion"/>
  </si>
  <si>
    <t>딴저묘</t>
    <phoneticPr fontId="4" type="noConversion"/>
  </si>
  <si>
    <t>뽓티라</t>
    <phoneticPr fontId="4" type="noConversion"/>
  </si>
  <si>
    <t xml:space="preserve"> 2026년 7주차  ( 2월  2주)</t>
    <phoneticPr fontId="4" type="noConversion"/>
  </si>
  <si>
    <t>KCC 오송역 - 접합+소규격 : 178조 103.24㎡
KCC 오송역 - 배강도+소규격 : 121조 62.92㎡
계룡 원주의료원 - 배강도+Ar+소규격 : 5조 3.63㎡
동성 태성천안 - 배강도+Ar+소규격 : 5조 3.35㎡
계룡 부천대현 - Ar+대규격 : 24조 56.78㎡</t>
    <phoneticPr fontId="4" type="noConversion"/>
  </si>
  <si>
    <t>11:30~12:00 마감기계 고장 부동시간 0.5H
15:30~16:30 콜크패드 기계수리 부동시간 1.0H</t>
    <phoneticPr fontId="4" type="noConversion"/>
  </si>
  <si>
    <t>13:30~14:10 세척기 고장 부동시간 0.7H</t>
    <phoneticPr fontId="4" type="noConversion"/>
  </si>
  <si>
    <t>정석 청주테크노 - Ar+소규격 : 112조 52.96㎡
태영 메디컬카운티 - 배강도+대규격 : 77조 100.03㎡
동성 태성천안 - 배강도+Ar+소규격+오더많음 : 189조 160.05㎡
남영유리 -Ar+3복층+소규격 : 4조 2.87㎡</t>
    <phoneticPr fontId="4" type="noConversion"/>
  </si>
  <si>
    <t>휴무</t>
    <phoneticPr fontId="4" type="noConversion"/>
  </si>
  <si>
    <t>제일 인천검단 - 양배강도+대규격 : 29조 92.77㎡
제일 인천검단 - 대규격 : 30조 57.7㎡
정석 청주테크노 - Ar+소규격 : 192조 123.2㎡
신동아 하나은행 - 배강도+Ar+스텝+대규격 : 3조 15.3㎡
신동아 하나은행 - 배강도+Ar+대규격 : 6조 23.98㎡
한양 인천청라 - 대규격 : 11조 20.83㎡</t>
    <phoneticPr fontId="4" type="noConversion"/>
  </si>
  <si>
    <t>제일 인천검단 - 소규격 : 46조 28.54㎡
제일 인천검단 - 대규격 : 184조 216.57㎡
신동아 하나은행 - 배강도+Ar+스텝+대규격 : 8조 30.45㎡
신동아 하나은행 - 배강도+Ar+대규격 : 9조 37.62㎡
우암 고양지축 - Ar+소규격 : 12조 3.36㎡</t>
    <phoneticPr fontId="4" type="noConversion"/>
  </si>
  <si>
    <t xml:space="preserve"> 2026년 8주차  ( 2월  3주)</t>
    <phoneticPr fontId="4" type="noConversion"/>
  </si>
  <si>
    <t>09:30~10:00 부틸기 실린더고장 부동시간 0.5H</t>
    <phoneticPr fontId="4" type="noConversion"/>
  </si>
  <si>
    <t>태영 메디컬카운티 - 접합+Ar+배강도+3복층+소규격 : 18조 8.1㎡
태영 메디컬카운티 - 접합+소규격 : 43조 20.4㎡
태영 메디컬카운티 - 소규격 : 300조 154.36㎡</t>
    <phoneticPr fontId="4" type="noConversion"/>
  </si>
  <si>
    <t xml:space="preserve"> 2026년 9주차  ( 2월  4주)</t>
    <phoneticPr fontId="4" type="noConversion"/>
  </si>
  <si>
    <t>태영 메디컬카운티 - 접합+소규격 : 164조 86.08㎡
태영 메디컬카운티 - 접합+Ar+배강도+3복층+소규격 : 20조 8.6㎡
태영 메디컬카운티 - 소규격 : 22조 6.38㎡</t>
    <phoneticPr fontId="4" type="noConversion"/>
  </si>
  <si>
    <t>신동아 하나은행 - 배강도+Ar+대규격 : 101조 571.52㎡</t>
    <phoneticPr fontId="4" type="noConversion"/>
  </si>
  <si>
    <t>17:30~18:00 가스노즐 손보기 부동시간 : 0.5H
신동아 하나은행 - 배강도+Ar+대규격 : 6조 36.16㎡
제일 인천검단 - 양배강도+대규격 : 1조 3.33㎡
태영 메디컬카운티 - 소규격 : 96조 72.06㎡
계룡 KT인재개발원 - Ar+소규격 : 56조 17.36㎡
씨타대헌 춘천계성 - 배강도+Ar+소규격 : 231조 152.24㎡</t>
    <phoneticPr fontId="4" type="noConversion"/>
  </si>
  <si>
    <t>신동아 하나은행 - 배강도+Ar+대규격 : 21조 99.3㎡
신동아 하나은행 - 배강도+Ar+대규격+스텝 : 8조 33.95㎡
태영 메디컬카운티 - 배강도+대규격 : 77조 93.74㎡
태영 메디컬카운티 - 배강도+소규격 : 223조 253.45㎡</t>
    <phoneticPr fontId="4" type="noConversion"/>
  </si>
  <si>
    <t xml:space="preserve"> 2026년 10주차  ( 3월  1주)</t>
    <phoneticPr fontId="4" type="noConversion"/>
  </si>
  <si>
    <t>제일 인천검단 - 양배강도+대규격 : 15조 49.95㎡
제일 인천검단 - 소규격 : 17조 4.76㎡
씨타대헌 춘천계성 - 배강도+Ar+소규격 : 426조 234.79㎡</t>
    <phoneticPr fontId="4" type="noConversion"/>
  </si>
  <si>
    <t>제일 인천검단 - 양배강도+대규격 :35조 109.9㎡
씨타대헌 춘천계성 - 배강도+Ar+소규격 : 276조 172.76㎡</t>
    <phoneticPr fontId="4" type="noConversion"/>
  </si>
  <si>
    <t>태영 메디컬카운티 - 접합+소규격 : 342조 181.8㎡
태영 메디컬카운티 - 접합+배강도+3복층+소규격 : 29조 12.45㎡
정석 청주테크노 - Ar+소규격 : 120조 63.5㎡
동성 태성천안 - Ar+소규격 ㅣ 10조 7.4㎡</t>
    <phoneticPr fontId="4" type="noConversion"/>
  </si>
  <si>
    <t>신동아 건강보험 - 양배강도+Ar : 20조
씨타대헌 춘천계성 - 배강도+Ar+소규격 : 11조 7.26㎡
정석 청주테크노 - Ar+소규격 : 296조 238.72㎡
계룡 원주의료원 - 배강도+Ar+소규격 : 85조 67.31㎡</t>
    <phoneticPr fontId="4" type="noConversion"/>
  </si>
  <si>
    <t xml:space="preserve"> 2026년 11주차  ( 3월  2주)</t>
    <phoneticPr fontId="4" type="noConversion"/>
  </si>
  <si>
    <t>딴저묘</t>
    <phoneticPr fontId="4" type="noConversion"/>
  </si>
  <si>
    <t>빅토리아노</t>
    <phoneticPr fontId="4" type="noConversion"/>
  </si>
  <si>
    <t>동성 태성천안 - 배강도+Ar+소규격 : 158조 141.02㎡
제일 인천검단 - 소규격 : 232조 237.14㎡</t>
    <phoneticPr fontId="4" type="noConversion"/>
  </si>
  <si>
    <t>신동아 하나은행 - 배강도+Ar+대규격 : 21조 99.07㎡
태영 부산 - 소규격 : 200조 205.56㎡</t>
    <phoneticPr fontId="4" type="noConversion"/>
  </si>
  <si>
    <t>뽓티라</t>
    <phoneticPr fontId="4" type="noConversion"/>
  </si>
  <si>
    <t xml:space="preserve"> 2026년 12주차  ( 3월  3주)</t>
    <phoneticPr fontId="4" type="noConversion"/>
  </si>
  <si>
    <t>신동아 하나은행 - 배강도+Ar+배강도접합 40조 183.74㎡
씨타 춘천계성학교 - 배강도+Ar+소규격 91조 85.21㎡</t>
    <phoneticPr fontId="4" type="noConversion"/>
  </si>
  <si>
    <t>씨제이 오리온 도곡 - 배강도+Ar+스텝 21조 45.96㎡
케이씨씨 오송역 - 접합+소규격 297조 198.92㎡</t>
    <phoneticPr fontId="4" type="noConversion"/>
  </si>
  <si>
    <t>계룡 증산도 - 배강도+Ar+이형+오더많음 50조 45.99㎡
디엘 대전문화2구역 Ar+오더많음 40조 44.3㎡</t>
    <phoneticPr fontId="4" type="noConversion"/>
  </si>
  <si>
    <t>정석 테크노 - Ar+소규격+오더많음 425조 364.06㎡</t>
    <phoneticPr fontId="4" type="noConversion"/>
  </si>
  <si>
    <t>인성 청주드림신협 - 배강도+Ar+소규격 : 206조 122.5㎡
정석 청주테크노 - Ar+소규격 : 223조 163.8㎡</t>
    <phoneticPr fontId="4" type="noConversion"/>
  </si>
  <si>
    <t>정석 청주테크노 - Ar+소규격 : 365조 242.8㎡</t>
    <phoneticPr fontId="4" type="noConversion"/>
  </si>
  <si>
    <t>인성 청주드림신협 - 배강도+Ar+소규격 : 145조 118.15㎡
마감기계 고장 : 08:55~09:05 15분
계룡 증산도 이형유리 안맞음 13:35~14:05 30분</t>
    <phoneticPr fontId="4" type="noConversion"/>
  </si>
  <si>
    <t xml:space="preserve"> 2026년 14주차  ( 3월  5주)</t>
    <phoneticPr fontId="4" type="noConversion"/>
  </si>
  <si>
    <t>보미 청주대학교 - Ar+3복층+소규격 : 208조 74.8㎡</t>
    <phoneticPr fontId="4" type="noConversion"/>
  </si>
  <si>
    <t>신동아 하나은행 - 배강도+Ar+대규격 : 11조 47.48㎡
제일 인천검단 - 대규격 : 180조 208㎡
인성 오창테크노 - Ar+소규격 : 63조 41.08㎡</t>
    <phoneticPr fontId="4" type="noConversion"/>
  </si>
  <si>
    <t>태영 메디컬카운티 - 소규격 : 296조 중 116조 35.16㎡</t>
    <phoneticPr fontId="4" type="noConversion"/>
  </si>
  <si>
    <t>보미 청주대학교 - Ar+3복층+소규격 : 10조 3.96㎡
씨제이 오리온 - 3배강도+Ar+3복층 : 2조 
제일 인천검단 - 소규격 : 180조 145㎡</t>
    <phoneticPr fontId="4" type="noConversion"/>
  </si>
  <si>
    <t xml:space="preserve"> 2026년 15주차  ( 4월  2주)</t>
    <phoneticPr fontId="4" type="noConversion"/>
  </si>
  <si>
    <t xml:space="preserve"> 2026년 16주차  ( 4월  3주)</t>
    <phoneticPr fontId="4" type="noConversion"/>
  </si>
  <si>
    <t xml:space="preserve"> 2026년 13주차  ( 3월  4주)</t>
    <phoneticPr fontId="4" type="noConversion"/>
  </si>
  <si>
    <t>09:21~13:41 인터넷 연결 끊김 - 바코드 인식불능</t>
    <phoneticPr fontId="4" type="noConversion"/>
  </si>
  <si>
    <t>염종혁</t>
    <phoneticPr fontId="4" type="noConversion"/>
  </si>
  <si>
    <t>이랜드 수원남문 - 대규격 : 142조 218.93㎡
인종합 이노레스 - 배강도+Ar+오더많음 : 192조</t>
    <phoneticPr fontId="4" type="noConversion"/>
  </si>
  <si>
    <t>아킹스 증산도 3배강도+Ar+대규격+3복층 : 22조 58.39㎡
엘엑스 디엘 청주 - Ar+소규격 : 257조 175.53㎡</t>
    <phoneticPr fontId="4" type="noConversion"/>
  </si>
  <si>
    <t>현엔 화성기아 - 양배강도+Ar+대규격 : 285조 351.74㎡
우미 남원주 - Ar+대규격 : 29조 40.36㎡</t>
    <phoneticPr fontId="4" type="noConversion"/>
  </si>
  <si>
    <t>태영 메디컬카운티 - 접합+소규격 : 156조
태영 메디컬카운티 - 접합+배강도+3복층+소규격 : 20조 8.6㎡
엘엑스 디엘 청주 - Ar+소규격 : 146조 68.88㎡
한우창호 - 3배강도+Ar+3복층 : 28조</t>
    <phoneticPr fontId="4" type="noConversion"/>
  </si>
  <si>
    <t>대진 산성역 - 접합+대규격 : 98조 160.69㎡
대진 산성역 - 대규격 : 114조 177.4㎡
대진 산성역 - 소규격 : 152조 47.32㎡</t>
    <phoneticPr fontId="4" type="noConversion"/>
  </si>
  <si>
    <t>보미 청주대 - 배강도+Ar+3복층+소규격 : 168조 49㎡</t>
    <phoneticPr fontId="4" type="noConversion"/>
  </si>
  <si>
    <t xml:space="preserve"> 2026년 17주차  ( 4월  4주)</t>
    <phoneticPr fontId="4" type="noConversion"/>
  </si>
  <si>
    <t>14:00~21:00 엣지 느림
제일 인천검단 - 양배강도+대규격 : 16조 50.24㎡
신동아-건강보험 : 양배강도 : 64조 68.65㎡</t>
    <phoneticPr fontId="4" type="noConversion"/>
  </si>
  <si>
    <t>08:30~10:45 엣지 느림
제일 인천검단 - 양배강도+Ar+대규격 : 186조 254.22㎡
신동아-건강보험 : 양배강도 : 64조 68.65㎡</t>
    <phoneticPr fontId="4" type="noConversion"/>
  </si>
  <si>
    <t>마감기계고장 08:30~09:30 (부동시간 50분)
우미-남원주 : Ar+소규격 : 125조 75.15㎡
신동아-건강보험 : 배강도+Ar : 64조</t>
    <phoneticPr fontId="4" type="noConversion"/>
  </si>
  <si>
    <t>80~89</t>
    <phoneticPr fontId="4" type="noConversion"/>
  </si>
  <si>
    <t xml:space="preserve"> 2026년 18주차  ( 4월  5주)</t>
    <phoneticPr fontId="4" type="noConversion"/>
  </si>
  <si>
    <t>마감기계 고장 09:58~13:40</t>
    <phoneticPr fontId="4" type="noConversion"/>
  </si>
  <si>
    <t>제일 인천검단 - 양배강도+대규격 : 5조 16.65㎡
우미 남원주 - Ar+소규격 : 30조 9.4㎢
우미 세종6-3 - Ar+소규격+오더많음 : 118조 94.76㎡
활림 아산배방 - Ar+대규격+오더많음 : 128조 225.61㎡</t>
    <phoneticPr fontId="4" type="noConversion"/>
  </si>
  <si>
    <t xml:space="preserve"> 2026년 19주차  ( 5월  2주)</t>
    <phoneticPr fontId="4" type="noConversion"/>
  </si>
  <si>
    <t>태영 메디컬카운티 - 접합+소규격 : 155조 85.18㎡
태영 메디컬카운티 - 소규격 : 364조 270.2㎡
한화 매봉 - 3배강도+Ar+3복층+대규격 : 2조 7.97㎡</t>
    <phoneticPr fontId="4" type="noConversion"/>
  </si>
  <si>
    <t>태영 메디컬카운티 - 접합+소규격 : 156조 85.51㎡
태영 메디컬카운티 - 소규격 : 400조 345.24㎡
태영 메디컬카운티 - 접합+Ar+3복층+소규격 : 24조 10.4㎡</t>
    <phoneticPr fontId="4" type="noConversion"/>
  </si>
  <si>
    <t>태영 메디컬카운티 - 접합+Ar+3복층+소규격 : 16조 6.8㎡
케이씨씨 여의도 - 양배강도+Ar+소규격 : 44조 24.87㎡
케이씨씨 여의도 - 배강도+Ar+대규격+3복층 : 105조 141.09㎡
케이씨씨 여의도 - Ar+소규격 : 37조 20.61㎡</t>
    <phoneticPr fontId="4" type="noConversion"/>
  </si>
  <si>
    <t>우미 남원주 - Ar+소규격 : 355조 299.85㎡
케이씨씨 여의도 - 배강도+Ar++3복층+소규격 : 36조 26.74㎡현엔 화성기아 - 양배강도+Ar+대규격 : 9조 25.83㎡</t>
    <phoneticPr fontId="4" type="noConversion"/>
  </si>
  <si>
    <t>신동아 건강보험 - 양배강도+대규격 : 53조 128.18㎡
우미 남원주 - Ar+소규격 : 160조 119.1㎡
엣지 고장 - 10:00~11:00</t>
    <phoneticPr fontId="4" type="noConversion"/>
  </si>
  <si>
    <t xml:space="preserve"> 2026년 20주차  ( 5월  3주)</t>
    <phoneticPr fontId="4" type="noConversion"/>
  </si>
  <si>
    <t>팀타</t>
    <phoneticPr fontId="4" type="noConversion"/>
  </si>
  <si>
    <t>80~89</t>
    <phoneticPr fontId="4" type="noConversion"/>
  </si>
  <si>
    <t>14:15~14:45 전동리프트 고장 0.5H</t>
    <phoneticPr fontId="4" type="noConversion"/>
  </si>
  <si>
    <t>신동아 건강보험 : 배강도+Ar+소규격 : 52조 23.68㎡
동부 삼성메디슨 : 배강도+Ar+대규격 : 91조 123.16㎡
인종합 이노레스 : Ar+대규격 : 3조 7.5㎡</t>
    <phoneticPr fontId="4" type="noConversion"/>
  </si>
  <si>
    <t>08:45~09:05 마감기계 고장 0.33H
정석 청주테크노 : Ar+소규격 : 68조 26.88㎡
정석 청주테크노 : Ar+대규격 : 36조 60.48㎡
케이씨씨 여의도 : 양배강도+Ar+소규격 : 22조 12.57㎡</t>
    <phoneticPr fontId="4" type="noConversion"/>
  </si>
  <si>
    <t>동부 삼성메디슨 - 배강도+Ar+대규격 : 212조 339.75㎡
우미 남원주 - Ar+소규격 : 180조 143㎡</t>
    <phoneticPr fontId="4" type="noConversion"/>
  </si>
  <si>
    <t>우미 남원주 - Ar+소규격 : 35조 11.9㎡
금호 서울대방 - Ar+소규격 : 254조 194.16㎡
에스티웍스 - 10조 2.8㎡ 1시간 소요</t>
    <phoneticPr fontId="4" type="noConversion"/>
  </si>
  <si>
    <t>금호 서울대방 - Ar+소규격 : 232조 207.88㎡
세지 음성교육 - 배강도+Ar+소규격 : 210조 104.12㎡</t>
    <phoneticPr fontId="4" type="noConversion"/>
  </si>
  <si>
    <t xml:space="preserve">
</t>
    <phoneticPr fontId="4" type="noConversion"/>
  </si>
  <si>
    <t>정석 청주테크노 : Ar+대규격 : 39조 66.57㎡
정석 청주테크노 : Ar+소규격 : 123조 106.29㎡
금호 서울대방 - Ar+소규격 : 64조 25.36㎡
금호 서울대방 - Ar+대규격 : 176조 221.12㎡
신동아 하나은행 - 3배강도+Ar+대규격+3복층 : 12조 20.26㎡</t>
    <phoneticPr fontId="4" type="noConversion"/>
  </si>
  <si>
    <t>난</t>
    <phoneticPr fontId="4" type="noConversion"/>
  </si>
  <si>
    <t>왜이표엉</t>
    <phoneticPr fontId="4" type="noConversion"/>
  </si>
  <si>
    <t>뽓티라</t>
    <phoneticPr fontId="4" type="noConversion"/>
  </si>
  <si>
    <t xml:space="preserve"> 2026년 21주차  ( 5월  4주)</t>
    <phoneticPr fontId="4" type="noConversion"/>
  </si>
  <si>
    <t>엣지기계고장 11:45~12:15, 16:10~16:40</t>
    <phoneticPr fontId="4" type="noConversion"/>
  </si>
  <si>
    <t>김동숙</t>
    <phoneticPr fontId="4" type="noConversion"/>
  </si>
  <si>
    <t>케이씨씨 여의도 - 양배강도+Ar+소규격 : 11조 6.1㎡
케이씨씨 여의도 - 배강도+Ar+3복층 : 16조
태영 메디컬카운티 - Ar+오더많음 : 191조
보미 청주대 - 배강도+Ar+3복층 : 69조</t>
    <phoneticPr fontId="4" type="noConversion"/>
  </si>
  <si>
    <t xml:space="preserve">케이씨씨 여의도 - Ar+배강도+3복층 : 58조
신동아 하나은행 - 배강도+Ar+접합+대규격 : 1조 4.88㎡
신동아 하나은행 - 양배강도+Ar+접합+3복층 : 1조
극동 성남금토 - Ar+오더많음+소규격 : 385조 304.32㎡
</t>
    <phoneticPr fontId="4" type="noConversion"/>
  </si>
  <si>
    <t>케이씨씨 여의도 - Ar+양배강도+오더많음+소규격 : 66조 38.85㎡
케이씨씨 여의도 - Ar+오더많음+대규격 : 127조 206.18㎡
세지 음성교육지원청 - 배강도+Ar+소규격 : 124조 44.8㎡
극동 성남금토 - Ar+대규격 : 5조 16.2㎡</t>
    <phoneticPr fontId="4" type="noConversion"/>
  </si>
  <si>
    <t>09:45~10:15 0.5H 압축기 고장</t>
    <phoneticPr fontId="4" type="noConversion"/>
  </si>
  <si>
    <t>08:30~09:50, 10:10~10:20 1.5H마감기계 고장</t>
    <phoneticPr fontId="4" type="noConversion"/>
  </si>
  <si>
    <t>부트리</t>
    <phoneticPr fontId="4" type="noConversion"/>
  </si>
  <si>
    <t>우미 남원주 - Ar+소규격 : 219조 157.49㎡
대원 K과학자마을 - 배강도+Ar+3복층 : 39조 106.97㎡</t>
    <phoneticPr fontId="4" type="noConversion"/>
  </si>
  <si>
    <t xml:space="preserve"> 2026년 22주차  ( 5월  5주)</t>
    <phoneticPr fontId="4" type="noConversion"/>
  </si>
  <si>
    <t>태영 메디컬카운티 - 접합+소규격 : 120조 62.56㎡
태영 메디컬카운티 - 소규격 : 204조 166.08㎡
케이씨씨 여의도 - Ar+대규격 : 2조 7.58㎡
케이씨씨 여의도 - 배강도+Ar+3복층+소규격 : 11조 3.18㎡</t>
    <phoneticPr fontId="4" type="noConversion"/>
  </si>
  <si>
    <t>태영 메디컬카운티 - 대규격 : 16조 30.32㎡
신동아 건강보험 - 배강도+Ar+소규격 : 13조 7.41㎡
계룡 부천대현 - 오더많음 : 176조
대원 K과학자마을 - 배강도+Ar+오더많음 : 126조</t>
    <phoneticPr fontId="4" type="noConversion"/>
  </si>
  <si>
    <t>태영 메디컬카운티 - 접합+소규격 : 35조 19.08㎡
태영 메디컬카운티 - 소규격 : 20조 8.6㎡
엘엑스 디엘청주 - Ar+소규격 : 579조 404.28㎡</t>
    <phoneticPr fontId="4" type="noConversion"/>
  </si>
  <si>
    <t>김동숙</t>
    <phoneticPr fontId="4" type="noConversion"/>
  </si>
  <si>
    <t>대원 K과학자마을 - 배강도+Ar+대규격 : 4조 9.06㎡
계룡 증산도 - 배강도+Ar+소규격 : 56조 30.11㎡
계룡 증산도 - 양배강도+Ar : 36조 
계룡 증산도 - 양배강도+Ar+이형+소규격 : 129조 105.79㎡</t>
    <phoneticPr fontId="4" type="noConversion"/>
  </si>
  <si>
    <t xml:space="preserve"> 2026년 23주차  ( 6월  1주)</t>
    <phoneticPr fontId="4" type="noConversion"/>
  </si>
  <si>
    <t>엣지기계고장 : 14:05~14:45, 16:00~16:50 1.5H</t>
    <phoneticPr fontId="4" type="noConversion"/>
  </si>
  <si>
    <t>계룡 부천대현 - 소규격 : 78조 32.14㎡
엘엑스 디엘청주 - Ar+소규격 : 186조 135.09㎡
케이씨씨 오송역 - 배강도+접합+소규격 : 17조 11.45㎡
신라 보건환경연구원 - 배강도+Ar+오더많음 : 289조</t>
    <phoneticPr fontId="4" type="noConversion"/>
  </si>
  <si>
    <t>80~89</t>
    <phoneticPr fontId="4" type="noConversion"/>
  </si>
  <si>
    <t>신동아 건강보험 - 양배강도 : 54조
신라 보건환경연구원 - 배강도+Ar+오더많음 : 183조
대원 K과학자마을 - Ar+배강도+이형+오더많음 : 73조</t>
    <phoneticPr fontId="4" type="noConversion"/>
  </si>
  <si>
    <t>대원 K과학자마을 - Ar+배강도+이형+오더많음 : 46조</t>
    <phoneticPr fontId="4" type="noConversion"/>
  </si>
  <si>
    <t>신동아 건강보험 - 양배강도 : 151조
태영 메디컬카운티 - 소규격 : 67조 19.43㎡</t>
    <phoneticPr fontId="4" type="noConversion"/>
  </si>
  <si>
    <t>인터넷 오류</t>
    <phoneticPr fontId="4" type="noConversion"/>
  </si>
  <si>
    <t>인터넷오류</t>
    <phoneticPr fontId="4" type="noConversion"/>
  </si>
  <si>
    <t>08:30~09:20 마감기계 고장(50분 부동)
인터넷오류</t>
    <phoneticPr fontId="4" type="noConversion"/>
  </si>
  <si>
    <t>부틸</t>
    <phoneticPr fontId="4" type="noConversion"/>
  </si>
  <si>
    <t>사라이</t>
    <phoneticPr fontId="4" type="noConversion"/>
  </si>
  <si>
    <t>신동아 건강보험 - 양배강도+Ar+대규격 : 23조 47.49㎡
에스지신성 삼평동 - 배강도+Ar+오더많음 : 108조
에스지신성 삼평동 - 배강도+Ar+대규격+오더많음 : 47조 73.44㎡
인성 청주드림 - 배강도+Ar+대규격 : 3조 10.35㎡</t>
    <phoneticPr fontId="4" type="noConversion"/>
  </si>
  <si>
    <t>에스지신성 삼평동 - 배강도+Ar+오더많음 : 194조
에스지신성 삼평동 - 배강도+Ar+대규격+오더많음 : 60조 94.66㎡</t>
    <phoneticPr fontId="4" type="noConversion"/>
  </si>
  <si>
    <t>에스지신성 삼평동 - 배강도+Ar+오더많음 : 248조
금호 서울대방 - Ar+대규격 : 13조 38.37㎡
신동아 하나은행, 다솔산업 - 오더많음 : 50조</t>
    <phoneticPr fontId="4" type="noConversion"/>
  </si>
  <si>
    <t>에스지신성 삼평동 - 배강도+Ar+대규격+오더많음 : 70조 107.98㎡
엘엑스 디엘청주 - Ar+소규격 : 342조 234.06㎡</t>
    <phoneticPr fontId="4" type="noConversion"/>
  </si>
  <si>
    <t>에스지신성 삼평동 - 배강도+Ar+오더많음 : 150조
대진 산성역 - 접합+대규격 : 97조 148.74㎡
동일유리 - 소규격+3복층 : 30조 8.4㎡</t>
    <phoneticPr fontId="4" type="noConversion"/>
  </si>
  <si>
    <t>08:30~09:40 오토실링 고장
대원 K과학자마을 - 배강도+Ar+3복층+대규격+오더많음 : 95조 152.11㎡
케이씨씨 여의도 - 배강도+Ar+3복층+소규격 : 5조 2.31㎡</t>
    <phoneticPr fontId="4" type="noConversion"/>
  </si>
  <si>
    <t xml:space="preserve"> 2026년 24주차  ( 6월  2주)</t>
    <phoneticPr fontId="4" type="noConversion"/>
  </si>
  <si>
    <t xml:space="preserve"> 2026년 25주차  ( 6월  3주)</t>
    <phoneticPr fontId="4" type="noConversion"/>
  </si>
  <si>
    <t>신동아 건강보험 - 양배강도+Ar+대규격 : 25조 54.3㎡
제일 인천검단 - 소규격 : 80조 61.3㎡
금호 서울대방 -Ar+소규격 : 78조 47.04㎡</t>
    <phoneticPr fontId="4" type="noConversion"/>
  </si>
  <si>
    <t>대화 충주반다비 - 3배강도+Ar+대규격+3복층 : 64조 174.26㎡
엘엑스 디엘청주 - 양배강도+Ar+대규격 : 60조 155.52㎡</t>
    <phoneticPr fontId="4" type="noConversion"/>
  </si>
  <si>
    <t>제일 인천검단 - 소규격 : 20조 5.6㎡
금호 서울대방 -Ar+소규격 : 180조 50.4㎡
계룡 증산도 - 배강도+Ar+오더많음 : 265조
신라 보건환경 - 배강도+Ar+소규격 : 21조 12.96㎡</t>
    <phoneticPr fontId="4" type="noConversion"/>
  </si>
  <si>
    <t>대화 충주반다비 - 3배강도+Ar+대규격+3복층 : 45조 107.69㎡
엘엑스 디엘청주 - 양배강도+Ar+대규격 : 60조 155.52㎡
정석 청주테크노 - Ar+대규격 : 114조 195.9㎡</t>
    <phoneticPr fontId="4" type="noConversion"/>
  </si>
  <si>
    <t>대우 청주테크노 - 대규격 : 151조 223.48㎡
제일 인천검단 - 양배강도+대규격 : 15조 49.95㎡
계룡 증산도 - 배강도+Ar+소규격 : 166조 137.43㎡
단체표준 샘플제작(마크 사진대지) - 20분</t>
    <phoneticPr fontId="4" type="noConversion"/>
  </si>
  <si>
    <t>신동아 건강보험 - 양배강도+Ar+대규격 : 31조 47.39㎡
금호 서울대방 -Ar+대규격 : 120조 211.4㎡
정석 청주테크노 - Ar+소규격 : 183조 119.27㎡</t>
    <phoneticPr fontId="4" type="noConversion"/>
  </si>
  <si>
    <t>대화 충주반다비 - 3배강도+Ar+대규격+3복층 : 13조 44.12㎡
엘엑스 디엘청주 - Ar+소규격 : 177조 89.31㎡
케이씨씨 여의도 - 양배강도+Ar+소규격 : 9조 5.33㎡
케이씨씨 여의도 - Ar+대규격 : 51조 86.93㎡
현산 센테니얼 - 양배강도+Ar+대규격+오더많음 : 135조 238.35㎡</t>
    <phoneticPr fontId="4" type="noConversion"/>
  </si>
  <si>
    <t>대원 에버랜드역 - 오더많음+대규격 : 12조 22.5㎡
금호 서울대방 - Ar+소규격 : 140조 96.4㎡</t>
    <phoneticPr fontId="4" type="noConversion"/>
  </si>
  <si>
    <t>태영 메디컬카운티 - 접합+Ar+배강도+소규격+3복층 : 8조 3.2㎡
엘엑스 디엘청주 - 양배강도+Ar+대규격 : 30조 76.02㎡
현산 센테니얼 - 양배강도+Ar+대규격+오더많음 : 143조 173.68㎡</t>
    <phoneticPr fontId="4" type="noConversion"/>
  </si>
  <si>
    <t>80~89</t>
    <phoneticPr fontId="4" type="noConversion"/>
  </si>
  <si>
    <t xml:space="preserve"> 2026년 26주차  ( 6월  4주)</t>
    <phoneticPr fontId="4" type="noConversion"/>
  </si>
  <si>
    <t>세척기고장 13:35~14:43</t>
    <phoneticPr fontId="4" type="noConversion"/>
  </si>
  <si>
    <t>아침 간봉조립
현엔-화성기아 이형간봉 재단불량</t>
    <phoneticPr fontId="4" type="noConversion"/>
  </si>
  <si>
    <t>26-1163 신동아-건강보험 유리불량,파손 많음</t>
    <phoneticPr fontId="4" type="noConversion"/>
  </si>
  <si>
    <t>마감기계 고장 14:59~16:56(2H)</t>
    <phoneticPr fontId="4" type="noConversion"/>
  </si>
  <si>
    <t>금호 성남복정 - Ar+오더많음 : 52조</t>
    <phoneticPr fontId="4" type="noConversion"/>
  </si>
  <si>
    <t>태영 메디컬카운티 - Ar+오더많음 : 91조
(유리준비시간 많이 소요됨)</t>
    <phoneticPr fontId="4" type="noConversion"/>
  </si>
  <si>
    <t xml:space="preserve"> 2026년 27주차  ( 7월  1주)</t>
    <phoneticPr fontId="4" type="noConversion"/>
  </si>
  <si>
    <t>프레스 기계고장 08:30~10:15(1.75H)
정석 청주테크노 - Ar+소규격 : 188조 58.64㎡
남선 충북대 - 배강도+Ar+소규격 : 120조 67.2㎡</t>
    <phoneticPr fontId="4" type="noConversion"/>
  </si>
  <si>
    <t>프레스 기계고장 15:00~16:40
남선 충북대 - 배강도+Ar+소규격 : 52조 25.48㎡</t>
    <phoneticPr fontId="4" type="noConversion"/>
  </si>
  <si>
    <t>에스지신성 삼평동 - 양배강도+Ar+오더많음 : 226조
신라 보건환경연구원 - 배강도+Ar+대규격+오더많음 : 38조 50.6㎡
신라 보건환경연구원 - 배강도+Ar+대규격+이형+오더많음 : 58조 104.84㎡</t>
    <phoneticPr fontId="4" type="noConversion"/>
  </si>
  <si>
    <t>태영 메디컬카운티 - 접합+소규격 : 156조 82.64㎡
태영 메디컬카운티 - 접합+Ar+소규격+3복층 : 13조 5.7㎡
대원 K과학자마을 - 배강도+Ar+대규격 : 9조 19.92㎡</t>
    <phoneticPr fontId="4" type="noConversion"/>
  </si>
  <si>
    <t>대우 청주테크노 - 대규격 : 269조 398.12㎡
에스지신성 삼평동 - 양배강도+Ar+오더많음 : 79조
신동아 건강보험 - 양배강도+Ar+대규격 : 11조 31.68㎡</t>
    <phoneticPr fontId="4" type="noConversion"/>
  </si>
  <si>
    <t>에스지신성 삼평동 - 양배강도+Ar+오더많음 : 249조
신동아 건강보험 - 양배강도+Ar+대규격 : 79조 129.75㎡</t>
    <phoneticPr fontId="4" type="noConversion"/>
  </si>
  <si>
    <t>신동아 건강보험 - 양배강도+Ar+대규격 : 125조 265.59㎡</t>
    <phoneticPr fontId="4" type="noConversion"/>
  </si>
  <si>
    <t>제일 인천검단 - 양배강도+대규격 : 175조 236㎡
대원 K과학자마을 - 배강도+Ar+대규격 : 31조 55.18㎡</t>
    <phoneticPr fontId="4" type="noConversion"/>
  </si>
  <si>
    <t>대우 청주테크노 - 대규격 : 43조 63.64㎡
에스지신성 삼평동 - 배강도+Ar+오더많음: 110조
남선 충북대 - 양배강도+Ar+3복층 : 25조</t>
    <phoneticPr fontId="4" type="noConversion"/>
  </si>
  <si>
    <t>엘엑스 디엘청주 - Ar+소규격 : 294조 220.62㎡
에스지신성 삼평동 - 배강도+Ar+오더많음: 121조</t>
    <phoneticPr fontId="4" type="noConversion"/>
  </si>
  <si>
    <t>태영 메디컬카운티 - 접합+Ar+소규격+3복층 : 9조 4.3㎡
엘엑스 디엘청주 - 양배강도+Ar+대규격 : 40조 81.24㎡
보미 청주대 - Ar+3복층 : 28조</t>
    <phoneticPr fontId="4" type="noConversion"/>
  </si>
  <si>
    <t>대진 산성역헤리스톤 - 오더많음 : 419조</t>
    <phoneticPr fontId="4" type="noConversion"/>
  </si>
  <si>
    <t xml:space="preserve"> 2026년 28주차  ( 7월  2주)</t>
    <phoneticPr fontId="4" type="noConversion"/>
  </si>
  <si>
    <t>80~89</t>
    <phoneticPr fontId="4" type="noConversion"/>
  </si>
  <si>
    <t>제일 장성지구 - 오더많음 : 132조
대원 K과학자마을 - 배강도+Ar+이형 : 8조
대원 K과학자마을 - 배강도+Ar+오더많음 : 81조
에스지신성 삼평동 - 양배강도+Ar+오더많음 : 74조</t>
    <phoneticPr fontId="4" type="noConversion"/>
  </si>
  <si>
    <t>보미 청주대 - Ar+배강도+3복층+소규격 : 238조 132.96㎡
엘엑스 디엘청주 - Ar+소규격 : 199조 147.27㎡</t>
    <phoneticPr fontId="4" type="noConversion"/>
  </si>
  <si>
    <t>08:30~08:50 마감기계 고장
에스지신성 삼평동 - 양배강도+Ar+오더많음 : 74조</t>
    <phoneticPr fontId="4" type="noConversion"/>
  </si>
  <si>
    <t>엘엑스 디엘청주 - 양배강도+Ar+대규격 : 34조 85.46㎡
엘엑스 디엘청주 - Ar+오더많음 : 489조</t>
    <phoneticPr fontId="4" type="noConversion"/>
  </si>
  <si>
    <t>08:30~09:40 세척기 베어링 교체
태영 메디컬카운티 - 접합+소규격 : 105조 58.25㎡</t>
    <phoneticPr fontId="4" type="noConversion"/>
  </si>
  <si>
    <t>제일 장성지구 - 오더많음 : 194조</t>
    <phoneticPr fontId="4" type="noConversion"/>
  </si>
  <si>
    <t>엘엑스 디엘청주 - Ar+소규격 : 539조 358.46㎡
남선 충북대 - 양배강도+Ar+3복층 : 31조</t>
    <phoneticPr fontId="4" type="noConversion"/>
  </si>
  <si>
    <t>제일 장성지구 - 오더많음 : 110조
우미 울산다운2 - Ar+오더많음 : 134조</t>
    <phoneticPr fontId="4" type="noConversion"/>
  </si>
  <si>
    <t xml:space="preserve"> 2026년 29주차  ( 7월  3주)</t>
    <phoneticPr fontId="4" type="noConversion"/>
  </si>
  <si>
    <t>신동아 건강보험 - 양배강도+대규격 : 99조 154.44㎡
남선 충북대 - 배강도+Ar+대규격 : 155조 364.29㎡
08:30~09:10 간봉조립
10:00~10:25 유리준비
12:00~12:20 유리표면 가루 청소</t>
    <phoneticPr fontId="4" type="noConversion"/>
  </si>
  <si>
    <t>신동아 건강보험 - 양배강도 : 143조 
에스지신성 삼평동 - 양배강도+Ar+대규격 : 202조 269.01㎡</t>
    <phoneticPr fontId="4" type="noConversion"/>
  </si>
  <si>
    <t xml:space="preserve">남선 충북대 계영원 - 배강도+Ar+오더많음 : 291조 </t>
    <phoneticPr fontId="4" type="noConversion"/>
  </si>
  <si>
    <t>신동아 건강보험 - 양배강도+Ar+대규격 : 55조 136.88㎡
에스지신성 삼평동 - 양배강도+Ar+오더많음 : 322조</t>
    <phoneticPr fontId="4" type="noConversion"/>
  </si>
  <si>
    <t>한라 파주선유리 - 배강도+Ar+소규격 : 343조 240.74㎡
포스코 아산탕정 - Ar+오더많음 : 30조</t>
    <phoneticPr fontId="4" type="noConversion"/>
  </si>
  <si>
    <t>한라 파주선유리 - 배강도+Ar+대규격 : 70조 109.66㎡
극동 성남금토 - Ar+소규격 : 111조 60.94㎡
디엘 내포 - Ar+대규격 : 18조 39.88㎡</t>
    <phoneticPr fontId="4" type="noConversion"/>
  </si>
  <si>
    <t>신동아 건강보험 - 배강도+Ar+소규격 : 5조 2.63㎡
정석 청주테크노 - Ar+소규격+오더많음 : 347조 298.18㎡</t>
    <phoneticPr fontId="4" type="noConversion"/>
  </si>
  <si>
    <t>신동아 건강보험 - 배강도+Ar+대규격 : 38조 73.88㎡
정석 청주테크노 - Ar+소규격 : 27조 8.2㎡</t>
    <phoneticPr fontId="4" type="noConversion"/>
  </si>
  <si>
    <t>엘엑스 디엘청주 - 양배강도+Ar+대규격 : 14조 38.26㎡
극동 성남금토 - Ar+소규격 : 409조 320.06㎡
남선 충북대 계영원 - 배강도+Ar+소규격 : 133조 90.57㎡</t>
    <phoneticPr fontId="4" type="noConversion"/>
  </si>
  <si>
    <t xml:space="preserve"> 2026년 30주차  ( 7월  4주)</t>
    <phoneticPr fontId="4" type="noConversion"/>
  </si>
  <si>
    <t>정석 청주테크노 - Ar+소규격 : 609조 481.35㎡</t>
    <phoneticPr fontId="4" type="noConversion"/>
  </si>
  <si>
    <t>정석 청주테크노 - Ar+소규격 : 450조 376.96㎡
엘엑스 디엘청주 - Ar+소규격 : 66조 34.62㎡</t>
    <phoneticPr fontId="4" type="noConversion"/>
  </si>
  <si>
    <t>빅토리아노</t>
    <phoneticPr fontId="4" type="noConversion"/>
  </si>
  <si>
    <t>뽓티라</t>
    <phoneticPr fontId="4" type="noConversion"/>
  </si>
  <si>
    <t>신동아 건강보험 - 양배강도+Ar : 28조
정석 청주테크노 - Ar+소규격 : 440조 345.28㎡</t>
    <phoneticPr fontId="4" type="noConversion"/>
  </si>
  <si>
    <t>한라 파주 선유리 - 배강도+Ar+소규격 : 144조 106.57㎡
정석 청주테크노 - Ar+소규격 : 44조 19.92㎡
태영 메디컬카운티 - 오더많음 :77조
대원 K과학자마을 - 배강도+Ar+대규격 : 15조 30.49㎡</t>
    <phoneticPr fontId="4" type="noConversion"/>
  </si>
  <si>
    <t>신동아 건강보험 - 배강도+Ar+스텝+대규격 : 31조 58.78㎡
신동아 건강보험 - 양배강도+Ar : 33조</t>
    <phoneticPr fontId="4" type="noConversion"/>
  </si>
  <si>
    <t>신동아 건강보험 - 양배강도+Ar+대규격 45조 101.97㎡
태영 메디컬카운티 - 소규격 : 112조 56.32㎡
대원 K과학자마을 - 배강도+Ar+대규격 : 6조 20.7㎡
광희 한국교통대 - 양배강도+Ar+소규격 : 141조 75.95㎡
현엔 아산모종 - 오더많음 : 26조</t>
    <phoneticPr fontId="4" type="noConversion"/>
  </si>
  <si>
    <t>대진 산성역헤리스톤 - 대규격 : 15조 53.25㎡
엘엑스 디엘청주 - Ar+소규격 : 84조 42.8㎡
대원 K과학자마을 -Ar+배강도+이형 : 15조
보미 청주대 - 배강도+Ar+3복층+오더많음 : 40조
한우창호 - 양배강도+Ar+3복층 : 24조</t>
    <phoneticPr fontId="4" type="noConversion"/>
  </si>
  <si>
    <t>18:45~19:00 마감기계 고장
엘엑스 대우신영푸르지오 - Ar+3복층+소규격 : 6조 3.01㎡
대원 K과학자마을 - Ar+배강도+오더많음 : 103조
보미 청주대 - Ar+배강도+3복층+소규격 : 43조 21.04㎡</t>
    <phoneticPr fontId="4" type="noConversion"/>
  </si>
  <si>
    <t>뽓티라</t>
    <phoneticPr fontId="4" type="noConversion"/>
  </si>
  <si>
    <t>대진 산성역헤리스톤 - 소규격 : 223조 119.97㎡</t>
    <phoneticPr fontId="4" type="noConversion"/>
  </si>
  <si>
    <t>대진 산성역헤리스톤 - 소규격 : 217조 158.74㎡
태영 메디컬카운티 - 소규격 : 344조 273.44㎡</t>
    <phoneticPr fontId="4" type="noConversion"/>
  </si>
  <si>
    <t>대진 산성역헤리스톤 - 대규격 : 342조 235.18㎡
엘엑스 디엘청주 - Ar+소규격 : 74조 42.22㎡</t>
    <phoneticPr fontId="4" type="noConversion"/>
  </si>
  <si>
    <t xml:space="preserve"> 2026년 31주차  ( 7월  5주)</t>
    <phoneticPr fontId="4" type="noConversion"/>
  </si>
  <si>
    <t>태영 메디컬카운티 - 접합+소규격 : 241조 131.07㎡
태영 메디컬카운티 - 접합+배강도+Ar+3복층+소규격 : 20조 8.6㎡</t>
    <phoneticPr fontId="4" type="noConversion"/>
  </si>
  <si>
    <t>11:00~11:40 부틸기계 고장</t>
    <phoneticPr fontId="4" type="noConversion"/>
  </si>
  <si>
    <t>대진 헤리스톤 - 접합+대규격 : 7조 20.16㎡
계룡 증산도 - 배강도+Ar+소규격 : 6조 1.98㎡
이랜드 수원남문 - 대규격 : 204조 407.56㎡</t>
    <phoneticPr fontId="4" type="noConversion"/>
  </si>
  <si>
    <t>엘엑스 디엘청주 - Ar+소규격 : 274조 125.36㎡
한우창호 양배강도+Ar+소규격+3복층+배강도불량 많음 : 108조 80.43㎡</t>
    <phoneticPr fontId="4" type="noConversion"/>
  </si>
  <si>
    <t>엘엑스 디엘청주 - Ar+소규격 : 532조 392.49㎡</t>
    <phoneticPr fontId="4" type="noConversion"/>
  </si>
  <si>
    <t>10:20~12:20 세척기 베어링 교체 2Hr
14:10~14:30 세척기 두께센서 교체 20min
15:55~17:15 1호기 미니라인 오토씰링 오작동 1Hr 20min</t>
    <phoneticPr fontId="4" type="noConversion"/>
  </si>
  <si>
    <t>대진 헤리스톤 - 접합+대규격 : 6조 22.53㎡
엘엑스 디엘청주 - Ar+소규격 : 264조 207.02㎡
한우창호 양배강도+Ar+3복층+배강도 불량많음 : 16조</t>
    <phoneticPr fontId="4" type="noConversion"/>
  </si>
  <si>
    <t>케이씨씨 오송역 - 에칭불량 74장
한우창호 - 양배강도+Ar+3복층 : 23조</t>
    <phoneticPr fontId="4" type="noConversion"/>
  </si>
  <si>
    <t>신동아 건강보험 - 양배강도+Ar : 95조</t>
    <phoneticPr fontId="4" type="noConversion"/>
  </si>
  <si>
    <t>계룡 증산도 - 배강도+Ar+대규격 : 146조 190.74㎡
신동아 건강보험 - 양배강도+스텝 : 5조
신동아 건강보험 - 양배강도+이형 : 2조
신동아-건강보험 - 양배강도+Ar : 64조</t>
    <phoneticPr fontId="4" type="noConversion"/>
  </si>
  <si>
    <t xml:space="preserve"> 2026년 32주차  ( 8월  2주)</t>
    <phoneticPr fontId="4" type="noConversion"/>
  </si>
  <si>
    <t>엘엑스 디엘청주 - Ar+소규격 : 300조 163.7㎜</t>
    <phoneticPr fontId="4" type="noConversion"/>
  </si>
  <si>
    <t>보미 청주대 - Ar+배강도+3복층+소규격 : 44조 16.89㎡
케이씨씨 오송역 - 에칭불량 많음</t>
    <phoneticPr fontId="4" type="noConversion"/>
  </si>
  <si>
    <t>신동아 건강보험 - 양배강도+Ar+대규격 : 102조 197.53㎡</t>
    <phoneticPr fontId="4" type="noConversion"/>
  </si>
  <si>
    <t>신동아 건강보험 - 양배강도+Ar+대규격 : 13조 23.52㎡
계룡 증산도 - 배강도+Ar+소규격 : 99조 68.54㎡
                   (미니라인 생산)</t>
    <phoneticPr fontId="4" type="noConversion"/>
  </si>
  <si>
    <t>광희 한국교통대 - 양배강도+Ar+소규격 : 34조 9.72㎡
광희 한국교통대 - 배강도+Ar+소규격+오더많음 : 57조 38.98㎡
활림 불무메디컬 - Ar+오더많음 : 52조</t>
    <phoneticPr fontId="4" type="noConversion"/>
  </si>
  <si>
    <t>계룡 증산도 - 양배강도+Ar+대규격 : 136조 213.81㎡</t>
    <phoneticPr fontId="4" type="noConversion"/>
  </si>
  <si>
    <t>정석 청주테크노 - Ar+대규격 : 85조 146.03㎡
일성 울산태화강변 - Ar+오더많음: 234조</t>
    <phoneticPr fontId="4" type="noConversion"/>
  </si>
  <si>
    <t>미니라인 - 정석 청주테크노 184조</t>
    <phoneticPr fontId="4" type="noConversion"/>
  </si>
  <si>
    <t>미니라인 - 정석 청주테크노 173조</t>
    <phoneticPr fontId="4" type="noConversion"/>
  </si>
  <si>
    <t>미니라인 - 정석 청주테크노 37조
마감기계 고장 13:30~15:00</t>
    <phoneticPr fontId="4" type="noConversion"/>
  </si>
  <si>
    <t xml:space="preserve"> 2026년 33주차  ( 8월  3주)</t>
    <phoneticPr fontId="4" type="noConversion"/>
  </si>
  <si>
    <t>일성 울산태화강변 - Ar+소규격 수동실링 : 21조 5.88㎡
일성 울산태화강변 - Ar+오더많음 : 64조
활림 불무메디컬 - Ar+오더많음+대규격 : 79조 168.09㎡</t>
    <phoneticPr fontId="4" type="noConversion"/>
  </si>
  <si>
    <t>활림 불무메디컬 - Ar+대규격+오더많음 : 205조 304.13㎡
태영 메디컬카운티 - 소규격 : 183조 73㎡</t>
    <phoneticPr fontId="4" type="noConversion"/>
  </si>
  <si>
    <t>엘엑스-디엘청주 - Ar+소규격 : 233조 141.69㎡
경동 부산대학교 - 배강도+Ar+대규격+오더많음 : 154조 205.68㎡</t>
    <phoneticPr fontId="4" type="noConversion"/>
  </si>
  <si>
    <t>대진 산성역헤리스톤 - 대규격 : 25조 71.25㎡
극동 성남금토 - Ar+대규격 : 20조 64.2㎡</t>
    <phoneticPr fontId="4" type="noConversion"/>
  </si>
  <si>
    <t>우미 울산다운2 - 양배강도+오더많음 : 71조
제일 인천검단 - Ar+오더많음 : 72조</t>
    <phoneticPr fontId="4" type="noConversion"/>
  </si>
  <si>
    <t>씨타대헌 춘천 - 배강도+Ar+소규격 : 192조 125.56㎡
우미 울산다운2 - Ar+대규격 : 58조 93.31㎡
대진 산성역헤리스톤 -접합+대규격 : 20조 57.3㎡
디엘 내포 - 간봉 미조립, 간봉조립함 09:55~10:25 0.5H</t>
    <phoneticPr fontId="4" type="noConversion"/>
  </si>
  <si>
    <t>마이켈</t>
    <phoneticPr fontId="4" type="noConversion"/>
  </si>
  <si>
    <t>김동숙</t>
    <phoneticPr fontId="4" type="noConversion"/>
  </si>
  <si>
    <t>케빈</t>
    <phoneticPr fontId="4" type="noConversion"/>
  </si>
  <si>
    <t>유문걸</t>
    <phoneticPr fontId="4" type="noConversion"/>
  </si>
  <si>
    <t xml:space="preserve"> 2026년 34주차  ( 8월  4주)</t>
    <phoneticPr fontId="4" type="noConversion"/>
  </si>
  <si>
    <t>대진 산성역헤리스톤 - 미니라인 : 70조 21㎡</t>
    <phoneticPr fontId="4" type="noConversion"/>
  </si>
  <si>
    <t>극동 성남금토 - Ar+소규격 : 160조 44.8㎡
보미 청주대 - Ar+배강도+3복층+소규격 : 14조 4.87㎡</t>
    <phoneticPr fontId="4" type="noConversion"/>
  </si>
  <si>
    <t>대진 산성역헤리스톤 - 접합+대규격 : 90조 137.75㎡
극동 성남금토 -Ar+대규격 : 60조 142.2㎡
제일 장성지구 - 양배강도+대규격 : 47조 128.98㎡</t>
    <phoneticPr fontId="4" type="noConversion"/>
  </si>
  <si>
    <t>동신 파주스튜디오 - 배강도+Ar+오더많음+소규격 : 38조 22.4㎡</t>
    <phoneticPr fontId="4" type="noConversion"/>
  </si>
  <si>
    <t>극동 성남금토 - Ar+소규격 : 100조 69.8㎡
동성 태성안산공장 - 배강도+Ar+오더많음 : 82조</t>
    <phoneticPr fontId="4" type="noConversion"/>
  </si>
  <si>
    <t>극동 성남금토 - Ar+소규격 : 104조 52.36㎡</t>
    <phoneticPr fontId="4" type="noConversion"/>
  </si>
  <si>
    <t>한라 파주선유리 - 배강도+Ar+소규격 : 424조 306.58㎡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</si>
</sst>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_-* #,##0.0_-;\-* #,##0.0_-;_-* &quot;-&quot;_-;_-@_-"/>
    <numFmt numFmtId="178" formatCode="#,##0.0"/>
    <numFmt numFmtId="179" formatCode="0.0"/>
    <numFmt numFmtId="180" formatCode="_-* #,##0_-;\-* #,##0_-;_-* &quot;-&quot;??_-;_-@_-"/>
    <numFmt numFmtId="181" formatCode="0.00000"/>
    <numFmt numFmtId="182" formatCode="mm&quot;월&quot;\ dd&quot;일&quot;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 val="double"/>
      <sz val="24"/>
      <color theme="1"/>
      <name val="맑은 고딕"/>
      <family val="2"/>
      <charset val="129"/>
      <scheme val="minor"/>
    </font>
    <font>
      <b/>
      <u val="double"/>
      <sz val="24"/>
      <color theme="1"/>
      <name val="맑은 고딕"/>
      <family val="3"/>
      <charset val="129"/>
      <scheme val="minor"/>
    </font>
    <font>
      <u val="double"/>
      <sz val="2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vertAlign val="superscript"/>
      <sz val="11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9.35"/>
      <color theme="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4"/>
      <color rgb="FFFFFF00"/>
      <name val="맑은 고딕"/>
      <family val="3"/>
      <charset val="129"/>
      <scheme val="minor"/>
    </font>
    <font>
      <sz val="12"/>
      <color rgb="FFFFFF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69">
    <xf numFmtId="0" fontId="0" fillId="0" borderId="0" xfId="0">
      <alignment vertical="center"/>
    </xf>
    <xf numFmtId="4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right" vertical="center"/>
    </xf>
    <xf numFmtId="9" fontId="8" fillId="2" borderId="0" xfId="0" applyNumberFormat="1" applyFont="1" applyFill="1">
      <alignment vertical="center"/>
    </xf>
    <xf numFmtId="4" fontId="0" fillId="0" borderId="0" xfId="1" applyNumberFormat="1" applyFont="1" applyAlignment="1">
      <alignment horizontal="center" vertical="center"/>
    </xf>
    <xf numFmtId="176" fontId="0" fillId="0" borderId="0" xfId="1" applyNumberFormat="1" applyFont="1">
      <alignment vertical="center"/>
    </xf>
    <xf numFmtId="41" fontId="0" fillId="0" borderId="0" xfId="1" applyFont="1">
      <alignment vertical="center"/>
    </xf>
    <xf numFmtId="41" fontId="0" fillId="0" borderId="7" xfId="1" applyFont="1" applyBorder="1">
      <alignment vertical="center"/>
    </xf>
    <xf numFmtId="41" fontId="0" fillId="0" borderId="8" xfId="1" applyFont="1" applyBorder="1">
      <alignment vertical="center"/>
    </xf>
    <xf numFmtId="0" fontId="8" fillId="0" borderId="15" xfId="0" applyFont="1" applyBorder="1" applyAlignment="1">
      <alignment horizontal="center" vertical="center"/>
    </xf>
    <xf numFmtId="4" fontId="8" fillId="0" borderId="13" xfId="1" applyNumberFormat="1" applyFont="1" applyBorder="1" applyAlignment="1">
      <alignment horizontal="center" vertical="center" wrapText="1"/>
    </xf>
    <xf numFmtId="176" fontId="8" fillId="0" borderId="16" xfId="1" applyNumberFormat="1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176" fontId="8" fillId="0" borderId="13" xfId="1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" fontId="3" fillId="3" borderId="9" xfId="0" applyNumberFormat="1" applyFont="1" applyFill="1" applyBorder="1" applyAlignment="1">
      <alignment horizontal="center" vertical="center"/>
    </xf>
    <xf numFmtId="4" fontId="10" fillId="0" borderId="2" xfId="1" applyNumberFormat="1" applyFont="1" applyBorder="1" applyAlignment="1">
      <alignment horizontal="center" vertical="center"/>
    </xf>
    <xf numFmtId="9" fontId="10" fillId="0" borderId="20" xfId="2" applyFont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9" fontId="10" fillId="0" borderId="2" xfId="2" applyFont="1" applyFill="1" applyBorder="1" applyAlignment="1">
      <alignment horizontal="center" vertical="center"/>
    </xf>
    <xf numFmtId="177" fontId="10" fillId="0" borderId="2" xfId="1" applyNumberFormat="1" applyFont="1" applyFill="1" applyBorder="1" applyAlignment="1">
      <alignment horizontal="center" vertical="center"/>
    </xf>
    <xf numFmtId="177" fontId="10" fillId="0" borderId="3" xfId="1" applyNumberFormat="1" applyFont="1" applyFill="1" applyBorder="1" applyAlignment="1">
      <alignment horizontal="center" vertical="center"/>
    </xf>
    <xf numFmtId="41" fontId="10" fillId="0" borderId="22" xfId="1" applyFont="1" applyBorder="1" applyAlignment="1">
      <alignment horizontal="center" vertical="center"/>
    </xf>
    <xf numFmtId="0" fontId="11" fillId="3" borderId="7" xfId="0" applyFont="1" applyFill="1" applyBorder="1" applyAlignment="1">
      <alignment horizontal="left" vertical="center" wrapText="1" indent="1"/>
    </xf>
    <xf numFmtId="179" fontId="0" fillId="0" borderId="0" xfId="2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80" fontId="12" fillId="0" borderId="0" xfId="0" quotePrefix="1" applyNumberFormat="1" applyFont="1" applyAlignment="1">
      <alignment horizontal="left" vertical="center"/>
    </xf>
    <xf numFmtId="41" fontId="0" fillId="0" borderId="0" xfId="1" applyFont="1" applyAlignment="1">
      <alignment horizontal="center" vertical="center"/>
    </xf>
    <xf numFmtId="4" fontId="0" fillId="2" borderId="0" xfId="0" applyNumberFormat="1" applyFill="1">
      <alignment vertical="center"/>
    </xf>
    <xf numFmtId="14" fontId="0" fillId="0" borderId="0" xfId="0" applyNumberFormat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4" fontId="10" fillId="0" borderId="7" xfId="1" applyNumberFormat="1" applyFont="1" applyBorder="1" applyAlignment="1">
      <alignment horizontal="center" vertical="center"/>
    </xf>
    <xf numFmtId="9" fontId="10" fillId="0" borderId="10" xfId="2" applyFont="1" applyBorder="1" applyAlignment="1">
      <alignment horizontal="center" vertical="center"/>
    </xf>
    <xf numFmtId="4" fontId="3" fillId="3" borderId="11" xfId="0" applyNumberFormat="1" applyFont="1" applyFill="1" applyBorder="1" applyAlignment="1">
      <alignment horizontal="center" vertical="center"/>
    </xf>
    <xf numFmtId="9" fontId="10" fillId="0" borderId="7" xfId="2" applyFont="1" applyFill="1" applyBorder="1" applyAlignment="1">
      <alignment horizontal="center" vertical="center"/>
    </xf>
    <xf numFmtId="177" fontId="10" fillId="0" borderId="7" xfId="1" applyNumberFormat="1" applyFont="1" applyFill="1" applyBorder="1" applyAlignment="1">
      <alignment horizontal="center" vertical="center"/>
    </xf>
    <xf numFmtId="177" fontId="10" fillId="0" borderId="8" xfId="1" applyNumberFormat="1" applyFont="1" applyFill="1" applyBorder="1" applyAlignment="1">
      <alignment horizontal="center" vertical="center"/>
    </xf>
    <xf numFmtId="41" fontId="10" fillId="0" borderId="7" xfId="1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3" fontId="3" fillId="0" borderId="8" xfId="1" applyNumberFormat="1" applyFont="1" applyBorder="1" applyAlignment="1">
      <alignment horizontal="center" vertical="center"/>
    </xf>
    <xf numFmtId="3" fontId="3" fillId="0" borderId="9" xfId="1" applyNumberFormat="1" applyFont="1" applyBorder="1" applyAlignment="1">
      <alignment horizontal="center" vertical="center"/>
    </xf>
    <xf numFmtId="4" fontId="10" fillId="0" borderId="7" xfId="0" applyNumberFormat="1" applyFont="1" applyBorder="1" applyAlignment="1">
      <alignment horizontal="center" vertical="center"/>
    </xf>
    <xf numFmtId="4" fontId="3" fillId="0" borderId="11" xfId="1" applyNumberFormat="1" applyFont="1" applyBorder="1" applyAlignment="1">
      <alignment horizontal="center" vertical="center"/>
    </xf>
    <xf numFmtId="43" fontId="10" fillId="0" borderId="7" xfId="0" applyNumberFormat="1" applyFont="1" applyBorder="1" applyAlignment="1">
      <alignment horizontal="center" vertical="center"/>
    </xf>
    <xf numFmtId="43" fontId="10" fillId="0" borderId="8" xfId="0" applyNumberFormat="1" applyFont="1" applyBorder="1" applyAlignment="1">
      <alignment horizontal="center" vertical="center"/>
    </xf>
    <xf numFmtId="2" fontId="10" fillId="4" borderId="7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77" fontId="12" fillId="0" borderId="7" xfId="1" applyNumberFormat="1" applyFont="1" applyBorder="1" applyAlignment="1">
      <alignment horizontal="center" vertical="center"/>
    </xf>
    <xf numFmtId="3" fontId="12" fillId="0" borderId="9" xfId="1" applyNumberFormat="1" applyFont="1" applyBorder="1" applyAlignment="1">
      <alignment horizontal="center" vertical="center"/>
    </xf>
    <xf numFmtId="4" fontId="0" fillId="0" borderId="7" xfId="1" applyNumberFormat="1" applyFont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4" fontId="12" fillId="0" borderId="11" xfId="1" applyNumberFormat="1" applyFont="1" applyBorder="1" applyAlignment="1">
      <alignment horizontal="center" vertical="center"/>
    </xf>
    <xf numFmtId="9" fontId="12" fillId="0" borderId="7" xfId="2" applyFont="1" applyFill="1" applyBorder="1" applyAlignment="1">
      <alignment horizontal="center" vertical="center"/>
    </xf>
    <xf numFmtId="178" fontId="0" fillId="0" borderId="12" xfId="1" applyNumberFormat="1" applyFont="1" applyFill="1" applyBorder="1" applyAlignment="1">
      <alignment horizontal="center" vertical="center"/>
    </xf>
    <xf numFmtId="176" fontId="12" fillId="0" borderId="7" xfId="1" applyNumberFormat="1" applyFont="1" applyBorder="1" applyAlignment="1">
      <alignment horizontal="center" vertical="center"/>
    </xf>
    <xf numFmtId="176" fontId="0" fillId="0" borderId="7" xfId="1" applyNumberFormat="1" applyFont="1" applyBorder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181" fontId="12" fillId="0" borderId="0" xfId="0" applyNumberFormat="1" applyFont="1" applyAlignment="1">
      <alignment horizontal="center" vertical="center"/>
    </xf>
    <xf numFmtId="178" fontId="0" fillId="0" borderId="0" xfId="1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8" fillId="0" borderId="0" xfId="0" applyFont="1">
      <alignment vertical="center"/>
    </xf>
    <xf numFmtId="0" fontId="0" fillId="0" borderId="25" xfId="0" applyBorder="1">
      <alignment vertical="center"/>
    </xf>
    <xf numFmtId="0" fontId="0" fillId="3" borderId="26" xfId="0" applyFill="1" applyBorder="1">
      <alignment vertical="center"/>
    </xf>
    <xf numFmtId="0" fontId="0" fillId="0" borderId="27" xfId="0" applyBorder="1">
      <alignment vertical="center"/>
    </xf>
    <xf numFmtId="0" fontId="0" fillId="0" borderId="28" xfId="0" applyBorder="1" applyAlignment="1">
      <alignment horizontal="right" vertical="center"/>
    </xf>
    <xf numFmtId="41" fontId="10" fillId="0" borderId="24" xfId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right" vertical="center"/>
    </xf>
    <xf numFmtId="0" fontId="8" fillId="0" borderId="7" xfId="0" applyFont="1" applyBorder="1">
      <alignment vertical="center"/>
    </xf>
    <xf numFmtId="4" fontId="0" fillId="0" borderId="29" xfId="1" applyNumberFormat="1" applyFont="1" applyFill="1" applyBorder="1" applyAlignment="1">
      <alignment horizontal="center" vertical="center"/>
    </xf>
    <xf numFmtId="176" fontId="0" fillId="0" borderId="30" xfId="1" applyNumberFormat="1" applyFont="1" applyFill="1" applyBorder="1">
      <alignment vertical="center"/>
    </xf>
    <xf numFmtId="0" fontId="0" fillId="0" borderId="7" xfId="0" applyBorder="1">
      <alignment vertical="center"/>
    </xf>
    <xf numFmtId="0" fontId="8" fillId="2" borderId="7" xfId="0" applyFont="1" applyFill="1" applyBorder="1">
      <alignment vertical="center"/>
    </xf>
    <xf numFmtId="4" fontId="0" fillId="0" borderId="29" xfId="1" applyNumberFormat="1" applyFont="1" applyBorder="1" applyAlignment="1">
      <alignment horizontal="center" vertical="center"/>
    </xf>
    <xf numFmtId="176" fontId="0" fillId="0" borderId="30" xfId="1" applyNumberFormat="1" applyFont="1" applyBorder="1">
      <alignment vertical="center"/>
    </xf>
    <xf numFmtId="0" fontId="0" fillId="2" borderId="7" xfId="0" applyFill="1" applyBorder="1">
      <alignment vertical="center"/>
    </xf>
    <xf numFmtId="1" fontId="8" fillId="2" borderId="7" xfId="0" applyNumberFormat="1" applyFont="1" applyFill="1" applyBorder="1">
      <alignment vertical="center"/>
    </xf>
    <xf numFmtId="0" fontId="12" fillId="3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1" fontId="8" fillId="3" borderId="9" xfId="0" applyNumberFormat="1" applyFont="1" applyFill="1" applyBorder="1" applyAlignment="1">
      <alignment horizontal="center" vertical="center"/>
    </xf>
    <xf numFmtId="4" fontId="0" fillId="0" borderId="2" xfId="1" applyNumberFormat="1" applyFont="1" applyBorder="1" applyAlignment="1">
      <alignment horizontal="center" vertical="center"/>
    </xf>
    <xf numFmtId="9" fontId="0" fillId="0" borderId="20" xfId="2" applyFont="1" applyBorder="1" applyAlignment="1">
      <alignment horizontal="center" vertical="center"/>
    </xf>
    <xf numFmtId="4" fontId="8" fillId="3" borderId="1" xfId="0" applyNumberFormat="1" applyFont="1" applyFill="1" applyBorder="1" applyAlignment="1">
      <alignment horizontal="center" vertical="center"/>
    </xf>
    <xf numFmtId="9" fontId="12" fillId="0" borderId="2" xfId="2" applyFont="1" applyFill="1" applyBorder="1" applyAlignment="1">
      <alignment horizontal="center" vertical="center"/>
    </xf>
    <xf numFmtId="177" fontId="0" fillId="0" borderId="2" xfId="1" applyNumberFormat="1" applyFont="1" applyFill="1" applyBorder="1" applyAlignment="1">
      <alignment horizontal="center" vertical="center"/>
    </xf>
    <xf numFmtId="177" fontId="0" fillId="0" borderId="3" xfId="1" applyNumberFormat="1" applyFont="1" applyFill="1" applyBorder="1" applyAlignment="1">
      <alignment horizontal="center" vertical="center"/>
    </xf>
    <xf numFmtId="178" fontId="0" fillId="0" borderId="21" xfId="1" applyNumberFormat="1" applyFont="1" applyFill="1" applyBorder="1" applyAlignment="1">
      <alignment horizontal="center" vertical="center"/>
    </xf>
    <xf numFmtId="41" fontId="0" fillId="0" borderId="22" xfId="1" applyFont="1" applyBorder="1" applyAlignment="1">
      <alignment horizontal="center" vertical="center"/>
    </xf>
    <xf numFmtId="0" fontId="0" fillId="3" borderId="7" xfId="0" applyFill="1" applyBorder="1" applyAlignment="1">
      <alignment horizontal="left" vertical="center" wrapText="1" indent="1"/>
    </xf>
    <xf numFmtId="4" fontId="8" fillId="3" borderId="11" xfId="0" applyNumberFormat="1" applyFont="1" applyFill="1" applyBorder="1" applyAlignment="1">
      <alignment horizontal="center" vertical="center"/>
    </xf>
    <xf numFmtId="177" fontId="0" fillId="0" borderId="7" xfId="1" applyNumberFormat="1" applyFont="1" applyFill="1" applyBorder="1" applyAlignment="1">
      <alignment horizontal="center" vertical="center"/>
    </xf>
    <xf numFmtId="177" fontId="0" fillId="0" borderId="8" xfId="1" applyNumberFormat="1" applyFont="1" applyFill="1" applyBorder="1" applyAlignment="1">
      <alignment horizontal="center" vertical="center"/>
    </xf>
    <xf numFmtId="41" fontId="0" fillId="0" borderId="24" xfId="1" applyFont="1" applyBorder="1" applyAlignment="1">
      <alignment horizontal="center" vertical="center"/>
    </xf>
    <xf numFmtId="0" fontId="12" fillId="3" borderId="7" xfId="0" applyFont="1" applyFill="1" applyBorder="1" applyAlignment="1">
      <alignment horizontal="left" vertical="center" wrapText="1" indent="1"/>
    </xf>
    <xf numFmtId="41" fontId="0" fillId="0" borderId="8" xfId="1" applyFont="1" applyBorder="1" applyAlignment="1">
      <alignment horizontal="center" vertical="center"/>
    </xf>
    <xf numFmtId="3" fontId="8" fillId="0" borderId="9" xfId="1" applyNumberFormat="1" applyFont="1" applyBorder="1" applyAlignment="1">
      <alignment horizontal="center" vertical="center"/>
    </xf>
    <xf numFmtId="4" fontId="12" fillId="0" borderId="7" xfId="0" applyNumberFormat="1" applyFont="1" applyBorder="1" applyAlignment="1">
      <alignment horizontal="center" vertical="center"/>
    </xf>
    <xf numFmtId="4" fontId="8" fillId="0" borderId="11" xfId="1" applyNumberFormat="1" applyFont="1" applyBorder="1" applyAlignment="1">
      <alignment horizontal="center" vertical="center"/>
    </xf>
    <xf numFmtId="178" fontId="12" fillId="0" borderId="12" xfId="0" applyNumberFormat="1" applyFont="1" applyBorder="1" applyAlignment="1">
      <alignment horizontal="center" vertical="center"/>
    </xf>
    <xf numFmtId="2" fontId="12" fillId="4" borderId="7" xfId="0" applyNumberFormat="1" applyFont="1" applyFill="1" applyBorder="1" applyAlignment="1">
      <alignment horizontal="center" vertical="center"/>
    </xf>
    <xf numFmtId="0" fontId="12" fillId="0" borderId="0" xfId="0" applyFont="1">
      <alignment vertical="center"/>
    </xf>
    <xf numFmtId="4" fontId="12" fillId="0" borderId="0" xfId="1" applyNumberFormat="1" applyFont="1" applyAlignment="1">
      <alignment horizontal="center" vertical="center"/>
    </xf>
    <xf numFmtId="176" fontId="12" fillId="0" borderId="0" xfId="1" applyNumberFormat="1" applyFont="1">
      <alignment vertical="center"/>
    </xf>
    <xf numFmtId="182" fontId="12" fillId="0" borderId="7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8" fontId="10" fillId="0" borderId="11" xfId="1" applyNumberFormat="1" applyFont="1" applyFill="1" applyBorder="1" applyAlignment="1">
      <alignment horizontal="center" vertical="center"/>
    </xf>
    <xf numFmtId="178" fontId="10" fillId="0" borderId="11" xfId="0" applyNumberFormat="1" applyFont="1" applyBorder="1" applyAlignment="1">
      <alignment horizontal="center" vertical="center"/>
    </xf>
    <xf numFmtId="178" fontId="12" fillId="0" borderId="11" xfId="1" applyNumberFormat="1" applyFont="1" applyFill="1" applyBorder="1" applyAlignment="1">
      <alignment horizontal="center" vertical="center"/>
    </xf>
    <xf numFmtId="178" fontId="10" fillId="5" borderId="11" xfId="1" applyNumberFormat="1" applyFont="1" applyFill="1" applyBorder="1" applyAlignment="1">
      <alignment horizontal="center" vertical="center"/>
    </xf>
    <xf numFmtId="178" fontId="10" fillId="5" borderId="7" xfId="1" applyNumberFormat="1" applyFont="1" applyFill="1" applyBorder="1" applyAlignment="1">
      <alignment horizontal="center" vertical="center"/>
    </xf>
    <xf numFmtId="178" fontId="10" fillId="5" borderId="11" xfId="0" applyNumberFormat="1" applyFont="1" applyFill="1" applyBorder="1" applyAlignment="1">
      <alignment horizontal="center" vertical="center"/>
    </xf>
    <xf numFmtId="0" fontId="18" fillId="5" borderId="17" xfId="0" applyFont="1" applyFill="1" applyBorder="1" applyAlignment="1">
      <alignment horizontal="center" vertical="center" wrapText="1"/>
    </xf>
    <xf numFmtId="178" fontId="10" fillId="5" borderId="34" xfId="1" applyNumberFormat="1" applyFont="1" applyFill="1" applyBorder="1" applyAlignment="1">
      <alignment horizontal="center" vertical="center"/>
    </xf>
    <xf numFmtId="178" fontId="12" fillId="0" borderId="11" xfId="1" applyNumberFormat="1" applyFont="1" applyFill="1" applyBorder="1" applyAlignment="1">
      <alignment horizontal="center" vertical="center" wrapText="1"/>
    </xf>
    <xf numFmtId="4" fontId="10" fillId="5" borderId="7" xfId="1" applyNumberFormat="1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3" fontId="8" fillId="0" borderId="24" xfId="1" applyNumberFormat="1" applyFont="1" applyBorder="1" applyAlignment="1">
      <alignment horizontal="center" vertical="center"/>
    </xf>
    <xf numFmtId="0" fontId="0" fillId="0" borderId="29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29" xfId="0" quotePrefix="1" applyBorder="1">
      <alignment vertical="center"/>
    </xf>
    <xf numFmtId="3" fontId="10" fillId="0" borderId="21" xfId="1" applyNumberFormat="1" applyFont="1" applyFill="1" applyBorder="1" applyAlignment="1">
      <alignment horizontal="center" vertical="center"/>
    </xf>
    <xf numFmtId="3" fontId="10" fillId="0" borderId="12" xfId="1" applyNumberFormat="1" applyFont="1" applyFill="1" applyBorder="1" applyAlignment="1">
      <alignment horizontal="center" vertical="center"/>
    </xf>
    <xf numFmtId="3" fontId="10" fillId="0" borderId="12" xfId="0" applyNumberFormat="1" applyFont="1" applyBorder="1" applyAlignment="1">
      <alignment horizontal="center" vertical="center"/>
    </xf>
    <xf numFmtId="3" fontId="0" fillId="0" borderId="12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41" fontId="19" fillId="6" borderId="22" xfId="1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left" vertical="center" wrapText="1" indent="1"/>
    </xf>
    <xf numFmtId="41" fontId="19" fillId="6" borderId="7" xfId="1" applyFont="1" applyFill="1" applyBorder="1" applyAlignment="1">
      <alignment horizontal="center" vertical="center"/>
    </xf>
    <xf numFmtId="2" fontId="19" fillId="6" borderId="7" xfId="0" applyNumberFormat="1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41" fontId="19" fillId="6" borderId="24" xfId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78" fontId="21" fillId="0" borderId="11" xfId="1" applyNumberFormat="1" applyFont="1" applyFill="1" applyBorder="1" applyAlignment="1">
      <alignment horizontal="center" vertical="center" wrapText="1"/>
    </xf>
    <xf numFmtId="41" fontId="22" fillId="0" borderId="7" xfId="1" applyFont="1" applyFill="1" applyBorder="1" applyAlignment="1">
      <alignment horizontal="center" vertical="center"/>
    </xf>
    <xf numFmtId="41" fontId="10" fillId="0" borderId="34" xfId="1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78" fontId="21" fillId="0" borderId="11" xfId="1" applyNumberFormat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25" fillId="0" borderId="11" xfId="1" applyNumberFormat="1" applyFont="1" applyFill="1" applyBorder="1" applyAlignment="1">
      <alignment horizontal="center" vertical="center"/>
    </xf>
    <xf numFmtId="3" fontId="22" fillId="0" borderId="21" xfId="1" applyNumberFormat="1" applyFont="1" applyFill="1" applyBorder="1" applyAlignment="1">
      <alignment horizontal="center" vertical="center"/>
    </xf>
    <xf numFmtId="3" fontId="22" fillId="0" borderId="12" xfId="1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10" fillId="0" borderId="21" xfId="1" applyNumberFormat="1" applyFont="1" applyFill="1" applyBorder="1" applyAlignment="1">
      <alignment horizontal="center" vertical="center"/>
    </xf>
    <xf numFmtId="178" fontId="10" fillId="0" borderId="12" xfId="1" applyNumberFormat="1" applyFont="1" applyFill="1" applyBorder="1" applyAlignment="1">
      <alignment horizontal="center" vertical="center"/>
    </xf>
    <xf numFmtId="178" fontId="10" fillId="0" borderId="12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12" fillId="0" borderId="8" xfId="1" applyNumberFormat="1" applyFont="1" applyBorder="1" applyAlignment="1">
      <alignment horizontal="center" vertical="center"/>
    </xf>
    <xf numFmtId="176" fontId="12" fillId="0" borderId="24" xfId="1" applyNumberFormat="1" applyFont="1" applyBorder="1" applyAlignment="1">
      <alignment horizontal="center" vertical="center"/>
    </xf>
    <xf numFmtId="176" fontId="12" fillId="0" borderId="11" xfId="1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emf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1.emf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emf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emf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emf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emf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emf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emf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emf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emf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emf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emf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emf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emf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emf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emf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emf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1.emf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1.emf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1.emf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vmlDrawing35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7D441AD1-D529-43BA-AEA9-C1C8530A8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343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927A2A34-AAFB-4D34-87D5-0E22679B3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972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31</xdr:col>
          <xdr:colOff>0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0F4BCAD4-6122-4CA7-A5A3-571C8098BA5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36393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8593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31</xdr:col>
          <xdr:colOff>0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9ED3267-AFA5-415F-94DD-910E1FA17A7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36393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6912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4BD1CBDC-95F6-4EED-9956-492A09FA0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343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88D3823D-573C-4895-B6F0-BC7A4FAF1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972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30</xdr:col>
          <xdr:colOff>4319002</xdr:colOff>
          <xdr:row>3</xdr:row>
          <xdr:rowOff>163606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14DC0960-0610-4377-A0C1-FA6CCF2816B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71981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8593" y="371424"/>
              <a:ext cx="2770909" cy="83127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30</xdr:col>
          <xdr:colOff>4317321</xdr:colOff>
          <xdr:row>19</xdr:row>
          <xdr:rowOff>152808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2627BC66-3D04-436A-96F6-992EBFA47FD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71981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6912" y="10890080"/>
              <a:ext cx="2770909" cy="83127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8FA76696-19D7-40CA-9F66-CA13FB55C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343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E9F4B797-474D-4317-983E-5E675D1DB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30</xdr:col>
          <xdr:colOff>4298156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D4C830FC-B9FE-44B7-843F-5EF671B293A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68613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8593" y="373156"/>
              <a:ext cx="2750063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30</xdr:col>
          <xdr:colOff>4298156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C3DD7481-49EE-4217-9A94-2A617984F56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68613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6912" y="10883153"/>
              <a:ext cx="2751744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1546412</xdr:colOff>
          <xdr:row>34</xdr:row>
          <xdr:rowOff>100853</xdr:rowOff>
        </xdr:from>
        <xdr:ext cx="2751744" cy="840161"/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F2D28BF0-0AE9-45D6-B875-B52588A3F5B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68613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6912" y="21913103"/>
              <a:ext cx="2751744" cy="84016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one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BC973497-A393-4397-9867-18B0A717E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343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31280269-6EB2-4607-A560-BEF51D271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972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30</xdr:col>
          <xdr:colOff>4298156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09BA473A-BFB0-43AB-9C08-41700F758AC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63909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8593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30</xdr:col>
          <xdr:colOff>4298156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D3419A98-9B54-4E2F-860A-3A48BC47BED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63909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6912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1546412</xdr:colOff>
          <xdr:row>34</xdr:row>
          <xdr:rowOff>100853</xdr:rowOff>
        </xdr:from>
        <xdr:ext cx="2751744" cy="840161"/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97CD78E2-0D03-4931-A226-79199E220FB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63909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75006" y="10899822"/>
              <a:ext cx="2751744" cy="84016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one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84704415-5F3F-479B-B128-BA8E959E7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343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1DF1EF53-BF02-4F37-993C-4B2FEA496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972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30</xdr:col>
          <xdr:colOff>4298156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AF998B61-6DCC-4824-A3F1-9718DC5E020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58787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8593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30</xdr:col>
          <xdr:colOff>4298156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658C9CB8-D8C9-4025-9BC6-F16DE110067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58787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6912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C1ED4877-A972-4C0D-B600-90AEA3255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343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FAAEB62C-25E4-46E3-9739-F8384DD35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972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30</xdr:col>
          <xdr:colOff>4298156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5AEFFEFA-79E2-458A-9D3F-B903C3AD04A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54186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8593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30</xdr:col>
          <xdr:colOff>4298156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B2483A56-AA93-406A-BB30-938EF2BBC7F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54186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6912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D2367084-3F81-4CAF-8C2B-B65680607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343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5921EB42-09E4-4331-A9AA-07144DC35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972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30</xdr:col>
          <xdr:colOff>4298156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B00B7560-9B77-4F70-B92E-C4C9601C356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51220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8593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30</xdr:col>
          <xdr:colOff>4298156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C1698318-C879-412A-AB02-D459E2337AB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51220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6912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19C885B0-F91E-492F-A587-8B5BE6B76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343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DF429DFF-2B76-4190-922A-AA0A630C4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972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31</xdr:col>
          <xdr:colOff>0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90989654-5AE3-4BC9-92F2-97F7543F422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47844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8593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31</xdr:col>
          <xdr:colOff>0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F3F411B7-2B93-4680-AFEA-83777C61629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47844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6912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8D8FD503-4721-4AA4-A639-5498B52A4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343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A6A88B1D-C551-4DEC-8DDA-7C4295291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972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30</xdr:col>
          <xdr:colOff>4298156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A1EDBC3F-3D56-49AD-82B8-A2754235A27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44674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8593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30</xdr:col>
          <xdr:colOff>4298156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D5336A3A-2A78-4956-9AEE-4FAD8D710D8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44674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6912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CADA4283-1888-470E-8280-4A2D30672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343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9AFF955E-F6A6-4898-A5B2-048FCC057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972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31</xdr:col>
          <xdr:colOff>0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EE74BBB9-116B-4F7E-962A-EDFC6BE3F9D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41505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8593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31</xdr:col>
          <xdr:colOff>0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6F979E59-1451-4F59-B7B4-D35FD62080F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41505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6912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2345F598-4159-44B7-9C20-30C7CC49B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343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FFCC9696-71DD-45F8-9BC0-8A01AAF75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972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30</xdr:col>
          <xdr:colOff>4298156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D0124C6D-AD22-4163-8212-025B5EC5EEC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38948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8593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30</xdr:col>
          <xdr:colOff>4298156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E7634AD5-1100-4610-B532-B8E28AF1898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38948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6912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0857F6CA-7230-4EE5-B24D-B4FA3C26E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343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E4B8F80E-B11F-40C2-A32E-C3699F7EC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972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30</xdr:col>
          <xdr:colOff>4298156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5F67A8AA-651D-4A95-97DF-ED01E432979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36291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8593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30</xdr:col>
          <xdr:colOff>4298156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19A3439-A36A-4518-91C4-699BC0783D8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36291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6912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1D63A610-7750-46E6-932C-B953F0C04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343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DA634FA4-B7D9-4E5C-BBB6-C1D9A7665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972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31</xdr:col>
          <xdr:colOff>0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7F28C7F3-E2C1-4273-B1C3-705938D5150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33942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8593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31</xdr:col>
          <xdr:colOff>0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E3E24AC8-42C0-4EC2-8034-2ED55EDD0B9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33942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6912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8D346389-CD8D-4D96-8C66-A0BA37C8C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343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B1DCEB84-0058-45BF-AA3E-DA46AB644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972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30</xdr:col>
          <xdr:colOff>4298156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820BD56D-9354-468B-9E90-8A09DA63547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31691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8593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30</xdr:col>
          <xdr:colOff>4298156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38BF80EC-6F2F-421C-9A37-41ECBEF6FC4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31692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6912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3338ABFD-700F-46DB-AE54-A9648A3B2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343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5273FA2F-5293-43EF-9B82-019A15BA8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972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30</xdr:col>
          <xdr:colOff>4278593</xdr:colOff>
          <xdr:row>3</xdr:row>
          <xdr:rowOff>163606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2B68FA2C-31CC-46D1-8B69-047705B0B7A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29547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693343" y="369981"/>
              <a:ext cx="2730500" cy="825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30</xdr:col>
          <xdr:colOff>4276912</xdr:colOff>
          <xdr:row>19</xdr:row>
          <xdr:rowOff>148478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A943EF4B-615C-4BB8-9471-E2459C8F23E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29547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691662" y="10864103"/>
              <a:ext cx="2730500" cy="825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9B866AC2-B01C-4777-B405-7FB70C361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343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0BBB7F81-FCCD-44CD-945F-E3C3242C6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972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30</xdr:col>
          <xdr:colOff>4298156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14766BC7-5351-4E8F-8C6A-4060FA5BBBEC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27506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8593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30</xdr:col>
          <xdr:colOff>4298156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C970C6B1-8AF8-4F41-AA88-84DFEF5E863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27506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6912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58545CE0-B203-4279-AADA-DF58C84D6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343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29FA7506-09AE-4727-8674-95F7963B3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972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30</xdr:col>
          <xdr:colOff>4298156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DB747474-62B2-4664-BA53-57196A95EE2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25562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8593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30</xdr:col>
          <xdr:colOff>4298156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7CCCF44A-A0D0-4593-B3D7-7BE79C294E5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25562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6912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72F45B28-1C23-436A-9639-19301350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343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FB844F33-BC7C-496C-BE7C-391BB2C15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972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31</xdr:col>
          <xdr:colOff>0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3BCECC85-D0B1-4917-9843-A1C563540D4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21776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8593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31</xdr:col>
          <xdr:colOff>0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CC070809-A727-4C65-B404-66ABB703625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21776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6912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604D4602-427A-4629-9ABA-EE0EDC3CF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343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4DFCD78E-BB8A-4A15-9C81-33BF1F983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69725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31</xdr:col>
          <xdr:colOff>0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B638F02B-B7AE-4E1A-A602-3B402105347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20043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8593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31</xdr:col>
          <xdr:colOff>0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D82C62F1-BDBE-4F81-B2AA-E5BB07F394C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20043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786912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FDDC6F30-0BDB-4342-979B-9F8366B13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621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62F29D56-D34C-4130-B154-06A3EBA5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30</xdr:col>
          <xdr:colOff>4298156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4F0BE1FA-09CB-4A1A-81DB-8822AEE5F0F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18410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31368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30</xdr:col>
          <xdr:colOff>4298156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46FE5A72-2918-4ECA-914A-AC35F8E13DC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18410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29687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B861E538-4DA0-4F9D-9DD4-DB8F32AB4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621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99AA8801-CA84-42C9-8FA2-9F015250C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30</xdr:col>
          <xdr:colOff>4298156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3EC27CCD-B8C8-4798-824C-3EA5B6E4A25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15243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31368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30</xdr:col>
          <xdr:colOff>4298156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98D8BD1B-777C-443C-A411-F035EA68137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15243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29687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A115FF40-A215-4274-8690-59B09B66F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621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45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1746EF25-0BED-4C43-9A77-0A16E7E69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1548093</xdr:colOff>
          <xdr:row>1</xdr:row>
          <xdr:rowOff>163606</xdr:rowOff>
        </xdr:from>
        <xdr:to>
          <xdr:col>30</xdr:col>
          <xdr:colOff>4269522</xdr:colOff>
          <xdr:row>3</xdr:row>
          <xdr:rowOff>163606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F7D0E065-3743-46B2-81C7-481AC5B28D0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68403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067414" y="367713"/>
              <a:ext cx="2721429" cy="83003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1546412</xdr:colOff>
          <xdr:row>17</xdr:row>
          <xdr:rowOff>100853</xdr:rowOff>
        </xdr:from>
        <xdr:to>
          <xdr:col>30</xdr:col>
          <xdr:colOff>4267841</xdr:colOff>
          <xdr:row>19</xdr:row>
          <xdr:rowOff>155282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9B05909F-94EC-493B-B92B-BD6825A6C4B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W$2:$AZ$3" spid="_x0000_s268403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065733" y="10877710"/>
              <a:ext cx="2721429" cy="83003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9020A4A2-E16A-4F4B-B3AD-C1E5A3DFD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621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44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29F0D0D1-661C-4BD2-82F9-0769A6719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1548093</xdr:colOff>
          <xdr:row>1</xdr:row>
          <xdr:rowOff>163606</xdr:rowOff>
        </xdr:from>
        <xdr:to>
          <xdr:col>30</xdr:col>
          <xdr:colOff>0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06BC820D-313D-4E0B-9659-E93FFBCC089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68505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31368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1546412</xdr:colOff>
          <xdr:row>17</xdr:row>
          <xdr:rowOff>100853</xdr:rowOff>
        </xdr:from>
        <xdr:to>
          <xdr:col>30</xdr:col>
          <xdr:colOff>0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72A2A953-2DAC-4E27-AF99-5A0679E2233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68505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29687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0CA35BAB-F094-4674-BFE2-9B2269370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621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44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1DD24F71-926F-411B-9528-C21D9B86C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1548093</xdr:colOff>
          <xdr:row>1</xdr:row>
          <xdr:rowOff>163606</xdr:rowOff>
        </xdr:from>
        <xdr:to>
          <xdr:col>29</xdr:col>
          <xdr:colOff>4269522</xdr:colOff>
          <xdr:row>3</xdr:row>
          <xdr:rowOff>163606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51959EA9-9EB3-4676-94D1-D57D90E41EC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68301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257914" y="367713"/>
              <a:ext cx="2721429" cy="83003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1546412</xdr:colOff>
          <xdr:row>17</xdr:row>
          <xdr:rowOff>100853</xdr:rowOff>
        </xdr:from>
        <xdr:to>
          <xdr:col>29</xdr:col>
          <xdr:colOff>4267841</xdr:colOff>
          <xdr:row>19</xdr:row>
          <xdr:rowOff>155282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13D982DB-7A7D-4007-A40E-169CAD977B9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68301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256233" y="10877710"/>
              <a:ext cx="2721429" cy="83003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E6292261-4DBA-44BA-98DF-90F12FA1C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621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44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0BB22AC3-371F-41C6-A1DA-7DEE50161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1548093</xdr:colOff>
          <xdr:row>1</xdr:row>
          <xdr:rowOff>163606</xdr:rowOff>
        </xdr:from>
        <xdr:to>
          <xdr:col>29</xdr:col>
          <xdr:colOff>4269522</xdr:colOff>
          <xdr:row>3</xdr:row>
          <xdr:rowOff>163606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8553570C-ED01-4531-95F9-1351F56F71A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67177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067414" y="367713"/>
              <a:ext cx="2721429" cy="83003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1546412</xdr:colOff>
          <xdr:row>17</xdr:row>
          <xdr:rowOff>100853</xdr:rowOff>
        </xdr:from>
        <xdr:to>
          <xdr:col>29</xdr:col>
          <xdr:colOff>4267841</xdr:colOff>
          <xdr:row>19</xdr:row>
          <xdr:rowOff>155282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4A12F5FE-8709-4150-9E3B-5C798E2A589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67177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065733" y="10877710"/>
              <a:ext cx="2721429" cy="83003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3E3728C5-4417-48C6-AC83-0A79EE2E4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621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44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0F47F81A-151E-4289-A11D-D5E9E95A0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1548093</xdr:colOff>
          <xdr:row>1</xdr:row>
          <xdr:rowOff>163606</xdr:rowOff>
        </xdr:from>
        <xdr:to>
          <xdr:col>29</xdr:col>
          <xdr:colOff>4269522</xdr:colOff>
          <xdr:row>3</xdr:row>
          <xdr:rowOff>163606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F63B820F-A3CD-4800-9A7F-E5A48487CE8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62879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067414" y="367713"/>
              <a:ext cx="2721429" cy="83003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1546412</xdr:colOff>
          <xdr:row>17</xdr:row>
          <xdr:rowOff>100853</xdr:rowOff>
        </xdr:from>
        <xdr:to>
          <xdr:col>29</xdr:col>
          <xdr:colOff>4267841</xdr:colOff>
          <xdr:row>19</xdr:row>
          <xdr:rowOff>155282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167E0BEC-FE6B-4975-B8C8-A4E959F315A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62879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065733" y="10877710"/>
              <a:ext cx="2721429" cy="83003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23E128DC-8551-41A8-A57C-3E7CF59F2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621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44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AA418C88-488A-4EC5-8F64-8F821DAC9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1548093</xdr:colOff>
          <xdr:row>1</xdr:row>
          <xdr:rowOff>163606</xdr:rowOff>
        </xdr:from>
        <xdr:to>
          <xdr:col>29</xdr:col>
          <xdr:colOff>4298156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6881A2D8-7839-4DA7-8A4D-25212756BD4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61960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31368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1546412</xdr:colOff>
          <xdr:row>17</xdr:row>
          <xdr:rowOff>100853</xdr:rowOff>
        </xdr:from>
        <xdr:to>
          <xdr:col>29</xdr:col>
          <xdr:colOff>4298156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42F67FFE-6DEE-4741-B4C6-96A40C287C4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61960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29687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9E4C32CC-CD30-4306-9840-FD790BF93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621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44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753D9B0D-1F7B-411D-8CF5-F4CAF023A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1548093</xdr:colOff>
          <xdr:row>1</xdr:row>
          <xdr:rowOff>163606</xdr:rowOff>
        </xdr:from>
        <xdr:to>
          <xdr:col>29</xdr:col>
          <xdr:colOff>4269522</xdr:colOff>
          <xdr:row>3</xdr:row>
          <xdr:rowOff>163606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2A5C707D-C0E0-4BA4-B42A-84DF43FAF23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57969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067414" y="367713"/>
              <a:ext cx="2721429" cy="83003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1546412</xdr:colOff>
          <xdr:row>17</xdr:row>
          <xdr:rowOff>100853</xdr:rowOff>
        </xdr:from>
        <xdr:to>
          <xdr:col>29</xdr:col>
          <xdr:colOff>4267841</xdr:colOff>
          <xdr:row>19</xdr:row>
          <xdr:rowOff>155282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41135A96-1FE8-418E-A497-8EAF7051A17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57969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065733" y="10877710"/>
              <a:ext cx="2721429" cy="83003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E761E3A5-1DA0-4971-BEEE-107003280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621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44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C7BCFF34-9251-4444-8323-8F478EE6E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1548093</xdr:colOff>
          <xdr:row>1</xdr:row>
          <xdr:rowOff>163606</xdr:rowOff>
        </xdr:from>
        <xdr:to>
          <xdr:col>29</xdr:col>
          <xdr:colOff>4298156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AE468DB5-10F7-4B69-AE6E-054A767C47C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57257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31368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1546412</xdr:colOff>
          <xdr:row>17</xdr:row>
          <xdr:rowOff>100853</xdr:rowOff>
        </xdr:from>
        <xdr:to>
          <xdr:col>29</xdr:col>
          <xdr:colOff>4298156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5457041F-FC8F-4302-9360-EF4DCD718D8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57257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29687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6D683186-58CE-4AEF-8BFD-3E2646B16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621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44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4580A0C7-460A-4146-8A34-5824553E7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0" y="3040380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1548093</xdr:colOff>
          <xdr:row>1</xdr:row>
          <xdr:rowOff>163606</xdr:rowOff>
        </xdr:from>
        <xdr:to>
          <xdr:col>29</xdr:col>
          <xdr:colOff>4298156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634E7341-9508-4C2C-A47F-267022428F7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51321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31368" y="373156"/>
              <a:ext cx="2747682" cy="828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1546412</xdr:colOff>
          <xdr:row>17</xdr:row>
          <xdr:rowOff>100853</xdr:rowOff>
        </xdr:from>
        <xdr:to>
          <xdr:col>29</xdr:col>
          <xdr:colOff>4298156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A370F6CF-EC5B-4196-9D11-4E013F5DA93F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51322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29687" y="10883153"/>
              <a:ext cx="2749363" cy="83539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307EF5F3-7372-497C-8BCC-0B5E9047B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6210" y="3019425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44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09A9279E-6736-4B35-92C7-82C83BAEF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0" y="3019425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1548093</xdr:colOff>
          <xdr:row>1</xdr:row>
          <xdr:rowOff>163606</xdr:rowOff>
        </xdr:from>
        <xdr:to>
          <xdr:col>29</xdr:col>
          <xdr:colOff>4298156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76B44DC2-5DE6-4FAA-9B26-A8FA9012773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50710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31368" y="163606"/>
              <a:ext cx="2747682" cy="8286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1546412</xdr:colOff>
          <xdr:row>17</xdr:row>
          <xdr:rowOff>100853</xdr:rowOff>
        </xdr:from>
        <xdr:to>
          <xdr:col>29</xdr:col>
          <xdr:colOff>4298156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E56AFC3D-90F6-482B-AF34-7F339D6B59E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50710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29687" y="10673603"/>
              <a:ext cx="2749363" cy="83539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15824D5D-075C-4618-9C7E-356061F5B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6210" y="3019425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44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B6168E10-DB64-4607-9147-76C741272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0" y="3019425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1548093</xdr:colOff>
          <xdr:row>1</xdr:row>
          <xdr:rowOff>163606</xdr:rowOff>
        </xdr:from>
        <xdr:to>
          <xdr:col>29</xdr:col>
          <xdr:colOff>4298156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7E0327F6-6B2E-4FF0-9CE1-3DEBAD93190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47437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31368" y="163606"/>
              <a:ext cx="2747682" cy="8286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1546412</xdr:colOff>
          <xdr:row>17</xdr:row>
          <xdr:rowOff>100853</xdr:rowOff>
        </xdr:from>
        <xdr:to>
          <xdr:col>29</xdr:col>
          <xdr:colOff>4298156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4D9EFC6D-151C-4E10-A6F2-4DF85210D1D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47437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29687" y="10673603"/>
              <a:ext cx="2749363" cy="83539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534035</xdr:colOff>
      <xdr:row>74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D28A9285-A0F5-4471-B3C5-0B835E613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6210" y="3019425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44</xdr:col>
      <xdr:colOff>0</xdr:colOff>
      <xdr:row>74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9850021F-F4CA-47BD-98DC-0929173B9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0" y="3019425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1548093</xdr:colOff>
          <xdr:row>0</xdr:row>
          <xdr:rowOff>163606</xdr:rowOff>
        </xdr:from>
        <xdr:to>
          <xdr:col>30</xdr:col>
          <xdr:colOff>0</xdr:colOff>
          <xdr:row>2</xdr:row>
          <xdr:rowOff>163606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0E2AB9A7-17D4-4DB6-8F29-A589FAC1FDB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1:$AY$2" spid="_x0000_s244367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31368" y="163606"/>
              <a:ext cx="2747682" cy="8286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1546412</xdr:colOff>
          <xdr:row>16</xdr:row>
          <xdr:rowOff>100853</xdr:rowOff>
        </xdr:from>
        <xdr:to>
          <xdr:col>30</xdr:col>
          <xdr:colOff>0</xdr:colOff>
          <xdr:row>18</xdr:row>
          <xdr:rowOff>155201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9B6954DE-B2DB-4D0F-B85F-E3D5917D2BD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1:$AY$2" spid="_x0000_s244367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29687" y="10673603"/>
              <a:ext cx="2749363" cy="83539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534035</xdr:colOff>
      <xdr:row>75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1BFBB920-B942-4C56-8B96-2E5D0B0E7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6210" y="3019425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44</xdr:col>
      <xdr:colOff>0</xdr:colOff>
      <xdr:row>75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867EA8F6-B6B6-4F6C-B497-88CC5FBA6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0" y="3019425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1548093</xdr:colOff>
          <xdr:row>1</xdr:row>
          <xdr:rowOff>163606</xdr:rowOff>
        </xdr:from>
        <xdr:to>
          <xdr:col>30</xdr:col>
          <xdr:colOff>0</xdr:colOff>
          <xdr:row>3</xdr:row>
          <xdr:rowOff>163607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B79A946E-90B4-4ADF-9FE2-7622AEE067A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441662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31368" y="163606"/>
              <a:ext cx="2747682" cy="8286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1546412</xdr:colOff>
          <xdr:row>17</xdr:row>
          <xdr:rowOff>100853</xdr:rowOff>
        </xdr:from>
        <xdr:to>
          <xdr:col>30</xdr:col>
          <xdr:colOff>0</xdr:colOff>
          <xdr:row>19</xdr:row>
          <xdr:rowOff>155202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34CFD071-3968-4E16-B378-693DA0886AE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2:$AY$3" spid="_x0000_s244166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29687" y="10673603"/>
              <a:ext cx="2749363" cy="83539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27</xdr:col>
      <xdr:colOff>534035</xdr:colOff>
      <xdr:row>74</xdr:row>
      <xdr:rowOff>0</xdr:rowOff>
    </xdr:from>
    <xdr:ext cx="3499632" cy="762000"/>
    <xdr:pic>
      <xdr:nvPicPr>
        <xdr:cNvPr id="2" name="그림 1">
          <a:extLst>
            <a:ext uri="{FF2B5EF4-FFF2-40B4-BE49-F238E27FC236}">
              <a16:creationId xmlns:a16="http://schemas.microsoft.com/office/drawing/2014/main" id="{A36C4D94-255C-4245-8F22-68190434B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6210" y="3019425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44</xdr:col>
      <xdr:colOff>0</xdr:colOff>
      <xdr:row>74</xdr:row>
      <xdr:rowOff>0</xdr:rowOff>
    </xdr:from>
    <xdr:ext cx="3499632" cy="762000"/>
    <xdr:pic>
      <xdr:nvPicPr>
        <xdr:cNvPr id="3" name="그림 2">
          <a:extLst>
            <a:ext uri="{FF2B5EF4-FFF2-40B4-BE49-F238E27FC236}">
              <a16:creationId xmlns:a16="http://schemas.microsoft.com/office/drawing/2014/main" id="{3F9592E8-B0A2-46C7-9AFE-6444CA973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00" y="3019425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1548093</xdr:colOff>
          <xdr:row>0</xdr:row>
          <xdr:rowOff>163606</xdr:rowOff>
        </xdr:from>
        <xdr:to>
          <xdr:col>29</xdr:col>
          <xdr:colOff>4298156</xdr:colOff>
          <xdr:row>2</xdr:row>
          <xdr:rowOff>163606</xdr:rowOff>
        </xdr:to>
        <xdr:pic>
          <xdr:nvPicPr>
            <xdr:cNvPr id="4" name="그림 3">
              <a:extLst>
                <a:ext uri="{FF2B5EF4-FFF2-40B4-BE49-F238E27FC236}">
                  <a16:creationId xmlns:a16="http://schemas.microsoft.com/office/drawing/2014/main" id="{DA091970-9F61-4696-BC1A-10161D7DBBC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1:$AY$2" spid="_x0000_s2443113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31368" y="163606"/>
              <a:ext cx="2747682" cy="8286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1546412</xdr:colOff>
          <xdr:row>16</xdr:row>
          <xdr:rowOff>100853</xdr:rowOff>
        </xdr:from>
        <xdr:to>
          <xdr:col>29</xdr:col>
          <xdr:colOff>4298156</xdr:colOff>
          <xdr:row>18</xdr:row>
          <xdr:rowOff>155201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2D38C04C-F107-4419-83B2-28C285B2249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1:$AY$2" spid="_x0000_s2443114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29687" y="10673603"/>
              <a:ext cx="2749363" cy="83539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27</xdr:col>
      <xdr:colOff>534035</xdr:colOff>
      <xdr:row>74</xdr:row>
      <xdr:rowOff>0</xdr:rowOff>
    </xdr:from>
    <xdr:ext cx="3499632" cy="762000"/>
    <xdr:pic>
      <xdr:nvPicPr>
        <xdr:cNvPr id="6" name="그림 5">
          <a:extLst>
            <a:ext uri="{FF2B5EF4-FFF2-40B4-BE49-F238E27FC236}">
              <a16:creationId xmlns:a16="http://schemas.microsoft.com/office/drawing/2014/main" id="{05262291-FD7F-4068-A849-844744C4F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6210" y="3019425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xdr:oneCellAnchor>
    <xdr:from>
      <xdr:col>44</xdr:col>
      <xdr:colOff>0</xdr:colOff>
      <xdr:row>74</xdr:row>
      <xdr:rowOff>0</xdr:rowOff>
    </xdr:from>
    <xdr:ext cx="3499632" cy="762000"/>
    <xdr:pic>
      <xdr:nvPicPr>
        <xdr:cNvPr id="7" name="그림 6">
          <a:extLst>
            <a:ext uri="{FF2B5EF4-FFF2-40B4-BE49-F238E27FC236}">
              <a16:creationId xmlns:a16="http://schemas.microsoft.com/office/drawing/2014/main" id="{951CF11A-AD92-4F56-872E-2D9DCED33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26850" y="30194250"/>
          <a:ext cx="3499632" cy="762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1548093</xdr:colOff>
          <xdr:row>0</xdr:row>
          <xdr:rowOff>163606</xdr:rowOff>
        </xdr:from>
        <xdr:to>
          <xdr:col>29</xdr:col>
          <xdr:colOff>4298156</xdr:colOff>
          <xdr:row>2</xdr:row>
          <xdr:rowOff>163606</xdr:rowOff>
        </xdr:to>
        <xdr:pic>
          <xdr:nvPicPr>
            <xdr:cNvPr id="8" name="그림 7">
              <a:extLst>
                <a:ext uri="{FF2B5EF4-FFF2-40B4-BE49-F238E27FC236}">
                  <a16:creationId xmlns:a16="http://schemas.microsoft.com/office/drawing/2014/main" id="{8F37396E-99B7-4613-96DD-B6E3CD6139D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1:$AY$2" spid="_x0000_s244311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31368" y="163606"/>
              <a:ext cx="2750063" cy="8286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1546412</xdr:colOff>
          <xdr:row>16</xdr:row>
          <xdr:rowOff>100853</xdr:rowOff>
        </xdr:from>
        <xdr:to>
          <xdr:col>29</xdr:col>
          <xdr:colOff>4298156</xdr:colOff>
          <xdr:row>18</xdr:row>
          <xdr:rowOff>155201</xdr:rowOff>
        </xdr:to>
        <xdr:pic>
          <xdr:nvPicPr>
            <xdr:cNvPr id="9" name="그림 8">
              <a:extLst>
                <a:ext uri="{FF2B5EF4-FFF2-40B4-BE49-F238E27FC236}">
                  <a16:creationId xmlns:a16="http://schemas.microsoft.com/office/drawing/2014/main" id="{CFD2E645-CF5A-46A9-901D-4E0AA55F1EA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V$1:$AY$2" spid="_x0000_s2443116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0129687" y="10673603"/>
              <a:ext cx="2751744" cy="83539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80" zoomScaleNormal="80" workbookViewId="0">
      <pane xSplit="4" ySplit="6" topLeftCell="E25" activePane="bottomRight" state="frozen"/>
      <selection pane="topRight" activeCell="D1" sqref="D1"/>
      <selection pane="bottomLeft" activeCell="A6" sqref="A6"/>
      <selection pane="bottomRight" activeCell="AC23" sqref="AC23:AC29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56.375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11.75" hidden="1" customWidth="1"/>
    <col min="44" max="44" width="3.25" customWidth="1"/>
  </cols>
  <sheetData>
    <row r="2" spans="2:52" ht="20.25" x14ac:dyDescent="0.3">
      <c r="B2" s="425" t="s">
        <v>95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324" t="s">
        <v>1</v>
      </c>
      <c r="AY2" s="324" t="s">
        <v>2</v>
      </c>
      <c r="AZ2" s="3" t="s">
        <v>3</v>
      </c>
    </row>
    <row r="3" spans="2:52" ht="45" customHeight="1" x14ac:dyDescent="0.3">
      <c r="B3" s="330" t="s">
        <v>4</v>
      </c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322" t="s">
        <v>68</v>
      </c>
      <c r="J6" s="18" t="s">
        <v>69</v>
      </c>
      <c r="K6" s="18" t="s">
        <v>71</v>
      </c>
      <c r="L6" s="18" t="s">
        <v>72</v>
      </c>
      <c r="M6" s="18" t="s">
        <v>75</v>
      </c>
      <c r="N6" s="18" t="s">
        <v>75</v>
      </c>
      <c r="O6" s="18" t="s">
        <v>75</v>
      </c>
      <c r="P6" s="18" t="s">
        <v>230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322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-43</v>
      </c>
    </row>
    <row r="7" spans="2:52" s="328" customFormat="1" ht="99" customHeight="1" thickTop="1" x14ac:dyDescent="0.3">
      <c r="B7" s="420">
        <v>6</v>
      </c>
      <c r="C7" s="24">
        <v>1</v>
      </c>
      <c r="D7" s="25" t="s">
        <v>7</v>
      </c>
      <c r="E7" s="26" t="s">
        <v>29</v>
      </c>
      <c r="F7" s="25">
        <v>8</v>
      </c>
      <c r="G7" s="128"/>
      <c r="H7" s="128" t="e">
        <f t="shared" ref="H7:H12" si="0">(G7/U7)*100</f>
        <v>#DIV/0!</v>
      </c>
      <c r="I7" s="123" t="s">
        <v>85</v>
      </c>
      <c r="J7" s="123" t="s">
        <v>86</v>
      </c>
      <c r="K7" s="123" t="s">
        <v>87</v>
      </c>
      <c r="L7" s="123"/>
      <c r="M7" s="129" t="s">
        <v>90</v>
      </c>
      <c r="N7" s="123" t="s">
        <v>74</v>
      </c>
      <c r="O7" s="123" t="s">
        <v>169</v>
      </c>
      <c r="P7" s="123" t="s">
        <v>231</v>
      </c>
      <c r="Q7" s="123" t="s">
        <v>91</v>
      </c>
      <c r="R7" s="123" t="s">
        <v>89</v>
      </c>
      <c r="S7" s="125">
        <f t="shared" ref="S7:S12" si="1">COUNTA(I7:L7)+COUNTA(M7:R7)/2</f>
        <v>6</v>
      </c>
      <c r="T7" s="27">
        <f t="shared" ref="T7:T12" si="2">F7*$D$4*$U$4</f>
        <v>528</v>
      </c>
      <c r="U7" s="28">
        <f>+H38</f>
        <v>0</v>
      </c>
      <c r="V7" s="29">
        <f t="shared" ref="V7:V12" si="3">IF(F7=0,"휴무",U7/F7)</f>
        <v>0</v>
      </c>
      <c r="W7" s="30">
        <f t="shared" ref="W7:W13" si="4">IFERROR(U7/T7,0)</f>
        <v>0</v>
      </c>
      <c r="X7" s="31">
        <f>+K38</f>
        <v>0</v>
      </c>
      <c r="Y7" s="29">
        <f t="shared" ref="Y7:Y12" si="5">IF(F7=0,"휴무",X7/F7)</f>
        <v>0</v>
      </c>
      <c r="Z7" s="32">
        <f t="shared" ref="Z7:Z13" si="6">IFERROR(X7/T7,0)</f>
        <v>0</v>
      </c>
      <c r="AA7" s="33">
        <f t="shared" ref="AA7:AA12" si="7">IF(F7=0,"휴무",U7/T7*$AA$4)</f>
        <v>0</v>
      </c>
      <c r="AB7" s="34">
        <f t="shared" ref="AB7:AB12" si="8">IF(F7=0,"휴무",X7/T7*$AB$4)</f>
        <v>0</v>
      </c>
      <c r="AC7" s="383">
        <f t="shared" ref="AC7:AC13" si="9">IF(F7=0,"휴무",AA7+AB7)</f>
        <v>0</v>
      </c>
      <c r="AD7" s="35" t="str">
        <f t="shared" ref="AD7:AD13" si="10">IF(F7=0,"휴무",IF(AC7&gt;=100,"좋아요",IF(AC7&gt;=90,"90~99",IF(AC7&gt;=80,"80~89"," 사유?→"))))</f>
        <v xml:space="preserve"> 사유?→</v>
      </c>
      <c r="AE7" s="36"/>
      <c r="AF7" s="37">
        <f>AG7-F7</f>
        <v>-8</v>
      </c>
      <c r="AG7" s="38">
        <f>AN7</f>
        <v>0</v>
      </c>
      <c r="AH7" s="328" t="s">
        <v>29</v>
      </c>
      <c r="AI7" s="39"/>
      <c r="AJ7" s="40" t="str">
        <f>IFERROR(Z7/W7*1000,"")</f>
        <v/>
      </c>
      <c r="AK7" s="39"/>
      <c r="AL7" s="41"/>
      <c r="AM7" s="41"/>
      <c r="AN7" s="41"/>
      <c r="AP7" s="328">
        <f t="shared" ref="AP7:AP12" si="11">AO7-F7</f>
        <v>-8</v>
      </c>
      <c r="AQ7" s="42"/>
    </row>
    <row r="8" spans="2:52" s="328" customFormat="1" ht="99.75" customHeight="1" x14ac:dyDescent="0.3">
      <c r="B8" s="421"/>
      <c r="C8" s="24">
        <f>+C7+1</f>
        <v>2</v>
      </c>
      <c r="D8" s="43" t="s">
        <v>30</v>
      </c>
      <c r="E8" s="26" t="s">
        <v>28</v>
      </c>
      <c r="F8" s="25">
        <v>11</v>
      </c>
      <c r="G8" s="125"/>
      <c r="H8" s="125" t="e">
        <f t="shared" si="0"/>
        <v>#DIV/0!</v>
      </c>
      <c r="I8" s="123"/>
      <c r="J8" s="123"/>
      <c r="K8" s="123"/>
      <c r="L8" s="123"/>
      <c r="M8" s="123"/>
      <c r="N8" s="129"/>
      <c r="O8" s="123"/>
      <c r="P8" s="123"/>
      <c r="Q8" s="123"/>
      <c r="R8" s="123"/>
      <c r="S8" s="125">
        <f t="shared" si="1"/>
        <v>0</v>
      </c>
      <c r="T8" s="27">
        <f t="shared" si="2"/>
        <v>726</v>
      </c>
      <c r="U8" s="28">
        <f>+H41</f>
        <v>0</v>
      </c>
      <c r="V8" s="44">
        <f t="shared" si="3"/>
        <v>0</v>
      </c>
      <c r="W8" s="45">
        <f t="shared" si="4"/>
        <v>0</v>
      </c>
      <c r="X8" s="46">
        <f>+K41</f>
        <v>0</v>
      </c>
      <c r="Y8" s="29">
        <f t="shared" si="5"/>
        <v>0</v>
      </c>
      <c r="Z8" s="47">
        <f t="shared" si="6"/>
        <v>0</v>
      </c>
      <c r="AA8" s="48">
        <f t="shared" si="7"/>
        <v>0</v>
      </c>
      <c r="AB8" s="49">
        <f t="shared" si="8"/>
        <v>0</v>
      </c>
      <c r="AC8" s="384">
        <f t="shared" si="9"/>
        <v>0</v>
      </c>
      <c r="AD8" s="50" t="str">
        <f t="shared" si="10"/>
        <v xml:space="preserve"> 사유?→</v>
      </c>
      <c r="AE8" s="36"/>
      <c r="AF8" s="37">
        <f>AG8-F8</f>
        <v>-11</v>
      </c>
      <c r="AG8" s="38">
        <f>AN8</f>
        <v>0</v>
      </c>
      <c r="AH8" s="328" t="s">
        <v>31</v>
      </c>
      <c r="AI8" s="39"/>
      <c r="AJ8" s="40" t="str">
        <f>IFERROR(Z8/W8*1000,"")</f>
        <v/>
      </c>
      <c r="AK8" s="39"/>
      <c r="AL8" s="41"/>
      <c r="AM8" s="41"/>
      <c r="AN8" s="41"/>
      <c r="AP8" s="328">
        <f t="shared" si="11"/>
        <v>-11</v>
      </c>
      <c r="AQ8" s="42"/>
    </row>
    <row r="9" spans="2:52" s="328" customFormat="1" ht="97.5" customHeight="1" x14ac:dyDescent="0.3">
      <c r="B9" s="421"/>
      <c r="C9" s="24">
        <f>+C8+1</f>
        <v>3</v>
      </c>
      <c r="D9" s="43" t="s">
        <v>32</v>
      </c>
      <c r="E9" s="26" t="s">
        <v>29</v>
      </c>
      <c r="F9" s="25">
        <v>8</v>
      </c>
      <c r="G9" s="125"/>
      <c r="H9" s="125" t="e">
        <f t="shared" si="0"/>
        <v>#DIV/0!</v>
      </c>
      <c r="I9" s="123"/>
      <c r="J9" s="123"/>
      <c r="K9" s="123"/>
      <c r="L9" s="123"/>
      <c r="M9" s="123"/>
      <c r="N9" s="129"/>
      <c r="O9" s="123"/>
      <c r="P9" s="123"/>
      <c r="Q9" s="123"/>
      <c r="R9" s="123"/>
      <c r="S9" s="125">
        <f t="shared" si="1"/>
        <v>0</v>
      </c>
      <c r="T9" s="27">
        <f t="shared" si="2"/>
        <v>528</v>
      </c>
      <c r="U9" s="51">
        <f>+H44</f>
        <v>0</v>
      </c>
      <c r="V9" s="44">
        <f t="shared" si="3"/>
        <v>0</v>
      </c>
      <c r="W9" s="45">
        <f t="shared" si="4"/>
        <v>0</v>
      </c>
      <c r="X9" s="46">
        <f>+K44</f>
        <v>0</v>
      </c>
      <c r="Y9" s="44">
        <f t="shared" si="5"/>
        <v>0</v>
      </c>
      <c r="Z9" s="47">
        <f t="shared" si="6"/>
        <v>0</v>
      </c>
      <c r="AA9" s="48">
        <f t="shared" si="7"/>
        <v>0</v>
      </c>
      <c r="AB9" s="49">
        <f t="shared" si="8"/>
        <v>0</v>
      </c>
      <c r="AC9" s="384">
        <f t="shared" si="9"/>
        <v>0</v>
      </c>
      <c r="AD9" s="50" t="str">
        <f t="shared" si="10"/>
        <v xml:space="preserve"> 사유?→</v>
      </c>
      <c r="AE9" s="36"/>
      <c r="AF9" s="37">
        <f>AG9-F9</f>
        <v>-8</v>
      </c>
      <c r="AG9" s="38">
        <f>AN9</f>
        <v>0</v>
      </c>
      <c r="AH9" s="328" t="s">
        <v>34</v>
      </c>
      <c r="AI9" s="39"/>
      <c r="AJ9" s="40" t="str">
        <f>IFERROR(Z9/W9*1000,"")</f>
        <v/>
      </c>
      <c r="AK9" s="39"/>
      <c r="AL9" s="41"/>
      <c r="AM9" s="41"/>
      <c r="AN9" s="41"/>
      <c r="AP9" s="328">
        <f t="shared" si="11"/>
        <v>-8</v>
      </c>
      <c r="AQ9" s="42"/>
    </row>
    <row r="10" spans="2:52" s="328" customFormat="1" ht="95.25" customHeight="1" x14ac:dyDescent="0.3">
      <c r="B10" s="421"/>
      <c r="C10" s="24">
        <f>+C9+1</f>
        <v>4</v>
      </c>
      <c r="D10" s="43" t="s">
        <v>35</v>
      </c>
      <c r="E10" s="26" t="s">
        <v>29</v>
      </c>
      <c r="F10" s="25">
        <v>8</v>
      </c>
      <c r="G10" s="125"/>
      <c r="H10" s="125" t="e">
        <f t="shared" si="0"/>
        <v>#DIV/0!</v>
      </c>
      <c r="I10" s="123"/>
      <c r="J10" s="123"/>
      <c r="K10" s="123"/>
      <c r="L10" s="123"/>
      <c r="M10" s="123"/>
      <c r="N10" s="129"/>
      <c r="O10" s="123"/>
      <c r="P10" s="123"/>
      <c r="Q10" s="123"/>
      <c r="R10" s="123"/>
      <c r="S10" s="125">
        <f t="shared" si="1"/>
        <v>0</v>
      </c>
      <c r="T10" s="27">
        <f t="shared" si="2"/>
        <v>528</v>
      </c>
      <c r="U10" s="28">
        <f>+H47</f>
        <v>0</v>
      </c>
      <c r="V10" s="44">
        <f t="shared" si="3"/>
        <v>0</v>
      </c>
      <c r="W10" s="45">
        <f t="shared" si="4"/>
        <v>0</v>
      </c>
      <c r="X10" s="46">
        <f>+K47</f>
        <v>0</v>
      </c>
      <c r="Y10" s="29">
        <f t="shared" si="5"/>
        <v>0</v>
      </c>
      <c r="Z10" s="47">
        <f t="shared" si="6"/>
        <v>0</v>
      </c>
      <c r="AA10" s="48">
        <f t="shared" si="7"/>
        <v>0</v>
      </c>
      <c r="AB10" s="49">
        <f t="shared" si="8"/>
        <v>0</v>
      </c>
      <c r="AC10" s="384">
        <f t="shared" si="9"/>
        <v>0</v>
      </c>
      <c r="AD10" s="50" t="str">
        <f t="shared" si="10"/>
        <v xml:space="preserve"> 사유?→</v>
      </c>
      <c r="AE10" s="36"/>
      <c r="AF10" s="37">
        <f>AG10-F10</f>
        <v>-8</v>
      </c>
      <c r="AG10" s="38">
        <f>AN10</f>
        <v>0</v>
      </c>
      <c r="AH10" s="328" t="s">
        <v>36</v>
      </c>
      <c r="AI10" s="39"/>
      <c r="AJ10" s="40" t="str">
        <f>IFERROR(Z10/W10*1000,"")</f>
        <v/>
      </c>
      <c r="AK10" s="39"/>
      <c r="AL10" s="41"/>
      <c r="AM10" s="41"/>
      <c r="AN10" s="41"/>
      <c r="AP10" s="328">
        <f t="shared" si="11"/>
        <v>-8</v>
      </c>
      <c r="AQ10" s="42"/>
    </row>
    <row r="11" spans="2:52" s="328" customFormat="1" ht="102.75" customHeight="1" x14ac:dyDescent="0.3">
      <c r="B11" s="421"/>
      <c r="C11" s="24">
        <f>+C10+1</f>
        <v>5</v>
      </c>
      <c r="D11" s="43" t="s">
        <v>37</v>
      </c>
      <c r="E11" s="26" t="s">
        <v>33</v>
      </c>
      <c r="F11" s="25"/>
      <c r="G11" s="125"/>
      <c r="H11" s="125" t="e">
        <f t="shared" si="0"/>
        <v>#DIV/0!</v>
      </c>
      <c r="I11" s="123"/>
      <c r="J11" s="123"/>
      <c r="K11" s="123"/>
      <c r="L11" s="123"/>
      <c r="M11" s="123"/>
      <c r="N11" s="129"/>
      <c r="O11" s="123"/>
      <c r="P11" s="123"/>
      <c r="Q11" s="123"/>
      <c r="R11" s="123"/>
      <c r="S11" s="125">
        <f t="shared" si="1"/>
        <v>0</v>
      </c>
      <c r="T11" s="27">
        <f t="shared" si="2"/>
        <v>0</v>
      </c>
      <c r="U11" s="28">
        <f>+H50</f>
        <v>0</v>
      </c>
      <c r="V11" s="44" t="str">
        <f t="shared" si="3"/>
        <v>휴무</v>
      </c>
      <c r="W11" s="45">
        <f t="shared" si="4"/>
        <v>0</v>
      </c>
      <c r="X11" s="46">
        <f>+K50</f>
        <v>0</v>
      </c>
      <c r="Y11" s="44" t="str">
        <f t="shared" si="5"/>
        <v>휴무</v>
      </c>
      <c r="Z11" s="47">
        <f t="shared" si="6"/>
        <v>0</v>
      </c>
      <c r="AA11" s="48" t="str">
        <f t="shared" si="7"/>
        <v>휴무</v>
      </c>
      <c r="AB11" s="49" t="str">
        <f t="shared" si="8"/>
        <v>휴무</v>
      </c>
      <c r="AC11" s="384" t="str">
        <f t="shared" si="9"/>
        <v>휴무</v>
      </c>
      <c r="AD11" s="50" t="str">
        <f t="shared" si="10"/>
        <v>휴무</v>
      </c>
      <c r="AE11" s="36"/>
      <c r="AF11" s="37">
        <f>AG11-F11</f>
        <v>0</v>
      </c>
      <c r="AG11" s="38">
        <f>AN11</f>
        <v>0</v>
      </c>
      <c r="AH11" s="328" t="s">
        <v>33</v>
      </c>
      <c r="AI11" s="39"/>
      <c r="AJ11" s="40" t="str">
        <f>IFERROR(Z11/W11*1000,"")</f>
        <v/>
      </c>
      <c r="AL11" s="41"/>
      <c r="AM11" s="41"/>
      <c r="AN11" s="41"/>
      <c r="AP11" s="328">
        <f t="shared" si="11"/>
        <v>0</v>
      </c>
      <c r="AQ11" s="42"/>
    </row>
    <row r="12" spans="2:52" s="328" customFormat="1" ht="102.75" customHeight="1" x14ac:dyDescent="0.3">
      <c r="B12" s="421"/>
      <c r="C12" s="24">
        <f>+C11+1</f>
        <v>6</v>
      </c>
      <c r="D12" s="43" t="s">
        <v>38</v>
      </c>
      <c r="E12" s="26" t="s">
        <v>36</v>
      </c>
      <c r="F12" s="25">
        <v>8</v>
      </c>
      <c r="G12" s="125"/>
      <c r="H12" s="125" t="e">
        <f t="shared" si="0"/>
        <v>#DIV/0!</v>
      </c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5">
        <f t="shared" si="1"/>
        <v>0</v>
      </c>
      <c r="T12" s="323">
        <f t="shared" si="2"/>
        <v>528</v>
      </c>
      <c r="U12" s="28">
        <f>+H53</f>
        <v>0</v>
      </c>
      <c r="V12" s="29">
        <f t="shared" si="3"/>
        <v>0</v>
      </c>
      <c r="W12" s="30">
        <f t="shared" si="4"/>
        <v>0</v>
      </c>
      <c r="X12" s="31">
        <f>+K53</f>
        <v>0</v>
      </c>
      <c r="Y12" s="44">
        <f t="shared" si="5"/>
        <v>0</v>
      </c>
      <c r="Z12" s="47">
        <f t="shared" si="6"/>
        <v>0</v>
      </c>
      <c r="AA12" s="48">
        <f t="shared" si="7"/>
        <v>0</v>
      </c>
      <c r="AB12" s="49">
        <f t="shared" si="8"/>
        <v>0</v>
      </c>
      <c r="AC12" s="384">
        <f t="shared" si="9"/>
        <v>0</v>
      </c>
      <c r="AD12" s="50" t="str">
        <f t="shared" si="10"/>
        <v xml:space="preserve"> 사유?→</v>
      </c>
      <c r="AE12" s="36"/>
      <c r="AF12" s="37"/>
      <c r="AG12" s="38"/>
      <c r="AI12" s="39"/>
      <c r="AJ12" s="40"/>
      <c r="AL12" s="41"/>
      <c r="AM12" s="41"/>
      <c r="AN12" s="41"/>
      <c r="AP12" s="328">
        <f t="shared" si="11"/>
        <v>-8</v>
      </c>
      <c r="AQ12" s="42"/>
    </row>
    <row r="13" spans="2:52" s="328" customFormat="1" ht="36" customHeight="1" x14ac:dyDescent="0.3">
      <c r="B13" s="422" t="s">
        <v>39</v>
      </c>
      <c r="C13" s="423"/>
      <c r="D13" s="423"/>
      <c r="E13" s="424"/>
      <c r="F13" s="43">
        <f>SUM(F7:F12)</f>
        <v>43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>COUNTA(I13:M13)+COUNTA(N13:R13)/2</f>
        <v>0</v>
      </c>
      <c r="T13" s="52">
        <f>SUM(T7:T12)</f>
        <v>2838</v>
      </c>
      <c r="U13" s="53">
        <f>SUM(U7:U12)</f>
        <v>0</v>
      </c>
      <c r="V13" s="54">
        <f>U13/F13</f>
        <v>0</v>
      </c>
      <c r="W13" s="45">
        <f t="shared" si="4"/>
        <v>0</v>
      </c>
      <c r="X13" s="55">
        <f>SUM(X7:X12)</f>
        <v>0</v>
      </c>
      <c r="Y13" s="44">
        <f>X13/F13</f>
        <v>0</v>
      </c>
      <c r="Z13" s="47">
        <f t="shared" si="6"/>
        <v>0</v>
      </c>
      <c r="AA13" s="56">
        <f>U13/T13*AA4</f>
        <v>0</v>
      </c>
      <c r="AB13" s="57">
        <f>X13/T13*AB4</f>
        <v>0</v>
      </c>
      <c r="AC13" s="385">
        <f t="shared" si="9"/>
        <v>0</v>
      </c>
      <c r="AD13" s="58" t="str">
        <f t="shared" si="10"/>
        <v xml:space="preserve"> 사유?→</v>
      </c>
      <c r="AE13" s="43"/>
      <c r="AF13" s="37">
        <f>AG13-F13</f>
        <v>-43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8.6</v>
      </c>
      <c r="G14" s="326"/>
      <c r="H14" s="326"/>
      <c r="I14" s="326"/>
      <c r="J14" s="326"/>
      <c r="K14" s="326"/>
      <c r="L14" s="326"/>
      <c r="M14" s="326"/>
      <c r="N14" s="326"/>
      <c r="O14" s="326"/>
      <c r="P14" s="326"/>
      <c r="Q14" s="326"/>
      <c r="R14" s="326"/>
      <c r="S14" s="326"/>
      <c r="T14" s="326"/>
      <c r="U14" s="61">
        <f>V14*F14</f>
        <v>0</v>
      </c>
      <c r="V14" s="62">
        <f>U13/F13</f>
        <v>0</v>
      </c>
      <c r="W14" s="63">
        <f>IFERROR(U14/#REF!,0)</f>
        <v>0</v>
      </c>
      <c r="X14" s="64">
        <f>X13/F13*F14</f>
        <v>0</v>
      </c>
      <c r="Y14" s="62">
        <f>IF(F14=0,"휴무",X14/F14)</f>
        <v>0</v>
      </c>
      <c r="Z14" s="65">
        <f>IFERROR(X14/#REF!,0)</f>
        <v>0</v>
      </c>
      <c r="AA14" s="60">
        <f>AVERAGE(AA7:AA12)</f>
        <v>0</v>
      </c>
      <c r="AB14" s="60">
        <f>AVERAGE(AB7:AB12)</f>
        <v>0</v>
      </c>
      <c r="AC14" s="141">
        <f>AA14+AB14</f>
        <v>0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328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330" t="s">
        <v>44</v>
      </c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322" t="s">
        <v>68</v>
      </c>
      <c r="J22" s="18" t="s">
        <v>69</v>
      </c>
      <c r="K22" s="18" t="s">
        <v>71</v>
      </c>
      <c r="L22" s="18" t="s">
        <v>72</v>
      </c>
      <c r="M22" s="18" t="s">
        <v>75</v>
      </c>
      <c r="N22" s="18" t="s">
        <v>75</v>
      </c>
      <c r="O22" s="18" t="s">
        <v>75</v>
      </c>
      <c r="P22" s="18" t="s">
        <v>230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-43</v>
      </c>
    </row>
    <row r="23" spans="2:43" s="328" customFormat="1" ht="99" customHeight="1" thickTop="1" x14ac:dyDescent="0.3">
      <c r="B23" s="420">
        <f>+B7</f>
        <v>6</v>
      </c>
      <c r="C23" s="24">
        <f t="shared" ref="C23:C28" si="12">+C7</f>
        <v>1</v>
      </c>
      <c r="D23" s="25" t="s">
        <v>7</v>
      </c>
      <c r="E23" s="26" t="s">
        <v>29</v>
      </c>
      <c r="F23" s="25">
        <v>8</v>
      </c>
      <c r="G23" s="128"/>
      <c r="H23" s="128" t="e">
        <f t="shared" ref="H23:H28" si="13">(G23/U23)*100</f>
        <v>#DIV/0!</v>
      </c>
      <c r="I23" s="123" t="s">
        <v>78</v>
      </c>
      <c r="J23" s="123" t="s">
        <v>88</v>
      </c>
      <c r="K23" s="123" t="s">
        <v>84</v>
      </c>
      <c r="L23" s="123"/>
      <c r="M23" s="129" t="s">
        <v>90</v>
      </c>
      <c r="N23" s="123" t="s">
        <v>74</v>
      </c>
      <c r="O23" s="123" t="s">
        <v>169</v>
      </c>
      <c r="P23" s="123" t="s">
        <v>92</v>
      </c>
      <c r="Q23" s="123" t="s">
        <v>91</v>
      </c>
      <c r="R23" s="123" t="s">
        <v>89</v>
      </c>
      <c r="S23" s="124">
        <f t="shared" ref="S23:S28" si="14">COUNTA(I23:L23)+COUNTA(M23:R23)/2</f>
        <v>6</v>
      </c>
      <c r="T23" s="27">
        <f t="shared" ref="T23:T28" si="15">F23*$D$4*$U$4</f>
        <v>528</v>
      </c>
      <c r="U23" s="28">
        <f>+H58</f>
        <v>0</v>
      </c>
      <c r="V23" s="29">
        <f t="shared" ref="V23:V28" si="16">IF(F23=0,"휴무",U23/F23)</f>
        <v>0</v>
      </c>
      <c r="W23" s="30">
        <f t="shared" ref="W23:W29" si="17">IFERROR(U23/T23,0)</f>
        <v>0</v>
      </c>
      <c r="X23" s="31">
        <f>+K58</f>
        <v>0</v>
      </c>
      <c r="Y23" s="29">
        <f t="shared" ref="Y23:Y28" si="18">IF(F23=0,"휴무",X23/F23)</f>
        <v>0</v>
      </c>
      <c r="Z23" s="32">
        <f t="shared" ref="Z23:Z29" si="19">IFERROR(X23/T23,0)</f>
        <v>0</v>
      </c>
      <c r="AA23" s="33">
        <f t="shared" ref="AA23:AA28" si="20">IF(F23=0,"휴무",U23/T23*$AA$4)</f>
        <v>0</v>
      </c>
      <c r="AB23" s="34">
        <f t="shared" ref="AB23:AB28" si="21">IF(F23=0,"휴무",X23/T23*$AB$4)</f>
        <v>0</v>
      </c>
      <c r="AC23" s="383">
        <f t="shared" ref="AC23:AC29" si="22">IF(F23=0,"휴무",AA23+AB23)</f>
        <v>0</v>
      </c>
      <c r="AD23" s="35" t="str">
        <f t="shared" ref="AD23:AD29" si="23">IF(F23=0,"휴무",IF(AC23&gt;=100,"좋아요",IF(AC23&gt;=90,"90~99",IF(AC23&gt;=80,"80~89"," 사유?→"))))</f>
        <v xml:space="preserve"> 사유?→</v>
      </c>
      <c r="AE23" s="36"/>
      <c r="AF23" s="37">
        <f>AG23-F23</f>
        <v>-8</v>
      </c>
      <c r="AG23" s="38">
        <f>AN23</f>
        <v>0</v>
      </c>
      <c r="AH23" s="328" t="s">
        <v>29</v>
      </c>
      <c r="AI23" s="39"/>
      <c r="AJ23" s="40" t="str">
        <f>IFERROR(Z23/W23*1000,"")</f>
        <v/>
      </c>
      <c r="AK23" s="39"/>
      <c r="AL23" s="41"/>
      <c r="AM23" s="41"/>
      <c r="AN23" s="41"/>
      <c r="AP23" s="328">
        <f t="shared" ref="AP23:AP28" si="24">AO23-F23</f>
        <v>-8</v>
      </c>
      <c r="AQ23" s="42"/>
    </row>
    <row r="24" spans="2:43" s="328" customFormat="1" ht="99.75" customHeight="1" x14ac:dyDescent="0.3">
      <c r="B24" s="421"/>
      <c r="C24" s="24">
        <f t="shared" si="12"/>
        <v>2</v>
      </c>
      <c r="D24" s="43" t="s">
        <v>30</v>
      </c>
      <c r="E24" s="26" t="s">
        <v>28</v>
      </c>
      <c r="F24" s="25">
        <v>11</v>
      </c>
      <c r="G24" s="125"/>
      <c r="H24" s="125" t="e">
        <f t="shared" si="13"/>
        <v>#DIV/0!</v>
      </c>
      <c r="I24" s="123"/>
      <c r="J24" s="123"/>
      <c r="K24" s="123"/>
      <c r="L24" s="123"/>
      <c r="M24" s="123"/>
      <c r="N24" s="129"/>
      <c r="O24" s="123"/>
      <c r="P24" s="123"/>
      <c r="Q24" s="123"/>
      <c r="R24" s="123"/>
      <c r="S24" s="124">
        <f t="shared" si="14"/>
        <v>0</v>
      </c>
      <c r="T24" s="27">
        <f t="shared" si="15"/>
        <v>726</v>
      </c>
      <c r="U24" s="28">
        <f>+H61</f>
        <v>0</v>
      </c>
      <c r="V24" s="44">
        <f t="shared" si="16"/>
        <v>0</v>
      </c>
      <c r="W24" s="45">
        <f t="shared" si="17"/>
        <v>0</v>
      </c>
      <c r="X24" s="46">
        <f>+K61</f>
        <v>0</v>
      </c>
      <c r="Y24" s="29">
        <f t="shared" si="18"/>
        <v>0</v>
      </c>
      <c r="Z24" s="47">
        <f t="shared" si="19"/>
        <v>0</v>
      </c>
      <c r="AA24" s="48">
        <f t="shared" si="20"/>
        <v>0</v>
      </c>
      <c r="AB24" s="49">
        <f t="shared" si="21"/>
        <v>0</v>
      </c>
      <c r="AC24" s="384">
        <f t="shared" si="22"/>
        <v>0</v>
      </c>
      <c r="AD24" s="80" t="str">
        <f t="shared" si="23"/>
        <v xml:space="preserve"> 사유?→</v>
      </c>
      <c r="AE24" s="36"/>
      <c r="AF24" s="37">
        <f>AG24-F24</f>
        <v>-11</v>
      </c>
      <c r="AG24" s="38">
        <f>AN24</f>
        <v>0</v>
      </c>
      <c r="AH24" s="328" t="s">
        <v>34</v>
      </c>
      <c r="AI24" s="39"/>
      <c r="AJ24" s="40" t="str">
        <f>IFERROR(Z24/W24*1000,"")</f>
        <v/>
      </c>
      <c r="AK24" s="39"/>
      <c r="AL24" s="41"/>
      <c r="AM24" s="41"/>
      <c r="AN24" s="41"/>
      <c r="AP24" s="328">
        <f t="shared" si="24"/>
        <v>-11</v>
      </c>
      <c r="AQ24" s="42"/>
    </row>
    <row r="25" spans="2:43" s="328" customFormat="1" ht="97.5" customHeight="1" x14ac:dyDescent="0.3">
      <c r="B25" s="421"/>
      <c r="C25" s="24">
        <f t="shared" si="12"/>
        <v>3</v>
      </c>
      <c r="D25" s="43" t="s">
        <v>32</v>
      </c>
      <c r="E25" s="26" t="s">
        <v>29</v>
      </c>
      <c r="F25" s="25">
        <v>8</v>
      </c>
      <c r="G25" s="124"/>
      <c r="H25" s="124" t="e">
        <f t="shared" si="13"/>
        <v>#DIV/0!</v>
      </c>
      <c r="I25" s="123"/>
      <c r="J25" s="123"/>
      <c r="K25" s="123"/>
      <c r="L25" s="123"/>
      <c r="M25" s="123"/>
      <c r="N25" s="129"/>
      <c r="O25" s="123"/>
      <c r="P25" s="123"/>
      <c r="Q25" s="123"/>
      <c r="R25" s="123"/>
      <c r="S25" s="124">
        <f t="shared" si="14"/>
        <v>0</v>
      </c>
      <c r="T25" s="27">
        <f t="shared" si="15"/>
        <v>528</v>
      </c>
      <c r="U25" s="28">
        <f>+H64</f>
        <v>0</v>
      </c>
      <c r="V25" s="44">
        <f t="shared" si="16"/>
        <v>0</v>
      </c>
      <c r="W25" s="45">
        <f t="shared" si="17"/>
        <v>0</v>
      </c>
      <c r="X25" s="46">
        <f>+K64</f>
        <v>0</v>
      </c>
      <c r="Y25" s="29">
        <f t="shared" si="18"/>
        <v>0</v>
      </c>
      <c r="Z25" s="47">
        <f t="shared" si="19"/>
        <v>0</v>
      </c>
      <c r="AA25" s="48">
        <f t="shared" si="20"/>
        <v>0</v>
      </c>
      <c r="AB25" s="49">
        <f t="shared" si="21"/>
        <v>0</v>
      </c>
      <c r="AC25" s="384">
        <f t="shared" si="22"/>
        <v>0</v>
      </c>
      <c r="AD25" s="50" t="str">
        <f t="shared" si="23"/>
        <v xml:space="preserve"> 사유?→</v>
      </c>
      <c r="AE25" s="36"/>
      <c r="AF25" s="37">
        <f>AG25-F25</f>
        <v>-8</v>
      </c>
      <c r="AG25" s="38">
        <f>AN25</f>
        <v>0</v>
      </c>
      <c r="AH25" s="328" t="s">
        <v>36</v>
      </c>
      <c r="AI25" s="39"/>
      <c r="AJ25" s="40" t="str">
        <f>IFERROR(Z25/W25*1000,"")</f>
        <v/>
      </c>
      <c r="AK25" s="39"/>
      <c r="AL25" s="41"/>
      <c r="AM25" s="41"/>
      <c r="AN25" s="41"/>
      <c r="AP25" s="328">
        <f t="shared" si="24"/>
        <v>-8</v>
      </c>
      <c r="AQ25" s="42"/>
    </row>
    <row r="26" spans="2:43" s="328" customFormat="1" ht="115.5" customHeight="1" x14ac:dyDescent="0.3">
      <c r="B26" s="421"/>
      <c r="C26" s="24">
        <f t="shared" si="12"/>
        <v>4</v>
      </c>
      <c r="D26" s="43" t="s">
        <v>35</v>
      </c>
      <c r="E26" s="26" t="s">
        <v>29</v>
      </c>
      <c r="F26" s="25">
        <v>8</v>
      </c>
      <c r="G26" s="124"/>
      <c r="H26" s="124" t="e">
        <f t="shared" si="13"/>
        <v>#DIV/0!</v>
      </c>
      <c r="I26" s="123"/>
      <c r="J26" s="123"/>
      <c r="K26" s="123"/>
      <c r="L26" s="123"/>
      <c r="M26" s="123"/>
      <c r="N26" s="129"/>
      <c r="O26" s="123"/>
      <c r="P26" s="123"/>
      <c r="Q26" s="123"/>
      <c r="R26" s="123"/>
      <c r="S26" s="124">
        <f t="shared" si="14"/>
        <v>0</v>
      </c>
      <c r="T26" s="27">
        <f t="shared" si="15"/>
        <v>528</v>
      </c>
      <c r="U26" s="28">
        <f>+H67</f>
        <v>0</v>
      </c>
      <c r="V26" s="44">
        <f t="shared" si="16"/>
        <v>0</v>
      </c>
      <c r="W26" s="45">
        <f t="shared" si="17"/>
        <v>0</v>
      </c>
      <c r="X26" s="46">
        <f>+K67</f>
        <v>0</v>
      </c>
      <c r="Y26" s="44">
        <f t="shared" si="18"/>
        <v>0</v>
      </c>
      <c r="Z26" s="47">
        <f t="shared" si="19"/>
        <v>0</v>
      </c>
      <c r="AA26" s="48">
        <f t="shared" si="20"/>
        <v>0</v>
      </c>
      <c r="AB26" s="49">
        <f t="shared" si="21"/>
        <v>0</v>
      </c>
      <c r="AC26" s="384">
        <f t="shared" si="22"/>
        <v>0</v>
      </c>
      <c r="AD26" s="50" t="str">
        <f t="shared" si="23"/>
        <v xml:space="preserve"> 사유?→</v>
      </c>
      <c r="AE26" s="36"/>
      <c r="AF26" s="37">
        <f>AG26-F26</f>
        <v>-8</v>
      </c>
      <c r="AG26" s="38">
        <f>AN26</f>
        <v>0</v>
      </c>
      <c r="AH26" s="328" t="s">
        <v>33</v>
      </c>
      <c r="AI26" s="39"/>
      <c r="AJ26" s="40" t="str">
        <f>IFERROR(Z26/W26*1000,"")</f>
        <v/>
      </c>
      <c r="AK26" s="39"/>
      <c r="AL26" s="41"/>
      <c r="AM26" s="41"/>
      <c r="AN26" s="41"/>
      <c r="AP26" s="328">
        <f t="shared" si="24"/>
        <v>-8</v>
      </c>
      <c r="AQ26" s="42"/>
    </row>
    <row r="27" spans="2:43" s="328" customFormat="1" ht="104.25" customHeight="1" x14ac:dyDescent="0.3">
      <c r="B27" s="421"/>
      <c r="C27" s="24">
        <f t="shared" si="12"/>
        <v>5</v>
      </c>
      <c r="D27" s="43" t="s">
        <v>37</v>
      </c>
      <c r="E27" s="26" t="s">
        <v>33</v>
      </c>
      <c r="F27" s="25"/>
      <c r="G27" s="125"/>
      <c r="H27" s="130" t="e">
        <f t="shared" si="13"/>
        <v>#DIV/0!</v>
      </c>
      <c r="I27" s="123"/>
      <c r="J27" s="123"/>
      <c r="K27" s="123"/>
      <c r="L27" s="123"/>
      <c r="M27" s="123"/>
      <c r="N27" s="129"/>
      <c r="O27" s="123"/>
      <c r="P27" s="123"/>
      <c r="Q27" s="123"/>
      <c r="R27" s="123"/>
      <c r="S27" s="125">
        <f t="shared" si="14"/>
        <v>0</v>
      </c>
      <c r="T27" s="27">
        <f t="shared" si="15"/>
        <v>0</v>
      </c>
      <c r="U27" s="28">
        <f>+H70</f>
        <v>0</v>
      </c>
      <c r="V27" s="44" t="str">
        <f t="shared" si="16"/>
        <v>휴무</v>
      </c>
      <c r="W27" s="45">
        <f t="shared" si="17"/>
        <v>0</v>
      </c>
      <c r="X27" s="46">
        <f>+K70</f>
        <v>0</v>
      </c>
      <c r="Y27" s="44" t="str">
        <f t="shared" si="18"/>
        <v>휴무</v>
      </c>
      <c r="Z27" s="47">
        <f t="shared" si="19"/>
        <v>0</v>
      </c>
      <c r="AA27" s="48" t="str">
        <f t="shared" si="20"/>
        <v>휴무</v>
      </c>
      <c r="AB27" s="49" t="str">
        <f t="shared" si="21"/>
        <v>휴무</v>
      </c>
      <c r="AC27" s="384" t="str">
        <f t="shared" si="22"/>
        <v>휴무</v>
      </c>
      <c r="AD27" s="50" t="str">
        <f t="shared" si="23"/>
        <v>휴무</v>
      </c>
      <c r="AE27" s="36"/>
      <c r="AF27" s="37">
        <f>AG27-F27</f>
        <v>0</v>
      </c>
      <c r="AG27" s="38">
        <f>AN27</f>
        <v>0</v>
      </c>
      <c r="AH27" s="328" t="s">
        <v>46</v>
      </c>
      <c r="AI27" s="39"/>
      <c r="AJ27" s="40" t="str">
        <f>IFERROR(Z27/W27*1000,"")</f>
        <v/>
      </c>
      <c r="AL27" s="41"/>
      <c r="AM27" s="41"/>
      <c r="AN27" s="41"/>
      <c r="AP27" s="328">
        <f t="shared" si="24"/>
        <v>0</v>
      </c>
      <c r="AQ27" s="42"/>
    </row>
    <row r="28" spans="2:43" s="328" customFormat="1" ht="104.25" customHeight="1" x14ac:dyDescent="0.3">
      <c r="B28" s="421"/>
      <c r="C28" s="24">
        <f t="shared" si="12"/>
        <v>6</v>
      </c>
      <c r="D28" s="43" t="s">
        <v>47</v>
      </c>
      <c r="E28" s="26" t="s">
        <v>36</v>
      </c>
      <c r="F28" s="25">
        <v>8</v>
      </c>
      <c r="G28" s="124"/>
      <c r="H28" s="124" t="e">
        <f t="shared" si="13"/>
        <v>#DIV/0!</v>
      </c>
      <c r="I28" s="123"/>
      <c r="J28" s="123"/>
      <c r="K28" s="123"/>
      <c r="L28" s="123"/>
      <c r="M28" s="121"/>
      <c r="N28" s="123"/>
      <c r="O28" s="121"/>
      <c r="P28" s="121"/>
      <c r="Q28" s="123"/>
      <c r="R28" s="123"/>
      <c r="S28" s="124">
        <f t="shared" si="14"/>
        <v>0</v>
      </c>
      <c r="T28" s="323">
        <f t="shared" si="15"/>
        <v>528</v>
      </c>
      <c r="U28" s="28">
        <f>+H73</f>
        <v>0</v>
      </c>
      <c r="V28" s="29">
        <f t="shared" si="16"/>
        <v>0</v>
      </c>
      <c r="W28" s="30">
        <f t="shared" si="17"/>
        <v>0</v>
      </c>
      <c r="X28" s="31">
        <f>+K73</f>
        <v>0</v>
      </c>
      <c r="Y28" s="44">
        <f t="shared" si="18"/>
        <v>0</v>
      </c>
      <c r="Z28" s="47">
        <f t="shared" si="19"/>
        <v>0</v>
      </c>
      <c r="AA28" s="48">
        <f t="shared" si="20"/>
        <v>0</v>
      </c>
      <c r="AB28" s="49">
        <f t="shared" si="21"/>
        <v>0</v>
      </c>
      <c r="AC28" s="384">
        <f t="shared" si="22"/>
        <v>0</v>
      </c>
      <c r="AD28" s="50" t="str">
        <f t="shared" si="23"/>
        <v xml:space="preserve"> 사유?→</v>
      </c>
      <c r="AE28" s="36"/>
      <c r="AF28" s="37"/>
      <c r="AG28" s="38"/>
      <c r="AI28" s="39"/>
      <c r="AJ28" s="40"/>
      <c r="AL28" s="41"/>
      <c r="AM28" s="41"/>
      <c r="AN28" s="41"/>
      <c r="AP28" s="328">
        <f t="shared" si="24"/>
        <v>-8</v>
      </c>
      <c r="AQ28" s="42"/>
    </row>
    <row r="29" spans="2:43" s="328" customFormat="1" ht="36" customHeight="1" x14ac:dyDescent="0.3">
      <c r="B29" s="422" t="s">
        <v>39</v>
      </c>
      <c r="C29" s="423"/>
      <c r="D29" s="423"/>
      <c r="E29" s="424"/>
      <c r="F29" s="43">
        <f>SUM(F23:F28)</f>
        <v>43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2838</v>
      </c>
      <c r="U29" s="53">
        <f>SUM(U23:U28)</f>
        <v>0</v>
      </c>
      <c r="V29" s="54">
        <f>U29/F29</f>
        <v>0</v>
      </c>
      <c r="W29" s="45">
        <f t="shared" si="17"/>
        <v>0</v>
      </c>
      <c r="X29" s="55">
        <f>SUM(X23:X28)</f>
        <v>0</v>
      </c>
      <c r="Y29" s="44">
        <f>X29/F29</f>
        <v>0</v>
      </c>
      <c r="Z29" s="47">
        <f t="shared" si="19"/>
        <v>0</v>
      </c>
      <c r="AA29" s="56">
        <f>U29/T29*AA20</f>
        <v>0</v>
      </c>
      <c r="AB29" s="57">
        <f>X29/T29*AB20</f>
        <v>0</v>
      </c>
      <c r="AC29" s="385">
        <f t="shared" si="22"/>
        <v>0</v>
      </c>
      <c r="AD29" s="58" t="str">
        <f t="shared" si="23"/>
        <v xml:space="preserve"> 사유?→</v>
      </c>
      <c r="AE29" s="43"/>
      <c r="AF29" s="37">
        <f>AG29-F29</f>
        <v>-43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8.6</v>
      </c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61">
        <f>V30*F30</f>
        <v>0</v>
      </c>
      <c r="V30" s="62">
        <f>U29/F29</f>
        <v>0</v>
      </c>
      <c r="W30" s="63">
        <f>IFERROR(U30/#REF!,0)</f>
        <v>0</v>
      </c>
      <c r="X30" s="64">
        <f>X29/F29*F30</f>
        <v>0</v>
      </c>
      <c r="Y30" s="62">
        <f>IF(F30=0,"휴무",X30/F30)</f>
        <v>0</v>
      </c>
      <c r="Z30" s="65">
        <f>IFERROR(X30/#REF!,0)</f>
        <v>0</v>
      </c>
      <c r="AA30" s="60">
        <f>AVERAGE(AA23:AA28)</f>
        <v>0</v>
      </c>
      <c r="AB30" s="60">
        <f>AVERAGE(AB23:AB28)</f>
        <v>0</v>
      </c>
      <c r="AC30" s="141">
        <f>AA30+AB30</f>
        <v>0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328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1</v>
      </c>
      <c r="F36" s="455" t="s">
        <v>7</v>
      </c>
      <c r="G36" s="82" t="s">
        <v>48</v>
      </c>
      <c r="H36" s="83"/>
      <c r="I36" s="84"/>
      <c r="J36" s="85"/>
      <c r="K36" s="86"/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0</v>
      </c>
      <c r="I38" s="88"/>
      <c r="J38" s="89"/>
      <c r="K38" s="90">
        <f>+K36+K37*2</f>
        <v>0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2</v>
      </c>
      <c r="F39" s="455" t="s">
        <v>52</v>
      </c>
      <c r="G39" s="82" t="s">
        <v>48</v>
      </c>
      <c r="H39" s="83"/>
      <c r="I39" s="84"/>
      <c r="J39" s="85"/>
      <c r="K39" s="86"/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0</v>
      </c>
      <c r="I41" s="88"/>
      <c r="J41" s="89"/>
      <c r="K41" s="90">
        <f>+K39+K40*2</f>
        <v>0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3</v>
      </c>
      <c r="F42" s="455" t="s">
        <v>53</v>
      </c>
      <c r="G42" s="82" t="s">
        <v>48</v>
      </c>
      <c r="H42" s="83"/>
      <c r="I42" s="84"/>
      <c r="J42" s="85"/>
      <c r="K42" s="86"/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0</v>
      </c>
      <c r="I44" s="88"/>
      <c r="J44" s="89"/>
      <c r="K44" s="90">
        <f>+K42+K43*2</f>
        <v>0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4</v>
      </c>
      <c r="F45" s="455" t="s">
        <v>55</v>
      </c>
      <c r="G45" s="82" t="s">
        <v>48</v>
      </c>
      <c r="H45" s="83"/>
      <c r="I45" s="84"/>
      <c r="J45" s="85"/>
      <c r="K45" s="86"/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0</v>
      </c>
      <c r="I47" s="88"/>
      <c r="J47" s="89"/>
      <c r="K47" s="90">
        <f>+K45+K46*2</f>
        <v>0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5</v>
      </c>
      <c r="F48" s="455" t="s">
        <v>56</v>
      </c>
      <c r="G48" s="82" t="s">
        <v>48</v>
      </c>
      <c r="H48" s="83"/>
      <c r="I48" s="84"/>
      <c r="J48" s="85"/>
      <c r="K48" s="86"/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0</v>
      </c>
      <c r="I50" s="88"/>
      <c r="J50" s="89"/>
      <c r="K50" s="90">
        <f>+K48+K49*2</f>
        <v>0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6</v>
      </c>
      <c r="F51" s="455" t="s">
        <v>38</v>
      </c>
      <c r="G51" s="82" t="s">
        <v>48</v>
      </c>
      <c r="H51" s="83"/>
      <c r="I51" s="84"/>
      <c r="J51" s="85"/>
      <c r="K51" s="86"/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0</v>
      </c>
      <c r="I53" s="88"/>
      <c r="J53" s="89"/>
      <c r="K53" s="90">
        <f>+K51+K52*2</f>
        <v>0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1</v>
      </c>
      <c r="F56" s="455" t="s">
        <v>7</v>
      </c>
      <c r="G56" s="82" t="s">
        <v>48</v>
      </c>
      <c r="H56" s="83"/>
      <c r="I56" s="84"/>
      <c r="J56" s="85"/>
      <c r="K56" s="86"/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/>
      <c r="I57" s="84"/>
      <c r="J57" s="85"/>
      <c r="K57" s="86"/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0</v>
      </c>
      <c r="I58" s="88"/>
      <c r="J58" s="89"/>
      <c r="K58" s="90">
        <f>+K56+K57*2</f>
        <v>0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2</v>
      </c>
      <c r="F59" s="455" t="s">
        <v>52</v>
      </c>
      <c r="G59" s="82" t="s">
        <v>48</v>
      </c>
      <c r="H59" s="83"/>
      <c r="I59" s="84"/>
      <c r="J59" s="85"/>
      <c r="K59" s="86"/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/>
      <c r="I60" s="84"/>
      <c r="J60" s="85"/>
      <c r="K60" s="86"/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0</v>
      </c>
      <c r="I61" s="88"/>
      <c r="J61" s="89"/>
      <c r="K61" s="90">
        <f>+K59+K60*2</f>
        <v>0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3</v>
      </c>
      <c r="F62" s="455" t="s">
        <v>53</v>
      </c>
      <c r="G62" s="82" t="s">
        <v>48</v>
      </c>
      <c r="H62" s="83"/>
      <c r="I62" s="84"/>
      <c r="J62" s="85"/>
      <c r="K62" s="86"/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/>
      <c r="I63" s="84"/>
      <c r="J63" s="85"/>
      <c r="K63" s="86"/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0</v>
      </c>
      <c r="I64" s="88"/>
      <c r="J64" s="89"/>
      <c r="K64" s="90">
        <f>+K62+K63*2</f>
        <v>0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4</v>
      </c>
      <c r="F65" s="455" t="s">
        <v>55</v>
      </c>
      <c r="G65" s="82" t="s">
        <v>48</v>
      </c>
      <c r="H65" s="83"/>
      <c r="I65" s="84"/>
      <c r="J65" s="85"/>
      <c r="K65" s="86"/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/>
      <c r="I66" s="84"/>
      <c r="J66" s="85"/>
      <c r="K66" s="86"/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0</v>
      </c>
      <c r="I67" s="88"/>
      <c r="J67" s="89"/>
      <c r="K67" s="90">
        <f>+K65+K66*2</f>
        <v>0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5</v>
      </c>
      <c r="F68" s="455" t="s">
        <v>56</v>
      </c>
      <c r="G68" s="82" t="s">
        <v>48</v>
      </c>
      <c r="H68" s="83"/>
      <c r="I68" s="84"/>
      <c r="J68" s="85"/>
      <c r="K68" s="86"/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/>
      <c r="I69" s="84"/>
      <c r="J69" s="85"/>
      <c r="K69" s="86"/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0</v>
      </c>
      <c r="I70" s="88"/>
      <c r="J70" s="89"/>
      <c r="K70" s="90">
        <f>+K68+K69*2</f>
        <v>0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6</v>
      </c>
      <c r="F71" s="455" t="s">
        <v>38</v>
      </c>
      <c r="G71" s="82" t="s">
        <v>48</v>
      </c>
      <c r="H71" s="83"/>
      <c r="I71" s="84"/>
      <c r="J71" s="85"/>
      <c r="K71" s="86"/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0</v>
      </c>
      <c r="I73" s="88"/>
      <c r="J73" s="89"/>
      <c r="K73" s="90">
        <f>+K71+K72*2</f>
        <v>0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322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5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6">IF(F80=0,"휴무",AA80+AB80)</f>
        <v>#REF!</v>
      </c>
      <c r="AD80" s="103" t="e">
        <f t="shared" ref="AD80:AD85" si="27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328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328"/>
      <c r="AP80" s="328">
        <f>AO80-F80</f>
        <v>-10</v>
      </c>
    </row>
    <row r="81" spans="2:42" ht="98.25" customHeight="1" x14ac:dyDescent="0.3">
      <c r="B81" s="459"/>
      <c r="C81" s="92">
        <v>20</v>
      </c>
      <c r="D81" s="329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5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6"/>
        <v>#REF!</v>
      </c>
      <c r="AD81" s="108" t="e">
        <f t="shared" si="27"/>
        <v>#REF!</v>
      </c>
      <c r="AE81" s="109"/>
      <c r="AF81" s="37">
        <f>AG81-F81</f>
        <v>-10</v>
      </c>
      <c r="AG81" s="38">
        <f>AN81</f>
        <v>0</v>
      </c>
      <c r="AH81" s="328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328"/>
      <c r="AP81" s="328">
        <f>AO81-F81</f>
        <v>-10</v>
      </c>
    </row>
    <row r="82" spans="2:42" ht="98.25" customHeight="1" x14ac:dyDescent="0.3">
      <c r="B82" s="459"/>
      <c r="C82" s="92">
        <v>21</v>
      </c>
      <c r="D82" s="329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5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6"/>
        <v>#REF!</v>
      </c>
      <c r="AD82" s="108" t="e">
        <f t="shared" si="27"/>
        <v>#REF!</v>
      </c>
      <c r="AE82" s="109"/>
      <c r="AF82" s="37">
        <f>AG82-F82</f>
        <v>-10</v>
      </c>
      <c r="AG82" s="38">
        <f>AN82</f>
        <v>0</v>
      </c>
      <c r="AH82" s="328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328"/>
      <c r="AP82" s="328">
        <f>AO82-F82</f>
        <v>-10</v>
      </c>
    </row>
    <row r="83" spans="2:42" ht="98.25" customHeight="1" x14ac:dyDescent="0.3">
      <c r="B83" s="459"/>
      <c r="C83" s="92">
        <v>22</v>
      </c>
      <c r="D83" s="329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5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6"/>
        <v>#REF!</v>
      </c>
      <c r="AD83" s="110" t="e">
        <f t="shared" si="27"/>
        <v>#REF!</v>
      </c>
      <c r="AE83" s="104"/>
      <c r="AF83" s="37">
        <f>AG83-F83</f>
        <v>-10</v>
      </c>
      <c r="AG83" s="38">
        <f>AN83</f>
        <v>0</v>
      </c>
      <c r="AH83" s="328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328"/>
      <c r="AP83" s="328">
        <f>AO83-F83</f>
        <v>-10</v>
      </c>
    </row>
    <row r="84" spans="2:42" ht="98.25" customHeight="1" x14ac:dyDescent="0.3">
      <c r="B84" s="459"/>
      <c r="C84" s="92">
        <v>23</v>
      </c>
      <c r="D84" s="329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5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6"/>
        <v>#REF!</v>
      </c>
      <c r="AD84" s="110" t="e">
        <f t="shared" si="27"/>
        <v>#REF!</v>
      </c>
      <c r="AE84" s="104"/>
      <c r="AF84" s="37">
        <f>AG84-F84</f>
        <v>-10</v>
      </c>
      <c r="AG84" s="38">
        <f>AN84</f>
        <v>0</v>
      </c>
      <c r="AH84" s="328" t="s">
        <v>46</v>
      </c>
      <c r="AI84" s="39"/>
      <c r="AJ84" s="40" t="str">
        <f>IFERROR(Z84/W84*1000,"")</f>
        <v/>
      </c>
      <c r="AK84" s="328"/>
      <c r="AL84" s="41"/>
      <c r="AM84" s="41"/>
      <c r="AN84" s="41"/>
      <c r="AO84" s="328"/>
      <c r="AP84" s="328">
        <f>AO84-F84</f>
        <v>-10</v>
      </c>
    </row>
    <row r="85" spans="2:42" ht="98.25" customHeight="1" x14ac:dyDescent="0.3">
      <c r="B85" s="459"/>
      <c r="C85" s="92">
        <v>25</v>
      </c>
      <c r="D85" s="329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326"/>
      <c r="H85" s="326"/>
      <c r="I85" s="326"/>
      <c r="J85" s="326"/>
      <c r="K85" s="326"/>
      <c r="L85" s="326"/>
      <c r="M85" s="326"/>
      <c r="N85" s="326"/>
      <c r="O85" s="326"/>
      <c r="P85" s="326"/>
      <c r="Q85" s="326"/>
      <c r="R85" s="326"/>
      <c r="S85" s="326"/>
      <c r="T85" s="326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5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6"/>
        <v>휴무</v>
      </c>
      <c r="AD85" s="110" t="str">
        <f t="shared" si="27"/>
        <v>휴무</v>
      </c>
      <c r="AE85" s="104"/>
      <c r="AF85" s="37"/>
      <c r="AG85" s="38"/>
      <c r="AH85" s="328"/>
      <c r="AI85" s="39"/>
      <c r="AJ85" s="40"/>
      <c r="AK85" s="328"/>
      <c r="AL85" s="41"/>
      <c r="AM85" s="41"/>
      <c r="AN85" s="41"/>
      <c r="AO85" s="328"/>
      <c r="AP85" s="328"/>
    </row>
    <row r="86" spans="2:42" ht="36" customHeight="1" x14ac:dyDescent="0.3">
      <c r="B86" s="460" t="s">
        <v>39</v>
      </c>
      <c r="C86" s="461"/>
      <c r="D86" s="461"/>
      <c r="E86" s="462"/>
      <c r="F86" s="329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329"/>
      <c r="AB86" s="325"/>
      <c r="AC86" s="114"/>
      <c r="AD86" s="115"/>
      <c r="AE86" s="327"/>
      <c r="AF86" s="37">
        <f>AG86-F86</f>
        <v>-50</v>
      </c>
      <c r="AG86" s="38">
        <f>SUM(AG80:AG85)</f>
        <v>0</v>
      </c>
      <c r="AH86" s="328"/>
      <c r="AI86" s="328"/>
      <c r="AJ86" s="40"/>
      <c r="AK86" s="328"/>
      <c r="AL86" s="59"/>
      <c r="AM86" s="59"/>
      <c r="AN86" s="59"/>
      <c r="AO86" s="328"/>
      <c r="AP86" s="328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326"/>
      <c r="H87" s="326"/>
      <c r="I87" s="326"/>
      <c r="J87" s="326"/>
      <c r="K87" s="326"/>
      <c r="L87" s="326"/>
      <c r="M87" s="326"/>
      <c r="N87" s="326"/>
      <c r="O87" s="326"/>
      <c r="P87" s="326"/>
      <c r="Q87" s="326"/>
      <c r="R87" s="326"/>
      <c r="S87" s="326"/>
      <c r="T87" s="326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328"/>
      <c r="AE88" s="328"/>
      <c r="AF88" s="328"/>
      <c r="AG88" s="328"/>
      <c r="AH88" s="328"/>
      <c r="AI88" s="328"/>
      <c r="AJ88" s="328"/>
      <c r="AK88" s="328"/>
      <c r="AL88" s="59"/>
      <c r="AM88" s="59"/>
      <c r="AN88" s="59"/>
      <c r="AO88" s="328"/>
      <c r="AP88" s="328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329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329" t="s">
        <v>63</v>
      </c>
      <c r="D117" s="466" t="s">
        <v>12</v>
      </c>
      <c r="E117" s="466"/>
      <c r="F117" s="329" t="s">
        <v>64</v>
      </c>
      <c r="G117" s="329"/>
      <c r="H117" s="329"/>
      <c r="I117" s="329"/>
      <c r="J117" s="329"/>
      <c r="K117" s="329"/>
      <c r="L117" s="329"/>
      <c r="M117" s="329"/>
      <c r="N117" s="329"/>
      <c r="O117" s="329"/>
      <c r="P117" s="329"/>
      <c r="Q117" s="329"/>
      <c r="R117" s="329"/>
      <c r="S117" s="329"/>
      <c r="T117" s="329"/>
      <c r="U117" s="329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329"/>
      <c r="G118" s="329"/>
      <c r="H118" s="329"/>
      <c r="I118" s="329"/>
      <c r="J118" s="329"/>
      <c r="K118" s="329"/>
      <c r="L118" s="329"/>
      <c r="M118" s="329"/>
      <c r="N118" s="329"/>
      <c r="O118" s="329"/>
      <c r="P118" s="329"/>
      <c r="Q118" s="329"/>
      <c r="R118" s="329"/>
      <c r="S118" s="329"/>
      <c r="T118" s="329"/>
      <c r="U118" s="329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329"/>
      <c r="G119" s="329"/>
      <c r="H119" s="329"/>
      <c r="I119" s="329"/>
      <c r="J119" s="329"/>
      <c r="K119" s="329"/>
      <c r="L119" s="329"/>
      <c r="M119" s="329"/>
      <c r="N119" s="329"/>
      <c r="O119" s="329"/>
      <c r="P119" s="329"/>
      <c r="Q119" s="329"/>
      <c r="R119" s="329"/>
      <c r="S119" s="329"/>
      <c r="T119" s="329"/>
      <c r="U119" s="329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29"/>
      <c r="Q120" s="329"/>
      <c r="R120" s="329"/>
      <c r="S120" s="329"/>
      <c r="T120" s="329"/>
      <c r="U120" s="329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329"/>
      <c r="G121" s="329"/>
      <c r="H121" s="329"/>
      <c r="I121" s="329"/>
      <c r="J121" s="329"/>
      <c r="K121" s="329"/>
      <c r="L121" s="329"/>
      <c r="M121" s="329"/>
      <c r="N121" s="329"/>
      <c r="O121" s="329"/>
      <c r="P121" s="329"/>
      <c r="Q121" s="329"/>
      <c r="R121" s="329"/>
      <c r="S121" s="329"/>
      <c r="T121" s="329"/>
      <c r="U121" s="329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329"/>
      <c r="G122" s="329"/>
      <c r="H122" s="329"/>
      <c r="I122" s="329"/>
      <c r="J122" s="329"/>
      <c r="K122" s="329"/>
      <c r="L122" s="329"/>
      <c r="M122" s="329"/>
      <c r="N122" s="329"/>
      <c r="O122" s="329"/>
      <c r="P122" s="329"/>
      <c r="Q122" s="329"/>
      <c r="R122" s="329"/>
      <c r="S122" s="329"/>
      <c r="T122" s="329"/>
      <c r="U122" s="329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117"/>
      <c r="W123" s="118"/>
      <c r="X123" s="116"/>
      <c r="Y123" s="117"/>
      <c r="Z123" s="116"/>
      <c r="AA123" s="116"/>
    </row>
    <row r="124" spans="3:27" x14ac:dyDescent="0.3">
      <c r="C124" s="329"/>
      <c r="D124" s="460"/>
      <c r="E124" s="462"/>
      <c r="F124" s="329"/>
      <c r="G124" s="329"/>
      <c r="H124" s="329"/>
      <c r="I124" s="329"/>
      <c r="J124" s="329"/>
      <c r="K124" s="329"/>
      <c r="L124" s="329"/>
      <c r="M124" s="329"/>
      <c r="N124" s="329"/>
      <c r="O124" s="329"/>
      <c r="P124" s="329"/>
      <c r="Q124" s="329"/>
      <c r="R124" s="329"/>
      <c r="S124" s="329"/>
      <c r="T124" s="329"/>
      <c r="U124" s="329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329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329" t="s">
        <v>63</v>
      </c>
      <c r="D127" s="466" t="s">
        <v>12</v>
      </c>
      <c r="E127" s="466"/>
      <c r="F127" s="329" t="s">
        <v>64</v>
      </c>
      <c r="G127" s="329"/>
      <c r="H127" s="329"/>
      <c r="I127" s="329"/>
      <c r="J127" s="329"/>
      <c r="K127" s="329"/>
      <c r="L127" s="329"/>
      <c r="M127" s="329"/>
      <c r="N127" s="329"/>
      <c r="O127" s="329"/>
      <c r="P127" s="329"/>
      <c r="Q127" s="329"/>
      <c r="R127" s="329"/>
      <c r="S127" s="329"/>
      <c r="T127" s="329"/>
      <c r="U127" s="329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329"/>
      <c r="G128" s="329"/>
      <c r="H128" s="329"/>
      <c r="I128" s="329"/>
      <c r="J128" s="329"/>
      <c r="K128" s="329"/>
      <c r="L128" s="329"/>
      <c r="M128" s="329"/>
      <c r="N128" s="329"/>
      <c r="O128" s="329"/>
      <c r="P128" s="329"/>
      <c r="Q128" s="329"/>
      <c r="R128" s="329"/>
      <c r="S128" s="329"/>
      <c r="T128" s="329"/>
      <c r="U128" s="329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329"/>
      <c r="G129" s="329"/>
      <c r="H129" s="329"/>
      <c r="I129" s="329"/>
      <c r="J129" s="329"/>
      <c r="K129" s="329"/>
      <c r="L129" s="329"/>
      <c r="M129" s="329"/>
      <c r="N129" s="329"/>
      <c r="O129" s="329"/>
      <c r="P129" s="329"/>
      <c r="Q129" s="329"/>
      <c r="R129" s="329"/>
      <c r="S129" s="329"/>
      <c r="T129" s="329"/>
      <c r="U129" s="329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329"/>
      <c r="G130" s="329"/>
      <c r="H130" s="329"/>
      <c r="I130" s="329"/>
      <c r="J130" s="329"/>
      <c r="K130" s="329"/>
      <c r="L130" s="329"/>
      <c r="M130" s="329"/>
      <c r="N130" s="329"/>
      <c r="O130" s="329"/>
      <c r="P130" s="329"/>
      <c r="Q130" s="329"/>
      <c r="R130" s="329"/>
      <c r="S130" s="329"/>
      <c r="T130" s="329"/>
      <c r="U130" s="329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329"/>
      <c r="G131" s="329"/>
      <c r="H131" s="329"/>
      <c r="I131" s="329"/>
      <c r="J131" s="329"/>
      <c r="K131" s="329"/>
      <c r="L131" s="329"/>
      <c r="M131" s="329"/>
      <c r="N131" s="329"/>
      <c r="O131" s="329"/>
      <c r="P131" s="329"/>
      <c r="Q131" s="329"/>
      <c r="R131" s="329"/>
      <c r="S131" s="329"/>
      <c r="T131" s="329"/>
      <c r="U131" s="329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329"/>
      <c r="G132" s="329"/>
      <c r="H132" s="329"/>
      <c r="I132" s="329"/>
      <c r="J132" s="329"/>
      <c r="K132" s="329"/>
      <c r="L132" s="329"/>
      <c r="M132" s="329"/>
      <c r="N132" s="329"/>
      <c r="O132" s="329"/>
      <c r="P132" s="329"/>
      <c r="Q132" s="329"/>
      <c r="R132" s="329"/>
      <c r="S132" s="329"/>
      <c r="T132" s="329"/>
      <c r="U132" s="329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329"/>
      <c r="G133" s="329"/>
      <c r="H133" s="329"/>
      <c r="I133" s="329"/>
      <c r="J133" s="329"/>
      <c r="K133" s="329"/>
      <c r="L133" s="329"/>
      <c r="M133" s="329"/>
      <c r="N133" s="329"/>
      <c r="O133" s="329"/>
      <c r="P133" s="329"/>
      <c r="Q133" s="329"/>
      <c r="R133" s="329"/>
      <c r="S133" s="329"/>
      <c r="T133" s="329"/>
      <c r="U133" s="329"/>
      <c r="V133" s="117"/>
      <c r="W133" s="118"/>
      <c r="X133" s="116"/>
      <c r="Y133" s="117"/>
      <c r="Z133" s="116"/>
      <c r="AA133" s="116"/>
    </row>
    <row r="134" spans="3:27" x14ac:dyDescent="0.3">
      <c r="C134" s="329"/>
      <c r="D134" s="460"/>
      <c r="E134" s="462"/>
      <c r="F134" s="329"/>
      <c r="G134" s="329"/>
      <c r="H134" s="329"/>
      <c r="I134" s="329"/>
      <c r="J134" s="329"/>
      <c r="K134" s="329"/>
      <c r="L134" s="329"/>
      <c r="M134" s="329"/>
      <c r="N134" s="329"/>
      <c r="O134" s="329"/>
      <c r="P134" s="329"/>
      <c r="Q134" s="329"/>
      <c r="R134" s="329"/>
      <c r="S134" s="329"/>
      <c r="T134" s="329"/>
      <c r="U134" s="329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329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329" t="s">
        <v>63</v>
      </c>
      <c r="D137" s="466" t="s">
        <v>12</v>
      </c>
      <c r="E137" s="466"/>
      <c r="F137" s="329" t="s">
        <v>64</v>
      </c>
      <c r="G137" s="329"/>
      <c r="H137" s="329"/>
      <c r="I137" s="329"/>
      <c r="J137" s="329"/>
      <c r="K137" s="329"/>
      <c r="L137" s="329"/>
      <c r="M137" s="329"/>
      <c r="N137" s="329"/>
      <c r="O137" s="329"/>
      <c r="P137" s="329"/>
      <c r="Q137" s="329"/>
      <c r="R137" s="329"/>
      <c r="S137" s="329"/>
      <c r="T137" s="329"/>
      <c r="U137" s="329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329"/>
      <c r="G138" s="329"/>
      <c r="H138" s="329"/>
      <c r="I138" s="329"/>
      <c r="J138" s="329"/>
      <c r="K138" s="329"/>
      <c r="L138" s="329"/>
      <c r="M138" s="329"/>
      <c r="N138" s="329"/>
      <c r="O138" s="329"/>
      <c r="P138" s="329"/>
      <c r="Q138" s="329"/>
      <c r="R138" s="329"/>
      <c r="S138" s="329"/>
      <c r="T138" s="329"/>
      <c r="U138" s="329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329"/>
      <c r="G139" s="329"/>
      <c r="H139" s="329"/>
      <c r="I139" s="329"/>
      <c r="J139" s="329"/>
      <c r="K139" s="329"/>
      <c r="L139" s="329"/>
      <c r="M139" s="329"/>
      <c r="N139" s="329"/>
      <c r="O139" s="329"/>
      <c r="P139" s="329"/>
      <c r="Q139" s="329"/>
      <c r="R139" s="329"/>
      <c r="S139" s="329"/>
      <c r="T139" s="329"/>
      <c r="U139" s="329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329"/>
      <c r="G140" s="329"/>
      <c r="H140" s="329"/>
      <c r="I140" s="329"/>
      <c r="J140" s="329"/>
      <c r="K140" s="329"/>
      <c r="L140" s="329"/>
      <c r="M140" s="329"/>
      <c r="N140" s="329"/>
      <c r="O140" s="329"/>
      <c r="P140" s="329"/>
      <c r="Q140" s="329"/>
      <c r="R140" s="329"/>
      <c r="S140" s="329"/>
      <c r="T140" s="329"/>
      <c r="U140" s="329"/>
    </row>
    <row r="141" spans="3:27" x14ac:dyDescent="0.3">
      <c r="C141" s="119">
        <v>45078</v>
      </c>
      <c r="D141" s="466"/>
      <c r="E141" s="466"/>
      <c r="F141" s="329"/>
      <c r="G141" s="329"/>
      <c r="H141" s="329"/>
      <c r="I141" s="329"/>
      <c r="J141" s="329"/>
      <c r="K141" s="329"/>
      <c r="L141" s="329"/>
      <c r="M141" s="329"/>
      <c r="N141" s="329"/>
      <c r="O141" s="329"/>
      <c r="P141" s="329"/>
      <c r="Q141" s="329"/>
      <c r="R141" s="329"/>
      <c r="S141" s="329"/>
      <c r="T141" s="329"/>
      <c r="U141" s="329"/>
    </row>
    <row r="142" spans="3:27" x14ac:dyDescent="0.3">
      <c r="C142" s="119">
        <v>45079</v>
      </c>
      <c r="D142" s="466"/>
      <c r="E142" s="466"/>
      <c r="F142" s="329"/>
      <c r="G142" s="329"/>
      <c r="H142" s="329"/>
      <c r="I142" s="329"/>
      <c r="J142" s="329"/>
      <c r="K142" s="329"/>
      <c r="L142" s="329"/>
      <c r="M142" s="329"/>
      <c r="N142" s="329"/>
      <c r="O142" s="329"/>
      <c r="P142" s="329"/>
      <c r="Q142" s="329"/>
      <c r="R142" s="329"/>
      <c r="S142" s="329"/>
      <c r="T142" s="329"/>
      <c r="U142" s="329"/>
    </row>
    <row r="143" spans="3:27" x14ac:dyDescent="0.3">
      <c r="C143" s="119">
        <v>45080</v>
      </c>
      <c r="D143" s="466"/>
      <c r="E143" s="466"/>
      <c r="F143" s="329"/>
      <c r="G143" s="329"/>
      <c r="H143" s="329"/>
      <c r="I143" s="329"/>
      <c r="J143" s="329"/>
      <c r="K143" s="329"/>
      <c r="L143" s="329"/>
      <c r="M143" s="329"/>
      <c r="N143" s="329"/>
      <c r="O143" s="329"/>
      <c r="P143" s="329"/>
      <c r="Q143" s="329"/>
      <c r="R143" s="329"/>
      <c r="S143" s="329"/>
      <c r="T143" s="329"/>
      <c r="U143" s="329"/>
    </row>
    <row r="144" spans="3:27" x14ac:dyDescent="0.3">
      <c r="C144" s="329"/>
      <c r="D144" s="460"/>
      <c r="E144" s="462"/>
      <c r="F144" s="329"/>
      <c r="G144" s="329"/>
      <c r="H144" s="329"/>
      <c r="I144" s="329"/>
      <c r="J144" s="329"/>
      <c r="K144" s="329"/>
      <c r="L144" s="329"/>
      <c r="M144" s="329"/>
      <c r="N144" s="329"/>
      <c r="O144" s="329"/>
      <c r="P144" s="329"/>
      <c r="Q144" s="329"/>
      <c r="R144" s="329"/>
      <c r="S144" s="329"/>
      <c r="T144" s="329"/>
      <c r="U144" s="329"/>
    </row>
  </sheetData>
  <mergeCells count="111">
    <mergeCell ref="D144:E144"/>
    <mergeCell ref="D138:E138"/>
    <mergeCell ref="D139:E139"/>
    <mergeCell ref="D140:E140"/>
    <mergeCell ref="D141:E141"/>
    <mergeCell ref="D142:E142"/>
    <mergeCell ref="D143:E143"/>
    <mergeCell ref="D130:E130"/>
    <mergeCell ref="D131:E131"/>
    <mergeCell ref="D132:E132"/>
    <mergeCell ref="D133:E133"/>
    <mergeCell ref="D134:E134"/>
    <mergeCell ref="D137:E137"/>
    <mergeCell ref="D122:E122"/>
    <mergeCell ref="D123:E123"/>
    <mergeCell ref="D124:E124"/>
    <mergeCell ref="D127:E127"/>
    <mergeCell ref="D128:E128"/>
    <mergeCell ref="D129:E129"/>
    <mergeCell ref="C114:U114"/>
    <mergeCell ref="D117:E117"/>
    <mergeCell ref="D118:E118"/>
    <mergeCell ref="D119:E119"/>
    <mergeCell ref="D120:E120"/>
    <mergeCell ref="D121:E121"/>
    <mergeCell ref="E101:E103"/>
    <mergeCell ref="F101:F103"/>
    <mergeCell ref="E104:E106"/>
    <mergeCell ref="F104:F106"/>
    <mergeCell ref="E107:E109"/>
    <mergeCell ref="F107:F109"/>
    <mergeCell ref="E92:E94"/>
    <mergeCell ref="F92:F94"/>
    <mergeCell ref="E95:E97"/>
    <mergeCell ref="F95:F97"/>
    <mergeCell ref="E98:E100"/>
    <mergeCell ref="F98:F100"/>
    <mergeCell ref="AC78:AC79"/>
    <mergeCell ref="AD78:AD79"/>
    <mergeCell ref="AE78:AE79"/>
    <mergeCell ref="B80:B85"/>
    <mergeCell ref="B86:E86"/>
    <mergeCell ref="B87:E87"/>
    <mergeCell ref="E71:E73"/>
    <mergeCell ref="F71:F73"/>
    <mergeCell ref="B76:AE76"/>
    <mergeCell ref="B78:B79"/>
    <mergeCell ref="C78:C79"/>
    <mergeCell ref="D78:D79"/>
    <mergeCell ref="E78:E79"/>
    <mergeCell ref="F78:F79"/>
    <mergeCell ref="U78:W78"/>
    <mergeCell ref="X78:Z78"/>
    <mergeCell ref="E62:E64"/>
    <mergeCell ref="F62:F64"/>
    <mergeCell ref="E65:E67"/>
    <mergeCell ref="F65:F67"/>
    <mergeCell ref="E68:E70"/>
    <mergeCell ref="F68:F70"/>
    <mergeCell ref="E51:E53"/>
    <mergeCell ref="F51:F53"/>
    <mergeCell ref="E56:E58"/>
    <mergeCell ref="F56:F58"/>
    <mergeCell ref="E59:E61"/>
    <mergeCell ref="F59:F61"/>
    <mergeCell ref="E45:E47"/>
    <mergeCell ref="F45:F47"/>
    <mergeCell ref="E48:E50"/>
    <mergeCell ref="F48:F50"/>
    <mergeCell ref="B29:E29"/>
    <mergeCell ref="B30:E30"/>
    <mergeCell ref="E36:E38"/>
    <mergeCell ref="F36:F38"/>
    <mergeCell ref="E39:E41"/>
    <mergeCell ref="F39:F41"/>
    <mergeCell ref="AE21:AE22"/>
    <mergeCell ref="B23:B28"/>
    <mergeCell ref="G21:G22"/>
    <mergeCell ref="H21:H22"/>
    <mergeCell ref="I21:S21"/>
    <mergeCell ref="T21:T22"/>
    <mergeCell ref="U21:W21"/>
    <mergeCell ref="X21:Z21"/>
    <mergeCell ref="E42:E44"/>
    <mergeCell ref="F42:F44"/>
    <mergeCell ref="B14:E14"/>
    <mergeCell ref="B21:B22"/>
    <mergeCell ref="C21:C22"/>
    <mergeCell ref="D21:D22"/>
    <mergeCell ref="E21:E22"/>
    <mergeCell ref="F21:F22"/>
    <mergeCell ref="X5:Z5"/>
    <mergeCell ref="AC5:AC6"/>
    <mergeCell ref="AD5:AD6"/>
    <mergeCell ref="AA21:AA22"/>
    <mergeCell ref="AB21:AB22"/>
    <mergeCell ref="AC21:AC22"/>
    <mergeCell ref="AD21:AD22"/>
    <mergeCell ref="AE5:AE6"/>
    <mergeCell ref="B7:B12"/>
    <mergeCell ref="B13:E13"/>
    <mergeCell ref="B2:AE2"/>
    <mergeCell ref="B5:C6"/>
    <mergeCell ref="D5:D6"/>
    <mergeCell ref="E5:E6"/>
    <mergeCell ref="F5:F6"/>
    <mergeCell ref="G5:G6"/>
    <mergeCell ref="H5:H6"/>
    <mergeCell ref="I5:S5"/>
    <mergeCell ref="T5:T6"/>
    <mergeCell ref="U5:W5"/>
  </mergeCells>
  <phoneticPr fontId="4" type="noConversion"/>
  <dataValidations count="4">
    <dataValidation type="list" allowBlank="1" showInputMessage="1" showErrorMessage="1" sqref="E80:E85 E9:E10 E7 E23 E25:E26">
      <formula1>$AH$7:$AH$12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 E24 E12 E28">
      <formula1>$U$7:$U$12</formula1>
    </dataValidation>
    <dataValidation type="list" allowBlank="1" showInputMessage="1" showErrorMessage="1" sqref="E11 E27">
      <formula1>$AG$6:$AG$11</formula1>
    </dataValidation>
  </dataValidations>
  <pageMargins left="0.62992125984251968" right="0.62992125984251968" top="0.94488188976377963" bottom="0.55118110236220474" header="0.31496062992125984" footer="0.31496062992125984"/>
  <pageSetup paperSize="9" scale="26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tabSelected="1" zoomScale="70" zoomScaleNormal="70" workbookViewId="0">
      <pane xSplit="4" ySplit="6" topLeftCell="E10" activePane="bottomRight" state="frozen"/>
      <selection pane="topRight" activeCell="D1" sqref="D1"/>
      <selection pane="bottomLeft" activeCell="A6" sqref="A6"/>
      <selection pane="bottomRight" activeCell="AB23" sqref="AB23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63.625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11.75" hidden="1" customWidth="1"/>
    <col min="44" max="44" width="3.25" customWidth="1"/>
  </cols>
  <sheetData>
    <row r="2" spans="2:52" ht="20.25" x14ac:dyDescent="0.3">
      <c r="B2" s="425" t="s">
        <v>338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414" t="s">
        <v>1</v>
      </c>
      <c r="AY2" s="414" t="s">
        <v>2</v>
      </c>
      <c r="AZ2" s="3" t="s">
        <v>3</v>
      </c>
    </row>
    <row r="3" spans="2:52" ht="45" customHeight="1" x14ac:dyDescent="0.3">
      <c r="B3" s="330" t="s">
        <v>4</v>
      </c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415" t="s">
        <v>68</v>
      </c>
      <c r="J6" s="18" t="s">
        <v>69</v>
      </c>
      <c r="K6" s="18" t="s">
        <v>71</v>
      </c>
      <c r="L6" s="18" t="s">
        <v>72</v>
      </c>
      <c r="M6" s="18" t="s">
        <v>75</v>
      </c>
      <c r="N6" s="18" t="s">
        <v>75</v>
      </c>
      <c r="O6" s="18" t="s">
        <v>75</v>
      </c>
      <c r="P6" s="18" t="s">
        <v>230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415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-40.25</v>
      </c>
    </row>
    <row r="7" spans="2:52" s="412" customFormat="1" ht="99" customHeight="1" thickTop="1" x14ac:dyDescent="0.3">
      <c r="B7" s="420">
        <v>8</v>
      </c>
      <c r="C7" s="24">
        <v>17</v>
      </c>
      <c r="D7" s="25" t="s">
        <v>7</v>
      </c>
      <c r="E7" s="26" t="s">
        <v>33</v>
      </c>
      <c r="F7" s="25"/>
      <c r="G7" s="128"/>
      <c r="H7" s="128"/>
      <c r="I7" s="123"/>
      <c r="J7" s="123"/>
      <c r="K7" s="123"/>
      <c r="L7" s="123"/>
      <c r="M7" s="129"/>
      <c r="N7" s="123"/>
      <c r="O7" s="123"/>
      <c r="P7" s="123"/>
      <c r="Q7" s="123"/>
      <c r="R7" s="123"/>
      <c r="S7" s="125">
        <f t="shared" ref="S7:S12" si="0">COUNTA(I7:L7)+COUNTA(M7:R7)/2</f>
        <v>0</v>
      </c>
      <c r="T7" s="27">
        <f t="shared" ref="T7:T12" si="1">F7*$D$4*$U$4</f>
        <v>0</v>
      </c>
      <c r="U7" s="28">
        <f>+H38</f>
        <v>0</v>
      </c>
      <c r="V7" s="29" t="str">
        <f t="shared" ref="V7:V12" si="2">IF(F7=0,"휴무",U7/F7)</f>
        <v>휴무</v>
      </c>
      <c r="W7" s="30">
        <f t="shared" ref="W7:W13" si="3">IFERROR(U7/T7,0)</f>
        <v>0</v>
      </c>
      <c r="X7" s="31">
        <f>+K38</f>
        <v>0</v>
      </c>
      <c r="Y7" s="29" t="str">
        <f t="shared" ref="Y7:Y12" si="4">IF(F7=0,"휴무",X7/F7)</f>
        <v>휴무</v>
      </c>
      <c r="Z7" s="32">
        <f t="shared" ref="Z7:Z13" si="5">IFERROR(X7/T7,0)</f>
        <v>0</v>
      </c>
      <c r="AA7" s="33" t="str">
        <f t="shared" ref="AA7:AA12" si="6">IF(F7=0,"휴무",U7/T7*$AA$4)</f>
        <v>휴무</v>
      </c>
      <c r="AB7" s="34" t="str">
        <f t="shared" ref="AB7:AB12" si="7">IF(F7=0,"휴무",X7/T7*$AB$4)</f>
        <v>휴무</v>
      </c>
      <c r="AC7" s="138" t="str">
        <f t="shared" ref="AC7:AC13" si="8">IF(F7=0,"휴무",AA7+AB7)</f>
        <v>휴무</v>
      </c>
      <c r="AD7" s="35" t="str">
        <f t="shared" ref="AD7:AD13" si="9">IF(F7=0,"휴무",IF(AC7&gt;=100,"좋아요",IF(AC7&gt;=90,"90~99",IF(AC7&gt;=80,"80~89"," 사유?→"))))</f>
        <v>휴무</v>
      </c>
      <c r="AE7" s="36"/>
      <c r="AF7" s="37">
        <f>AG7-F7</f>
        <v>0</v>
      </c>
      <c r="AG7" s="38">
        <f>AN7</f>
        <v>0</v>
      </c>
      <c r="AH7" s="412" t="s">
        <v>29</v>
      </c>
      <c r="AI7" s="39"/>
      <c r="AJ7" s="40" t="str">
        <f>IFERROR(Z7/W7*1000,"")</f>
        <v/>
      </c>
      <c r="AK7" s="39"/>
      <c r="AL7" s="41"/>
      <c r="AM7" s="41"/>
      <c r="AN7" s="41"/>
      <c r="AP7" s="412">
        <f t="shared" ref="AP7:AP12" si="10">AO7-F7</f>
        <v>0</v>
      </c>
      <c r="AQ7" s="42"/>
    </row>
    <row r="8" spans="2:52" s="412" customFormat="1" ht="99.75" customHeight="1" x14ac:dyDescent="0.3">
      <c r="B8" s="421"/>
      <c r="C8" s="24">
        <f>+C7+1</f>
        <v>18</v>
      </c>
      <c r="D8" s="43" t="s">
        <v>30</v>
      </c>
      <c r="E8" s="26" t="s">
        <v>29</v>
      </c>
      <c r="F8" s="25">
        <v>8.25</v>
      </c>
      <c r="G8" s="125">
        <v>297</v>
      </c>
      <c r="H8" s="125">
        <f>(G8/U8)*100</f>
        <v>99.331103678929765</v>
      </c>
      <c r="I8" s="123" t="s">
        <v>85</v>
      </c>
      <c r="J8" s="123" t="s">
        <v>86</v>
      </c>
      <c r="K8" s="123" t="s">
        <v>87</v>
      </c>
      <c r="L8" s="123"/>
      <c r="M8" s="129"/>
      <c r="N8" s="123"/>
      <c r="O8" s="123" t="s">
        <v>169</v>
      </c>
      <c r="P8" s="123" t="s">
        <v>231</v>
      </c>
      <c r="Q8" s="123" t="s">
        <v>91</v>
      </c>
      <c r="R8" s="123" t="s">
        <v>89</v>
      </c>
      <c r="S8" s="125">
        <f t="shared" si="0"/>
        <v>5</v>
      </c>
      <c r="T8" s="27">
        <f t="shared" si="1"/>
        <v>544.5</v>
      </c>
      <c r="U8" s="28">
        <f>+H41</f>
        <v>299</v>
      </c>
      <c r="V8" s="44">
        <f t="shared" si="2"/>
        <v>36.242424242424242</v>
      </c>
      <c r="W8" s="45">
        <f t="shared" si="3"/>
        <v>0.54912764003673098</v>
      </c>
      <c r="X8" s="46">
        <f>+K41</f>
        <v>284.60000000000002</v>
      </c>
      <c r="Y8" s="29">
        <f t="shared" si="4"/>
        <v>34.4969696969697</v>
      </c>
      <c r="Z8" s="47">
        <f t="shared" si="5"/>
        <v>0.52268135904499546</v>
      </c>
      <c r="AA8" s="48">
        <f t="shared" si="6"/>
        <v>27.456382001836548</v>
      </c>
      <c r="AB8" s="49">
        <f t="shared" si="7"/>
        <v>28.460000000000004</v>
      </c>
      <c r="AC8" s="384">
        <f t="shared" si="8"/>
        <v>55.916382001836553</v>
      </c>
      <c r="AD8" s="161" t="str">
        <f t="shared" si="9"/>
        <v xml:space="preserve"> 사유?→</v>
      </c>
      <c r="AE8" s="160" t="s">
        <v>339</v>
      </c>
      <c r="AF8" s="37">
        <f>AG8-F8</f>
        <v>-8.25</v>
      </c>
      <c r="AG8" s="38">
        <f>AN8</f>
        <v>0</v>
      </c>
      <c r="AH8" s="412" t="s">
        <v>31</v>
      </c>
      <c r="AI8" s="39"/>
      <c r="AJ8" s="40">
        <f>IFERROR(Z8/W8*1000,"")</f>
        <v>951.83946488294316</v>
      </c>
      <c r="AK8" s="39"/>
      <c r="AL8" s="41"/>
      <c r="AM8" s="41"/>
      <c r="AN8" s="41"/>
      <c r="AP8" s="412">
        <f t="shared" si="10"/>
        <v>-8.25</v>
      </c>
      <c r="AQ8" s="42"/>
    </row>
    <row r="9" spans="2:52" s="412" customFormat="1" ht="97.5" customHeight="1" x14ac:dyDescent="0.3">
      <c r="B9" s="421"/>
      <c r="C9" s="24">
        <f>+C8+1</f>
        <v>19</v>
      </c>
      <c r="D9" s="43" t="s">
        <v>32</v>
      </c>
      <c r="E9" s="26" t="s">
        <v>29</v>
      </c>
      <c r="F9" s="25">
        <v>8</v>
      </c>
      <c r="G9" s="125">
        <v>231</v>
      </c>
      <c r="H9" s="125">
        <f>(G9/U9)*100</f>
        <v>90.944881889763778</v>
      </c>
      <c r="I9" s="123" t="s">
        <v>85</v>
      </c>
      <c r="J9" s="123" t="s">
        <v>86</v>
      </c>
      <c r="K9" s="123" t="s">
        <v>87</v>
      </c>
      <c r="L9" s="123"/>
      <c r="M9" s="129"/>
      <c r="N9" s="123"/>
      <c r="O9" s="123" t="s">
        <v>169</v>
      </c>
      <c r="P9" s="123" t="s">
        <v>231</v>
      </c>
      <c r="Q9" s="123" t="s">
        <v>91</v>
      </c>
      <c r="R9" s="123" t="s">
        <v>89</v>
      </c>
      <c r="S9" s="125">
        <f t="shared" si="0"/>
        <v>5</v>
      </c>
      <c r="T9" s="27">
        <f t="shared" si="1"/>
        <v>528</v>
      </c>
      <c r="U9" s="51">
        <f>+H44</f>
        <v>254</v>
      </c>
      <c r="V9" s="44">
        <f t="shared" si="2"/>
        <v>31.75</v>
      </c>
      <c r="W9" s="45">
        <f t="shared" si="3"/>
        <v>0.48106060606060608</v>
      </c>
      <c r="X9" s="46">
        <f>+K44</f>
        <v>237.78</v>
      </c>
      <c r="Y9" s="44">
        <f t="shared" si="4"/>
        <v>29.7225</v>
      </c>
      <c r="Z9" s="47">
        <f t="shared" si="5"/>
        <v>0.45034090909090907</v>
      </c>
      <c r="AA9" s="48">
        <f t="shared" si="6"/>
        <v>24.053030303030305</v>
      </c>
      <c r="AB9" s="49">
        <f t="shared" si="7"/>
        <v>24.521062499999999</v>
      </c>
      <c r="AC9" s="384">
        <f t="shared" si="8"/>
        <v>48.574092803030304</v>
      </c>
      <c r="AD9" s="161" t="str">
        <f t="shared" si="9"/>
        <v xml:space="preserve"> 사유?→</v>
      </c>
      <c r="AE9" s="160" t="s">
        <v>343</v>
      </c>
      <c r="AF9" s="37">
        <f>AG9-F9</f>
        <v>-8</v>
      </c>
      <c r="AG9" s="38">
        <f>AN9</f>
        <v>0</v>
      </c>
      <c r="AH9" s="412" t="s">
        <v>34</v>
      </c>
      <c r="AI9" s="39"/>
      <c r="AJ9" s="40">
        <f>IFERROR(Z9/W9*1000,"")</f>
        <v>936.14173228346453</v>
      </c>
      <c r="AK9" s="39"/>
      <c r="AL9" s="41"/>
      <c r="AM9" s="41"/>
      <c r="AN9" s="41"/>
      <c r="AP9" s="412">
        <f t="shared" si="10"/>
        <v>-8</v>
      </c>
      <c r="AQ9" s="42"/>
    </row>
    <row r="10" spans="2:52" s="412" customFormat="1" ht="95.25" customHeight="1" x14ac:dyDescent="0.3">
      <c r="B10" s="421"/>
      <c r="C10" s="24">
        <f>+C9+1</f>
        <v>20</v>
      </c>
      <c r="D10" s="43" t="s">
        <v>35</v>
      </c>
      <c r="E10" s="26" t="s">
        <v>29</v>
      </c>
      <c r="F10" s="25">
        <v>8</v>
      </c>
      <c r="G10" s="125">
        <v>203</v>
      </c>
      <c r="H10" s="125">
        <f>(G10/U10)*100</f>
        <v>100</v>
      </c>
      <c r="I10" s="123" t="s">
        <v>85</v>
      </c>
      <c r="J10" s="123" t="s">
        <v>86</v>
      </c>
      <c r="K10" s="123" t="s">
        <v>87</v>
      </c>
      <c r="L10" s="123"/>
      <c r="M10" s="129" t="s">
        <v>90</v>
      </c>
      <c r="N10" s="123" t="s">
        <v>74</v>
      </c>
      <c r="O10" s="123" t="s">
        <v>169</v>
      </c>
      <c r="P10" s="123" t="s">
        <v>231</v>
      </c>
      <c r="Q10" s="123" t="s">
        <v>91</v>
      </c>
      <c r="R10" s="123" t="s">
        <v>89</v>
      </c>
      <c r="S10" s="125">
        <f t="shared" si="0"/>
        <v>6</v>
      </c>
      <c r="T10" s="27">
        <f t="shared" si="1"/>
        <v>528</v>
      </c>
      <c r="U10" s="28">
        <f>+H47</f>
        <v>203</v>
      </c>
      <c r="V10" s="44">
        <f t="shared" si="2"/>
        <v>25.375</v>
      </c>
      <c r="W10" s="45">
        <f t="shared" si="3"/>
        <v>0.38446969696969696</v>
      </c>
      <c r="X10" s="46">
        <f>+K47</f>
        <v>423.2</v>
      </c>
      <c r="Y10" s="29">
        <f t="shared" si="4"/>
        <v>52.9</v>
      </c>
      <c r="Z10" s="47">
        <f t="shared" si="5"/>
        <v>0.80151515151515151</v>
      </c>
      <c r="AA10" s="48">
        <f t="shared" si="6"/>
        <v>19.223484848484848</v>
      </c>
      <c r="AB10" s="49">
        <f t="shared" si="7"/>
        <v>43.642500000000005</v>
      </c>
      <c r="AC10" s="384">
        <f t="shared" si="8"/>
        <v>62.865984848484857</v>
      </c>
      <c r="AD10" s="161" t="str">
        <f t="shared" si="9"/>
        <v xml:space="preserve"> 사유?→</v>
      </c>
      <c r="AE10" s="160" t="s">
        <v>341</v>
      </c>
      <c r="AF10" s="37">
        <f>AG10-F10</f>
        <v>-8</v>
      </c>
      <c r="AG10" s="38">
        <f>AN10</f>
        <v>0</v>
      </c>
      <c r="AH10" s="412" t="s">
        <v>36</v>
      </c>
      <c r="AI10" s="39"/>
      <c r="AJ10" s="40">
        <f>IFERROR(Z10/W10*1000,"")</f>
        <v>2084.7290640394085</v>
      </c>
      <c r="AK10" s="39"/>
      <c r="AL10" s="41"/>
      <c r="AM10" s="41"/>
      <c r="AN10" s="41"/>
      <c r="AP10" s="412">
        <f t="shared" si="10"/>
        <v>-8</v>
      </c>
      <c r="AQ10" s="42"/>
    </row>
    <row r="11" spans="2:52" s="412" customFormat="1" ht="102.75" customHeight="1" x14ac:dyDescent="0.3">
      <c r="B11" s="421"/>
      <c r="C11" s="24">
        <f>+C10+1</f>
        <v>21</v>
      </c>
      <c r="D11" s="43" t="s">
        <v>37</v>
      </c>
      <c r="E11" s="26" t="s">
        <v>29</v>
      </c>
      <c r="F11" s="25">
        <v>8</v>
      </c>
      <c r="G11" s="125">
        <v>442</v>
      </c>
      <c r="H11" s="125">
        <f>(G11/U11)*100</f>
        <v>100</v>
      </c>
      <c r="I11" s="123" t="s">
        <v>85</v>
      </c>
      <c r="J11" s="123" t="s">
        <v>86</v>
      </c>
      <c r="K11" s="123" t="s">
        <v>87</v>
      </c>
      <c r="L11" s="123"/>
      <c r="M11" s="129" t="s">
        <v>90</v>
      </c>
      <c r="N11" s="123" t="s">
        <v>74</v>
      </c>
      <c r="O11" s="123" t="s">
        <v>169</v>
      </c>
      <c r="P11" s="123" t="s">
        <v>231</v>
      </c>
      <c r="Q11" s="123" t="s">
        <v>91</v>
      </c>
      <c r="R11" s="123" t="s">
        <v>89</v>
      </c>
      <c r="S11" s="125">
        <f t="shared" si="0"/>
        <v>6</v>
      </c>
      <c r="T11" s="27">
        <f t="shared" si="1"/>
        <v>528</v>
      </c>
      <c r="U11" s="28">
        <f>+H50</f>
        <v>442</v>
      </c>
      <c r="V11" s="44">
        <f t="shared" si="2"/>
        <v>55.25</v>
      </c>
      <c r="W11" s="45">
        <f t="shared" si="3"/>
        <v>0.83712121212121215</v>
      </c>
      <c r="X11" s="46">
        <f>+K50</f>
        <v>408.56</v>
      </c>
      <c r="Y11" s="44">
        <f t="shared" si="4"/>
        <v>51.07</v>
      </c>
      <c r="Z11" s="47">
        <f t="shared" si="5"/>
        <v>0.7737878787878788</v>
      </c>
      <c r="AA11" s="48">
        <f t="shared" si="6"/>
        <v>41.856060606060609</v>
      </c>
      <c r="AB11" s="49">
        <f t="shared" si="7"/>
        <v>42.132750000000001</v>
      </c>
      <c r="AC11" s="384">
        <f t="shared" si="8"/>
        <v>83.988810606060611</v>
      </c>
      <c r="AD11" s="50" t="str">
        <f t="shared" si="9"/>
        <v>80~89</v>
      </c>
      <c r="AE11" s="36"/>
      <c r="AF11" s="37">
        <f>AG11-F11</f>
        <v>-8</v>
      </c>
      <c r="AG11" s="38">
        <f>AN11</f>
        <v>0</v>
      </c>
      <c r="AH11" s="412" t="s">
        <v>33</v>
      </c>
      <c r="AI11" s="39"/>
      <c r="AJ11" s="40">
        <f>IFERROR(Z11/W11*1000,"")</f>
        <v>924.34389140271492</v>
      </c>
      <c r="AL11" s="41"/>
      <c r="AM11" s="41"/>
      <c r="AN11" s="41"/>
      <c r="AP11" s="412">
        <f t="shared" si="10"/>
        <v>-8</v>
      </c>
      <c r="AQ11" s="42"/>
    </row>
    <row r="12" spans="2:52" s="412" customFormat="1" ht="102.75" customHeight="1" x14ac:dyDescent="0.3">
      <c r="B12" s="421"/>
      <c r="C12" s="24">
        <f>+C11+1</f>
        <v>22</v>
      </c>
      <c r="D12" s="43" t="s">
        <v>38</v>
      </c>
      <c r="E12" s="26" t="s">
        <v>36</v>
      </c>
      <c r="F12" s="25">
        <v>8</v>
      </c>
      <c r="G12" s="125">
        <v>397</v>
      </c>
      <c r="H12" s="125">
        <f>(G12/U12)*100</f>
        <v>100</v>
      </c>
      <c r="I12" s="123" t="s">
        <v>85</v>
      </c>
      <c r="J12" s="123" t="s">
        <v>86</v>
      </c>
      <c r="K12" s="123" t="s">
        <v>87</v>
      </c>
      <c r="L12" s="123"/>
      <c r="M12" s="129"/>
      <c r="N12" s="123" t="s">
        <v>74</v>
      </c>
      <c r="O12" s="123"/>
      <c r="P12" s="123" t="s">
        <v>231</v>
      </c>
      <c r="Q12" s="123" t="s">
        <v>91</v>
      </c>
      <c r="R12" s="123" t="s">
        <v>99</v>
      </c>
      <c r="S12" s="125">
        <f t="shared" si="0"/>
        <v>5</v>
      </c>
      <c r="T12" s="417">
        <f t="shared" si="1"/>
        <v>528</v>
      </c>
      <c r="U12" s="28">
        <f>+H53</f>
        <v>397</v>
      </c>
      <c r="V12" s="29">
        <f t="shared" si="2"/>
        <v>49.625</v>
      </c>
      <c r="W12" s="30">
        <f t="shared" si="3"/>
        <v>0.75189393939393945</v>
      </c>
      <c r="X12" s="31">
        <f>+K53</f>
        <v>352.46000000000004</v>
      </c>
      <c r="Y12" s="44">
        <f t="shared" si="4"/>
        <v>44.057500000000005</v>
      </c>
      <c r="Z12" s="47">
        <f t="shared" si="5"/>
        <v>0.66753787878787885</v>
      </c>
      <c r="AA12" s="48">
        <f t="shared" si="6"/>
        <v>37.594696969696969</v>
      </c>
      <c r="AB12" s="49">
        <f t="shared" si="7"/>
        <v>36.347437500000005</v>
      </c>
      <c r="AC12" s="384">
        <f t="shared" si="8"/>
        <v>73.942134469696981</v>
      </c>
      <c r="AD12" s="161" t="str">
        <f t="shared" si="9"/>
        <v xml:space="preserve"> 사유?→</v>
      </c>
      <c r="AE12" s="160" t="s">
        <v>344</v>
      </c>
      <c r="AF12" s="37"/>
      <c r="AG12" s="38"/>
      <c r="AI12" s="39"/>
      <c r="AJ12" s="40"/>
      <c r="AL12" s="41"/>
      <c r="AM12" s="41"/>
      <c r="AN12" s="41"/>
      <c r="AP12" s="412">
        <f t="shared" si="10"/>
        <v>-8</v>
      </c>
      <c r="AQ12" s="42"/>
    </row>
    <row r="13" spans="2:52" s="412" customFormat="1" ht="36" customHeight="1" x14ac:dyDescent="0.3">
      <c r="B13" s="422" t="s">
        <v>39</v>
      </c>
      <c r="C13" s="423"/>
      <c r="D13" s="423"/>
      <c r="E13" s="424"/>
      <c r="F13" s="43">
        <f>SUM(F7:F12)</f>
        <v>40.25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>COUNTA(I13:M13)+COUNTA(N13:R13)/2</f>
        <v>0</v>
      </c>
      <c r="T13" s="52">
        <f>SUM(T7:T12)</f>
        <v>2656.5</v>
      </c>
      <c r="U13" s="53">
        <f>SUM(U7:U12)</f>
        <v>1595</v>
      </c>
      <c r="V13" s="54">
        <f>U13/F13</f>
        <v>39.627329192546583</v>
      </c>
      <c r="W13" s="45">
        <f t="shared" si="3"/>
        <v>0.60041407867494823</v>
      </c>
      <c r="X13" s="55">
        <f>SUM(X7:X12)</f>
        <v>1706.6</v>
      </c>
      <c r="Y13" s="44">
        <f>X13/F13</f>
        <v>42.4</v>
      </c>
      <c r="Z13" s="47">
        <f t="shared" si="5"/>
        <v>0.64242424242424234</v>
      </c>
      <c r="AA13" s="56">
        <f>U13/T13*AA4</f>
        <v>30.020703933747413</v>
      </c>
      <c r="AB13" s="57">
        <f>X13/T13*AB4</f>
        <v>34.979999999999997</v>
      </c>
      <c r="AC13" s="385">
        <f t="shared" si="8"/>
        <v>65.000703933747417</v>
      </c>
      <c r="AD13" s="162" t="str">
        <f t="shared" si="9"/>
        <v xml:space="preserve"> 사유?→</v>
      </c>
      <c r="AE13" s="43"/>
      <c r="AF13" s="37">
        <f>AG13-F13</f>
        <v>-40.25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8.0500000000000007</v>
      </c>
      <c r="G14" s="416"/>
      <c r="H14" s="416"/>
      <c r="I14" s="416"/>
      <c r="J14" s="416"/>
      <c r="K14" s="416"/>
      <c r="L14" s="416"/>
      <c r="M14" s="416"/>
      <c r="N14" s="416"/>
      <c r="O14" s="416"/>
      <c r="P14" s="416"/>
      <c r="Q14" s="416"/>
      <c r="R14" s="416"/>
      <c r="S14" s="416"/>
      <c r="T14" s="416"/>
      <c r="U14" s="61">
        <f>V14*F14</f>
        <v>319</v>
      </c>
      <c r="V14" s="62">
        <f>U13/F13</f>
        <v>39.627329192546583</v>
      </c>
      <c r="W14" s="63">
        <f>IFERROR(U14/#REF!,0)</f>
        <v>0</v>
      </c>
      <c r="X14" s="64">
        <f>X13/F13*F14</f>
        <v>341.32</v>
      </c>
      <c r="Y14" s="62">
        <f>IF(F14=0,"휴무",X14/F14)</f>
        <v>42.4</v>
      </c>
      <c r="Z14" s="65">
        <f>IFERROR(X14/#REF!,0)</f>
        <v>0</v>
      </c>
      <c r="AA14" s="60">
        <f>AVERAGE(AA7:AA12)</f>
        <v>30.036730945821851</v>
      </c>
      <c r="AB14" s="60">
        <f>AVERAGE(AB7:AB12)</f>
        <v>35.020750000000007</v>
      </c>
      <c r="AC14" s="141">
        <f>AA14+AB14</f>
        <v>65.057480945821851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412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330" t="s">
        <v>44</v>
      </c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415" t="s">
        <v>68</v>
      </c>
      <c r="J22" s="18" t="s">
        <v>69</v>
      </c>
      <c r="K22" s="18" t="s">
        <v>71</v>
      </c>
      <c r="L22" s="18" t="s">
        <v>72</v>
      </c>
      <c r="M22" s="18" t="s">
        <v>75</v>
      </c>
      <c r="N22" s="18" t="s">
        <v>75</v>
      </c>
      <c r="O22" s="18" t="s">
        <v>75</v>
      </c>
      <c r="P22" s="18" t="s">
        <v>230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-24</v>
      </c>
    </row>
    <row r="23" spans="2:43" s="412" customFormat="1" ht="99" customHeight="1" thickTop="1" x14ac:dyDescent="0.3">
      <c r="B23" s="420">
        <f>+B7</f>
        <v>8</v>
      </c>
      <c r="C23" s="24">
        <f t="shared" ref="C23:C28" si="11">+C7</f>
        <v>17</v>
      </c>
      <c r="D23" s="25" t="s">
        <v>7</v>
      </c>
      <c r="E23" s="26" t="s">
        <v>33</v>
      </c>
      <c r="F23" s="25"/>
      <c r="G23" s="128"/>
      <c r="H23" s="128"/>
      <c r="I23" s="123"/>
      <c r="J23" s="123"/>
      <c r="K23" s="123"/>
      <c r="L23" s="123"/>
      <c r="M23" s="129"/>
      <c r="N23" s="123"/>
      <c r="O23" s="123"/>
      <c r="P23" s="123"/>
      <c r="Q23" s="123"/>
      <c r="R23" s="123"/>
      <c r="S23" s="124">
        <f t="shared" ref="S23:S28" si="12">COUNTA(I23:L23)+COUNTA(M23:R23)/2</f>
        <v>0</v>
      </c>
      <c r="T23" s="27">
        <f t="shared" ref="T23:T28" si="13">F23*$D$4*$U$4</f>
        <v>0</v>
      </c>
      <c r="U23" s="28">
        <f>+H58</f>
        <v>0</v>
      </c>
      <c r="V23" s="29" t="str">
        <f t="shared" ref="V23:V28" si="14">IF(F23=0,"휴무",U23/F23)</f>
        <v>휴무</v>
      </c>
      <c r="W23" s="30">
        <f t="shared" ref="W23:W29" si="15">IFERROR(U23/T23,0)</f>
        <v>0</v>
      </c>
      <c r="X23" s="31">
        <f>+K58</f>
        <v>0</v>
      </c>
      <c r="Y23" s="29" t="str">
        <f t="shared" ref="Y23:Y28" si="16">IF(F23=0,"휴무",X23/F23)</f>
        <v>휴무</v>
      </c>
      <c r="Z23" s="32">
        <f t="shared" ref="Z23:Z29" si="17">IFERROR(X23/T23,0)</f>
        <v>0</v>
      </c>
      <c r="AA23" s="33" t="str">
        <f t="shared" ref="AA23:AA28" si="18">IF(F23=0,"휴무",U23/T23*$AA$4)</f>
        <v>휴무</v>
      </c>
      <c r="AB23" s="34" t="str">
        <f t="shared" ref="AB23:AB28" si="19">IF(F23=0,"휴무",X23/T23*$AB$4)</f>
        <v>휴무</v>
      </c>
      <c r="AC23" s="383" t="str">
        <f t="shared" ref="AC23:AC29" si="20">IF(F23=0,"휴무",AA23+AB23)</f>
        <v>휴무</v>
      </c>
      <c r="AD23" s="35" t="str">
        <f t="shared" ref="AD23:AD29" si="21">IF(F23=0,"휴무",IF(AC23&gt;=100,"좋아요",IF(AC23&gt;=90,"90~99",IF(AC23&gt;=80,"80~89"," 사유?→"))))</f>
        <v>휴무</v>
      </c>
      <c r="AE23" s="36"/>
      <c r="AF23" s="37">
        <f>AG23-F23</f>
        <v>0</v>
      </c>
      <c r="AG23" s="38">
        <f>AN23</f>
        <v>0</v>
      </c>
      <c r="AH23" s="412" t="s">
        <v>29</v>
      </c>
      <c r="AI23" s="39"/>
      <c r="AJ23" s="40" t="str">
        <f>IFERROR(Z23/W23*1000,"")</f>
        <v/>
      </c>
      <c r="AK23" s="39"/>
      <c r="AL23" s="41"/>
      <c r="AM23" s="41"/>
      <c r="AN23" s="41"/>
      <c r="AP23" s="412">
        <f t="shared" ref="AP23:AP28" si="22">AO23-F23</f>
        <v>0</v>
      </c>
      <c r="AQ23" s="42"/>
    </row>
    <row r="24" spans="2:43" s="412" customFormat="1" ht="99.75" customHeight="1" x14ac:dyDescent="0.3">
      <c r="B24" s="421"/>
      <c r="C24" s="24">
        <f t="shared" si="11"/>
        <v>18</v>
      </c>
      <c r="D24" s="43" t="s">
        <v>30</v>
      </c>
      <c r="E24" s="26" t="s">
        <v>33</v>
      </c>
      <c r="F24" s="25"/>
      <c r="G24" s="125"/>
      <c r="H24" s="125"/>
      <c r="I24" s="123"/>
      <c r="J24" s="123"/>
      <c r="K24" s="123"/>
      <c r="L24" s="123"/>
      <c r="M24" s="123"/>
      <c r="N24" s="129"/>
      <c r="O24" s="123"/>
      <c r="P24" s="123"/>
      <c r="Q24" s="123"/>
      <c r="R24" s="123"/>
      <c r="S24" s="124">
        <f t="shared" si="12"/>
        <v>0</v>
      </c>
      <c r="T24" s="27">
        <f t="shared" si="13"/>
        <v>0</v>
      </c>
      <c r="U24" s="28">
        <f>+H61</f>
        <v>0</v>
      </c>
      <c r="V24" s="44" t="str">
        <f t="shared" si="14"/>
        <v>휴무</v>
      </c>
      <c r="W24" s="45">
        <f t="shared" si="15"/>
        <v>0</v>
      </c>
      <c r="X24" s="46">
        <f>+K61</f>
        <v>0</v>
      </c>
      <c r="Y24" s="29" t="str">
        <f t="shared" si="16"/>
        <v>휴무</v>
      </c>
      <c r="Z24" s="47">
        <f t="shared" si="17"/>
        <v>0</v>
      </c>
      <c r="AA24" s="48" t="str">
        <f t="shared" si="18"/>
        <v>휴무</v>
      </c>
      <c r="AB24" s="49" t="str">
        <f t="shared" si="19"/>
        <v>휴무</v>
      </c>
      <c r="AC24" s="384" t="str">
        <f t="shared" si="20"/>
        <v>휴무</v>
      </c>
      <c r="AD24" s="80" t="str">
        <f t="shared" si="21"/>
        <v>휴무</v>
      </c>
      <c r="AE24" s="36"/>
      <c r="AF24" s="37">
        <f>AG24-F24</f>
        <v>0</v>
      </c>
      <c r="AG24" s="38">
        <f>AN24</f>
        <v>0</v>
      </c>
      <c r="AH24" s="412" t="s">
        <v>34</v>
      </c>
      <c r="AI24" s="39"/>
      <c r="AJ24" s="40" t="str">
        <f>IFERROR(Z24/W24*1000,"")</f>
        <v/>
      </c>
      <c r="AK24" s="39"/>
      <c r="AL24" s="41"/>
      <c r="AM24" s="41"/>
      <c r="AN24" s="41"/>
      <c r="AP24" s="412">
        <f t="shared" si="22"/>
        <v>0</v>
      </c>
      <c r="AQ24" s="42"/>
    </row>
    <row r="25" spans="2:43" s="412" customFormat="1" ht="97.5" customHeight="1" x14ac:dyDescent="0.3">
      <c r="B25" s="421"/>
      <c r="C25" s="24">
        <f t="shared" si="11"/>
        <v>19</v>
      </c>
      <c r="D25" s="43" t="s">
        <v>32</v>
      </c>
      <c r="E25" s="26" t="s">
        <v>33</v>
      </c>
      <c r="F25" s="25"/>
      <c r="G25" s="124"/>
      <c r="H25" s="124"/>
      <c r="I25" s="123"/>
      <c r="J25" s="123"/>
      <c r="K25" s="123"/>
      <c r="L25" s="123"/>
      <c r="M25" s="123"/>
      <c r="N25" s="129"/>
      <c r="O25" s="123"/>
      <c r="P25" s="123"/>
      <c r="Q25" s="123"/>
      <c r="R25" s="123"/>
      <c r="S25" s="124">
        <f t="shared" si="12"/>
        <v>0</v>
      </c>
      <c r="T25" s="27">
        <f t="shared" si="13"/>
        <v>0</v>
      </c>
      <c r="U25" s="28">
        <f>+H64</f>
        <v>0</v>
      </c>
      <c r="V25" s="44" t="str">
        <f t="shared" si="14"/>
        <v>휴무</v>
      </c>
      <c r="W25" s="45">
        <f t="shared" si="15"/>
        <v>0</v>
      </c>
      <c r="X25" s="46">
        <f>+K64</f>
        <v>0</v>
      </c>
      <c r="Y25" s="29" t="str">
        <f t="shared" si="16"/>
        <v>휴무</v>
      </c>
      <c r="Z25" s="47">
        <f t="shared" si="17"/>
        <v>0</v>
      </c>
      <c r="AA25" s="48" t="str">
        <f t="shared" si="18"/>
        <v>휴무</v>
      </c>
      <c r="AB25" s="49" t="str">
        <f t="shared" si="19"/>
        <v>휴무</v>
      </c>
      <c r="AC25" s="384" t="str">
        <f t="shared" si="20"/>
        <v>휴무</v>
      </c>
      <c r="AD25" s="50" t="str">
        <f t="shared" si="21"/>
        <v>휴무</v>
      </c>
      <c r="AE25" s="36"/>
      <c r="AF25" s="37">
        <f>AG25-F25</f>
        <v>0</v>
      </c>
      <c r="AG25" s="38">
        <f>AN25</f>
        <v>0</v>
      </c>
      <c r="AH25" s="412" t="s">
        <v>36</v>
      </c>
      <c r="AI25" s="39"/>
      <c r="AJ25" s="40" t="str">
        <f>IFERROR(Z25/W25*1000,"")</f>
        <v/>
      </c>
      <c r="AK25" s="39"/>
      <c r="AL25" s="41"/>
      <c r="AM25" s="41"/>
      <c r="AN25" s="41"/>
      <c r="AP25" s="412">
        <f t="shared" si="22"/>
        <v>0</v>
      </c>
      <c r="AQ25" s="42"/>
    </row>
    <row r="26" spans="2:43" s="412" customFormat="1" ht="115.5" customHeight="1" x14ac:dyDescent="0.3">
      <c r="B26" s="421"/>
      <c r="C26" s="24">
        <f t="shared" si="11"/>
        <v>20</v>
      </c>
      <c r="D26" s="43" t="s">
        <v>35</v>
      </c>
      <c r="E26" s="26" t="s">
        <v>29</v>
      </c>
      <c r="F26" s="25">
        <v>8</v>
      </c>
      <c r="G26" s="124">
        <v>407</v>
      </c>
      <c r="H26" s="124">
        <f>(G26/U26)*100</f>
        <v>96.217494089834503</v>
      </c>
      <c r="I26" s="123" t="s">
        <v>78</v>
      </c>
      <c r="J26" s="123" t="s">
        <v>88</v>
      </c>
      <c r="K26" s="123" t="s">
        <v>84</v>
      </c>
      <c r="L26" s="123"/>
      <c r="M26" s="129" t="s">
        <v>90</v>
      </c>
      <c r="N26" s="123" t="s">
        <v>74</v>
      </c>
      <c r="O26" s="123" t="s">
        <v>169</v>
      </c>
      <c r="P26" s="123" t="s">
        <v>92</v>
      </c>
      <c r="Q26" s="123" t="s">
        <v>91</v>
      </c>
      <c r="R26" s="123" t="s">
        <v>89</v>
      </c>
      <c r="S26" s="124">
        <f t="shared" si="12"/>
        <v>6</v>
      </c>
      <c r="T26" s="27">
        <f t="shared" si="13"/>
        <v>528</v>
      </c>
      <c r="U26" s="28">
        <f>+H67</f>
        <v>423</v>
      </c>
      <c r="V26" s="44">
        <f t="shared" si="14"/>
        <v>52.875</v>
      </c>
      <c r="W26" s="45">
        <f t="shared" si="15"/>
        <v>0.80113636363636365</v>
      </c>
      <c r="X26" s="46">
        <f>+K67</f>
        <v>286.43</v>
      </c>
      <c r="Y26" s="44">
        <f t="shared" si="16"/>
        <v>35.803750000000001</v>
      </c>
      <c r="Z26" s="47">
        <f t="shared" si="17"/>
        <v>0.54248106060606061</v>
      </c>
      <c r="AA26" s="48">
        <f t="shared" si="18"/>
        <v>40.05681818181818</v>
      </c>
      <c r="AB26" s="49">
        <f t="shared" si="19"/>
        <v>29.538093750000002</v>
      </c>
      <c r="AC26" s="384">
        <f t="shared" si="20"/>
        <v>69.594911931818189</v>
      </c>
      <c r="AD26" s="161" t="str">
        <f t="shared" si="21"/>
        <v xml:space="preserve"> 사유?→</v>
      </c>
      <c r="AE26" s="160" t="s">
        <v>340</v>
      </c>
      <c r="AF26" s="37">
        <f>AG26-F26</f>
        <v>-8</v>
      </c>
      <c r="AG26" s="38">
        <f>AN26</f>
        <v>0</v>
      </c>
      <c r="AH26" s="412" t="s">
        <v>33</v>
      </c>
      <c r="AI26" s="39"/>
      <c r="AJ26" s="40">
        <f>IFERROR(Z26/W26*1000,"")</f>
        <v>677.13947990543727</v>
      </c>
      <c r="AK26" s="39"/>
      <c r="AL26" s="41"/>
      <c r="AM26" s="41"/>
      <c r="AN26" s="41"/>
      <c r="AP26" s="412">
        <f t="shared" si="22"/>
        <v>-8</v>
      </c>
      <c r="AQ26" s="42"/>
    </row>
    <row r="27" spans="2:43" s="412" customFormat="1" ht="104.25" customHeight="1" x14ac:dyDescent="0.3">
      <c r="B27" s="421"/>
      <c r="C27" s="24">
        <f t="shared" si="11"/>
        <v>21</v>
      </c>
      <c r="D27" s="43" t="s">
        <v>37</v>
      </c>
      <c r="E27" s="26" t="s">
        <v>29</v>
      </c>
      <c r="F27" s="25">
        <v>8</v>
      </c>
      <c r="G27" s="125">
        <v>439</v>
      </c>
      <c r="H27" s="130">
        <f>(G27/U27)*100</f>
        <v>99.321266968325801</v>
      </c>
      <c r="I27" s="123" t="s">
        <v>78</v>
      </c>
      <c r="J27" s="123" t="s">
        <v>88</v>
      </c>
      <c r="K27" s="123" t="s">
        <v>84</v>
      </c>
      <c r="L27" s="123"/>
      <c r="M27" s="129" t="s">
        <v>90</v>
      </c>
      <c r="N27" s="123" t="s">
        <v>74</v>
      </c>
      <c r="O27" s="123" t="s">
        <v>169</v>
      </c>
      <c r="P27" s="123" t="s">
        <v>92</v>
      </c>
      <c r="Q27" s="123" t="s">
        <v>91</v>
      </c>
      <c r="R27" s="123" t="s">
        <v>89</v>
      </c>
      <c r="S27" s="125">
        <f t="shared" si="12"/>
        <v>6</v>
      </c>
      <c r="T27" s="27">
        <f t="shared" si="13"/>
        <v>528</v>
      </c>
      <c r="U27" s="28">
        <f>+H70</f>
        <v>442</v>
      </c>
      <c r="V27" s="44">
        <f t="shared" si="14"/>
        <v>55.25</v>
      </c>
      <c r="W27" s="45">
        <f t="shared" si="15"/>
        <v>0.83712121212121215</v>
      </c>
      <c r="X27" s="46">
        <f>+K70</f>
        <v>331.05</v>
      </c>
      <c r="Y27" s="44">
        <f t="shared" si="16"/>
        <v>41.381250000000001</v>
      </c>
      <c r="Z27" s="47">
        <f t="shared" si="17"/>
        <v>0.62698863636363633</v>
      </c>
      <c r="AA27" s="48">
        <f t="shared" si="18"/>
        <v>41.856060606060609</v>
      </c>
      <c r="AB27" s="49">
        <f t="shared" si="19"/>
        <v>34.139531249999997</v>
      </c>
      <c r="AC27" s="384">
        <f t="shared" si="20"/>
        <v>75.995591856060599</v>
      </c>
      <c r="AD27" s="161" t="str">
        <f t="shared" si="21"/>
        <v xml:space="preserve"> 사유?→</v>
      </c>
      <c r="AE27" s="160" t="s">
        <v>345</v>
      </c>
      <c r="AF27" s="37">
        <f>AG27-F27</f>
        <v>-8</v>
      </c>
      <c r="AG27" s="38">
        <f>AN27</f>
        <v>0</v>
      </c>
      <c r="AH27" s="412" t="s">
        <v>46</v>
      </c>
      <c r="AI27" s="39"/>
      <c r="AJ27" s="40">
        <f>IFERROR(Z27/W27*1000,"")</f>
        <v>748.98190045248862</v>
      </c>
      <c r="AL27" s="41"/>
      <c r="AM27" s="41"/>
      <c r="AN27" s="41"/>
      <c r="AP27" s="412">
        <f t="shared" si="22"/>
        <v>-8</v>
      </c>
      <c r="AQ27" s="42"/>
    </row>
    <row r="28" spans="2:43" s="412" customFormat="1" ht="104.25" customHeight="1" x14ac:dyDescent="0.3">
      <c r="B28" s="421"/>
      <c r="C28" s="24">
        <f t="shared" si="11"/>
        <v>22</v>
      </c>
      <c r="D28" s="43" t="s">
        <v>47</v>
      </c>
      <c r="E28" s="26" t="s">
        <v>36</v>
      </c>
      <c r="F28" s="25">
        <v>8</v>
      </c>
      <c r="G28" s="124">
        <v>389</v>
      </c>
      <c r="H28" s="124">
        <f>(G28/U28)*100</f>
        <v>99.234693877551024</v>
      </c>
      <c r="I28" s="123" t="s">
        <v>78</v>
      </c>
      <c r="J28" s="123" t="s">
        <v>88</v>
      </c>
      <c r="K28" s="123" t="s">
        <v>84</v>
      </c>
      <c r="L28" s="123"/>
      <c r="M28" s="129"/>
      <c r="N28" s="123" t="s">
        <v>74</v>
      </c>
      <c r="O28" s="123"/>
      <c r="P28" s="123" t="s">
        <v>92</v>
      </c>
      <c r="Q28" s="123" t="s">
        <v>91</v>
      </c>
      <c r="R28" s="123" t="s">
        <v>99</v>
      </c>
      <c r="S28" s="124">
        <f t="shared" si="12"/>
        <v>5</v>
      </c>
      <c r="T28" s="417">
        <f t="shared" si="13"/>
        <v>528</v>
      </c>
      <c r="U28" s="28">
        <f>+H73</f>
        <v>392</v>
      </c>
      <c r="V28" s="29">
        <f t="shared" si="14"/>
        <v>49</v>
      </c>
      <c r="W28" s="30">
        <f t="shared" si="15"/>
        <v>0.74242424242424243</v>
      </c>
      <c r="X28" s="31">
        <f>+K73</f>
        <v>371.47</v>
      </c>
      <c r="Y28" s="44">
        <f t="shared" si="16"/>
        <v>46.433750000000003</v>
      </c>
      <c r="Z28" s="47">
        <f t="shared" si="17"/>
        <v>0.70354166666666673</v>
      </c>
      <c r="AA28" s="48">
        <f t="shared" si="18"/>
        <v>37.121212121212125</v>
      </c>
      <c r="AB28" s="49">
        <f t="shared" si="19"/>
        <v>38.307843750000004</v>
      </c>
      <c r="AC28" s="384">
        <f t="shared" si="20"/>
        <v>75.429055871212128</v>
      </c>
      <c r="AD28" s="161" t="str">
        <f t="shared" si="21"/>
        <v xml:space="preserve"> 사유?→</v>
      </c>
      <c r="AE28" s="160" t="s">
        <v>342</v>
      </c>
      <c r="AF28" s="37"/>
      <c r="AG28" s="38"/>
      <c r="AI28" s="39"/>
      <c r="AJ28" s="40"/>
      <c r="AL28" s="41"/>
      <c r="AM28" s="41"/>
      <c r="AN28" s="41"/>
      <c r="AP28" s="412">
        <f t="shared" si="22"/>
        <v>-8</v>
      </c>
      <c r="AQ28" s="42"/>
    </row>
    <row r="29" spans="2:43" s="412" customFormat="1" ht="36" customHeight="1" x14ac:dyDescent="0.3">
      <c r="B29" s="422" t="s">
        <v>39</v>
      </c>
      <c r="C29" s="423"/>
      <c r="D29" s="423"/>
      <c r="E29" s="424"/>
      <c r="F29" s="43">
        <f>SUM(F23:F28)</f>
        <v>24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1584</v>
      </c>
      <c r="U29" s="53">
        <f>SUM(U23:U28)</f>
        <v>1257</v>
      </c>
      <c r="V29" s="54">
        <f>U29/F29</f>
        <v>52.375</v>
      </c>
      <c r="W29" s="45">
        <f t="shared" si="15"/>
        <v>0.79356060606060608</v>
      </c>
      <c r="X29" s="55">
        <f>SUM(X23:X28)</f>
        <v>988.95</v>
      </c>
      <c r="Y29" s="44">
        <f>X29/F29</f>
        <v>41.206250000000004</v>
      </c>
      <c r="Z29" s="47">
        <f t="shared" si="17"/>
        <v>0.62433712121212126</v>
      </c>
      <c r="AA29" s="56">
        <f>U29/T29*AA20</f>
        <v>39.678030303030305</v>
      </c>
      <c r="AB29" s="57">
        <f>X29/T29*AB20</f>
        <v>33.995156250000001</v>
      </c>
      <c r="AC29" s="385">
        <f t="shared" si="20"/>
        <v>73.673186553030305</v>
      </c>
      <c r="AD29" s="162" t="str">
        <f t="shared" si="21"/>
        <v xml:space="preserve"> 사유?→</v>
      </c>
      <c r="AE29" s="43"/>
      <c r="AF29" s="37">
        <f>AG29-F29</f>
        <v>-24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8</v>
      </c>
      <c r="G30" s="416"/>
      <c r="H30" s="416"/>
      <c r="I30" s="416"/>
      <c r="J30" s="416"/>
      <c r="K30" s="416"/>
      <c r="L30" s="416"/>
      <c r="M30" s="416"/>
      <c r="N30" s="416"/>
      <c r="O30" s="416"/>
      <c r="P30" s="416"/>
      <c r="Q30" s="416"/>
      <c r="R30" s="416"/>
      <c r="S30" s="416"/>
      <c r="T30" s="416"/>
      <c r="U30" s="61">
        <f>V30*F30</f>
        <v>419</v>
      </c>
      <c r="V30" s="62">
        <f>U29/F29</f>
        <v>52.375</v>
      </c>
      <c r="W30" s="63">
        <f>IFERROR(U30/#REF!,0)</f>
        <v>0</v>
      </c>
      <c r="X30" s="64">
        <f>X29/F29*F30</f>
        <v>329.65000000000003</v>
      </c>
      <c r="Y30" s="62">
        <f>IF(F30=0,"휴무",X30/F30)</f>
        <v>41.206250000000004</v>
      </c>
      <c r="Z30" s="65">
        <f>IFERROR(X30/#REF!,0)</f>
        <v>0</v>
      </c>
      <c r="AA30" s="60">
        <f>AVERAGE(AA23:AA28)</f>
        <v>39.678030303030305</v>
      </c>
      <c r="AB30" s="60">
        <f>AVERAGE(AB23:AB28)</f>
        <v>33.995156250000001</v>
      </c>
      <c r="AC30" s="141">
        <f>AA30+AB30</f>
        <v>73.673186553030305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412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17</v>
      </c>
      <c r="F36" s="455" t="s">
        <v>7</v>
      </c>
      <c r="G36" s="82" t="s">
        <v>48</v>
      </c>
      <c r="H36" s="83"/>
      <c r="I36" s="84"/>
      <c r="J36" s="85"/>
      <c r="K36" s="86"/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0</v>
      </c>
      <c r="I38" s="88"/>
      <c r="J38" s="89"/>
      <c r="K38" s="90">
        <f>+K36+K37*2</f>
        <v>0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18</v>
      </c>
      <c r="F39" s="455" t="s">
        <v>52</v>
      </c>
      <c r="G39" s="82" t="s">
        <v>48</v>
      </c>
      <c r="H39" s="83">
        <f>229+70</f>
        <v>299</v>
      </c>
      <c r="I39" s="84"/>
      <c r="J39" s="85"/>
      <c r="K39" s="86">
        <f>263.6+21</f>
        <v>284.60000000000002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299</v>
      </c>
      <c r="I41" s="88"/>
      <c r="J41" s="89"/>
      <c r="K41" s="90">
        <f>+K39+K40*2</f>
        <v>284.60000000000002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19</v>
      </c>
      <c r="F42" s="455" t="s">
        <v>53</v>
      </c>
      <c r="G42" s="82" t="s">
        <v>48</v>
      </c>
      <c r="H42" s="83">
        <f>249-5</f>
        <v>244</v>
      </c>
      <c r="I42" s="84"/>
      <c r="J42" s="85"/>
      <c r="K42" s="86">
        <v>218.98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>
        <v>5</v>
      </c>
      <c r="I43" s="84"/>
      <c r="J43" s="85"/>
      <c r="K43" s="86">
        <v>9.4</v>
      </c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254</v>
      </c>
      <c r="I44" s="88"/>
      <c r="J44" s="89"/>
      <c r="K44" s="90">
        <f>+K42+K43*2</f>
        <v>237.78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20</v>
      </c>
      <c r="F45" s="455" t="s">
        <v>55</v>
      </c>
      <c r="G45" s="82" t="s">
        <v>48</v>
      </c>
      <c r="H45" s="83">
        <v>203</v>
      </c>
      <c r="I45" s="84"/>
      <c r="J45" s="85"/>
      <c r="K45" s="86">
        <v>423.2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203</v>
      </c>
      <c r="I47" s="88"/>
      <c r="J47" s="89"/>
      <c r="K47" s="90">
        <f>+K45+K46*2</f>
        <v>423.2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21</v>
      </c>
      <c r="F48" s="455" t="s">
        <v>56</v>
      </c>
      <c r="G48" s="82" t="s">
        <v>48</v>
      </c>
      <c r="H48" s="83">
        <v>442</v>
      </c>
      <c r="I48" s="84"/>
      <c r="J48" s="85"/>
      <c r="K48" s="86">
        <v>408.56</v>
      </c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442</v>
      </c>
      <c r="I50" s="88"/>
      <c r="J50" s="89"/>
      <c r="K50" s="90">
        <f>+K48+K49*2</f>
        <v>408.56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22</v>
      </c>
      <c r="F51" s="455" t="s">
        <v>38</v>
      </c>
      <c r="G51" s="82" t="s">
        <v>48</v>
      </c>
      <c r="H51" s="83">
        <f>327+70</f>
        <v>397</v>
      </c>
      <c r="I51" s="84"/>
      <c r="J51" s="85"/>
      <c r="K51" s="86">
        <f>332.86+19.6</f>
        <v>352.46000000000004</v>
      </c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397</v>
      </c>
      <c r="I53" s="88"/>
      <c r="J53" s="89"/>
      <c r="K53" s="90">
        <f>+K51+K52*2</f>
        <v>352.46000000000004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17</v>
      </c>
      <c r="F56" s="455" t="s">
        <v>7</v>
      </c>
      <c r="G56" s="82" t="s">
        <v>48</v>
      </c>
      <c r="H56" s="83"/>
      <c r="I56" s="84"/>
      <c r="J56" s="85"/>
      <c r="K56" s="86"/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/>
      <c r="I57" s="84"/>
      <c r="J57" s="85"/>
      <c r="K57" s="86"/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0</v>
      </c>
      <c r="I58" s="88"/>
      <c r="J58" s="89"/>
      <c r="K58" s="90">
        <f>+K56+K57*2</f>
        <v>0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18</v>
      </c>
      <c r="F59" s="455" t="s">
        <v>52</v>
      </c>
      <c r="G59" s="82" t="s">
        <v>48</v>
      </c>
      <c r="H59" s="83"/>
      <c r="I59" s="84"/>
      <c r="J59" s="85"/>
      <c r="K59" s="86"/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/>
      <c r="I60" s="84"/>
      <c r="J60" s="85"/>
      <c r="K60" s="86"/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0</v>
      </c>
      <c r="I61" s="88"/>
      <c r="J61" s="89"/>
      <c r="K61" s="90">
        <f>+K59+K60*2</f>
        <v>0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19</v>
      </c>
      <c r="F62" s="455" t="s">
        <v>53</v>
      </c>
      <c r="G62" s="82" t="s">
        <v>48</v>
      </c>
      <c r="H62" s="83"/>
      <c r="I62" s="84"/>
      <c r="J62" s="85"/>
      <c r="K62" s="86"/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/>
      <c r="I63" s="84"/>
      <c r="J63" s="85"/>
      <c r="K63" s="86"/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0</v>
      </c>
      <c r="I64" s="88"/>
      <c r="J64" s="89"/>
      <c r="K64" s="90">
        <f>+K62+K63*2</f>
        <v>0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20</v>
      </c>
      <c r="F65" s="455" t="s">
        <v>55</v>
      </c>
      <c r="G65" s="82" t="s">
        <v>48</v>
      </c>
      <c r="H65" s="83">
        <f>249+160-14</f>
        <v>395</v>
      </c>
      <c r="I65" s="84"/>
      <c r="J65" s="85"/>
      <c r="K65" s="86">
        <f>236.76+44.8-4.87</f>
        <v>276.69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>
        <v>14</v>
      </c>
      <c r="I66" s="84"/>
      <c r="J66" s="85"/>
      <c r="K66" s="86">
        <v>4.87</v>
      </c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423</v>
      </c>
      <c r="I67" s="88"/>
      <c r="J67" s="89"/>
      <c r="K67" s="90">
        <f>+K65+K66*2</f>
        <v>286.43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21</v>
      </c>
      <c r="F68" s="455" t="s">
        <v>56</v>
      </c>
      <c r="G68" s="82" t="s">
        <v>48</v>
      </c>
      <c r="H68" s="83">
        <v>438</v>
      </c>
      <c r="I68" s="84"/>
      <c r="J68" s="85"/>
      <c r="K68" s="86">
        <f>327.91-3.14</f>
        <v>324.77000000000004</v>
      </c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>
        <v>2</v>
      </c>
      <c r="I69" s="84"/>
      <c r="J69" s="85"/>
      <c r="K69" s="86">
        <v>3.14</v>
      </c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442</v>
      </c>
      <c r="I70" s="88"/>
      <c r="J70" s="89"/>
      <c r="K70" s="90">
        <f>+K68+K69*2</f>
        <v>331.05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22</v>
      </c>
      <c r="F71" s="455" t="s">
        <v>38</v>
      </c>
      <c r="G71" s="82" t="s">
        <v>48</v>
      </c>
      <c r="H71" s="83">
        <v>392</v>
      </c>
      <c r="I71" s="84"/>
      <c r="J71" s="85"/>
      <c r="K71" s="86">
        <v>371.47</v>
      </c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392</v>
      </c>
      <c r="I73" s="88"/>
      <c r="J73" s="89"/>
      <c r="K73" s="90">
        <f>+K71+K72*2</f>
        <v>371.47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415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3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4">IF(F80=0,"휴무",AA80+AB80)</f>
        <v>#REF!</v>
      </c>
      <c r="AD80" s="103" t="e">
        <f t="shared" ref="AD80:AD85" si="25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412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412"/>
      <c r="AP80" s="412">
        <f>AO80-F80</f>
        <v>-10</v>
      </c>
    </row>
    <row r="81" spans="2:42" ht="98.25" customHeight="1" x14ac:dyDescent="0.3">
      <c r="B81" s="459"/>
      <c r="C81" s="92">
        <v>20</v>
      </c>
      <c r="D81" s="411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3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4"/>
        <v>#REF!</v>
      </c>
      <c r="AD81" s="108" t="e">
        <f t="shared" si="25"/>
        <v>#REF!</v>
      </c>
      <c r="AE81" s="109"/>
      <c r="AF81" s="37">
        <f>AG81-F81</f>
        <v>-10</v>
      </c>
      <c r="AG81" s="38">
        <f>AN81</f>
        <v>0</v>
      </c>
      <c r="AH81" s="412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412"/>
      <c r="AP81" s="412">
        <f>AO81-F81</f>
        <v>-10</v>
      </c>
    </row>
    <row r="82" spans="2:42" ht="98.25" customHeight="1" x14ac:dyDescent="0.3">
      <c r="B82" s="459"/>
      <c r="C82" s="92">
        <v>21</v>
      </c>
      <c r="D82" s="411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3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4"/>
        <v>#REF!</v>
      </c>
      <c r="AD82" s="108" t="e">
        <f t="shared" si="25"/>
        <v>#REF!</v>
      </c>
      <c r="AE82" s="109"/>
      <c r="AF82" s="37">
        <f>AG82-F82</f>
        <v>-10</v>
      </c>
      <c r="AG82" s="38">
        <f>AN82</f>
        <v>0</v>
      </c>
      <c r="AH82" s="412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412"/>
      <c r="AP82" s="412">
        <f>AO82-F82</f>
        <v>-10</v>
      </c>
    </row>
    <row r="83" spans="2:42" ht="98.25" customHeight="1" x14ac:dyDescent="0.3">
      <c r="B83" s="459"/>
      <c r="C83" s="92">
        <v>22</v>
      </c>
      <c r="D83" s="411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3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4"/>
        <v>#REF!</v>
      </c>
      <c r="AD83" s="110" t="e">
        <f t="shared" si="25"/>
        <v>#REF!</v>
      </c>
      <c r="AE83" s="104"/>
      <c r="AF83" s="37">
        <f>AG83-F83</f>
        <v>-10</v>
      </c>
      <c r="AG83" s="38">
        <f>AN83</f>
        <v>0</v>
      </c>
      <c r="AH83" s="412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412"/>
      <c r="AP83" s="412">
        <f>AO83-F83</f>
        <v>-10</v>
      </c>
    </row>
    <row r="84" spans="2:42" ht="98.25" customHeight="1" x14ac:dyDescent="0.3">
      <c r="B84" s="459"/>
      <c r="C84" s="92">
        <v>23</v>
      </c>
      <c r="D84" s="411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3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4"/>
        <v>#REF!</v>
      </c>
      <c r="AD84" s="110" t="e">
        <f t="shared" si="25"/>
        <v>#REF!</v>
      </c>
      <c r="AE84" s="104"/>
      <c r="AF84" s="37">
        <f>AG84-F84</f>
        <v>-10</v>
      </c>
      <c r="AG84" s="38">
        <f>AN84</f>
        <v>0</v>
      </c>
      <c r="AH84" s="412" t="s">
        <v>46</v>
      </c>
      <c r="AI84" s="39"/>
      <c r="AJ84" s="40" t="str">
        <f>IFERROR(Z84/W84*1000,"")</f>
        <v/>
      </c>
      <c r="AK84" s="412"/>
      <c r="AL84" s="41"/>
      <c r="AM84" s="41"/>
      <c r="AN84" s="41"/>
      <c r="AO84" s="412"/>
      <c r="AP84" s="412">
        <f>AO84-F84</f>
        <v>-10</v>
      </c>
    </row>
    <row r="85" spans="2:42" ht="98.25" customHeight="1" x14ac:dyDescent="0.3">
      <c r="B85" s="459"/>
      <c r="C85" s="92">
        <v>25</v>
      </c>
      <c r="D85" s="411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416"/>
      <c r="H85" s="416"/>
      <c r="I85" s="416"/>
      <c r="J85" s="416"/>
      <c r="K85" s="416"/>
      <c r="L85" s="416"/>
      <c r="M85" s="416"/>
      <c r="N85" s="416"/>
      <c r="O85" s="416"/>
      <c r="P85" s="416"/>
      <c r="Q85" s="416"/>
      <c r="R85" s="416"/>
      <c r="S85" s="416"/>
      <c r="T85" s="416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3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4"/>
        <v>휴무</v>
      </c>
      <c r="AD85" s="110" t="str">
        <f t="shared" si="25"/>
        <v>휴무</v>
      </c>
      <c r="AE85" s="104"/>
      <c r="AF85" s="37"/>
      <c r="AG85" s="38"/>
      <c r="AH85" s="412"/>
      <c r="AI85" s="39"/>
      <c r="AJ85" s="40"/>
      <c r="AK85" s="412"/>
      <c r="AL85" s="41"/>
      <c r="AM85" s="41"/>
      <c r="AN85" s="41"/>
      <c r="AO85" s="412"/>
      <c r="AP85" s="412"/>
    </row>
    <row r="86" spans="2:42" ht="36" customHeight="1" x14ac:dyDescent="0.3">
      <c r="B86" s="460" t="s">
        <v>39</v>
      </c>
      <c r="C86" s="461"/>
      <c r="D86" s="461"/>
      <c r="E86" s="462"/>
      <c r="F86" s="411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411"/>
      <c r="AB86" s="410"/>
      <c r="AC86" s="114"/>
      <c r="AD86" s="115"/>
      <c r="AE86" s="413"/>
      <c r="AF86" s="37">
        <f>AG86-F86</f>
        <v>-50</v>
      </c>
      <c r="AG86" s="38">
        <f>SUM(AG80:AG85)</f>
        <v>0</v>
      </c>
      <c r="AH86" s="412"/>
      <c r="AI86" s="412"/>
      <c r="AJ86" s="40"/>
      <c r="AK86" s="412"/>
      <c r="AL86" s="59"/>
      <c r="AM86" s="59"/>
      <c r="AN86" s="59"/>
      <c r="AO86" s="412"/>
      <c r="AP86" s="412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416"/>
      <c r="H87" s="416"/>
      <c r="I87" s="416"/>
      <c r="J87" s="416"/>
      <c r="K87" s="416"/>
      <c r="L87" s="416"/>
      <c r="M87" s="416"/>
      <c r="N87" s="416"/>
      <c r="O87" s="416"/>
      <c r="P87" s="416"/>
      <c r="Q87" s="416"/>
      <c r="R87" s="416"/>
      <c r="S87" s="416"/>
      <c r="T87" s="416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412"/>
      <c r="AE88" s="412"/>
      <c r="AF88" s="412"/>
      <c r="AG88" s="412"/>
      <c r="AH88" s="412"/>
      <c r="AI88" s="412"/>
      <c r="AJ88" s="412"/>
      <c r="AK88" s="412"/>
      <c r="AL88" s="59"/>
      <c r="AM88" s="59"/>
      <c r="AN88" s="59"/>
      <c r="AO88" s="412"/>
      <c r="AP88" s="412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411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411" t="s">
        <v>63</v>
      </c>
      <c r="D117" s="466" t="s">
        <v>12</v>
      </c>
      <c r="E117" s="466"/>
      <c r="F117" s="411" t="s">
        <v>64</v>
      </c>
      <c r="G117" s="411"/>
      <c r="H117" s="411"/>
      <c r="I117" s="411"/>
      <c r="J117" s="411"/>
      <c r="K117" s="411"/>
      <c r="L117" s="411"/>
      <c r="M117" s="411"/>
      <c r="N117" s="411"/>
      <c r="O117" s="411"/>
      <c r="P117" s="411"/>
      <c r="Q117" s="411"/>
      <c r="R117" s="411"/>
      <c r="S117" s="411"/>
      <c r="T117" s="411"/>
      <c r="U117" s="411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411"/>
      <c r="G118" s="411"/>
      <c r="H118" s="411"/>
      <c r="I118" s="411"/>
      <c r="J118" s="411"/>
      <c r="K118" s="411"/>
      <c r="L118" s="411"/>
      <c r="M118" s="411"/>
      <c r="N118" s="411"/>
      <c r="O118" s="411"/>
      <c r="P118" s="411"/>
      <c r="Q118" s="411"/>
      <c r="R118" s="411"/>
      <c r="S118" s="411"/>
      <c r="T118" s="411"/>
      <c r="U118" s="411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411"/>
      <c r="G119" s="411"/>
      <c r="H119" s="411"/>
      <c r="I119" s="411"/>
      <c r="J119" s="411"/>
      <c r="K119" s="411"/>
      <c r="L119" s="411"/>
      <c r="M119" s="411"/>
      <c r="N119" s="411"/>
      <c r="O119" s="411"/>
      <c r="P119" s="411"/>
      <c r="Q119" s="411"/>
      <c r="R119" s="411"/>
      <c r="S119" s="411"/>
      <c r="T119" s="411"/>
      <c r="U119" s="411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411"/>
      <c r="G120" s="411"/>
      <c r="H120" s="411"/>
      <c r="I120" s="411"/>
      <c r="J120" s="411"/>
      <c r="K120" s="411"/>
      <c r="L120" s="411"/>
      <c r="M120" s="411"/>
      <c r="N120" s="411"/>
      <c r="O120" s="411"/>
      <c r="P120" s="411"/>
      <c r="Q120" s="411"/>
      <c r="R120" s="411"/>
      <c r="S120" s="411"/>
      <c r="T120" s="411"/>
      <c r="U120" s="411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411"/>
      <c r="G121" s="411"/>
      <c r="H121" s="411"/>
      <c r="I121" s="411"/>
      <c r="J121" s="411"/>
      <c r="K121" s="411"/>
      <c r="L121" s="411"/>
      <c r="M121" s="411"/>
      <c r="N121" s="411"/>
      <c r="O121" s="411"/>
      <c r="P121" s="411"/>
      <c r="Q121" s="411"/>
      <c r="R121" s="411"/>
      <c r="S121" s="411"/>
      <c r="T121" s="411"/>
      <c r="U121" s="411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411"/>
      <c r="G122" s="411"/>
      <c r="H122" s="411"/>
      <c r="I122" s="411"/>
      <c r="J122" s="411"/>
      <c r="K122" s="411"/>
      <c r="L122" s="411"/>
      <c r="M122" s="411"/>
      <c r="N122" s="411"/>
      <c r="O122" s="411"/>
      <c r="P122" s="411"/>
      <c r="Q122" s="411"/>
      <c r="R122" s="411"/>
      <c r="S122" s="411"/>
      <c r="T122" s="411"/>
      <c r="U122" s="411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411"/>
      <c r="G123" s="411"/>
      <c r="H123" s="411"/>
      <c r="I123" s="411"/>
      <c r="J123" s="411"/>
      <c r="K123" s="411"/>
      <c r="L123" s="411"/>
      <c r="M123" s="411"/>
      <c r="N123" s="411"/>
      <c r="O123" s="411"/>
      <c r="P123" s="411"/>
      <c r="Q123" s="411"/>
      <c r="R123" s="411"/>
      <c r="S123" s="411"/>
      <c r="T123" s="411"/>
      <c r="U123" s="411"/>
      <c r="V123" s="117"/>
      <c r="W123" s="118"/>
      <c r="X123" s="116"/>
      <c r="Y123" s="117"/>
      <c r="Z123" s="116"/>
      <c r="AA123" s="116"/>
    </row>
    <row r="124" spans="3:27" x14ac:dyDescent="0.3">
      <c r="C124" s="411"/>
      <c r="D124" s="460"/>
      <c r="E124" s="462"/>
      <c r="F124" s="411"/>
      <c r="G124" s="411"/>
      <c r="H124" s="411"/>
      <c r="I124" s="411"/>
      <c r="J124" s="411"/>
      <c r="K124" s="411"/>
      <c r="L124" s="411"/>
      <c r="M124" s="411"/>
      <c r="N124" s="411"/>
      <c r="O124" s="411"/>
      <c r="P124" s="411"/>
      <c r="Q124" s="411"/>
      <c r="R124" s="411"/>
      <c r="S124" s="411"/>
      <c r="T124" s="411"/>
      <c r="U124" s="411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411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411" t="s">
        <v>63</v>
      </c>
      <c r="D127" s="466" t="s">
        <v>12</v>
      </c>
      <c r="E127" s="466"/>
      <c r="F127" s="411" t="s">
        <v>64</v>
      </c>
      <c r="G127" s="411"/>
      <c r="H127" s="411"/>
      <c r="I127" s="411"/>
      <c r="J127" s="411"/>
      <c r="K127" s="411"/>
      <c r="L127" s="411"/>
      <c r="M127" s="411"/>
      <c r="N127" s="411"/>
      <c r="O127" s="411"/>
      <c r="P127" s="411"/>
      <c r="Q127" s="411"/>
      <c r="R127" s="411"/>
      <c r="S127" s="411"/>
      <c r="T127" s="411"/>
      <c r="U127" s="411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411"/>
      <c r="G128" s="411"/>
      <c r="H128" s="411"/>
      <c r="I128" s="411"/>
      <c r="J128" s="411"/>
      <c r="K128" s="411"/>
      <c r="L128" s="411"/>
      <c r="M128" s="411"/>
      <c r="N128" s="411"/>
      <c r="O128" s="411"/>
      <c r="P128" s="411"/>
      <c r="Q128" s="411"/>
      <c r="R128" s="411"/>
      <c r="S128" s="411"/>
      <c r="T128" s="411"/>
      <c r="U128" s="411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411"/>
      <c r="G129" s="411"/>
      <c r="H129" s="411"/>
      <c r="I129" s="411"/>
      <c r="J129" s="411"/>
      <c r="K129" s="411"/>
      <c r="L129" s="411"/>
      <c r="M129" s="411"/>
      <c r="N129" s="411"/>
      <c r="O129" s="411"/>
      <c r="P129" s="411"/>
      <c r="Q129" s="411"/>
      <c r="R129" s="411"/>
      <c r="S129" s="411"/>
      <c r="T129" s="411"/>
      <c r="U129" s="411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411"/>
      <c r="G130" s="411"/>
      <c r="H130" s="411"/>
      <c r="I130" s="411"/>
      <c r="J130" s="411"/>
      <c r="K130" s="411"/>
      <c r="L130" s="411"/>
      <c r="M130" s="411"/>
      <c r="N130" s="411"/>
      <c r="O130" s="411"/>
      <c r="P130" s="411"/>
      <c r="Q130" s="411"/>
      <c r="R130" s="411"/>
      <c r="S130" s="411"/>
      <c r="T130" s="411"/>
      <c r="U130" s="411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411"/>
      <c r="G131" s="411"/>
      <c r="H131" s="411"/>
      <c r="I131" s="411"/>
      <c r="J131" s="411"/>
      <c r="K131" s="411"/>
      <c r="L131" s="411"/>
      <c r="M131" s="411"/>
      <c r="N131" s="411"/>
      <c r="O131" s="411"/>
      <c r="P131" s="411"/>
      <c r="Q131" s="411"/>
      <c r="R131" s="411"/>
      <c r="S131" s="411"/>
      <c r="T131" s="411"/>
      <c r="U131" s="411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411"/>
      <c r="G132" s="411"/>
      <c r="H132" s="411"/>
      <c r="I132" s="411"/>
      <c r="J132" s="411"/>
      <c r="K132" s="411"/>
      <c r="L132" s="411"/>
      <c r="M132" s="411"/>
      <c r="N132" s="411"/>
      <c r="O132" s="411"/>
      <c r="P132" s="411"/>
      <c r="Q132" s="411"/>
      <c r="R132" s="411"/>
      <c r="S132" s="411"/>
      <c r="T132" s="411"/>
      <c r="U132" s="411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411"/>
      <c r="G133" s="411"/>
      <c r="H133" s="411"/>
      <c r="I133" s="411"/>
      <c r="J133" s="411"/>
      <c r="K133" s="411"/>
      <c r="L133" s="411"/>
      <c r="M133" s="411"/>
      <c r="N133" s="411"/>
      <c r="O133" s="411"/>
      <c r="P133" s="411"/>
      <c r="Q133" s="411"/>
      <c r="R133" s="411"/>
      <c r="S133" s="411"/>
      <c r="T133" s="411"/>
      <c r="U133" s="411"/>
      <c r="V133" s="117"/>
      <c r="W133" s="118"/>
      <c r="X133" s="116"/>
      <c r="Y133" s="117"/>
      <c r="Z133" s="116"/>
      <c r="AA133" s="116"/>
    </row>
    <row r="134" spans="3:27" x14ac:dyDescent="0.3">
      <c r="C134" s="411"/>
      <c r="D134" s="460"/>
      <c r="E134" s="462"/>
      <c r="F134" s="411"/>
      <c r="G134" s="411"/>
      <c r="H134" s="411"/>
      <c r="I134" s="411"/>
      <c r="J134" s="411"/>
      <c r="K134" s="411"/>
      <c r="L134" s="411"/>
      <c r="M134" s="411"/>
      <c r="N134" s="411"/>
      <c r="O134" s="411"/>
      <c r="P134" s="411"/>
      <c r="Q134" s="411"/>
      <c r="R134" s="411"/>
      <c r="S134" s="411"/>
      <c r="T134" s="411"/>
      <c r="U134" s="411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411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411" t="s">
        <v>63</v>
      </c>
      <c r="D137" s="466" t="s">
        <v>12</v>
      </c>
      <c r="E137" s="466"/>
      <c r="F137" s="411" t="s">
        <v>64</v>
      </c>
      <c r="G137" s="411"/>
      <c r="H137" s="411"/>
      <c r="I137" s="411"/>
      <c r="J137" s="411"/>
      <c r="K137" s="411"/>
      <c r="L137" s="411"/>
      <c r="M137" s="411"/>
      <c r="N137" s="411"/>
      <c r="O137" s="411"/>
      <c r="P137" s="411"/>
      <c r="Q137" s="411"/>
      <c r="R137" s="411"/>
      <c r="S137" s="411"/>
      <c r="T137" s="411"/>
      <c r="U137" s="411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411"/>
      <c r="G138" s="411"/>
      <c r="H138" s="411"/>
      <c r="I138" s="411"/>
      <c r="J138" s="411"/>
      <c r="K138" s="411"/>
      <c r="L138" s="411"/>
      <c r="M138" s="411"/>
      <c r="N138" s="411"/>
      <c r="O138" s="411"/>
      <c r="P138" s="411"/>
      <c r="Q138" s="411"/>
      <c r="R138" s="411"/>
      <c r="S138" s="411"/>
      <c r="T138" s="411"/>
      <c r="U138" s="411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411"/>
      <c r="G139" s="411"/>
      <c r="H139" s="411"/>
      <c r="I139" s="411"/>
      <c r="J139" s="411"/>
      <c r="K139" s="411"/>
      <c r="L139" s="411"/>
      <c r="M139" s="411"/>
      <c r="N139" s="411"/>
      <c r="O139" s="411"/>
      <c r="P139" s="411"/>
      <c r="Q139" s="411"/>
      <c r="R139" s="411"/>
      <c r="S139" s="411"/>
      <c r="T139" s="411"/>
      <c r="U139" s="411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411"/>
      <c r="G140" s="411"/>
      <c r="H140" s="411"/>
      <c r="I140" s="411"/>
      <c r="J140" s="411"/>
      <c r="K140" s="411"/>
      <c r="L140" s="411"/>
      <c r="M140" s="411"/>
      <c r="N140" s="411"/>
      <c r="O140" s="411"/>
      <c r="P140" s="411"/>
      <c r="Q140" s="411"/>
      <c r="R140" s="411"/>
      <c r="S140" s="411"/>
      <c r="T140" s="411"/>
      <c r="U140" s="411"/>
    </row>
    <row r="141" spans="3:27" x14ac:dyDescent="0.3">
      <c r="C141" s="119">
        <v>45078</v>
      </c>
      <c r="D141" s="466"/>
      <c r="E141" s="466"/>
      <c r="F141" s="411"/>
      <c r="G141" s="411"/>
      <c r="H141" s="411"/>
      <c r="I141" s="411"/>
      <c r="J141" s="411"/>
      <c r="K141" s="411"/>
      <c r="L141" s="411"/>
      <c r="M141" s="411"/>
      <c r="N141" s="411"/>
      <c r="O141" s="411"/>
      <c r="P141" s="411"/>
      <c r="Q141" s="411"/>
      <c r="R141" s="411"/>
      <c r="S141" s="411"/>
      <c r="T141" s="411"/>
      <c r="U141" s="411"/>
    </row>
    <row r="142" spans="3:27" x14ac:dyDescent="0.3">
      <c r="C142" s="119">
        <v>45079</v>
      </c>
      <c r="D142" s="466"/>
      <c r="E142" s="466"/>
      <c r="F142" s="411"/>
      <c r="G142" s="411"/>
      <c r="H142" s="411"/>
      <c r="I142" s="411"/>
      <c r="J142" s="411"/>
      <c r="K142" s="411"/>
      <c r="L142" s="411"/>
      <c r="M142" s="411"/>
      <c r="N142" s="411"/>
      <c r="O142" s="411"/>
      <c r="P142" s="411"/>
      <c r="Q142" s="411"/>
      <c r="R142" s="411"/>
      <c r="S142" s="411"/>
      <c r="T142" s="411"/>
      <c r="U142" s="411"/>
    </row>
    <row r="143" spans="3:27" x14ac:dyDescent="0.3">
      <c r="C143" s="119">
        <v>45080</v>
      </c>
      <c r="D143" s="466"/>
      <c r="E143" s="466"/>
      <c r="F143" s="411"/>
      <c r="G143" s="411"/>
      <c r="H143" s="411"/>
      <c r="I143" s="411"/>
      <c r="J143" s="411"/>
      <c r="K143" s="411"/>
      <c r="L143" s="411"/>
      <c r="M143" s="411"/>
      <c r="N143" s="411"/>
      <c r="O143" s="411"/>
      <c r="P143" s="411"/>
      <c r="Q143" s="411"/>
      <c r="R143" s="411"/>
      <c r="S143" s="411"/>
      <c r="T143" s="411"/>
      <c r="U143" s="411"/>
    </row>
    <row r="144" spans="3:27" x14ac:dyDescent="0.3">
      <c r="C144" s="411"/>
      <c r="D144" s="460"/>
      <c r="E144" s="462"/>
      <c r="F144" s="411"/>
      <c r="G144" s="411"/>
      <c r="H144" s="411"/>
      <c r="I144" s="411"/>
      <c r="J144" s="411"/>
      <c r="K144" s="411"/>
      <c r="L144" s="411"/>
      <c r="M144" s="411"/>
      <c r="N144" s="411"/>
      <c r="O144" s="411"/>
      <c r="P144" s="411"/>
      <c r="Q144" s="411"/>
      <c r="R144" s="411"/>
      <c r="S144" s="411"/>
      <c r="T144" s="411"/>
      <c r="U144" s="411"/>
    </row>
  </sheetData>
  <mergeCells count="111">
    <mergeCell ref="D144:E144"/>
    <mergeCell ref="D138:E138"/>
    <mergeCell ref="D139:E139"/>
    <mergeCell ref="D140:E140"/>
    <mergeCell ref="D141:E141"/>
    <mergeCell ref="D142:E142"/>
    <mergeCell ref="D143:E143"/>
    <mergeCell ref="D130:E130"/>
    <mergeCell ref="D131:E131"/>
    <mergeCell ref="D132:E132"/>
    <mergeCell ref="D133:E133"/>
    <mergeCell ref="D134:E134"/>
    <mergeCell ref="D137:E137"/>
    <mergeCell ref="D122:E122"/>
    <mergeCell ref="D123:E123"/>
    <mergeCell ref="D124:E124"/>
    <mergeCell ref="D127:E127"/>
    <mergeCell ref="D128:E128"/>
    <mergeCell ref="D129:E129"/>
    <mergeCell ref="C114:U114"/>
    <mergeCell ref="D117:E117"/>
    <mergeCell ref="D118:E118"/>
    <mergeCell ref="D119:E119"/>
    <mergeCell ref="D120:E120"/>
    <mergeCell ref="D121:E121"/>
    <mergeCell ref="E101:E103"/>
    <mergeCell ref="F101:F103"/>
    <mergeCell ref="E104:E106"/>
    <mergeCell ref="F104:F106"/>
    <mergeCell ref="E107:E109"/>
    <mergeCell ref="F107:F109"/>
    <mergeCell ref="E92:E94"/>
    <mergeCell ref="F92:F94"/>
    <mergeCell ref="E95:E97"/>
    <mergeCell ref="F95:F97"/>
    <mergeCell ref="E98:E100"/>
    <mergeCell ref="F98:F100"/>
    <mergeCell ref="AC78:AC79"/>
    <mergeCell ref="AD78:AD79"/>
    <mergeCell ref="AE78:AE79"/>
    <mergeCell ref="B80:B85"/>
    <mergeCell ref="B86:E86"/>
    <mergeCell ref="B87:E87"/>
    <mergeCell ref="E71:E73"/>
    <mergeCell ref="F71:F73"/>
    <mergeCell ref="B76:AE76"/>
    <mergeCell ref="B78:B79"/>
    <mergeCell ref="C78:C79"/>
    <mergeCell ref="D78:D79"/>
    <mergeCell ref="E78:E79"/>
    <mergeCell ref="F78:F79"/>
    <mergeCell ref="U78:W78"/>
    <mergeCell ref="X78:Z78"/>
    <mergeCell ref="E62:E64"/>
    <mergeCell ref="F62:F64"/>
    <mergeCell ref="E65:E67"/>
    <mergeCell ref="F65:F67"/>
    <mergeCell ref="E68:E70"/>
    <mergeCell ref="F68:F70"/>
    <mergeCell ref="E51:E53"/>
    <mergeCell ref="F51:F53"/>
    <mergeCell ref="E56:E58"/>
    <mergeCell ref="F56:F58"/>
    <mergeCell ref="E59:E61"/>
    <mergeCell ref="F59:F61"/>
    <mergeCell ref="E45:E47"/>
    <mergeCell ref="F45:F47"/>
    <mergeCell ref="E48:E50"/>
    <mergeCell ref="F48:F50"/>
    <mergeCell ref="B29:E29"/>
    <mergeCell ref="B30:E30"/>
    <mergeCell ref="E36:E38"/>
    <mergeCell ref="F36:F38"/>
    <mergeCell ref="E39:E41"/>
    <mergeCell ref="F39:F41"/>
    <mergeCell ref="AE21:AE22"/>
    <mergeCell ref="B23:B28"/>
    <mergeCell ref="G21:G22"/>
    <mergeCell ref="H21:H22"/>
    <mergeCell ref="I21:S21"/>
    <mergeCell ref="T21:T22"/>
    <mergeCell ref="U21:W21"/>
    <mergeCell ref="X21:Z21"/>
    <mergeCell ref="E42:E44"/>
    <mergeCell ref="F42:F44"/>
    <mergeCell ref="B14:E14"/>
    <mergeCell ref="B21:B22"/>
    <mergeCell ref="C21:C22"/>
    <mergeCell ref="D21:D22"/>
    <mergeCell ref="E21:E22"/>
    <mergeCell ref="F21:F22"/>
    <mergeCell ref="X5:Z5"/>
    <mergeCell ref="AC5:AC6"/>
    <mergeCell ref="AD5:AD6"/>
    <mergeCell ref="AA21:AA22"/>
    <mergeCell ref="AB21:AB22"/>
    <mergeCell ref="AC21:AC22"/>
    <mergeCell ref="AD21:AD22"/>
    <mergeCell ref="AE5:AE6"/>
    <mergeCell ref="B7:B12"/>
    <mergeCell ref="B13:E13"/>
    <mergeCell ref="B2:AE2"/>
    <mergeCell ref="B5:C6"/>
    <mergeCell ref="D5:D6"/>
    <mergeCell ref="E5:E6"/>
    <mergeCell ref="F5:F6"/>
    <mergeCell ref="G5:G6"/>
    <mergeCell ref="H5:H6"/>
    <mergeCell ref="I5:S5"/>
    <mergeCell ref="T5:T6"/>
    <mergeCell ref="U5:W5"/>
  </mergeCells>
  <phoneticPr fontId="4" type="noConversion"/>
  <dataValidations disablePrompts="1" count="4">
    <dataValidation type="list" allowBlank="1" showInputMessage="1" showErrorMessage="1" sqref="E28 E12">
      <formula1>$U$7:$U$12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 E8:E11 E26:E27">
      <formula1>$AH$7:$AH$12</formula1>
    </dataValidation>
    <dataValidation type="list" allowBlank="1" showInputMessage="1" showErrorMessage="1" sqref="E7 E23:E25">
      <formula1>$AG$6:$AG$11</formula1>
    </dataValidation>
  </dataValidations>
  <pageMargins left="0.62992125984251968" right="0.62992125984251968" top="0.94488188976377963" bottom="0.55118110236220474" header="0.31496062992125984" footer="0.31496062992125984"/>
  <pageSetup paperSize="9" scale="2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80" zoomScaleNormal="80" workbookViewId="0">
      <pane xSplit="4" ySplit="6" topLeftCell="E25" activePane="bottomRight" state="frozen"/>
      <selection pane="topRight" activeCell="D1" sqref="D1"/>
      <selection pane="bottomLeft" activeCell="A6" sqref="A6"/>
      <selection pane="bottomRight" activeCell="E28" sqref="E28:F28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64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11.75" hidden="1" customWidth="1"/>
    <col min="44" max="44" width="3.25" customWidth="1"/>
  </cols>
  <sheetData>
    <row r="2" spans="2:52" ht="20.25" x14ac:dyDescent="0.3">
      <c r="B2" s="425" t="s">
        <v>327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404" t="s">
        <v>1</v>
      </c>
      <c r="AY2" s="404" t="s">
        <v>2</v>
      </c>
      <c r="AZ2" s="3" t="s">
        <v>3</v>
      </c>
    </row>
    <row r="3" spans="2:52" ht="45" customHeight="1" x14ac:dyDescent="0.3">
      <c r="B3" s="330" t="s">
        <v>4</v>
      </c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403" t="s">
        <v>68</v>
      </c>
      <c r="J6" s="18" t="s">
        <v>69</v>
      </c>
      <c r="K6" s="18" t="s">
        <v>71</v>
      </c>
      <c r="L6" s="18" t="s">
        <v>72</v>
      </c>
      <c r="M6" s="18" t="s">
        <v>75</v>
      </c>
      <c r="N6" s="18" t="s">
        <v>75</v>
      </c>
      <c r="O6" s="18" t="s">
        <v>75</v>
      </c>
      <c r="P6" s="18" t="s">
        <v>230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403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-32.5</v>
      </c>
    </row>
    <row r="7" spans="2:52" s="409" customFormat="1" ht="99" customHeight="1" thickTop="1" x14ac:dyDescent="0.3">
      <c r="B7" s="420">
        <v>8</v>
      </c>
      <c r="C7" s="24">
        <v>10</v>
      </c>
      <c r="D7" s="25" t="s">
        <v>7</v>
      </c>
      <c r="E7" s="26" t="s">
        <v>28</v>
      </c>
      <c r="F7" s="25">
        <v>11</v>
      </c>
      <c r="G7" s="128">
        <v>239</v>
      </c>
      <c r="H7" s="128">
        <f>(G7/U7)*100</f>
        <v>57.040572792362767</v>
      </c>
      <c r="I7" s="123" t="s">
        <v>85</v>
      </c>
      <c r="J7" s="123" t="s">
        <v>86</v>
      </c>
      <c r="K7" s="123" t="s">
        <v>87</v>
      </c>
      <c r="L7" s="123"/>
      <c r="M7" s="129" t="s">
        <v>90</v>
      </c>
      <c r="N7" s="123" t="s">
        <v>74</v>
      </c>
      <c r="O7" s="123" t="s">
        <v>169</v>
      </c>
      <c r="P7" s="123" t="s">
        <v>231</v>
      </c>
      <c r="Q7" s="123" t="s">
        <v>91</v>
      </c>
      <c r="R7" s="123" t="s">
        <v>89</v>
      </c>
      <c r="S7" s="125">
        <f t="shared" ref="S7:S12" si="0">COUNTA(I7:L7)+COUNTA(M7:R7)/2</f>
        <v>6</v>
      </c>
      <c r="T7" s="27">
        <f t="shared" ref="T7:T12" si="1">F7*$D$4*$U$4</f>
        <v>726</v>
      </c>
      <c r="U7" s="28">
        <f>+H38</f>
        <v>419</v>
      </c>
      <c r="V7" s="29">
        <f t="shared" ref="V7:V12" si="2">IF(F7=0,"휴무",U7/F7)</f>
        <v>38.090909090909093</v>
      </c>
      <c r="W7" s="30">
        <f t="shared" ref="W7:W13" si="3">IFERROR(U7/T7,0)</f>
        <v>0.57713498622589532</v>
      </c>
      <c r="X7" s="31">
        <f>+K38</f>
        <v>411.61</v>
      </c>
      <c r="Y7" s="29">
        <f t="shared" ref="Y7:Y12" si="4">IF(F7=0,"휴무",X7/F7)</f>
        <v>37.419090909090912</v>
      </c>
      <c r="Z7" s="32">
        <f t="shared" ref="Z7:Z13" si="5">IFERROR(X7/T7,0)</f>
        <v>0.56695592286501384</v>
      </c>
      <c r="AA7" s="33">
        <f t="shared" ref="AA7:AA12" si="6">IF(F7=0,"휴무",U7/T7*$AA$4)</f>
        <v>28.856749311294767</v>
      </c>
      <c r="AB7" s="34">
        <f t="shared" ref="AB7:AB12" si="7">IF(F7=0,"휴무",X7/T7*$AB$4)</f>
        <v>30.870750000000005</v>
      </c>
      <c r="AC7" s="383">
        <f t="shared" ref="AC7:AC13" si="8">IF(F7=0,"휴무",AA7+AB7)</f>
        <v>59.727499311294771</v>
      </c>
      <c r="AD7" s="159" t="str">
        <f t="shared" ref="AD7:AD13" si="9">IF(F7=0,"휴무",IF(AC7&gt;=100,"좋아요",IF(AC7&gt;=90,"90~99",IF(AC7&gt;=80,"80~89"," 사유?→"))))</f>
        <v xml:space="preserve"> 사유?→</v>
      </c>
      <c r="AE7" s="160" t="s">
        <v>329</v>
      </c>
      <c r="AF7" s="37">
        <f>AG7-F7</f>
        <v>-11</v>
      </c>
      <c r="AG7" s="38">
        <f>AN7</f>
        <v>0</v>
      </c>
      <c r="AH7" s="409" t="s">
        <v>29</v>
      </c>
      <c r="AI7" s="39"/>
      <c r="AJ7" s="40">
        <f>IFERROR(Z7/W7*1000,"")</f>
        <v>982.36276849642013</v>
      </c>
      <c r="AK7" s="39"/>
      <c r="AL7" s="41"/>
      <c r="AM7" s="41"/>
      <c r="AN7" s="41"/>
      <c r="AP7" s="409">
        <f t="shared" ref="AP7:AP12" si="10">AO7-F7</f>
        <v>-11</v>
      </c>
      <c r="AQ7" s="42"/>
    </row>
    <row r="8" spans="2:52" s="409" customFormat="1" ht="99.75" customHeight="1" x14ac:dyDescent="0.3">
      <c r="B8" s="421"/>
      <c r="C8" s="24">
        <f>+C7+1</f>
        <v>11</v>
      </c>
      <c r="D8" s="43" t="s">
        <v>30</v>
      </c>
      <c r="E8" s="26" t="s">
        <v>28</v>
      </c>
      <c r="F8" s="25">
        <v>10.5</v>
      </c>
      <c r="G8" s="125">
        <v>294</v>
      </c>
      <c r="H8" s="125">
        <f>(G8/U8)*100</f>
        <v>73.316708229426425</v>
      </c>
      <c r="I8" s="123" t="s">
        <v>85</v>
      </c>
      <c r="J8" s="123" t="s">
        <v>86</v>
      </c>
      <c r="K8" s="123" t="s">
        <v>87</v>
      </c>
      <c r="L8" s="123"/>
      <c r="M8" s="129" t="s">
        <v>90</v>
      </c>
      <c r="N8" s="123" t="s">
        <v>74</v>
      </c>
      <c r="O8" s="123" t="s">
        <v>169</v>
      </c>
      <c r="P8" s="123" t="s">
        <v>231</v>
      </c>
      <c r="Q8" s="123" t="s">
        <v>91</v>
      </c>
      <c r="R8" s="123" t="s">
        <v>89</v>
      </c>
      <c r="S8" s="125">
        <f t="shared" si="0"/>
        <v>6</v>
      </c>
      <c r="T8" s="27">
        <f t="shared" si="1"/>
        <v>693</v>
      </c>
      <c r="U8" s="28">
        <f>+H41</f>
        <v>401</v>
      </c>
      <c r="V8" s="44">
        <f t="shared" si="2"/>
        <v>38.19047619047619</v>
      </c>
      <c r="W8" s="45">
        <f t="shared" si="3"/>
        <v>0.57864357864357863</v>
      </c>
      <c r="X8" s="46">
        <f>+K41</f>
        <v>416.69</v>
      </c>
      <c r="Y8" s="29">
        <f t="shared" si="4"/>
        <v>39.684761904761906</v>
      </c>
      <c r="Z8" s="47">
        <f t="shared" si="5"/>
        <v>0.60128427128427131</v>
      </c>
      <c r="AA8" s="48">
        <f t="shared" si="6"/>
        <v>28.932178932178932</v>
      </c>
      <c r="AB8" s="49">
        <f t="shared" si="7"/>
        <v>32.739928571428571</v>
      </c>
      <c r="AC8" s="384">
        <f t="shared" si="8"/>
        <v>61.672107503607506</v>
      </c>
      <c r="AD8" s="161" t="str">
        <f t="shared" si="9"/>
        <v xml:space="preserve"> 사유?→</v>
      </c>
      <c r="AE8" s="160" t="s">
        <v>333</v>
      </c>
      <c r="AF8" s="37">
        <f>AG8-F8</f>
        <v>-10.5</v>
      </c>
      <c r="AG8" s="38">
        <f>AN8</f>
        <v>0</v>
      </c>
      <c r="AH8" s="409" t="s">
        <v>31</v>
      </c>
      <c r="AI8" s="39"/>
      <c r="AJ8" s="40">
        <f>IFERROR(Z8/W8*1000,"")</f>
        <v>1039.1271820448881</v>
      </c>
      <c r="AK8" s="39"/>
      <c r="AL8" s="41"/>
      <c r="AM8" s="41"/>
      <c r="AN8" s="41"/>
      <c r="AP8" s="409">
        <f t="shared" si="10"/>
        <v>-10.5</v>
      </c>
      <c r="AQ8" s="42"/>
    </row>
    <row r="9" spans="2:52" s="409" customFormat="1" ht="97.5" customHeight="1" x14ac:dyDescent="0.3">
      <c r="B9" s="421"/>
      <c r="C9" s="24">
        <f>+C8+1</f>
        <v>12</v>
      </c>
      <c r="D9" s="43" t="s">
        <v>32</v>
      </c>
      <c r="E9" s="26" t="s">
        <v>28</v>
      </c>
      <c r="F9" s="25">
        <v>11</v>
      </c>
      <c r="G9" s="125">
        <v>56</v>
      </c>
      <c r="H9" s="125">
        <f>(G9/U9)*100</f>
        <v>11.359026369168356</v>
      </c>
      <c r="I9" s="123" t="s">
        <v>85</v>
      </c>
      <c r="J9" s="123" t="s">
        <v>86</v>
      </c>
      <c r="K9" s="123" t="s">
        <v>87</v>
      </c>
      <c r="L9" s="123"/>
      <c r="M9" s="129" t="s">
        <v>90</v>
      </c>
      <c r="N9" s="123" t="s">
        <v>74</v>
      </c>
      <c r="O9" s="123" t="s">
        <v>169</v>
      </c>
      <c r="P9" s="123" t="s">
        <v>231</v>
      </c>
      <c r="Q9" s="123" t="s">
        <v>91</v>
      </c>
      <c r="R9" s="123" t="s">
        <v>89</v>
      </c>
      <c r="S9" s="125">
        <f t="shared" si="0"/>
        <v>6</v>
      </c>
      <c r="T9" s="27">
        <f t="shared" si="1"/>
        <v>726</v>
      </c>
      <c r="U9" s="51">
        <f>+H44</f>
        <v>493</v>
      </c>
      <c r="V9" s="44">
        <f t="shared" si="2"/>
        <v>44.81818181818182</v>
      </c>
      <c r="W9" s="45">
        <f t="shared" si="3"/>
        <v>0.67906336088154273</v>
      </c>
      <c r="X9" s="46">
        <f>+K44</f>
        <v>611.54</v>
      </c>
      <c r="Y9" s="44">
        <f t="shared" si="4"/>
        <v>55.594545454545454</v>
      </c>
      <c r="Z9" s="47">
        <f t="shared" si="5"/>
        <v>0.84234159779614315</v>
      </c>
      <c r="AA9" s="48">
        <f t="shared" si="6"/>
        <v>33.953168044077138</v>
      </c>
      <c r="AB9" s="49">
        <f t="shared" si="7"/>
        <v>45.865499999999997</v>
      </c>
      <c r="AC9" s="384">
        <f t="shared" si="8"/>
        <v>79.818668044077128</v>
      </c>
      <c r="AD9" s="161" t="str">
        <f t="shared" si="9"/>
        <v xml:space="preserve"> 사유?→</v>
      </c>
      <c r="AE9" s="160" t="s">
        <v>331</v>
      </c>
      <c r="AF9" s="37">
        <f>AG9-F9</f>
        <v>-11</v>
      </c>
      <c r="AG9" s="38">
        <f>AN9</f>
        <v>0</v>
      </c>
      <c r="AH9" s="409" t="s">
        <v>34</v>
      </c>
      <c r="AI9" s="39"/>
      <c r="AJ9" s="40">
        <f>IFERROR(Z9/W9*1000,"")</f>
        <v>1240.4462474645029</v>
      </c>
      <c r="AK9" s="39"/>
      <c r="AL9" s="41"/>
      <c r="AM9" s="41"/>
      <c r="AN9" s="41"/>
      <c r="AP9" s="409">
        <f t="shared" si="10"/>
        <v>-11</v>
      </c>
      <c r="AQ9" s="42"/>
    </row>
    <row r="10" spans="2:52" s="409" customFormat="1" ht="95.25" customHeight="1" x14ac:dyDescent="0.3">
      <c r="B10" s="421"/>
      <c r="C10" s="24">
        <f>+C9+1</f>
        <v>13</v>
      </c>
      <c r="D10" s="43" t="s">
        <v>35</v>
      </c>
      <c r="E10" s="26" t="s">
        <v>33</v>
      </c>
      <c r="F10" s="25"/>
      <c r="G10" s="125"/>
      <c r="H10" s="125"/>
      <c r="I10" s="123"/>
      <c r="J10" s="123"/>
      <c r="K10" s="123"/>
      <c r="L10" s="123"/>
      <c r="M10" s="129"/>
      <c r="N10" s="123"/>
      <c r="O10" s="123"/>
      <c r="P10" s="123"/>
      <c r="Q10" s="123"/>
      <c r="R10" s="123"/>
      <c r="S10" s="125">
        <f t="shared" si="0"/>
        <v>0</v>
      </c>
      <c r="T10" s="27">
        <f t="shared" si="1"/>
        <v>0</v>
      </c>
      <c r="U10" s="28">
        <f>+H47</f>
        <v>0</v>
      </c>
      <c r="V10" s="44" t="str">
        <f t="shared" si="2"/>
        <v>휴무</v>
      </c>
      <c r="W10" s="45">
        <f t="shared" si="3"/>
        <v>0</v>
      </c>
      <c r="X10" s="46">
        <f>+K47</f>
        <v>0</v>
      </c>
      <c r="Y10" s="29" t="str">
        <f t="shared" si="4"/>
        <v>휴무</v>
      </c>
      <c r="Z10" s="47">
        <f t="shared" si="5"/>
        <v>0</v>
      </c>
      <c r="AA10" s="48" t="str">
        <f t="shared" si="6"/>
        <v>휴무</v>
      </c>
      <c r="AB10" s="49" t="str">
        <f t="shared" si="7"/>
        <v>휴무</v>
      </c>
      <c r="AC10" s="384" t="str">
        <f t="shared" si="8"/>
        <v>휴무</v>
      </c>
      <c r="AD10" s="50" t="str">
        <f t="shared" si="9"/>
        <v>휴무</v>
      </c>
      <c r="AE10" s="36"/>
      <c r="AF10" s="37">
        <f>AG10-F10</f>
        <v>0</v>
      </c>
      <c r="AG10" s="38">
        <f>AN10</f>
        <v>0</v>
      </c>
      <c r="AH10" s="409" t="s">
        <v>36</v>
      </c>
      <c r="AI10" s="39"/>
      <c r="AJ10" s="40" t="str">
        <f>IFERROR(Z10/W10*1000,"")</f>
        <v/>
      </c>
      <c r="AK10" s="39"/>
      <c r="AL10" s="41"/>
      <c r="AM10" s="41"/>
      <c r="AN10" s="41"/>
      <c r="AP10" s="409">
        <f t="shared" si="10"/>
        <v>0</v>
      </c>
      <c r="AQ10" s="42"/>
    </row>
    <row r="11" spans="2:52" s="409" customFormat="1" ht="102.75" customHeight="1" x14ac:dyDescent="0.3">
      <c r="B11" s="421"/>
      <c r="C11" s="24">
        <f>+C10+1</f>
        <v>14</v>
      </c>
      <c r="D11" s="43" t="s">
        <v>37</v>
      </c>
      <c r="E11" s="26" t="s">
        <v>33</v>
      </c>
      <c r="F11" s="25"/>
      <c r="G11" s="125"/>
      <c r="H11" s="125"/>
      <c r="I11" s="123"/>
      <c r="J11" s="123"/>
      <c r="K11" s="123"/>
      <c r="L11" s="123"/>
      <c r="M11" s="129"/>
      <c r="N11" s="123"/>
      <c r="O11" s="123"/>
      <c r="P11" s="123"/>
      <c r="Q11" s="123"/>
      <c r="R11" s="123"/>
      <c r="S11" s="125">
        <f t="shared" si="0"/>
        <v>0</v>
      </c>
      <c r="T11" s="27">
        <f t="shared" si="1"/>
        <v>0</v>
      </c>
      <c r="U11" s="28">
        <f>+H50</f>
        <v>0</v>
      </c>
      <c r="V11" s="44" t="str">
        <f t="shared" si="2"/>
        <v>휴무</v>
      </c>
      <c r="W11" s="45">
        <f t="shared" si="3"/>
        <v>0</v>
      </c>
      <c r="X11" s="46">
        <f>+K50</f>
        <v>0</v>
      </c>
      <c r="Y11" s="44" t="str">
        <f t="shared" si="4"/>
        <v>휴무</v>
      </c>
      <c r="Z11" s="47">
        <f t="shared" si="5"/>
        <v>0</v>
      </c>
      <c r="AA11" s="48" t="str">
        <f t="shared" si="6"/>
        <v>휴무</v>
      </c>
      <c r="AB11" s="49" t="str">
        <f t="shared" si="7"/>
        <v>휴무</v>
      </c>
      <c r="AC11" s="384" t="str">
        <f t="shared" si="8"/>
        <v>휴무</v>
      </c>
      <c r="AD11" s="50" t="str">
        <f t="shared" si="9"/>
        <v>휴무</v>
      </c>
      <c r="AE11" s="36"/>
      <c r="AF11" s="37">
        <f>AG11-F11</f>
        <v>0</v>
      </c>
      <c r="AG11" s="38">
        <f>AN11</f>
        <v>0</v>
      </c>
      <c r="AH11" s="409" t="s">
        <v>33</v>
      </c>
      <c r="AI11" s="39"/>
      <c r="AJ11" s="40" t="str">
        <f>IFERROR(Z11/W11*1000,"")</f>
        <v/>
      </c>
      <c r="AL11" s="41"/>
      <c r="AM11" s="41"/>
      <c r="AN11" s="41"/>
      <c r="AP11" s="409">
        <f t="shared" si="10"/>
        <v>0</v>
      </c>
      <c r="AQ11" s="42"/>
    </row>
    <row r="12" spans="2:52" s="409" customFormat="1" ht="102.75" customHeight="1" x14ac:dyDescent="0.3">
      <c r="B12" s="421"/>
      <c r="C12" s="24">
        <f>+C11+1</f>
        <v>15</v>
      </c>
      <c r="D12" s="43" t="s">
        <v>38</v>
      </c>
      <c r="E12" s="26" t="s">
        <v>33</v>
      </c>
      <c r="F12" s="25"/>
      <c r="G12" s="125"/>
      <c r="H12" s="125"/>
      <c r="I12" s="123"/>
      <c r="J12" s="123"/>
      <c r="K12" s="123"/>
      <c r="L12" s="123"/>
      <c r="M12" s="129"/>
      <c r="N12" s="123"/>
      <c r="O12" s="123"/>
      <c r="P12" s="123"/>
      <c r="Q12" s="123"/>
      <c r="R12" s="123"/>
      <c r="S12" s="125">
        <f t="shared" si="0"/>
        <v>0</v>
      </c>
      <c r="T12" s="402">
        <f t="shared" si="1"/>
        <v>0</v>
      </c>
      <c r="U12" s="28">
        <f>+H53</f>
        <v>0</v>
      </c>
      <c r="V12" s="29" t="str">
        <f t="shared" si="2"/>
        <v>휴무</v>
      </c>
      <c r="W12" s="30">
        <f t="shared" si="3"/>
        <v>0</v>
      </c>
      <c r="X12" s="31">
        <f>+K53</f>
        <v>0</v>
      </c>
      <c r="Y12" s="44" t="str">
        <f t="shared" si="4"/>
        <v>휴무</v>
      </c>
      <c r="Z12" s="47">
        <f t="shared" si="5"/>
        <v>0</v>
      </c>
      <c r="AA12" s="48" t="str">
        <f t="shared" si="6"/>
        <v>휴무</v>
      </c>
      <c r="AB12" s="49" t="str">
        <f t="shared" si="7"/>
        <v>휴무</v>
      </c>
      <c r="AC12" s="384" t="str">
        <f t="shared" si="8"/>
        <v>휴무</v>
      </c>
      <c r="AD12" s="50" t="str">
        <f t="shared" si="9"/>
        <v>휴무</v>
      </c>
      <c r="AE12" s="36"/>
      <c r="AF12" s="37"/>
      <c r="AG12" s="38"/>
      <c r="AI12" s="39"/>
      <c r="AJ12" s="40"/>
      <c r="AL12" s="41"/>
      <c r="AM12" s="41"/>
      <c r="AN12" s="41"/>
      <c r="AP12" s="409">
        <f t="shared" si="10"/>
        <v>0</v>
      </c>
      <c r="AQ12" s="42"/>
    </row>
    <row r="13" spans="2:52" s="409" customFormat="1" ht="36" customHeight="1" x14ac:dyDescent="0.3">
      <c r="B13" s="422" t="s">
        <v>39</v>
      </c>
      <c r="C13" s="423"/>
      <c r="D13" s="423"/>
      <c r="E13" s="424"/>
      <c r="F13" s="43">
        <f>SUM(F7:F12)</f>
        <v>32.5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>COUNTA(I13:M13)+COUNTA(N13:R13)/2</f>
        <v>0</v>
      </c>
      <c r="T13" s="52">
        <f>SUM(T7:T12)</f>
        <v>2145</v>
      </c>
      <c r="U13" s="53">
        <f>SUM(U7:U12)</f>
        <v>1313</v>
      </c>
      <c r="V13" s="54">
        <f>U13/F13</f>
        <v>40.4</v>
      </c>
      <c r="W13" s="45">
        <f t="shared" si="3"/>
        <v>0.61212121212121207</v>
      </c>
      <c r="X13" s="55">
        <f>SUM(X7:X12)</f>
        <v>1439.84</v>
      </c>
      <c r="Y13" s="44">
        <f>X13/F13</f>
        <v>44.302769230769229</v>
      </c>
      <c r="Z13" s="47">
        <f t="shared" si="5"/>
        <v>0.67125407925407921</v>
      </c>
      <c r="AA13" s="56">
        <f>U13/T13*AA4</f>
        <v>30.606060606060602</v>
      </c>
      <c r="AB13" s="57">
        <f>X13/T13*AB4</f>
        <v>36.549784615384617</v>
      </c>
      <c r="AC13" s="385">
        <f t="shared" si="8"/>
        <v>67.155845221445219</v>
      </c>
      <c r="AD13" s="162" t="str">
        <f t="shared" si="9"/>
        <v xml:space="preserve"> 사유?→</v>
      </c>
      <c r="AE13" s="43"/>
      <c r="AF13" s="37">
        <f>AG13-F13</f>
        <v>-32.5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10.833333333333334</v>
      </c>
      <c r="G14" s="406"/>
      <c r="H14" s="406"/>
      <c r="I14" s="406"/>
      <c r="J14" s="406"/>
      <c r="K14" s="406"/>
      <c r="L14" s="406"/>
      <c r="M14" s="406"/>
      <c r="N14" s="406"/>
      <c r="O14" s="406"/>
      <c r="P14" s="406"/>
      <c r="Q14" s="406"/>
      <c r="R14" s="406"/>
      <c r="S14" s="406"/>
      <c r="T14" s="406"/>
      <c r="U14" s="61">
        <f>V14*F14</f>
        <v>437.66666666666669</v>
      </c>
      <c r="V14" s="62">
        <f>U13/F13</f>
        <v>40.4</v>
      </c>
      <c r="W14" s="63">
        <f>IFERROR(U14/#REF!,0)</f>
        <v>0</v>
      </c>
      <c r="X14" s="64">
        <f>X13/F13*F14</f>
        <v>479.94666666666666</v>
      </c>
      <c r="Y14" s="62">
        <f>IF(F14=0,"휴무",X14/F14)</f>
        <v>44.302769230769229</v>
      </c>
      <c r="Z14" s="65">
        <f>IFERROR(X14/#REF!,0)</f>
        <v>0</v>
      </c>
      <c r="AA14" s="60">
        <f>AVERAGE(AA7:AA12)</f>
        <v>30.580698762516946</v>
      </c>
      <c r="AB14" s="60">
        <f>AVERAGE(AB7:AB12)</f>
        <v>36.492059523809523</v>
      </c>
      <c r="AC14" s="141">
        <f>AA14+AB14</f>
        <v>67.072758286326462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409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330" t="s">
        <v>44</v>
      </c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403" t="s">
        <v>68</v>
      </c>
      <c r="J22" s="18" t="s">
        <v>69</v>
      </c>
      <c r="K22" s="18" t="s">
        <v>71</v>
      </c>
      <c r="L22" s="18" t="s">
        <v>72</v>
      </c>
      <c r="M22" s="18" t="s">
        <v>75</v>
      </c>
      <c r="N22" s="18" t="s">
        <v>75</v>
      </c>
      <c r="O22" s="18" t="s">
        <v>75</v>
      </c>
      <c r="P22" s="18" t="s">
        <v>230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-49</v>
      </c>
    </row>
    <row r="23" spans="2:43" s="409" customFormat="1" ht="99" customHeight="1" thickTop="1" x14ac:dyDescent="0.3">
      <c r="B23" s="420">
        <f>+B7</f>
        <v>8</v>
      </c>
      <c r="C23" s="24">
        <f t="shared" ref="C23:C28" si="11">+C7</f>
        <v>10</v>
      </c>
      <c r="D23" s="25" t="s">
        <v>7</v>
      </c>
      <c r="E23" s="26" t="s">
        <v>28</v>
      </c>
      <c r="F23" s="25">
        <v>11</v>
      </c>
      <c r="G23" s="128">
        <v>362</v>
      </c>
      <c r="H23" s="128">
        <f>(G23/U23)*100</f>
        <v>72.399999999999991</v>
      </c>
      <c r="I23" s="123" t="s">
        <v>78</v>
      </c>
      <c r="J23" s="123" t="s">
        <v>88</v>
      </c>
      <c r="K23" s="123" t="s">
        <v>84</v>
      </c>
      <c r="L23" s="123"/>
      <c r="M23" s="129" t="s">
        <v>90</v>
      </c>
      <c r="N23" s="123" t="s">
        <v>74</v>
      </c>
      <c r="O23" s="123" t="s">
        <v>169</v>
      </c>
      <c r="P23" s="123" t="s">
        <v>334</v>
      </c>
      <c r="Q23" s="123" t="s">
        <v>91</v>
      </c>
      <c r="R23" s="123" t="s">
        <v>89</v>
      </c>
      <c r="S23" s="124">
        <f t="shared" ref="S23:S28" si="12">COUNTA(I23:L23)+COUNTA(M23:R23)/2</f>
        <v>6</v>
      </c>
      <c r="T23" s="27">
        <f t="shared" ref="T23:T28" si="13">F23*$D$4*$U$4</f>
        <v>726</v>
      </c>
      <c r="U23" s="28">
        <f>+H58</f>
        <v>500</v>
      </c>
      <c r="V23" s="29">
        <f t="shared" ref="V23:V28" si="14">IF(F23=0,"휴무",U23/F23)</f>
        <v>45.454545454545453</v>
      </c>
      <c r="W23" s="30">
        <f t="shared" ref="W23:W29" si="15">IFERROR(U23/T23,0)</f>
        <v>0.68870523415977958</v>
      </c>
      <c r="X23" s="31">
        <f>+K58</f>
        <v>426.34999999999997</v>
      </c>
      <c r="Y23" s="29">
        <f t="shared" ref="Y23:Y28" si="16">IF(F23=0,"휴무",X23/F23)</f>
        <v>38.759090909090908</v>
      </c>
      <c r="Z23" s="32">
        <f t="shared" ref="Z23:Z29" si="17">IFERROR(X23/T23,0)</f>
        <v>0.587258953168044</v>
      </c>
      <c r="AA23" s="33">
        <f t="shared" ref="AA23:AA28" si="18">IF(F23=0,"휴무",U23/T23*$AA$4)</f>
        <v>34.435261707988978</v>
      </c>
      <c r="AB23" s="34">
        <f t="shared" ref="AB23:AB28" si="19">IF(F23=0,"휴무",X23/T23*$AB$4)</f>
        <v>31.976249999999997</v>
      </c>
      <c r="AC23" s="383">
        <f t="shared" ref="AC23:AC29" si="20">IF(F23=0,"휴무",AA23+AB23)</f>
        <v>66.411511707988979</v>
      </c>
      <c r="AD23" s="159" t="str">
        <f t="shared" ref="AD23:AD29" si="21">IF(F23=0,"휴무",IF(AC23&gt;=100,"좋아요",IF(AC23&gt;=90,"90~99",IF(AC23&gt;=80,"80~89"," 사유?→"))))</f>
        <v xml:space="preserve"> 사유?→</v>
      </c>
      <c r="AE23" s="160" t="s">
        <v>330</v>
      </c>
      <c r="AF23" s="37">
        <f>AG23-F23</f>
        <v>-11</v>
      </c>
      <c r="AG23" s="38">
        <f>AN23</f>
        <v>0</v>
      </c>
      <c r="AH23" s="409" t="s">
        <v>29</v>
      </c>
      <c r="AI23" s="39"/>
      <c r="AJ23" s="40">
        <f>IFERROR(Z23/W23*1000,"")</f>
        <v>852.69999999999993</v>
      </c>
      <c r="AK23" s="39"/>
      <c r="AL23" s="41"/>
      <c r="AM23" s="41"/>
      <c r="AN23" s="41"/>
      <c r="AP23" s="409">
        <f t="shared" ref="AP23:AP28" si="22">AO23-F23</f>
        <v>-11</v>
      </c>
      <c r="AQ23" s="42"/>
    </row>
    <row r="24" spans="2:43" s="409" customFormat="1" ht="99.75" customHeight="1" x14ac:dyDescent="0.3">
      <c r="B24" s="421"/>
      <c r="C24" s="24">
        <f t="shared" si="11"/>
        <v>11</v>
      </c>
      <c r="D24" s="43" t="s">
        <v>30</v>
      </c>
      <c r="E24" s="26" t="s">
        <v>28</v>
      </c>
      <c r="F24" s="25">
        <v>11</v>
      </c>
      <c r="G24" s="125">
        <v>325</v>
      </c>
      <c r="H24" s="125">
        <f>(G24/U24)*100</f>
        <v>47.307132459970887</v>
      </c>
      <c r="I24" s="123" t="s">
        <v>78</v>
      </c>
      <c r="J24" s="123" t="s">
        <v>88</v>
      </c>
      <c r="K24" s="123" t="s">
        <v>84</v>
      </c>
      <c r="L24" s="123"/>
      <c r="M24" s="129" t="s">
        <v>90</v>
      </c>
      <c r="N24" s="123" t="s">
        <v>74</v>
      </c>
      <c r="O24" s="123" t="s">
        <v>169</v>
      </c>
      <c r="P24" s="123" t="s">
        <v>334</v>
      </c>
      <c r="Q24" s="123" t="s">
        <v>91</v>
      </c>
      <c r="R24" s="123" t="s">
        <v>89</v>
      </c>
      <c r="S24" s="124">
        <f t="shared" si="12"/>
        <v>6</v>
      </c>
      <c r="T24" s="27">
        <f t="shared" si="13"/>
        <v>726</v>
      </c>
      <c r="U24" s="28">
        <f>+H61</f>
        <v>687</v>
      </c>
      <c r="V24" s="44">
        <f t="shared" si="14"/>
        <v>62.454545454545453</v>
      </c>
      <c r="W24" s="45">
        <f t="shared" si="15"/>
        <v>0.94628099173553715</v>
      </c>
      <c r="X24" s="46">
        <f>+K61</f>
        <v>624.27</v>
      </c>
      <c r="Y24" s="29">
        <f t="shared" si="16"/>
        <v>56.75181818181818</v>
      </c>
      <c r="Z24" s="47">
        <f t="shared" si="17"/>
        <v>0.85987603305785121</v>
      </c>
      <c r="AA24" s="48">
        <f t="shared" si="18"/>
        <v>47.314049586776861</v>
      </c>
      <c r="AB24" s="49">
        <f t="shared" si="19"/>
        <v>46.820250000000001</v>
      </c>
      <c r="AC24" s="384">
        <f t="shared" si="20"/>
        <v>94.134299586776862</v>
      </c>
      <c r="AD24" s="80" t="str">
        <f t="shared" si="21"/>
        <v>90~99</v>
      </c>
      <c r="AE24" s="36"/>
      <c r="AF24" s="37">
        <f>AG24-F24</f>
        <v>-11</v>
      </c>
      <c r="AG24" s="38">
        <f>AN24</f>
        <v>0</v>
      </c>
      <c r="AH24" s="409" t="s">
        <v>34</v>
      </c>
      <c r="AI24" s="39"/>
      <c r="AJ24" s="40">
        <f>IFERROR(Z24/W24*1000,"")</f>
        <v>908.68995633187774</v>
      </c>
      <c r="AK24" s="39"/>
      <c r="AL24" s="41"/>
      <c r="AM24" s="41"/>
      <c r="AN24" s="41"/>
      <c r="AP24" s="409">
        <f t="shared" si="22"/>
        <v>-11</v>
      </c>
      <c r="AQ24" s="42"/>
    </row>
    <row r="25" spans="2:43" s="409" customFormat="1" ht="97.5" customHeight="1" x14ac:dyDescent="0.3">
      <c r="B25" s="421"/>
      <c r="C25" s="24">
        <f t="shared" si="11"/>
        <v>12</v>
      </c>
      <c r="D25" s="43" t="s">
        <v>32</v>
      </c>
      <c r="E25" s="26" t="s">
        <v>28</v>
      </c>
      <c r="F25" s="25">
        <v>11</v>
      </c>
      <c r="G25" s="124">
        <v>365</v>
      </c>
      <c r="H25" s="124">
        <f>(G25/U25)*100</f>
        <v>51.192145862552593</v>
      </c>
      <c r="I25" s="123" t="s">
        <v>78</v>
      </c>
      <c r="J25" s="123" t="s">
        <v>88</v>
      </c>
      <c r="K25" s="123" t="s">
        <v>84</v>
      </c>
      <c r="L25" s="123"/>
      <c r="M25" s="129" t="s">
        <v>90</v>
      </c>
      <c r="N25" s="123" t="s">
        <v>74</v>
      </c>
      <c r="O25" s="123" t="s">
        <v>169</v>
      </c>
      <c r="P25" s="123" t="s">
        <v>334</v>
      </c>
      <c r="Q25" s="123" t="s">
        <v>91</v>
      </c>
      <c r="R25" s="123" t="s">
        <v>89</v>
      </c>
      <c r="S25" s="124">
        <f t="shared" si="12"/>
        <v>6</v>
      </c>
      <c r="T25" s="27">
        <f t="shared" si="13"/>
        <v>726</v>
      </c>
      <c r="U25" s="28">
        <f>+H64</f>
        <v>713</v>
      </c>
      <c r="V25" s="44">
        <f t="shared" si="14"/>
        <v>64.818181818181813</v>
      </c>
      <c r="W25" s="45">
        <f t="shared" si="15"/>
        <v>0.98209366391184572</v>
      </c>
      <c r="X25" s="46">
        <f>+K64</f>
        <v>429.72</v>
      </c>
      <c r="Y25" s="29">
        <f t="shared" si="16"/>
        <v>39.06545454545455</v>
      </c>
      <c r="Z25" s="47">
        <f t="shared" si="17"/>
        <v>0.59190082644628106</v>
      </c>
      <c r="AA25" s="48">
        <f t="shared" si="18"/>
        <v>49.104683195592287</v>
      </c>
      <c r="AB25" s="49">
        <f t="shared" si="19"/>
        <v>32.229000000000006</v>
      </c>
      <c r="AC25" s="384">
        <f t="shared" si="20"/>
        <v>81.3336831955923</v>
      </c>
      <c r="AD25" s="50" t="str">
        <f t="shared" si="21"/>
        <v>80~89</v>
      </c>
      <c r="AE25" s="36"/>
      <c r="AF25" s="37">
        <f>AG25-F25</f>
        <v>-11</v>
      </c>
      <c r="AG25" s="38">
        <f>AN25</f>
        <v>0</v>
      </c>
      <c r="AH25" s="409" t="s">
        <v>36</v>
      </c>
      <c r="AI25" s="39"/>
      <c r="AJ25" s="40">
        <f>IFERROR(Z25/W25*1000,"")</f>
        <v>602.69284712482477</v>
      </c>
      <c r="AK25" s="39"/>
      <c r="AL25" s="41"/>
      <c r="AM25" s="41"/>
      <c r="AN25" s="41"/>
      <c r="AP25" s="409">
        <f t="shared" si="22"/>
        <v>-11</v>
      </c>
      <c r="AQ25" s="42"/>
    </row>
    <row r="26" spans="2:43" s="409" customFormat="1" ht="115.5" customHeight="1" x14ac:dyDescent="0.3">
      <c r="B26" s="421"/>
      <c r="C26" s="24">
        <f t="shared" si="11"/>
        <v>13</v>
      </c>
      <c r="D26" s="43" t="s">
        <v>35</v>
      </c>
      <c r="E26" s="26" t="s">
        <v>29</v>
      </c>
      <c r="F26" s="25">
        <v>8</v>
      </c>
      <c r="G26" s="124">
        <v>282</v>
      </c>
      <c r="H26" s="124">
        <f>(G26/U26)*100</f>
        <v>94</v>
      </c>
      <c r="I26" s="123" t="s">
        <v>78</v>
      </c>
      <c r="J26" s="123" t="s">
        <v>88</v>
      </c>
      <c r="K26" s="123" t="s">
        <v>84</v>
      </c>
      <c r="L26" s="123"/>
      <c r="M26" s="129" t="s">
        <v>90</v>
      </c>
      <c r="N26" s="123"/>
      <c r="O26" s="123" t="s">
        <v>169</v>
      </c>
      <c r="P26" s="123" t="s">
        <v>335</v>
      </c>
      <c r="Q26" s="123" t="s">
        <v>337</v>
      </c>
      <c r="R26" s="123" t="s">
        <v>336</v>
      </c>
      <c r="S26" s="124">
        <f t="shared" si="12"/>
        <v>5.5</v>
      </c>
      <c r="T26" s="27">
        <f t="shared" si="13"/>
        <v>528</v>
      </c>
      <c r="U26" s="28">
        <f>+H67</f>
        <v>300</v>
      </c>
      <c r="V26" s="44">
        <f t="shared" si="14"/>
        <v>37.5</v>
      </c>
      <c r="W26" s="45">
        <f t="shared" si="15"/>
        <v>0.56818181818181823</v>
      </c>
      <c r="X26" s="46">
        <f>+K67</f>
        <v>333.72</v>
      </c>
      <c r="Y26" s="44">
        <f t="shared" si="16"/>
        <v>41.715000000000003</v>
      </c>
      <c r="Z26" s="47">
        <f t="shared" si="17"/>
        <v>0.63204545454545458</v>
      </c>
      <c r="AA26" s="48">
        <f t="shared" si="18"/>
        <v>28.40909090909091</v>
      </c>
      <c r="AB26" s="49">
        <f t="shared" si="19"/>
        <v>34.414875000000002</v>
      </c>
      <c r="AC26" s="384">
        <f t="shared" si="20"/>
        <v>62.823965909090916</v>
      </c>
      <c r="AD26" s="161" t="str">
        <f t="shared" si="21"/>
        <v xml:space="preserve"> 사유?→</v>
      </c>
      <c r="AE26" s="160" t="s">
        <v>332</v>
      </c>
      <c r="AF26" s="37">
        <f>AG26-F26</f>
        <v>-8</v>
      </c>
      <c r="AG26" s="38">
        <f>AN26</f>
        <v>0</v>
      </c>
      <c r="AH26" s="409" t="s">
        <v>33</v>
      </c>
      <c r="AI26" s="39"/>
      <c r="AJ26" s="40">
        <f>IFERROR(Z26/W26*1000,"")</f>
        <v>1112.4000000000001</v>
      </c>
      <c r="AK26" s="39"/>
      <c r="AL26" s="41"/>
      <c r="AM26" s="41"/>
      <c r="AN26" s="41"/>
      <c r="AP26" s="409">
        <f t="shared" si="22"/>
        <v>-8</v>
      </c>
      <c r="AQ26" s="42"/>
    </row>
    <row r="27" spans="2:43" s="409" customFormat="1" ht="104.25" customHeight="1" x14ac:dyDescent="0.3">
      <c r="B27" s="421"/>
      <c r="C27" s="24">
        <f t="shared" si="11"/>
        <v>14</v>
      </c>
      <c r="D27" s="43" t="s">
        <v>37</v>
      </c>
      <c r="E27" s="26" t="s">
        <v>29</v>
      </c>
      <c r="F27" s="25">
        <v>8</v>
      </c>
      <c r="G27" s="125"/>
      <c r="H27" s="130" t="e">
        <f>(G27/U27)*100</f>
        <v>#DIV/0!</v>
      </c>
      <c r="I27" s="123" t="s">
        <v>78</v>
      </c>
      <c r="J27" s="123" t="s">
        <v>88</v>
      </c>
      <c r="K27" s="123" t="s">
        <v>84</v>
      </c>
      <c r="L27" s="123"/>
      <c r="M27" s="129" t="s">
        <v>90</v>
      </c>
      <c r="N27" s="123"/>
      <c r="O27" s="123" t="s">
        <v>169</v>
      </c>
      <c r="P27" s="123" t="s">
        <v>335</v>
      </c>
      <c r="Q27" s="123" t="s">
        <v>169</v>
      </c>
      <c r="R27" s="123" t="s">
        <v>87</v>
      </c>
      <c r="S27" s="125">
        <f t="shared" si="12"/>
        <v>5.5</v>
      </c>
      <c r="T27" s="27">
        <f t="shared" si="13"/>
        <v>528</v>
      </c>
      <c r="U27" s="28">
        <f>+H70</f>
        <v>0</v>
      </c>
      <c r="V27" s="44">
        <f t="shared" si="14"/>
        <v>0</v>
      </c>
      <c r="W27" s="45">
        <f t="shared" si="15"/>
        <v>0</v>
      </c>
      <c r="X27" s="46">
        <f>+K70</f>
        <v>0</v>
      </c>
      <c r="Y27" s="44">
        <f t="shared" si="16"/>
        <v>0</v>
      </c>
      <c r="Z27" s="47">
        <f t="shared" si="17"/>
        <v>0</v>
      </c>
      <c r="AA27" s="48">
        <f t="shared" si="18"/>
        <v>0</v>
      </c>
      <c r="AB27" s="49">
        <f t="shared" si="19"/>
        <v>0</v>
      </c>
      <c r="AC27" s="384">
        <f t="shared" si="20"/>
        <v>0</v>
      </c>
      <c r="AD27" s="50" t="str">
        <f t="shared" si="21"/>
        <v xml:space="preserve"> 사유?→</v>
      </c>
      <c r="AE27" s="36"/>
      <c r="AF27" s="37">
        <f>AG27-F27</f>
        <v>-8</v>
      </c>
      <c r="AG27" s="38">
        <f>AN27</f>
        <v>0</v>
      </c>
      <c r="AH27" s="409" t="s">
        <v>46</v>
      </c>
      <c r="AI27" s="39"/>
      <c r="AJ27" s="40" t="str">
        <f>IFERROR(Z27/W27*1000,"")</f>
        <v/>
      </c>
      <c r="AL27" s="41"/>
      <c r="AM27" s="41"/>
      <c r="AN27" s="41"/>
      <c r="AP27" s="409">
        <f t="shared" si="22"/>
        <v>-8</v>
      </c>
      <c r="AQ27" s="42"/>
    </row>
    <row r="28" spans="2:43" s="409" customFormat="1" ht="104.25" customHeight="1" x14ac:dyDescent="0.3">
      <c r="B28" s="421"/>
      <c r="C28" s="24">
        <f t="shared" si="11"/>
        <v>15</v>
      </c>
      <c r="D28" s="43" t="s">
        <v>47</v>
      </c>
      <c r="E28" s="26" t="s">
        <v>33</v>
      </c>
      <c r="F28" s="25"/>
      <c r="G28" s="124"/>
      <c r="H28" s="124"/>
      <c r="I28" s="123"/>
      <c r="J28" s="123"/>
      <c r="K28" s="123"/>
      <c r="L28" s="123"/>
      <c r="M28" s="129"/>
      <c r="N28" s="123"/>
      <c r="O28" s="123"/>
      <c r="P28" s="123"/>
      <c r="Q28" s="123"/>
      <c r="R28" s="123"/>
      <c r="S28" s="124">
        <f t="shared" si="12"/>
        <v>0</v>
      </c>
      <c r="T28" s="402">
        <f t="shared" si="13"/>
        <v>0</v>
      </c>
      <c r="U28" s="28">
        <f>+H73</f>
        <v>0</v>
      </c>
      <c r="V28" s="29" t="str">
        <f t="shared" si="14"/>
        <v>휴무</v>
      </c>
      <c r="W28" s="30">
        <f t="shared" si="15"/>
        <v>0</v>
      </c>
      <c r="X28" s="31">
        <f>+K73</f>
        <v>0</v>
      </c>
      <c r="Y28" s="44" t="str">
        <f t="shared" si="16"/>
        <v>휴무</v>
      </c>
      <c r="Z28" s="47">
        <f t="shared" si="17"/>
        <v>0</v>
      </c>
      <c r="AA28" s="48" t="str">
        <f t="shared" si="18"/>
        <v>휴무</v>
      </c>
      <c r="AB28" s="49" t="str">
        <f t="shared" si="19"/>
        <v>휴무</v>
      </c>
      <c r="AC28" s="384" t="str">
        <f t="shared" si="20"/>
        <v>휴무</v>
      </c>
      <c r="AD28" s="50" t="str">
        <f t="shared" si="21"/>
        <v>휴무</v>
      </c>
      <c r="AE28" s="36"/>
      <c r="AF28" s="37"/>
      <c r="AG28" s="38"/>
      <c r="AI28" s="39"/>
      <c r="AJ28" s="40"/>
      <c r="AL28" s="41"/>
      <c r="AM28" s="41"/>
      <c r="AN28" s="41"/>
      <c r="AP28" s="409">
        <f t="shared" si="22"/>
        <v>0</v>
      </c>
      <c r="AQ28" s="42"/>
    </row>
    <row r="29" spans="2:43" s="409" customFormat="1" ht="36" customHeight="1" x14ac:dyDescent="0.3">
      <c r="B29" s="422" t="s">
        <v>39</v>
      </c>
      <c r="C29" s="423"/>
      <c r="D29" s="423"/>
      <c r="E29" s="424"/>
      <c r="F29" s="43">
        <f>SUM(F23:F28)</f>
        <v>49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3234</v>
      </c>
      <c r="U29" s="53">
        <f>SUM(U23:U28)</f>
        <v>2200</v>
      </c>
      <c r="V29" s="54">
        <f>U29/F29</f>
        <v>44.897959183673471</v>
      </c>
      <c r="W29" s="45">
        <f t="shared" si="15"/>
        <v>0.68027210884353739</v>
      </c>
      <c r="X29" s="55">
        <f>SUM(X23:X28)</f>
        <v>1814.06</v>
      </c>
      <c r="Y29" s="44">
        <f>X29/F29</f>
        <v>37.021632653061225</v>
      </c>
      <c r="Z29" s="47">
        <f t="shared" si="17"/>
        <v>0.56093382807668524</v>
      </c>
      <c r="AA29" s="56">
        <f>U29/T29*AA20</f>
        <v>34.013605442176868</v>
      </c>
      <c r="AB29" s="57">
        <f>X29/T29*AB20</f>
        <v>30.542846938775511</v>
      </c>
      <c r="AC29" s="385">
        <f t="shared" si="20"/>
        <v>64.556452380952379</v>
      </c>
      <c r="AD29" s="162" t="str">
        <f t="shared" si="21"/>
        <v xml:space="preserve"> 사유?→</v>
      </c>
      <c r="AE29" s="43"/>
      <c r="AF29" s="37">
        <f>AG29-F29</f>
        <v>-49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9.8000000000000007</v>
      </c>
      <c r="G30" s="406"/>
      <c r="H30" s="406"/>
      <c r="I30" s="406"/>
      <c r="J30" s="406"/>
      <c r="K30" s="406"/>
      <c r="L30" s="406"/>
      <c r="M30" s="406"/>
      <c r="N30" s="406"/>
      <c r="O30" s="406"/>
      <c r="P30" s="406"/>
      <c r="Q30" s="406"/>
      <c r="R30" s="406"/>
      <c r="S30" s="406"/>
      <c r="T30" s="406"/>
      <c r="U30" s="61">
        <f>V30*F30</f>
        <v>440.00000000000006</v>
      </c>
      <c r="V30" s="62">
        <f>U29/F29</f>
        <v>44.897959183673471</v>
      </c>
      <c r="W30" s="63">
        <f>IFERROR(U30/#REF!,0)</f>
        <v>0</v>
      </c>
      <c r="X30" s="64">
        <f>X29/F29*F30</f>
        <v>362.81200000000001</v>
      </c>
      <c r="Y30" s="62">
        <f>IF(F30=0,"휴무",X30/F30)</f>
        <v>37.021632653061225</v>
      </c>
      <c r="Z30" s="65">
        <f>IFERROR(X30/#REF!,0)</f>
        <v>0</v>
      </c>
      <c r="AA30" s="60">
        <f>AVERAGE(AA23:AA28)</f>
        <v>31.852617079889807</v>
      </c>
      <c r="AB30" s="60">
        <f>AVERAGE(AB23:AB28)</f>
        <v>29.088074999999996</v>
      </c>
      <c r="AC30" s="141">
        <f>AA30+AB30</f>
        <v>60.9406920798898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409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10</v>
      </c>
      <c r="F36" s="455" t="s">
        <v>7</v>
      </c>
      <c r="G36" s="82" t="s">
        <v>48</v>
      </c>
      <c r="H36" s="83">
        <v>419</v>
      </c>
      <c r="I36" s="84"/>
      <c r="J36" s="85"/>
      <c r="K36" s="86">
        <v>411.61</v>
      </c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419</v>
      </c>
      <c r="I38" s="88"/>
      <c r="J38" s="89"/>
      <c r="K38" s="90">
        <f>+K36+K37*2</f>
        <v>411.61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11</v>
      </c>
      <c r="F39" s="455" t="s">
        <v>52</v>
      </c>
      <c r="G39" s="82" t="s">
        <v>48</v>
      </c>
      <c r="H39" s="83">
        <v>401</v>
      </c>
      <c r="I39" s="84"/>
      <c r="J39" s="85"/>
      <c r="K39" s="86">
        <v>416.69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401</v>
      </c>
      <c r="I41" s="88"/>
      <c r="J41" s="89"/>
      <c r="K41" s="90">
        <f>+K39+K40*2</f>
        <v>416.69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12</v>
      </c>
      <c r="F42" s="455" t="s">
        <v>53</v>
      </c>
      <c r="G42" s="82" t="s">
        <v>48</v>
      </c>
      <c r="H42" s="83">
        <v>493</v>
      </c>
      <c r="I42" s="84"/>
      <c r="J42" s="85"/>
      <c r="K42" s="86">
        <v>611.54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493</v>
      </c>
      <c r="I44" s="88"/>
      <c r="J44" s="89"/>
      <c r="K44" s="90">
        <f>+K42+K43*2</f>
        <v>611.54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13</v>
      </c>
      <c r="F45" s="455" t="s">
        <v>55</v>
      </c>
      <c r="G45" s="82" t="s">
        <v>48</v>
      </c>
      <c r="H45" s="83"/>
      <c r="I45" s="84"/>
      <c r="J45" s="85"/>
      <c r="K45" s="86"/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0</v>
      </c>
      <c r="I47" s="88"/>
      <c r="J47" s="89"/>
      <c r="K47" s="90">
        <f>+K45+K46*2</f>
        <v>0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14</v>
      </c>
      <c r="F48" s="455" t="s">
        <v>56</v>
      </c>
      <c r="G48" s="82" t="s">
        <v>48</v>
      </c>
      <c r="H48" s="83"/>
      <c r="I48" s="84"/>
      <c r="J48" s="85"/>
      <c r="K48" s="86"/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0</v>
      </c>
      <c r="I50" s="88"/>
      <c r="J50" s="89"/>
      <c r="K50" s="90">
        <f>+K48+K49*2</f>
        <v>0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15</v>
      </c>
      <c r="F51" s="455" t="s">
        <v>38</v>
      </c>
      <c r="G51" s="82" t="s">
        <v>48</v>
      </c>
      <c r="H51" s="83"/>
      <c r="I51" s="84"/>
      <c r="J51" s="85"/>
      <c r="K51" s="86"/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0</v>
      </c>
      <c r="I53" s="88"/>
      <c r="J53" s="89"/>
      <c r="K53" s="90">
        <f>+K51+K52*2</f>
        <v>0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10</v>
      </c>
      <c r="F56" s="455" t="s">
        <v>7</v>
      </c>
      <c r="G56" s="82" t="s">
        <v>48</v>
      </c>
      <c r="H56" s="83">
        <f>492-8</f>
        <v>484</v>
      </c>
      <c r="I56" s="84"/>
      <c r="J56" s="85"/>
      <c r="K56" s="86">
        <f>423.15-3.2</f>
        <v>419.95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>
        <v>8</v>
      </c>
      <c r="I57" s="84"/>
      <c r="J57" s="85"/>
      <c r="K57" s="86">
        <v>3.2</v>
      </c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500</v>
      </c>
      <c r="I58" s="88"/>
      <c r="J58" s="89"/>
      <c r="K58" s="90">
        <f>+K56+K57*2</f>
        <v>426.34999999999997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11</v>
      </c>
      <c r="F59" s="455" t="s">
        <v>52</v>
      </c>
      <c r="G59" s="82" t="s">
        <v>48</v>
      </c>
      <c r="H59" s="83">
        <f>570-117</f>
        <v>453</v>
      </c>
      <c r="I59" s="84"/>
      <c r="J59" s="85"/>
      <c r="K59" s="86">
        <f>503.13-121.14</f>
        <v>381.99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>
        <v>117</v>
      </c>
      <c r="I60" s="84"/>
      <c r="J60" s="85"/>
      <c r="K60" s="86">
        <v>121.14</v>
      </c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687</v>
      </c>
      <c r="I61" s="88"/>
      <c r="J61" s="89"/>
      <c r="K61" s="90">
        <f>+K59+K60*2</f>
        <v>624.27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12</v>
      </c>
      <c r="F62" s="455" t="s">
        <v>53</v>
      </c>
      <c r="G62" s="82" t="s">
        <v>48</v>
      </c>
      <c r="H62" s="83">
        <f>463+250</f>
        <v>713</v>
      </c>
      <c r="I62" s="84"/>
      <c r="J62" s="85"/>
      <c r="K62" s="86">
        <v>429.72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/>
      <c r="I63" s="84"/>
      <c r="J63" s="85"/>
      <c r="K63" s="86"/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713</v>
      </c>
      <c r="I64" s="88"/>
      <c r="J64" s="89"/>
      <c r="K64" s="90">
        <f>+K62+K63*2</f>
        <v>429.72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13</v>
      </c>
      <c r="F65" s="455" t="s">
        <v>55</v>
      </c>
      <c r="G65" s="82" t="s">
        <v>48</v>
      </c>
      <c r="H65" s="83">
        <v>300</v>
      </c>
      <c r="I65" s="84"/>
      <c r="J65" s="85"/>
      <c r="K65" s="86">
        <v>333.72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/>
      <c r="I66" s="84"/>
      <c r="J66" s="85"/>
      <c r="K66" s="86"/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300</v>
      </c>
      <c r="I67" s="88"/>
      <c r="J67" s="89"/>
      <c r="K67" s="90">
        <f>+K65+K66*2</f>
        <v>333.72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14</v>
      </c>
      <c r="F68" s="455" t="s">
        <v>56</v>
      </c>
      <c r="G68" s="82" t="s">
        <v>48</v>
      </c>
      <c r="H68" s="83"/>
      <c r="I68" s="84"/>
      <c r="J68" s="85"/>
      <c r="K68" s="86"/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/>
      <c r="I69" s="84"/>
      <c r="J69" s="85"/>
      <c r="K69" s="86"/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0</v>
      </c>
      <c r="I70" s="88"/>
      <c r="J70" s="89"/>
      <c r="K70" s="90">
        <f>+K68+K69*2</f>
        <v>0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15</v>
      </c>
      <c r="F71" s="455" t="s">
        <v>38</v>
      </c>
      <c r="G71" s="82" t="s">
        <v>48</v>
      </c>
      <c r="H71" s="83"/>
      <c r="I71" s="84"/>
      <c r="J71" s="85"/>
      <c r="K71" s="86"/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0</v>
      </c>
      <c r="I73" s="88"/>
      <c r="J73" s="89"/>
      <c r="K73" s="90">
        <f>+K71+K72*2</f>
        <v>0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403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3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4">IF(F80=0,"휴무",AA80+AB80)</f>
        <v>#REF!</v>
      </c>
      <c r="AD80" s="103" t="e">
        <f t="shared" ref="AD80:AD85" si="25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409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409"/>
      <c r="AP80" s="409">
        <f>AO80-F80</f>
        <v>-10</v>
      </c>
    </row>
    <row r="81" spans="2:42" ht="98.25" customHeight="1" x14ac:dyDescent="0.3">
      <c r="B81" s="459"/>
      <c r="C81" s="92">
        <v>20</v>
      </c>
      <c r="D81" s="408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3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4"/>
        <v>#REF!</v>
      </c>
      <c r="AD81" s="108" t="e">
        <f t="shared" si="25"/>
        <v>#REF!</v>
      </c>
      <c r="AE81" s="109"/>
      <c r="AF81" s="37">
        <f>AG81-F81</f>
        <v>-10</v>
      </c>
      <c r="AG81" s="38">
        <f>AN81</f>
        <v>0</v>
      </c>
      <c r="AH81" s="409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409"/>
      <c r="AP81" s="409">
        <f>AO81-F81</f>
        <v>-10</v>
      </c>
    </row>
    <row r="82" spans="2:42" ht="98.25" customHeight="1" x14ac:dyDescent="0.3">
      <c r="B82" s="459"/>
      <c r="C82" s="92">
        <v>21</v>
      </c>
      <c r="D82" s="408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3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4"/>
        <v>#REF!</v>
      </c>
      <c r="AD82" s="108" t="e">
        <f t="shared" si="25"/>
        <v>#REF!</v>
      </c>
      <c r="AE82" s="109"/>
      <c r="AF82" s="37">
        <f>AG82-F82</f>
        <v>-10</v>
      </c>
      <c r="AG82" s="38">
        <f>AN82</f>
        <v>0</v>
      </c>
      <c r="AH82" s="409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409"/>
      <c r="AP82" s="409">
        <f>AO82-F82</f>
        <v>-10</v>
      </c>
    </row>
    <row r="83" spans="2:42" ht="98.25" customHeight="1" x14ac:dyDescent="0.3">
      <c r="B83" s="459"/>
      <c r="C83" s="92">
        <v>22</v>
      </c>
      <c r="D83" s="408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3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4"/>
        <v>#REF!</v>
      </c>
      <c r="AD83" s="110" t="e">
        <f t="shared" si="25"/>
        <v>#REF!</v>
      </c>
      <c r="AE83" s="104"/>
      <c r="AF83" s="37">
        <f>AG83-F83</f>
        <v>-10</v>
      </c>
      <c r="AG83" s="38">
        <f>AN83</f>
        <v>0</v>
      </c>
      <c r="AH83" s="409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409"/>
      <c r="AP83" s="409">
        <f>AO83-F83</f>
        <v>-10</v>
      </c>
    </row>
    <row r="84" spans="2:42" ht="98.25" customHeight="1" x14ac:dyDescent="0.3">
      <c r="B84" s="459"/>
      <c r="C84" s="92">
        <v>23</v>
      </c>
      <c r="D84" s="408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3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4"/>
        <v>#REF!</v>
      </c>
      <c r="AD84" s="110" t="e">
        <f t="shared" si="25"/>
        <v>#REF!</v>
      </c>
      <c r="AE84" s="104"/>
      <c r="AF84" s="37">
        <f>AG84-F84</f>
        <v>-10</v>
      </c>
      <c r="AG84" s="38">
        <f>AN84</f>
        <v>0</v>
      </c>
      <c r="AH84" s="409" t="s">
        <v>46</v>
      </c>
      <c r="AI84" s="39"/>
      <c r="AJ84" s="40" t="str">
        <f>IFERROR(Z84/W84*1000,"")</f>
        <v/>
      </c>
      <c r="AK84" s="409"/>
      <c r="AL84" s="41"/>
      <c r="AM84" s="41"/>
      <c r="AN84" s="41"/>
      <c r="AO84" s="409"/>
      <c r="AP84" s="409">
        <f>AO84-F84</f>
        <v>-10</v>
      </c>
    </row>
    <row r="85" spans="2:42" ht="98.25" customHeight="1" x14ac:dyDescent="0.3">
      <c r="B85" s="459"/>
      <c r="C85" s="92">
        <v>25</v>
      </c>
      <c r="D85" s="408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406"/>
      <c r="H85" s="406"/>
      <c r="I85" s="406"/>
      <c r="J85" s="406"/>
      <c r="K85" s="406"/>
      <c r="L85" s="406"/>
      <c r="M85" s="406"/>
      <c r="N85" s="406"/>
      <c r="O85" s="406"/>
      <c r="P85" s="406"/>
      <c r="Q85" s="406"/>
      <c r="R85" s="406"/>
      <c r="S85" s="406"/>
      <c r="T85" s="406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3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4"/>
        <v>휴무</v>
      </c>
      <c r="AD85" s="110" t="str">
        <f t="shared" si="25"/>
        <v>휴무</v>
      </c>
      <c r="AE85" s="104"/>
      <c r="AF85" s="37"/>
      <c r="AG85" s="38"/>
      <c r="AH85" s="409"/>
      <c r="AI85" s="39"/>
      <c r="AJ85" s="40"/>
      <c r="AK85" s="409"/>
      <c r="AL85" s="41"/>
      <c r="AM85" s="41"/>
      <c r="AN85" s="41"/>
      <c r="AO85" s="409"/>
      <c r="AP85" s="409"/>
    </row>
    <row r="86" spans="2:42" ht="36" customHeight="1" x14ac:dyDescent="0.3">
      <c r="B86" s="460" t="s">
        <v>39</v>
      </c>
      <c r="C86" s="461"/>
      <c r="D86" s="461"/>
      <c r="E86" s="462"/>
      <c r="F86" s="408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408"/>
      <c r="AB86" s="405"/>
      <c r="AC86" s="114"/>
      <c r="AD86" s="115"/>
      <c r="AE86" s="407"/>
      <c r="AF86" s="37">
        <f>AG86-F86</f>
        <v>-50</v>
      </c>
      <c r="AG86" s="38">
        <f>SUM(AG80:AG85)</f>
        <v>0</v>
      </c>
      <c r="AH86" s="409"/>
      <c r="AI86" s="409"/>
      <c r="AJ86" s="40"/>
      <c r="AK86" s="409"/>
      <c r="AL86" s="59"/>
      <c r="AM86" s="59"/>
      <c r="AN86" s="59"/>
      <c r="AO86" s="409"/>
      <c r="AP86" s="409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406"/>
      <c r="H87" s="406"/>
      <c r="I87" s="406"/>
      <c r="J87" s="406"/>
      <c r="K87" s="406"/>
      <c r="L87" s="406"/>
      <c r="M87" s="406"/>
      <c r="N87" s="406"/>
      <c r="O87" s="406"/>
      <c r="P87" s="406"/>
      <c r="Q87" s="406"/>
      <c r="R87" s="406"/>
      <c r="S87" s="406"/>
      <c r="T87" s="406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409"/>
      <c r="AE88" s="409"/>
      <c r="AF88" s="409"/>
      <c r="AG88" s="409"/>
      <c r="AH88" s="409"/>
      <c r="AI88" s="409"/>
      <c r="AJ88" s="409"/>
      <c r="AK88" s="409"/>
      <c r="AL88" s="59"/>
      <c r="AM88" s="59"/>
      <c r="AN88" s="59"/>
      <c r="AO88" s="409"/>
      <c r="AP88" s="409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408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408" t="s">
        <v>63</v>
      </c>
      <c r="D117" s="466" t="s">
        <v>12</v>
      </c>
      <c r="E117" s="466"/>
      <c r="F117" s="408" t="s">
        <v>64</v>
      </c>
      <c r="G117" s="408"/>
      <c r="H117" s="408"/>
      <c r="I117" s="408"/>
      <c r="J117" s="408"/>
      <c r="K117" s="408"/>
      <c r="L117" s="408"/>
      <c r="M117" s="408"/>
      <c r="N117" s="408"/>
      <c r="O117" s="408"/>
      <c r="P117" s="408"/>
      <c r="Q117" s="408"/>
      <c r="R117" s="408"/>
      <c r="S117" s="408"/>
      <c r="T117" s="408"/>
      <c r="U117" s="408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408"/>
      <c r="G118" s="408"/>
      <c r="H118" s="408"/>
      <c r="I118" s="408"/>
      <c r="J118" s="408"/>
      <c r="K118" s="408"/>
      <c r="L118" s="408"/>
      <c r="M118" s="408"/>
      <c r="N118" s="408"/>
      <c r="O118" s="408"/>
      <c r="P118" s="408"/>
      <c r="Q118" s="408"/>
      <c r="R118" s="408"/>
      <c r="S118" s="408"/>
      <c r="T118" s="408"/>
      <c r="U118" s="408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408"/>
      <c r="G119" s="408"/>
      <c r="H119" s="408"/>
      <c r="I119" s="408"/>
      <c r="J119" s="408"/>
      <c r="K119" s="408"/>
      <c r="L119" s="408"/>
      <c r="M119" s="408"/>
      <c r="N119" s="408"/>
      <c r="O119" s="408"/>
      <c r="P119" s="408"/>
      <c r="Q119" s="408"/>
      <c r="R119" s="408"/>
      <c r="S119" s="408"/>
      <c r="T119" s="408"/>
      <c r="U119" s="408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408"/>
      <c r="G120" s="408"/>
      <c r="H120" s="408"/>
      <c r="I120" s="408"/>
      <c r="J120" s="408"/>
      <c r="K120" s="408"/>
      <c r="L120" s="408"/>
      <c r="M120" s="408"/>
      <c r="N120" s="408"/>
      <c r="O120" s="408"/>
      <c r="P120" s="408"/>
      <c r="Q120" s="408"/>
      <c r="R120" s="408"/>
      <c r="S120" s="408"/>
      <c r="T120" s="408"/>
      <c r="U120" s="408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408"/>
      <c r="G121" s="408"/>
      <c r="H121" s="408"/>
      <c r="I121" s="408"/>
      <c r="J121" s="408"/>
      <c r="K121" s="408"/>
      <c r="L121" s="408"/>
      <c r="M121" s="408"/>
      <c r="N121" s="408"/>
      <c r="O121" s="408"/>
      <c r="P121" s="408"/>
      <c r="Q121" s="408"/>
      <c r="R121" s="408"/>
      <c r="S121" s="408"/>
      <c r="T121" s="408"/>
      <c r="U121" s="408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408"/>
      <c r="G122" s="408"/>
      <c r="H122" s="408"/>
      <c r="I122" s="408"/>
      <c r="J122" s="408"/>
      <c r="K122" s="408"/>
      <c r="L122" s="408"/>
      <c r="M122" s="408"/>
      <c r="N122" s="408"/>
      <c r="O122" s="408"/>
      <c r="P122" s="408"/>
      <c r="Q122" s="408"/>
      <c r="R122" s="408"/>
      <c r="S122" s="408"/>
      <c r="T122" s="408"/>
      <c r="U122" s="408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408"/>
      <c r="G123" s="408"/>
      <c r="H123" s="408"/>
      <c r="I123" s="408"/>
      <c r="J123" s="408"/>
      <c r="K123" s="408"/>
      <c r="L123" s="408"/>
      <c r="M123" s="408"/>
      <c r="N123" s="408"/>
      <c r="O123" s="408"/>
      <c r="P123" s="408"/>
      <c r="Q123" s="408"/>
      <c r="R123" s="408"/>
      <c r="S123" s="408"/>
      <c r="T123" s="408"/>
      <c r="U123" s="408"/>
      <c r="V123" s="117"/>
      <c r="W123" s="118"/>
      <c r="X123" s="116"/>
      <c r="Y123" s="117"/>
      <c r="Z123" s="116"/>
      <c r="AA123" s="116"/>
    </row>
    <row r="124" spans="3:27" x14ac:dyDescent="0.3">
      <c r="C124" s="408"/>
      <c r="D124" s="460"/>
      <c r="E124" s="462"/>
      <c r="F124" s="408"/>
      <c r="G124" s="408"/>
      <c r="H124" s="408"/>
      <c r="I124" s="408"/>
      <c r="J124" s="408"/>
      <c r="K124" s="408"/>
      <c r="L124" s="408"/>
      <c r="M124" s="408"/>
      <c r="N124" s="408"/>
      <c r="O124" s="408"/>
      <c r="P124" s="408"/>
      <c r="Q124" s="408"/>
      <c r="R124" s="408"/>
      <c r="S124" s="408"/>
      <c r="T124" s="408"/>
      <c r="U124" s="408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408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408" t="s">
        <v>63</v>
      </c>
      <c r="D127" s="466" t="s">
        <v>12</v>
      </c>
      <c r="E127" s="466"/>
      <c r="F127" s="408" t="s">
        <v>64</v>
      </c>
      <c r="G127" s="408"/>
      <c r="H127" s="408"/>
      <c r="I127" s="408"/>
      <c r="J127" s="408"/>
      <c r="K127" s="408"/>
      <c r="L127" s="408"/>
      <c r="M127" s="408"/>
      <c r="N127" s="408"/>
      <c r="O127" s="408"/>
      <c r="P127" s="408"/>
      <c r="Q127" s="408"/>
      <c r="R127" s="408"/>
      <c r="S127" s="408"/>
      <c r="T127" s="408"/>
      <c r="U127" s="408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408"/>
      <c r="G128" s="408"/>
      <c r="H128" s="408"/>
      <c r="I128" s="408"/>
      <c r="J128" s="408"/>
      <c r="K128" s="408"/>
      <c r="L128" s="408"/>
      <c r="M128" s="408"/>
      <c r="N128" s="408"/>
      <c r="O128" s="408"/>
      <c r="P128" s="408"/>
      <c r="Q128" s="408"/>
      <c r="R128" s="408"/>
      <c r="S128" s="408"/>
      <c r="T128" s="408"/>
      <c r="U128" s="408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408"/>
      <c r="G129" s="408"/>
      <c r="H129" s="408"/>
      <c r="I129" s="408"/>
      <c r="J129" s="408"/>
      <c r="K129" s="408"/>
      <c r="L129" s="408"/>
      <c r="M129" s="408"/>
      <c r="N129" s="408"/>
      <c r="O129" s="408"/>
      <c r="P129" s="408"/>
      <c r="Q129" s="408"/>
      <c r="R129" s="408"/>
      <c r="S129" s="408"/>
      <c r="T129" s="408"/>
      <c r="U129" s="408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408"/>
      <c r="G130" s="408"/>
      <c r="H130" s="408"/>
      <c r="I130" s="408"/>
      <c r="J130" s="408"/>
      <c r="K130" s="408"/>
      <c r="L130" s="408"/>
      <c r="M130" s="408"/>
      <c r="N130" s="408"/>
      <c r="O130" s="408"/>
      <c r="P130" s="408"/>
      <c r="Q130" s="408"/>
      <c r="R130" s="408"/>
      <c r="S130" s="408"/>
      <c r="T130" s="408"/>
      <c r="U130" s="408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408"/>
      <c r="G131" s="408"/>
      <c r="H131" s="408"/>
      <c r="I131" s="408"/>
      <c r="J131" s="408"/>
      <c r="K131" s="408"/>
      <c r="L131" s="408"/>
      <c r="M131" s="408"/>
      <c r="N131" s="408"/>
      <c r="O131" s="408"/>
      <c r="P131" s="408"/>
      <c r="Q131" s="408"/>
      <c r="R131" s="408"/>
      <c r="S131" s="408"/>
      <c r="T131" s="408"/>
      <c r="U131" s="408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408"/>
      <c r="G132" s="408"/>
      <c r="H132" s="408"/>
      <c r="I132" s="408"/>
      <c r="J132" s="408"/>
      <c r="K132" s="408"/>
      <c r="L132" s="408"/>
      <c r="M132" s="408"/>
      <c r="N132" s="408"/>
      <c r="O132" s="408"/>
      <c r="P132" s="408"/>
      <c r="Q132" s="408"/>
      <c r="R132" s="408"/>
      <c r="S132" s="408"/>
      <c r="T132" s="408"/>
      <c r="U132" s="408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408"/>
      <c r="G133" s="408"/>
      <c r="H133" s="408"/>
      <c r="I133" s="408"/>
      <c r="J133" s="408"/>
      <c r="K133" s="408"/>
      <c r="L133" s="408"/>
      <c r="M133" s="408"/>
      <c r="N133" s="408"/>
      <c r="O133" s="408"/>
      <c r="P133" s="408"/>
      <c r="Q133" s="408"/>
      <c r="R133" s="408"/>
      <c r="S133" s="408"/>
      <c r="T133" s="408"/>
      <c r="U133" s="408"/>
      <c r="V133" s="117"/>
      <c r="W133" s="118"/>
      <c r="X133" s="116"/>
      <c r="Y133" s="117"/>
      <c r="Z133" s="116"/>
      <c r="AA133" s="116"/>
    </row>
    <row r="134" spans="3:27" x14ac:dyDescent="0.3">
      <c r="C134" s="408"/>
      <c r="D134" s="460"/>
      <c r="E134" s="462"/>
      <c r="F134" s="408"/>
      <c r="G134" s="408"/>
      <c r="H134" s="408"/>
      <c r="I134" s="408"/>
      <c r="J134" s="408"/>
      <c r="K134" s="408"/>
      <c r="L134" s="408"/>
      <c r="M134" s="408"/>
      <c r="N134" s="408"/>
      <c r="O134" s="408"/>
      <c r="P134" s="408"/>
      <c r="Q134" s="408"/>
      <c r="R134" s="408"/>
      <c r="S134" s="408"/>
      <c r="T134" s="408"/>
      <c r="U134" s="408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408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408" t="s">
        <v>63</v>
      </c>
      <c r="D137" s="466" t="s">
        <v>12</v>
      </c>
      <c r="E137" s="466"/>
      <c r="F137" s="408" t="s">
        <v>64</v>
      </c>
      <c r="G137" s="408"/>
      <c r="H137" s="408"/>
      <c r="I137" s="408"/>
      <c r="J137" s="408"/>
      <c r="K137" s="408"/>
      <c r="L137" s="408"/>
      <c r="M137" s="408"/>
      <c r="N137" s="408"/>
      <c r="O137" s="408"/>
      <c r="P137" s="408"/>
      <c r="Q137" s="408"/>
      <c r="R137" s="408"/>
      <c r="S137" s="408"/>
      <c r="T137" s="408"/>
      <c r="U137" s="408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408"/>
      <c r="G138" s="408"/>
      <c r="H138" s="408"/>
      <c r="I138" s="408"/>
      <c r="J138" s="408"/>
      <c r="K138" s="408"/>
      <c r="L138" s="408"/>
      <c r="M138" s="408"/>
      <c r="N138" s="408"/>
      <c r="O138" s="408"/>
      <c r="P138" s="408"/>
      <c r="Q138" s="408"/>
      <c r="R138" s="408"/>
      <c r="S138" s="408"/>
      <c r="T138" s="408"/>
      <c r="U138" s="408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408"/>
      <c r="G139" s="408"/>
      <c r="H139" s="408"/>
      <c r="I139" s="408"/>
      <c r="J139" s="408"/>
      <c r="K139" s="408"/>
      <c r="L139" s="408"/>
      <c r="M139" s="408"/>
      <c r="N139" s="408"/>
      <c r="O139" s="408"/>
      <c r="P139" s="408"/>
      <c r="Q139" s="408"/>
      <c r="R139" s="408"/>
      <c r="S139" s="408"/>
      <c r="T139" s="408"/>
      <c r="U139" s="408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408"/>
      <c r="G140" s="408"/>
      <c r="H140" s="408"/>
      <c r="I140" s="408"/>
      <c r="J140" s="408"/>
      <c r="K140" s="408"/>
      <c r="L140" s="408"/>
      <c r="M140" s="408"/>
      <c r="N140" s="408"/>
      <c r="O140" s="408"/>
      <c r="P140" s="408"/>
      <c r="Q140" s="408"/>
      <c r="R140" s="408"/>
      <c r="S140" s="408"/>
      <c r="T140" s="408"/>
      <c r="U140" s="408"/>
    </row>
    <row r="141" spans="3:27" x14ac:dyDescent="0.3">
      <c r="C141" s="119">
        <v>45078</v>
      </c>
      <c r="D141" s="466"/>
      <c r="E141" s="466"/>
      <c r="F141" s="408"/>
      <c r="G141" s="408"/>
      <c r="H141" s="408"/>
      <c r="I141" s="408"/>
      <c r="J141" s="408"/>
      <c r="K141" s="408"/>
      <c r="L141" s="408"/>
      <c r="M141" s="408"/>
      <c r="N141" s="408"/>
      <c r="O141" s="408"/>
      <c r="P141" s="408"/>
      <c r="Q141" s="408"/>
      <c r="R141" s="408"/>
      <c r="S141" s="408"/>
      <c r="T141" s="408"/>
      <c r="U141" s="408"/>
    </row>
    <row r="142" spans="3:27" x14ac:dyDescent="0.3">
      <c r="C142" s="119">
        <v>45079</v>
      </c>
      <c r="D142" s="466"/>
      <c r="E142" s="466"/>
      <c r="F142" s="408"/>
      <c r="G142" s="408"/>
      <c r="H142" s="408"/>
      <c r="I142" s="408"/>
      <c r="J142" s="408"/>
      <c r="K142" s="408"/>
      <c r="L142" s="408"/>
      <c r="M142" s="408"/>
      <c r="N142" s="408"/>
      <c r="O142" s="408"/>
      <c r="P142" s="408"/>
      <c r="Q142" s="408"/>
      <c r="R142" s="408"/>
      <c r="S142" s="408"/>
      <c r="T142" s="408"/>
      <c r="U142" s="408"/>
    </row>
    <row r="143" spans="3:27" x14ac:dyDescent="0.3">
      <c r="C143" s="119">
        <v>45080</v>
      </c>
      <c r="D143" s="466"/>
      <c r="E143" s="466"/>
      <c r="F143" s="408"/>
      <c r="G143" s="408"/>
      <c r="H143" s="408"/>
      <c r="I143" s="408"/>
      <c r="J143" s="408"/>
      <c r="K143" s="408"/>
      <c r="L143" s="408"/>
      <c r="M143" s="408"/>
      <c r="N143" s="408"/>
      <c r="O143" s="408"/>
      <c r="P143" s="408"/>
      <c r="Q143" s="408"/>
      <c r="R143" s="408"/>
      <c r="S143" s="408"/>
      <c r="T143" s="408"/>
      <c r="U143" s="408"/>
    </row>
    <row r="144" spans="3:27" x14ac:dyDescent="0.3">
      <c r="C144" s="408"/>
      <c r="D144" s="460"/>
      <c r="E144" s="462"/>
      <c r="F144" s="408"/>
      <c r="G144" s="408"/>
      <c r="H144" s="408"/>
      <c r="I144" s="408"/>
      <c r="J144" s="408"/>
      <c r="K144" s="408"/>
      <c r="L144" s="408"/>
      <c r="M144" s="408"/>
      <c r="N144" s="408"/>
      <c r="O144" s="408"/>
      <c r="P144" s="408"/>
      <c r="Q144" s="408"/>
      <c r="R144" s="408"/>
      <c r="S144" s="408"/>
      <c r="T144" s="408"/>
      <c r="U144" s="408"/>
    </row>
  </sheetData>
  <mergeCells count="111">
    <mergeCell ref="AE5:AE6"/>
    <mergeCell ref="B7:B12"/>
    <mergeCell ref="B13:E13"/>
    <mergeCell ref="B2:AE2"/>
    <mergeCell ref="B5:C6"/>
    <mergeCell ref="D5:D6"/>
    <mergeCell ref="E5:E6"/>
    <mergeCell ref="F5:F6"/>
    <mergeCell ref="G5:G6"/>
    <mergeCell ref="H5:H6"/>
    <mergeCell ref="I5:S5"/>
    <mergeCell ref="T5:T6"/>
    <mergeCell ref="U5:W5"/>
    <mergeCell ref="B14:E14"/>
    <mergeCell ref="B21:B22"/>
    <mergeCell ref="C21:C22"/>
    <mergeCell ref="D21:D22"/>
    <mergeCell ref="E21:E22"/>
    <mergeCell ref="F21:F22"/>
    <mergeCell ref="X5:Z5"/>
    <mergeCell ref="AC5:AC6"/>
    <mergeCell ref="AD5:AD6"/>
    <mergeCell ref="AA21:AA22"/>
    <mergeCell ref="AB21:AB22"/>
    <mergeCell ref="AC21:AC22"/>
    <mergeCell ref="AD21:AD22"/>
    <mergeCell ref="AE21:AE22"/>
    <mergeCell ref="B23:B28"/>
    <mergeCell ref="G21:G22"/>
    <mergeCell ref="H21:H22"/>
    <mergeCell ref="I21:S21"/>
    <mergeCell ref="T21:T22"/>
    <mergeCell ref="U21:W21"/>
    <mergeCell ref="X21:Z21"/>
    <mergeCell ref="E42:E44"/>
    <mergeCell ref="F42:F44"/>
    <mergeCell ref="E45:E47"/>
    <mergeCell ref="F45:F47"/>
    <mergeCell ref="E48:E50"/>
    <mergeCell ref="F48:F50"/>
    <mergeCell ref="B29:E29"/>
    <mergeCell ref="B30:E30"/>
    <mergeCell ref="E36:E38"/>
    <mergeCell ref="F36:F38"/>
    <mergeCell ref="E39:E41"/>
    <mergeCell ref="F39:F41"/>
    <mergeCell ref="E62:E64"/>
    <mergeCell ref="F62:F64"/>
    <mergeCell ref="E65:E67"/>
    <mergeCell ref="F65:F67"/>
    <mergeCell ref="E68:E70"/>
    <mergeCell ref="F68:F70"/>
    <mergeCell ref="E51:E53"/>
    <mergeCell ref="F51:F53"/>
    <mergeCell ref="E56:E58"/>
    <mergeCell ref="F56:F58"/>
    <mergeCell ref="E59:E61"/>
    <mergeCell ref="F59:F61"/>
    <mergeCell ref="AC78:AC79"/>
    <mergeCell ref="AD78:AD79"/>
    <mergeCell ref="AE78:AE79"/>
    <mergeCell ref="B80:B85"/>
    <mergeCell ref="B86:E86"/>
    <mergeCell ref="B87:E87"/>
    <mergeCell ref="E71:E73"/>
    <mergeCell ref="F71:F73"/>
    <mergeCell ref="B76:AE76"/>
    <mergeCell ref="B78:B79"/>
    <mergeCell ref="C78:C79"/>
    <mergeCell ref="D78:D79"/>
    <mergeCell ref="E78:E79"/>
    <mergeCell ref="F78:F79"/>
    <mergeCell ref="U78:W78"/>
    <mergeCell ref="X78:Z78"/>
    <mergeCell ref="E101:E103"/>
    <mergeCell ref="F101:F103"/>
    <mergeCell ref="E104:E106"/>
    <mergeCell ref="F104:F106"/>
    <mergeCell ref="E107:E109"/>
    <mergeCell ref="F107:F109"/>
    <mergeCell ref="E92:E94"/>
    <mergeCell ref="F92:F94"/>
    <mergeCell ref="E95:E97"/>
    <mergeCell ref="F95:F97"/>
    <mergeCell ref="E98:E100"/>
    <mergeCell ref="F98:F100"/>
    <mergeCell ref="D122:E122"/>
    <mergeCell ref="D123:E123"/>
    <mergeCell ref="D124:E124"/>
    <mergeCell ref="D127:E127"/>
    <mergeCell ref="D128:E128"/>
    <mergeCell ref="D129:E129"/>
    <mergeCell ref="C114:U114"/>
    <mergeCell ref="D117:E117"/>
    <mergeCell ref="D118:E118"/>
    <mergeCell ref="D119:E119"/>
    <mergeCell ref="D120:E120"/>
    <mergeCell ref="D121:E121"/>
    <mergeCell ref="D144:E144"/>
    <mergeCell ref="D138:E138"/>
    <mergeCell ref="D139:E139"/>
    <mergeCell ref="D140:E140"/>
    <mergeCell ref="D141:E141"/>
    <mergeCell ref="D142:E142"/>
    <mergeCell ref="D143:E143"/>
    <mergeCell ref="D130:E130"/>
    <mergeCell ref="D131:E131"/>
    <mergeCell ref="D132:E132"/>
    <mergeCell ref="D133:E133"/>
    <mergeCell ref="D134:E134"/>
    <mergeCell ref="D137:E137"/>
  </mergeCells>
  <phoneticPr fontId="4" type="noConversion"/>
  <dataValidations count="4">
    <dataValidation type="list" allowBlank="1" showInputMessage="1" showErrorMessage="1" sqref="E80:E85 E26:E27">
      <formula1>$AH$7:$AH$12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7:E9 E23:E25">
      <formula1>$U$7:$U$12</formula1>
    </dataValidation>
    <dataValidation type="list" allowBlank="1" showInputMessage="1" showErrorMessage="1" sqref="E10:E12 E28">
      <formula1>$AG$6:$AG$11</formula1>
    </dataValidation>
  </dataValidations>
  <pageMargins left="0.62992125984251968" right="0.62992125984251968" top="0.94488188976377963" bottom="0.55118110236220474" header="0.31496062992125984" footer="0.31496062992125984"/>
  <pageSetup paperSize="9" scale="28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80" zoomScaleNormal="80" workbookViewId="0">
      <pane xSplit="4" ySplit="6" topLeftCell="E7" activePane="bottomRight" state="frozen"/>
      <selection pane="topRight" activeCell="D1" sqref="D1"/>
      <selection pane="bottomLeft" activeCell="A6" sqref="A6"/>
      <selection pane="bottomRight" activeCell="A32" sqref="A1:AR32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64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11.75" hidden="1" customWidth="1"/>
    <col min="44" max="44" width="3.25" customWidth="1"/>
  </cols>
  <sheetData>
    <row r="2" spans="2:52" ht="20.25" x14ac:dyDescent="0.3">
      <c r="B2" s="425" t="s">
        <v>316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396" t="s">
        <v>1</v>
      </c>
      <c r="AY2" s="396" t="s">
        <v>2</v>
      </c>
      <c r="AZ2" s="3" t="s">
        <v>3</v>
      </c>
    </row>
    <row r="3" spans="2:52" ht="45" customHeight="1" x14ac:dyDescent="0.3">
      <c r="B3" s="330" t="s">
        <v>4</v>
      </c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395" t="s">
        <v>68</v>
      </c>
      <c r="J6" s="18" t="s">
        <v>69</v>
      </c>
      <c r="K6" s="18" t="s">
        <v>71</v>
      </c>
      <c r="L6" s="18" t="s">
        <v>72</v>
      </c>
      <c r="M6" s="18" t="s">
        <v>75</v>
      </c>
      <c r="N6" s="18" t="s">
        <v>75</v>
      </c>
      <c r="O6" s="18" t="s">
        <v>75</v>
      </c>
      <c r="P6" s="18" t="s">
        <v>230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395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-54</v>
      </c>
    </row>
    <row r="7" spans="2:52" s="401" customFormat="1" ht="99" customHeight="1" thickTop="1" x14ac:dyDescent="0.3">
      <c r="B7" s="420">
        <v>8</v>
      </c>
      <c r="C7" s="24">
        <v>3</v>
      </c>
      <c r="D7" s="25" t="s">
        <v>7</v>
      </c>
      <c r="E7" s="26" t="s">
        <v>29</v>
      </c>
      <c r="F7" s="25">
        <v>8</v>
      </c>
      <c r="G7" s="128">
        <v>98</v>
      </c>
      <c r="H7" s="128">
        <f t="shared" ref="H7:H12" si="0">(G7/U7)*100</f>
        <v>48.03921568627451</v>
      </c>
      <c r="I7" s="123" t="s">
        <v>85</v>
      </c>
      <c r="J7" s="123" t="s">
        <v>86</v>
      </c>
      <c r="K7" s="123" t="s">
        <v>99</v>
      </c>
      <c r="L7" s="123"/>
      <c r="M7" s="129" t="s">
        <v>90</v>
      </c>
      <c r="N7" s="123" t="s">
        <v>74</v>
      </c>
      <c r="O7" s="123"/>
      <c r="P7" s="123" t="s">
        <v>231</v>
      </c>
      <c r="Q7" s="123" t="s">
        <v>91</v>
      </c>
      <c r="R7" s="123" t="s">
        <v>89</v>
      </c>
      <c r="S7" s="125">
        <f t="shared" ref="S7:S12" si="1">COUNTA(I7:L7)+COUNTA(M7:R7)/2</f>
        <v>5.5</v>
      </c>
      <c r="T7" s="27">
        <f t="shared" ref="T7:T12" si="2">F7*$D$4*$U$4</f>
        <v>528</v>
      </c>
      <c r="U7" s="28">
        <f>+H38</f>
        <v>204</v>
      </c>
      <c r="V7" s="29">
        <f t="shared" ref="V7:V12" si="3">IF(F7=0,"휴무",U7/F7)</f>
        <v>25.5</v>
      </c>
      <c r="W7" s="30">
        <f t="shared" ref="W7:W13" si="4">IFERROR(U7/T7,0)</f>
        <v>0.38636363636363635</v>
      </c>
      <c r="X7" s="31">
        <f>+K38</f>
        <v>395.06</v>
      </c>
      <c r="Y7" s="29">
        <f t="shared" ref="Y7:Y12" si="5">IF(F7=0,"휴무",X7/F7)</f>
        <v>49.3825</v>
      </c>
      <c r="Z7" s="32">
        <f t="shared" ref="Z7:Z13" si="6">IFERROR(X7/T7,0)</f>
        <v>0.74821969696969692</v>
      </c>
      <c r="AA7" s="33">
        <f t="shared" ref="AA7:AA12" si="7">IF(F7=0,"휴무",U7/T7*$AA$4)</f>
        <v>19.318181818181817</v>
      </c>
      <c r="AB7" s="34">
        <f t="shared" ref="AB7:AB12" si="8">IF(F7=0,"휴무",X7/T7*$AB$4)</f>
        <v>40.740562500000003</v>
      </c>
      <c r="AC7" s="383">
        <f t="shared" ref="AC7:AC13" si="9">IF(F7=0,"휴무",AA7+AB7)</f>
        <v>60.058744318181823</v>
      </c>
      <c r="AD7" s="159" t="str">
        <f t="shared" ref="AD7:AD13" si="10">IF(F7=0,"휴무",IF(AC7&gt;=100,"좋아요",IF(AC7&gt;=90,"90~99",IF(AC7&gt;=80,"80~89"," 사유?→"))))</f>
        <v xml:space="preserve"> 사유?→</v>
      </c>
      <c r="AE7" s="160" t="s">
        <v>319</v>
      </c>
      <c r="AF7" s="37">
        <f>AG7-F7</f>
        <v>-8</v>
      </c>
      <c r="AG7" s="38">
        <f>AN7</f>
        <v>0</v>
      </c>
      <c r="AH7" s="401" t="s">
        <v>29</v>
      </c>
      <c r="AI7" s="39"/>
      <c r="AJ7" s="40">
        <f>IFERROR(Z7/W7*1000,"")</f>
        <v>1936.5686274509803</v>
      </c>
      <c r="AK7" s="39"/>
      <c r="AL7" s="41"/>
      <c r="AM7" s="41"/>
      <c r="AN7" s="41"/>
      <c r="AP7" s="401">
        <f t="shared" ref="AP7:AP12" si="11">AO7-F7</f>
        <v>-8</v>
      </c>
      <c r="AQ7" s="42"/>
    </row>
    <row r="8" spans="2:52" s="401" customFormat="1" ht="99.75" customHeight="1" x14ac:dyDescent="0.3">
      <c r="B8" s="421"/>
      <c r="C8" s="24">
        <f>+C7+1</f>
        <v>4</v>
      </c>
      <c r="D8" s="43" t="s">
        <v>30</v>
      </c>
      <c r="E8" s="26" t="s">
        <v>28</v>
      </c>
      <c r="F8" s="25">
        <v>11</v>
      </c>
      <c r="G8" s="125">
        <v>302</v>
      </c>
      <c r="H8" s="125">
        <f t="shared" si="0"/>
        <v>72.422062350119916</v>
      </c>
      <c r="I8" s="123" t="s">
        <v>85</v>
      </c>
      <c r="J8" s="123" t="s">
        <v>86</v>
      </c>
      <c r="K8" s="123" t="s">
        <v>99</v>
      </c>
      <c r="L8" s="123"/>
      <c r="M8" s="129" t="s">
        <v>90</v>
      </c>
      <c r="N8" s="123" t="s">
        <v>74</v>
      </c>
      <c r="O8" s="123"/>
      <c r="P8" s="123" t="s">
        <v>231</v>
      </c>
      <c r="Q8" s="123" t="s">
        <v>91</v>
      </c>
      <c r="R8" s="123" t="s">
        <v>89</v>
      </c>
      <c r="S8" s="125">
        <f t="shared" si="1"/>
        <v>5.5</v>
      </c>
      <c r="T8" s="27">
        <f t="shared" si="2"/>
        <v>726</v>
      </c>
      <c r="U8" s="28">
        <f>+H41</f>
        <v>417</v>
      </c>
      <c r="V8" s="44">
        <f t="shared" si="3"/>
        <v>37.909090909090907</v>
      </c>
      <c r="W8" s="45">
        <f t="shared" si="4"/>
        <v>0.57438016528925617</v>
      </c>
      <c r="X8" s="46">
        <f>+K41</f>
        <v>381.07000000000005</v>
      </c>
      <c r="Y8" s="29">
        <f t="shared" si="5"/>
        <v>34.642727272727278</v>
      </c>
      <c r="Z8" s="47">
        <f t="shared" si="6"/>
        <v>0.52488980716253453</v>
      </c>
      <c r="AA8" s="48">
        <f t="shared" si="7"/>
        <v>28.719008264462808</v>
      </c>
      <c r="AB8" s="49">
        <f t="shared" si="8"/>
        <v>28.580250000000007</v>
      </c>
      <c r="AC8" s="384">
        <f t="shared" si="9"/>
        <v>57.299258264462814</v>
      </c>
      <c r="AD8" s="161" t="str">
        <f t="shared" si="10"/>
        <v xml:space="preserve"> 사유?→</v>
      </c>
      <c r="AE8" s="160" t="s">
        <v>320</v>
      </c>
      <c r="AF8" s="37">
        <f>AG8-F8</f>
        <v>-11</v>
      </c>
      <c r="AG8" s="38">
        <f>AN8</f>
        <v>0</v>
      </c>
      <c r="AH8" s="401" t="s">
        <v>31</v>
      </c>
      <c r="AI8" s="39"/>
      <c r="AJ8" s="40">
        <f>IFERROR(Z8/W8*1000,"")</f>
        <v>913.83693045563575</v>
      </c>
      <c r="AK8" s="39"/>
      <c r="AL8" s="41"/>
      <c r="AM8" s="41"/>
      <c r="AN8" s="41"/>
      <c r="AP8" s="401">
        <f t="shared" si="11"/>
        <v>-11</v>
      </c>
      <c r="AQ8" s="42"/>
    </row>
    <row r="9" spans="2:52" s="401" customFormat="1" ht="97.5" customHeight="1" x14ac:dyDescent="0.3">
      <c r="B9" s="421"/>
      <c r="C9" s="24">
        <f>+C8+1</f>
        <v>5</v>
      </c>
      <c r="D9" s="43" t="s">
        <v>32</v>
      </c>
      <c r="E9" s="26" t="s">
        <v>29</v>
      </c>
      <c r="F9" s="25">
        <v>8</v>
      </c>
      <c r="G9" s="125">
        <v>197</v>
      </c>
      <c r="H9" s="125">
        <f t="shared" si="0"/>
        <v>89.14027149321268</v>
      </c>
      <c r="I9" s="123" t="s">
        <v>85</v>
      </c>
      <c r="J9" s="123" t="s">
        <v>86</v>
      </c>
      <c r="K9" s="123" t="s">
        <v>99</v>
      </c>
      <c r="L9" s="123"/>
      <c r="M9" s="129" t="s">
        <v>90</v>
      </c>
      <c r="N9" s="123" t="s">
        <v>74</v>
      </c>
      <c r="O9" s="123" t="s">
        <v>169</v>
      </c>
      <c r="P9" s="123" t="s">
        <v>231</v>
      </c>
      <c r="Q9" s="123" t="s">
        <v>91</v>
      </c>
      <c r="R9" s="123" t="s">
        <v>89</v>
      </c>
      <c r="S9" s="125">
        <f t="shared" si="1"/>
        <v>6</v>
      </c>
      <c r="T9" s="27">
        <f t="shared" si="2"/>
        <v>528</v>
      </c>
      <c r="U9" s="51">
        <f>+H44</f>
        <v>221</v>
      </c>
      <c r="V9" s="44">
        <f t="shared" si="3"/>
        <v>27.625</v>
      </c>
      <c r="W9" s="45">
        <f t="shared" si="4"/>
        <v>0.41856060606060608</v>
      </c>
      <c r="X9" s="46">
        <f>+K44</f>
        <v>224.4</v>
      </c>
      <c r="Y9" s="44">
        <f t="shared" si="5"/>
        <v>28.05</v>
      </c>
      <c r="Z9" s="47">
        <f t="shared" si="6"/>
        <v>0.42499999999999999</v>
      </c>
      <c r="AA9" s="48">
        <f t="shared" si="7"/>
        <v>20.928030303030305</v>
      </c>
      <c r="AB9" s="49">
        <f t="shared" si="8"/>
        <v>23.141249999999999</v>
      </c>
      <c r="AC9" s="384">
        <f t="shared" si="9"/>
        <v>44.069280303030304</v>
      </c>
      <c r="AD9" s="161" t="str">
        <f t="shared" si="10"/>
        <v xml:space="preserve"> 사유?→</v>
      </c>
      <c r="AE9" s="160" t="s">
        <v>321</v>
      </c>
      <c r="AF9" s="37">
        <f>AG9-F9</f>
        <v>-8</v>
      </c>
      <c r="AG9" s="38">
        <f>AN9</f>
        <v>0</v>
      </c>
      <c r="AH9" s="401" t="s">
        <v>34</v>
      </c>
      <c r="AI9" s="39"/>
      <c r="AJ9" s="40">
        <f>IFERROR(Z9/W9*1000,"")</f>
        <v>1015.3846153846154</v>
      </c>
      <c r="AK9" s="39"/>
      <c r="AL9" s="41"/>
      <c r="AM9" s="41"/>
      <c r="AN9" s="41"/>
      <c r="AP9" s="401">
        <f t="shared" si="11"/>
        <v>-8</v>
      </c>
      <c r="AQ9" s="42"/>
    </row>
    <row r="10" spans="2:52" s="401" customFormat="1" ht="95.25" customHeight="1" x14ac:dyDescent="0.3">
      <c r="B10" s="421"/>
      <c r="C10" s="24">
        <f>+C9+1</f>
        <v>6</v>
      </c>
      <c r="D10" s="43" t="s">
        <v>35</v>
      </c>
      <c r="E10" s="26" t="s">
        <v>28</v>
      </c>
      <c r="F10" s="25">
        <v>11</v>
      </c>
      <c r="G10" s="125">
        <v>436</v>
      </c>
      <c r="H10" s="125">
        <f t="shared" si="0"/>
        <v>100</v>
      </c>
      <c r="I10" s="123" t="s">
        <v>85</v>
      </c>
      <c r="J10" s="123" t="s">
        <v>86</v>
      </c>
      <c r="K10" s="123" t="s">
        <v>99</v>
      </c>
      <c r="L10" s="123"/>
      <c r="M10" s="129" t="s">
        <v>90</v>
      </c>
      <c r="N10" s="123" t="s">
        <v>74</v>
      </c>
      <c r="O10" s="123" t="s">
        <v>169</v>
      </c>
      <c r="P10" s="123" t="s">
        <v>231</v>
      </c>
      <c r="Q10" s="123" t="s">
        <v>91</v>
      </c>
      <c r="R10" s="123" t="s">
        <v>89</v>
      </c>
      <c r="S10" s="125">
        <f t="shared" si="1"/>
        <v>6</v>
      </c>
      <c r="T10" s="27">
        <f t="shared" si="2"/>
        <v>726</v>
      </c>
      <c r="U10" s="28">
        <f>+H47</f>
        <v>436</v>
      </c>
      <c r="V10" s="44">
        <f t="shared" si="3"/>
        <v>39.636363636363633</v>
      </c>
      <c r="W10" s="45">
        <f t="shared" si="4"/>
        <v>0.60055096418732778</v>
      </c>
      <c r="X10" s="46">
        <f>+K47</f>
        <v>576.23</v>
      </c>
      <c r="Y10" s="29">
        <f t="shared" si="5"/>
        <v>52.384545454545453</v>
      </c>
      <c r="Z10" s="47">
        <f t="shared" si="6"/>
        <v>0.79370523415977967</v>
      </c>
      <c r="AA10" s="48">
        <f t="shared" si="7"/>
        <v>30.02754820936639</v>
      </c>
      <c r="AB10" s="49">
        <f t="shared" si="8"/>
        <v>43.217250000000007</v>
      </c>
      <c r="AC10" s="384">
        <f t="shared" si="9"/>
        <v>73.244798209366394</v>
      </c>
      <c r="AD10" s="161" t="str">
        <f t="shared" si="10"/>
        <v xml:space="preserve"> 사유?→</v>
      </c>
      <c r="AE10" s="160" t="s">
        <v>322</v>
      </c>
      <c r="AF10" s="37">
        <f>AG10-F10</f>
        <v>-11</v>
      </c>
      <c r="AG10" s="38">
        <f>AN10</f>
        <v>0</v>
      </c>
      <c r="AH10" s="401" t="s">
        <v>36</v>
      </c>
      <c r="AI10" s="39"/>
      <c r="AJ10" s="40">
        <f>IFERROR(Z10/W10*1000,"")</f>
        <v>1321.6284403669727</v>
      </c>
      <c r="AK10" s="39"/>
      <c r="AL10" s="41"/>
      <c r="AM10" s="41"/>
      <c r="AN10" s="41"/>
      <c r="AP10" s="401">
        <f t="shared" si="11"/>
        <v>-11</v>
      </c>
      <c r="AQ10" s="42"/>
    </row>
    <row r="11" spans="2:52" s="401" customFormat="1" ht="102.75" customHeight="1" x14ac:dyDescent="0.3">
      <c r="B11" s="421"/>
      <c r="C11" s="24">
        <f>+C10+1</f>
        <v>7</v>
      </c>
      <c r="D11" s="43" t="s">
        <v>37</v>
      </c>
      <c r="E11" s="26" t="s">
        <v>29</v>
      </c>
      <c r="F11" s="25">
        <v>8</v>
      </c>
      <c r="G11" s="125">
        <v>312</v>
      </c>
      <c r="H11" s="125">
        <f t="shared" si="0"/>
        <v>97.805642633228842</v>
      </c>
      <c r="I11" s="123" t="s">
        <v>85</v>
      </c>
      <c r="J11" s="123" t="s">
        <v>86</v>
      </c>
      <c r="K11" s="123" t="s">
        <v>99</v>
      </c>
      <c r="L11" s="123"/>
      <c r="M11" s="129" t="s">
        <v>90</v>
      </c>
      <c r="N11" s="123" t="s">
        <v>74</v>
      </c>
      <c r="O11" s="123" t="s">
        <v>169</v>
      </c>
      <c r="P11" s="123" t="s">
        <v>231</v>
      </c>
      <c r="Q11" s="123" t="s">
        <v>91</v>
      </c>
      <c r="R11" s="123" t="s">
        <v>89</v>
      </c>
      <c r="S11" s="125">
        <f t="shared" si="1"/>
        <v>6</v>
      </c>
      <c r="T11" s="27">
        <f t="shared" si="2"/>
        <v>528</v>
      </c>
      <c r="U11" s="28">
        <f>+H50</f>
        <v>319</v>
      </c>
      <c r="V11" s="44">
        <f t="shared" si="3"/>
        <v>39.875</v>
      </c>
      <c r="W11" s="45">
        <f t="shared" si="4"/>
        <v>0.60416666666666663</v>
      </c>
      <c r="X11" s="46">
        <f>+K50</f>
        <v>372.23</v>
      </c>
      <c r="Y11" s="44">
        <f t="shared" si="5"/>
        <v>46.528750000000002</v>
      </c>
      <c r="Z11" s="47">
        <f t="shared" si="6"/>
        <v>0.70498106060606069</v>
      </c>
      <c r="AA11" s="48">
        <f t="shared" si="7"/>
        <v>30.208333333333332</v>
      </c>
      <c r="AB11" s="49">
        <f t="shared" si="8"/>
        <v>38.386218750000005</v>
      </c>
      <c r="AC11" s="384">
        <f t="shared" si="9"/>
        <v>68.59455208333334</v>
      </c>
      <c r="AD11" s="161" t="str">
        <f t="shared" si="10"/>
        <v xml:space="preserve"> 사유?→</v>
      </c>
      <c r="AE11" s="160" t="s">
        <v>323</v>
      </c>
      <c r="AF11" s="37">
        <f>AG11-F11</f>
        <v>-8</v>
      </c>
      <c r="AG11" s="38">
        <f>AN11</f>
        <v>0</v>
      </c>
      <c r="AH11" s="401" t="s">
        <v>33</v>
      </c>
      <c r="AI11" s="39"/>
      <c r="AJ11" s="40">
        <f>IFERROR(Z11/W11*1000,"")</f>
        <v>1166.8652037617558</v>
      </c>
      <c r="AL11" s="41"/>
      <c r="AM11" s="41"/>
      <c r="AN11" s="41"/>
      <c r="AP11" s="401">
        <f t="shared" si="11"/>
        <v>-8</v>
      </c>
      <c r="AQ11" s="42"/>
    </row>
    <row r="12" spans="2:52" s="401" customFormat="1" ht="102.75" customHeight="1" x14ac:dyDescent="0.3">
      <c r="B12" s="421"/>
      <c r="C12" s="24">
        <f>+C11+1</f>
        <v>8</v>
      </c>
      <c r="D12" s="43" t="s">
        <v>38</v>
      </c>
      <c r="E12" s="26" t="s">
        <v>36</v>
      </c>
      <c r="F12" s="25">
        <v>8</v>
      </c>
      <c r="G12" s="125">
        <v>158</v>
      </c>
      <c r="H12" s="125">
        <f t="shared" si="0"/>
        <v>79.797979797979806</v>
      </c>
      <c r="I12" s="123" t="s">
        <v>85</v>
      </c>
      <c r="J12" s="123" t="s">
        <v>86</v>
      </c>
      <c r="K12" s="123" t="s">
        <v>99</v>
      </c>
      <c r="L12" s="123"/>
      <c r="M12" s="129" t="s">
        <v>90</v>
      </c>
      <c r="N12" s="123"/>
      <c r="O12" s="123"/>
      <c r="P12" s="123" t="s">
        <v>231</v>
      </c>
      <c r="Q12" s="123" t="s">
        <v>91</v>
      </c>
      <c r="R12" s="123" t="s">
        <v>89</v>
      </c>
      <c r="S12" s="125">
        <f t="shared" si="1"/>
        <v>5</v>
      </c>
      <c r="T12" s="394">
        <f t="shared" si="2"/>
        <v>528</v>
      </c>
      <c r="U12" s="28">
        <f>+H53</f>
        <v>198</v>
      </c>
      <c r="V12" s="29">
        <f t="shared" si="3"/>
        <v>24.75</v>
      </c>
      <c r="W12" s="30">
        <f t="shared" si="4"/>
        <v>0.375</v>
      </c>
      <c r="X12" s="31">
        <f>+K53</f>
        <v>302.83</v>
      </c>
      <c r="Y12" s="44">
        <f t="shared" si="5"/>
        <v>37.853749999999998</v>
      </c>
      <c r="Z12" s="47">
        <f t="shared" si="6"/>
        <v>0.57354166666666662</v>
      </c>
      <c r="AA12" s="48">
        <f t="shared" si="7"/>
        <v>18.75</v>
      </c>
      <c r="AB12" s="49">
        <f t="shared" si="8"/>
        <v>31.229343749999998</v>
      </c>
      <c r="AC12" s="384">
        <f t="shared" si="9"/>
        <v>49.979343749999998</v>
      </c>
      <c r="AD12" s="161" t="str">
        <f t="shared" si="10"/>
        <v xml:space="preserve"> 사유?→</v>
      </c>
      <c r="AE12" s="160" t="s">
        <v>328</v>
      </c>
      <c r="AF12" s="37"/>
      <c r="AG12" s="38"/>
      <c r="AI12" s="39"/>
      <c r="AJ12" s="40"/>
      <c r="AL12" s="41"/>
      <c r="AM12" s="41"/>
      <c r="AN12" s="41"/>
      <c r="AP12" s="401">
        <f t="shared" si="11"/>
        <v>-8</v>
      </c>
      <c r="AQ12" s="42"/>
    </row>
    <row r="13" spans="2:52" s="401" customFormat="1" ht="36" customHeight="1" x14ac:dyDescent="0.3">
      <c r="B13" s="422" t="s">
        <v>39</v>
      </c>
      <c r="C13" s="423"/>
      <c r="D13" s="423"/>
      <c r="E13" s="424"/>
      <c r="F13" s="43">
        <f>SUM(F7:F12)</f>
        <v>54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>COUNTA(I13:M13)+COUNTA(N13:R13)/2</f>
        <v>0</v>
      </c>
      <c r="T13" s="52">
        <f>SUM(T7:T12)</f>
        <v>3564</v>
      </c>
      <c r="U13" s="53">
        <f>SUM(U7:U12)</f>
        <v>1795</v>
      </c>
      <c r="V13" s="54">
        <f>U13/F13</f>
        <v>33.24074074074074</v>
      </c>
      <c r="W13" s="45">
        <f t="shared" si="4"/>
        <v>0.50364758698092027</v>
      </c>
      <c r="X13" s="55">
        <f>SUM(X7:X12)</f>
        <v>2251.8200000000002</v>
      </c>
      <c r="Y13" s="44">
        <f>X13/F13</f>
        <v>41.700370370370372</v>
      </c>
      <c r="Z13" s="47">
        <f t="shared" si="6"/>
        <v>0.63182379349046025</v>
      </c>
      <c r="AA13" s="56">
        <f>U13/T13*AA4</f>
        <v>25.182379349046013</v>
      </c>
      <c r="AB13" s="57">
        <f>X13/T13*AB4</f>
        <v>34.40280555555556</v>
      </c>
      <c r="AC13" s="385">
        <f t="shared" si="9"/>
        <v>59.585184904601576</v>
      </c>
      <c r="AD13" s="162" t="str">
        <f t="shared" si="10"/>
        <v xml:space="preserve"> 사유?→</v>
      </c>
      <c r="AE13" s="43"/>
      <c r="AF13" s="37">
        <f>AG13-F13</f>
        <v>-54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9</v>
      </c>
      <c r="G14" s="398"/>
      <c r="H14" s="398"/>
      <c r="I14" s="398"/>
      <c r="J14" s="398"/>
      <c r="K14" s="398"/>
      <c r="L14" s="398"/>
      <c r="M14" s="398"/>
      <c r="N14" s="398"/>
      <c r="O14" s="398"/>
      <c r="P14" s="398"/>
      <c r="Q14" s="398"/>
      <c r="R14" s="398"/>
      <c r="S14" s="398"/>
      <c r="T14" s="398"/>
      <c r="U14" s="61">
        <f>V14*F14</f>
        <v>299.16666666666669</v>
      </c>
      <c r="V14" s="62">
        <f>U13/F13</f>
        <v>33.24074074074074</v>
      </c>
      <c r="W14" s="63">
        <f>IFERROR(U14/#REF!,0)</f>
        <v>0</v>
      </c>
      <c r="X14" s="64">
        <f>X13/F13*F14</f>
        <v>375.30333333333334</v>
      </c>
      <c r="Y14" s="62">
        <f>IF(F14=0,"휴무",X14/F14)</f>
        <v>41.700370370370372</v>
      </c>
      <c r="Z14" s="65">
        <f>IFERROR(X14/#REF!,0)</f>
        <v>0</v>
      </c>
      <c r="AA14" s="60">
        <f>AVERAGE(AA7:AA12)</f>
        <v>24.658516988062445</v>
      </c>
      <c r="AB14" s="60">
        <f>AVERAGE(AB7:AB12)</f>
        <v>34.215812500000006</v>
      </c>
      <c r="AC14" s="141">
        <f>AA14+AB14</f>
        <v>58.87432948806245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401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330" t="s">
        <v>44</v>
      </c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395" t="s">
        <v>68</v>
      </c>
      <c r="J22" s="18" t="s">
        <v>69</v>
      </c>
      <c r="K22" s="18" t="s">
        <v>71</v>
      </c>
      <c r="L22" s="18" t="s">
        <v>72</v>
      </c>
      <c r="M22" s="18" t="s">
        <v>75</v>
      </c>
      <c r="N22" s="18" t="s">
        <v>75</v>
      </c>
      <c r="O22" s="18" t="s">
        <v>75</v>
      </c>
      <c r="P22" s="18" t="s">
        <v>230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-55.5</v>
      </c>
    </row>
    <row r="23" spans="2:43" s="401" customFormat="1" ht="99" customHeight="1" thickTop="1" x14ac:dyDescent="0.3">
      <c r="B23" s="420">
        <f>+B7</f>
        <v>8</v>
      </c>
      <c r="C23" s="24">
        <f t="shared" ref="C23:C28" si="12">+C7</f>
        <v>3</v>
      </c>
      <c r="D23" s="25" t="s">
        <v>7</v>
      </c>
      <c r="E23" s="26" t="s">
        <v>28</v>
      </c>
      <c r="F23" s="25">
        <v>11</v>
      </c>
      <c r="G23" s="128">
        <v>362</v>
      </c>
      <c r="H23" s="128">
        <f t="shared" ref="H23:H28" si="13">(G23/U23)*100</f>
        <v>88.508557457212717</v>
      </c>
      <c r="I23" s="123" t="s">
        <v>78</v>
      </c>
      <c r="J23" s="123" t="s">
        <v>88</v>
      </c>
      <c r="K23" s="123" t="s">
        <v>84</v>
      </c>
      <c r="L23" s="123"/>
      <c r="M23" s="129" t="s">
        <v>90</v>
      </c>
      <c r="N23" s="123" t="s">
        <v>74</v>
      </c>
      <c r="O23" s="123"/>
      <c r="P23" s="123"/>
      <c r="Q23" s="123" t="s">
        <v>91</v>
      </c>
      <c r="R23" s="123" t="s">
        <v>89</v>
      </c>
      <c r="S23" s="124">
        <f t="shared" ref="S23:S28" si="14">COUNTA(I23:L23)+COUNTA(M23:R23)/2</f>
        <v>5</v>
      </c>
      <c r="T23" s="27">
        <f t="shared" ref="T23:T28" si="15">F23*$D$4*$U$4</f>
        <v>726</v>
      </c>
      <c r="U23" s="28">
        <f>+H58</f>
        <v>409</v>
      </c>
      <c r="V23" s="29">
        <f t="shared" ref="V23:V28" si="16">IF(F23=0,"휴무",U23/F23)</f>
        <v>37.18181818181818</v>
      </c>
      <c r="W23" s="30">
        <f t="shared" ref="W23:W29" si="17">IFERROR(U23/T23,0)</f>
        <v>0.5633608815426997</v>
      </c>
      <c r="X23" s="31">
        <f>+K58</f>
        <v>426.37</v>
      </c>
      <c r="Y23" s="29">
        <f t="shared" ref="Y23:Y28" si="18">IF(F23=0,"휴무",X23/F23)</f>
        <v>38.760909090909088</v>
      </c>
      <c r="Z23" s="32">
        <f t="shared" ref="Z23:Z29" si="19">IFERROR(X23/T23,0)</f>
        <v>0.58728650137741045</v>
      </c>
      <c r="AA23" s="33">
        <f t="shared" ref="AA23:AA28" si="20">IF(F23=0,"휴무",U23/T23*$AA$4)</f>
        <v>28.168044077134986</v>
      </c>
      <c r="AB23" s="34">
        <f t="shared" ref="AB23:AB28" si="21">IF(F23=0,"휴무",X23/T23*$AB$4)</f>
        <v>31.97775</v>
      </c>
      <c r="AC23" s="383">
        <f t="shared" ref="AC23:AC29" si="22">IF(F23=0,"휴무",AA23+AB23)</f>
        <v>60.145794077134987</v>
      </c>
      <c r="AD23" s="159" t="str">
        <f t="shared" ref="AD23:AD29" si="23">IF(F23=0,"휴무",IF(AC23&gt;=100,"좋아요",IF(AC23&gt;=90,"90~99",IF(AC23&gt;=80,"80~89"," 사유?→"))))</f>
        <v xml:space="preserve"> 사유?→</v>
      </c>
      <c r="AE23" s="160" t="s">
        <v>318</v>
      </c>
      <c r="AF23" s="37">
        <f>AG23-F23</f>
        <v>-11</v>
      </c>
      <c r="AG23" s="38">
        <f>AN23</f>
        <v>0</v>
      </c>
      <c r="AH23" s="401" t="s">
        <v>29</v>
      </c>
      <c r="AI23" s="39"/>
      <c r="AJ23" s="40">
        <f>IFERROR(Z23/W23*1000,"")</f>
        <v>1042.4694376528118</v>
      </c>
      <c r="AK23" s="39"/>
      <c r="AL23" s="41"/>
      <c r="AM23" s="41"/>
      <c r="AN23" s="41"/>
      <c r="AP23" s="401">
        <f t="shared" ref="AP23:AP28" si="24">AO23-F23</f>
        <v>-11</v>
      </c>
      <c r="AQ23" s="42"/>
    </row>
    <row r="24" spans="2:43" s="401" customFormat="1" ht="99.75" customHeight="1" x14ac:dyDescent="0.3">
      <c r="B24" s="421"/>
      <c r="C24" s="24">
        <f t="shared" si="12"/>
        <v>4</v>
      </c>
      <c r="D24" s="43" t="s">
        <v>30</v>
      </c>
      <c r="E24" s="26" t="s">
        <v>28</v>
      </c>
      <c r="F24" s="25">
        <v>11</v>
      </c>
      <c r="G24" s="125">
        <v>503</v>
      </c>
      <c r="H24" s="125">
        <f t="shared" si="13"/>
        <v>97.104247104247094</v>
      </c>
      <c r="I24" s="123" t="s">
        <v>78</v>
      </c>
      <c r="J24" s="123" t="s">
        <v>88</v>
      </c>
      <c r="K24" s="123" t="s">
        <v>84</v>
      </c>
      <c r="L24" s="123"/>
      <c r="M24" s="129" t="s">
        <v>90</v>
      </c>
      <c r="N24" s="123" t="s">
        <v>74</v>
      </c>
      <c r="O24" s="123"/>
      <c r="P24" s="123"/>
      <c r="Q24" s="123" t="s">
        <v>91</v>
      </c>
      <c r="R24" s="123" t="s">
        <v>89</v>
      </c>
      <c r="S24" s="124">
        <f t="shared" si="14"/>
        <v>5</v>
      </c>
      <c r="T24" s="27">
        <f t="shared" si="15"/>
        <v>726</v>
      </c>
      <c r="U24" s="28">
        <f>+H61</f>
        <v>518</v>
      </c>
      <c r="V24" s="44">
        <f t="shared" si="16"/>
        <v>47.090909090909093</v>
      </c>
      <c r="W24" s="45">
        <f t="shared" si="17"/>
        <v>0.71349862258953167</v>
      </c>
      <c r="X24" s="46">
        <f>+K61</f>
        <v>593.68000000000006</v>
      </c>
      <c r="Y24" s="29">
        <f t="shared" si="18"/>
        <v>53.970909090909096</v>
      </c>
      <c r="Z24" s="47">
        <f t="shared" si="19"/>
        <v>0.81774104683195603</v>
      </c>
      <c r="AA24" s="48">
        <f t="shared" si="20"/>
        <v>35.674931129476583</v>
      </c>
      <c r="AB24" s="49">
        <f t="shared" si="21"/>
        <v>44.52600000000001</v>
      </c>
      <c r="AC24" s="384">
        <f t="shared" si="22"/>
        <v>80.200931129476601</v>
      </c>
      <c r="AD24" s="80" t="str">
        <f t="shared" si="23"/>
        <v>80~89</v>
      </c>
      <c r="AE24" s="36"/>
      <c r="AF24" s="37">
        <f>AG24-F24</f>
        <v>-11</v>
      </c>
      <c r="AG24" s="38">
        <f>AN24</f>
        <v>0</v>
      </c>
      <c r="AH24" s="401" t="s">
        <v>34</v>
      </c>
      <c r="AI24" s="39"/>
      <c r="AJ24" s="40">
        <f>IFERROR(Z24/W24*1000,"")</f>
        <v>1146.1003861003862</v>
      </c>
      <c r="AK24" s="39"/>
      <c r="AL24" s="41"/>
      <c r="AM24" s="41"/>
      <c r="AN24" s="41"/>
      <c r="AP24" s="401">
        <f t="shared" si="24"/>
        <v>-11</v>
      </c>
      <c r="AQ24" s="42"/>
    </row>
    <row r="25" spans="2:43" s="401" customFormat="1" ht="97.5" customHeight="1" x14ac:dyDescent="0.3">
      <c r="B25" s="421"/>
      <c r="C25" s="24">
        <f t="shared" si="12"/>
        <v>5</v>
      </c>
      <c r="D25" s="43" t="s">
        <v>32</v>
      </c>
      <c r="E25" s="26" t="s">
        <v>29</v>
      </c>
      <c r="F25" s="25">
        <v>8</v>
      </c>
      <c r="G25" s="124">
        <v>411</v>
      </c>
      <c r="H25" s="124">
        <f t="shared" si="13"/>
        <v>69.075630252100837</v>
      </c>
      <c r="I25" s="123" t="s">
        <v>78</v>
      </c>
      <c r="J25" s="123" t="s">
        <v>88</v>
      </c>
      <c r="K25" s="123" t="s">
        <v>84</v>
      </c>
      <c r="L25" s="123"/>
      <c r="M25" s="129" t="s">
        <v>90</v>
      </c>
      <c r="N25" s="123" t="s">
        <v>74</v>
      </c>
      <c r="O25" s="123" t="s">
        <v>169</v>
      </c>
      <c r="P25" s="123"/>
      <c r="Q25" s="123" t="s">
        <v>91</v>
      </c>
      <c r="R25" s="123" t="s">
        <v>89</v>
      </c>
      <c r="S25" s="124">
        <f t="shared" si="14"/>
        <v>5.5</v>
      </c>
      <c r="T25" s="27">
        <f t="shared" si="15"/>
        <v>528</v>
      </c>
      <c r="U25" s="28">
        <f>+H64</f>
        <v>595</v>
      </c>
      <c r="V25" s="44">
        <f t="shared" si="16"/>
        <v>74.375</v>
      </c>
      <c r="W25" s="45">
        <f t="shared" si="17"/>
        <v>1.1268939393939394</v>
      </c>
      <c r="X25" s="46">
        <f>+K64</f>
        <v>339.54</v>
      </c>
      <c r="Y25" s="29">
        <f t="shared" si="18"/>
        <v>42.442500000000003</v>
      </c>
      <c r="Z25" s="47">
        <f t="shared" si="19"/>
        <v>0.64306818181818182</v>
      </c>
      <c r="AA25" s="48">
        <f t="shared" si="20"/>
        <v>56.344696969696969</v>
      </c>
      <c r="AB25" s="49">
        <f t="shared" si="21"/>
        <v>35.015062499999999</v>
      </c>
      <c r="AC25" s="384">
        <f t="shared" si="22"/>
        <v>91.359759469696968</v>
      </c>
      <c r="AD25" s="50" t="str">
        <f t="shared" si="23"/>
        <v>90~99</v>
      </c>
      <c r="AE25" s="36" t="s">
        <v>324</v>
      </c>
      <c r="AF25" s="37">
        <f>AG25-F25</f>
        <v>-8</v>
      </c>
      <c r="AG25" s="38">
        <f>AN25</f>
        <v>0</v>
      </c>
      <c r="AH25" s="401" t="s">
        <v>36</v>
      </c>
      <c r="AI25" s="39"/>
      <c r="AJ25" s="40">
        <f>IFERROR(Z25/W25*1000,"")</f>
        <v>570.65546218487395</v>
      </c>
      <c r="AK25" s="39"/>
      <c r="AL25" s="41"/>
      <c r="AM25" s="41"/>
      <c r="AN25" s="41"/>
      <c r="AP25" s="401">
        <f t="shared" si="24"/>
        <v>-8</v>
      </c>
      <c r="AQ25" s="42"/>
    </row>
    <row r="26" spans="2:43" s="401" customFormat="1" ht="115.5" customHeight="1" x14ac:dyDescent="0.3">
      <c r="B26" s="421"/>
      <c r="C26" s="24">
        <f t="shared" si="12"/>
        <v>6</v>
      </c>
      <c r="D26" s="43" t="s">
        <v>35</v>
      </c>
      <c r="E26" s="26" t="s">
        <v>28</v>
      </c>
      <c r="F26" s="25">
        <v>11</v>
      </c>
      <c r="G26" s="124">
        <v>624</v>
      </c>
      <c r="H26" s="124">
        <f t="shared" si="13"/>
        <v>77.902621722846447</v>
      </c>
      <c r="I26" s="123" t="s">
        <v>78</v>
      </c>
      <c r="J26" s="123" t="s">
        <v>88</v>
      </c>
      <c r="K26" s="123" t="s">
        <v>84</v>
      </c>
      <c r="L26" s="123"/>
      <c r="M26" s="129" t="s">
        <v>90</v>
      </c>
      <c r="N26" s="123" t="s">
        <v>74</v>
      </c>
      <c r="O26" s="123" t="s">
        <v>169</v>
      </c>
      <c r="P26" s="123"/>
      <c r="Q26" s="123" t="s">
        <v>91</v>
      </c>
      <c r="R26" s="123" t="s">
        <v>89</v>
      </c>
      <c r="S26" s="124">
        <f t="shared" si="14"/>
        <v>5.5</v>
      </c>
      <c r="T26" s="27">
        <f t="shared" si="15"/>
        <v>726</v>
      </c>
      <c r="U26" s="28">
        <f>+H67</f>
        <v>801</v>
      </c>
      <c r="V26" s="44">
        <f t="shared" si="16"/>
        <v>72.818181818181813</v>
      </c>
      <c r="W26" s="45">
        <f t="shared" si="17"/>
        <v>1.1033057851239669</v>
      </c>
      <c r="X26" s="46">
        <f>+K67</f>
        <v>529.53</v>
      </c>
      <c r="Y26" s="44">
        <f t="shared" si="18"/>
        <v>48.139090909090903</v>
      </c>
      <c r="Z26" s="47">
        <f t="shared" si="19"/>
        <v>0.7293801652892562</v>
      </c>
      <c r="AA26" s="48">
        <f t="shared" si="20"/>
        <v>55.165289256198349</v>
      </c>
      <c r="AB26" s="49">
        <f t="shared" si="21"/>
        <v>39.714750000000002</v>
      </c>
      <c r="AC26" s="384">
        <f t="shared" si="22"/>
        <v>94.880039256198359</v>
      </c>
      <c r="AD26" s="50" t="str">
        <f t="shared" si="23"/>
        <v>90~99</v>
      </c>
      <c r="AE26" s="36" t="s">
        <v>325</v>
      </c>
      <c r="AF26" s="37">
        <f>AG26-F26</f>
        <v>-11</v>
      </c>
      <c r="AG26" s="38">
        <f>AN26</f>
        <v>0</v>
      </c>
      <c r="AH26" s="401" t="s">
        <v>33</v>
      </c>
      <c r="AI26" s="39"/>
      <c r="AJ26" s="40">
        <f>IFERROR(Z26/W26*1000,"")</f>
        <v>661.08614232209743</v>
      </c>
      <c r="AK26" s="39"/>
      <c r="AL26" s="41"/>
      <c r="AM26" s="41"/>
      <c r="AN26" s="41"/>
      <c r="AP26" s="401">
        <f t="shared" si="24"/>
        <v>-11</v>
      </c>
      <c r="AQ26" s="42"/>
    </row>
    <row r="27" spans="2:43" s="401" customFormat="1" ht="104.25" customHeight="1" x14ac:dyDescent="0.3">
      <c r="B27" s="421"/>
      <c r="C27" s="24">
        <f t="shared" si="12"/>
        <v>7</v>
      </c>
      <c r="D27" s="43" t="s">
        <v>37</v>
      </c>
      <c r="E27" s="26" t="s">
        <v>29</v>
      </c>
      <c r="F27" s="25">
        <f>8-1.5</f>
        <v>6.5</v>
      </c>
      <c r="G27" s="125">
        <v>294</v>
      </c>
      <c r="H27" s="130">
        <f t="shared" si="13"/>
        <v>88.821752265861036</v>
      </c>
      <c r="I27" s="123" t="s">
        <v>78</v>
      </c>
      <c r="J27" s="123" t="s">
        <v>88</v>
      </c>
      <c r="K27" s="123" t="s">
        <v>84</v>
      </c>
      <c r="L27" s="123"/>
      <c r="M27" s="129" t="s">
        <v>90</v>
      </c>
      <c r="N27" s="123" t="s">
        <v>74</v>
      </c>
      <c r="O27" s="123" t="s">
        <v>169</v>
      </c>
      <c r="P27" s="123"/>
      <c r="Q27" s="123" t="s">
        <v>91</v>
      </c>
      <c r="R27" s="123" t="s">
        <v>89</v>
      </c>
      <c r="S27" s="125">
        <f t="shared" si="14"/>
        <v>5.5</v>
      </c>
      <c r="T27" s="27">
        <f t="shared" si="15"/>
        <v>429</v>
      </c>
      <c r="U27" s="28">
        <f>+H70</f>
        <v>331</v>
      </c>
      <c r="V27" s="44">
        <f t="shared" si="16"/>
        <v>50.92307692307692</v>
      </c>
      <c r="W27" s="45">
        <f t="shared" si="17"/>
        <v>0.77156177156177153</v>
      </c>
      <c r="X27" s="46">
        <f>+K70</f>
        <v>355</v>
      </c>
      <c r="Y27" s="44">
        <f t="shared" si="18"/>
        <v>54.615384615384613</v>
      </c>
      <c r="Z27" s="47">
        <f t="shared" si="19"/>
        <v>0.82750582750582746</v>
      </c>
      <c r="AA27" s="48">
        <f t="shared" si="20"/>
        <v>38.578088578088575</v>
      </c>
      <c r="AB27" s="49">
        <f t="shared" si="21"/>
        <v>45.057692307692307</v>
      </c>
      <c r="AC27" s="384">
        <f t="shared" si="22"/>
        <v>83.635780885780889</v>
      </c>
      <c r="AD27" s="50" t="str">
        <f t="shared" si="23"/>
        <v>80~89</v>
      </c>
      <c r="AE27" s="36" t="s">
        <v>326</v>
      </c>
      <c r="AF27" s="37">
        <f>AG27-F27</f>
        <v>-6.5</v>
      </c>
      <c r="AG27" s="38">
        <f>AN27</f>
        <v>0</v>
      </c>
      <c r="AH27" s="401" t="s">
        <v>46</v>
      </c>
      <c r="AI27" s="39"/>
      <c r="AJ27" s="40">
        <f>IFERROR(Z27/W27*1000,"")</f>
        <v>1072.5075528700906</v>
      </c>
      <c r="AL27" s="41"/>
      <c r="AM27" s="41"/>
      <c r="AN27" s="41"/>
      <c r="AP27" s="401">
        <f t="shared" si="24"/>
        <v>-6.5</v>
      </c>
      <c r="AQ27" s="42"/>
    </row>
    <row r="28" spans="2:43" s="401" customFormat="1" ht="104.25" customHeight="1" x14ac:dyDescent="0.3">
      <c r="B28" s="421"/>
      <c r="C28" s="24">
        <f t="shared" si="12"/>
        <v>8</v>
      </c>
      <c r="D28" s="43" t="s">
        <v>47</v>
      </c>
      <c r="E28" s="26" t="s">
        <v>36</v>
      </c>
      <c r="F28" s="25">
        <v>8</v>
      </c>
      <c r="G28" s="124">
        <v>450</v>
      </c>
      <c r="H28" s="124">
        <f t="shared" si="13"/>
        <v>100</v>
      </c>
      <c r="I28" s="123" t="s">
        <v>78</v>
      </c>
      <c r="J28" s="123" t="s">
        <v>88</v>
      </c>
      <c r="K28" s="123" t="s">
        <v>84</v>
      </c>
      <c r="L28" s="123"/>
      <c r="M28" s="129" t="s">
        <v>90</v>
      </c>
      <c r="N28" s="123"/>
      <c r="O28" s="123"/>
      <c r="P28" s="123"/>
      <c r="Q28" s="123" t="s">
        <v>91</v>
      </c>
      <c r="R28" s="123" t="s">
        <v>89</v>
      </c>
      <c r="S28" s="124">
        <f t="shared" si="14"/>
        <v>4.5</v>
      </c>
      <c r="T28" s="394">
        <f t="shared" si="15"/>
        <v>528</v>
      </c>
      <c r="U28" s="28">
        <f>+H73</f>
        <v>450</v>
      </c>
      <c r="V28" s="29">
        <f t="shared" si="16"/>
        <v>56.25</v>
      </c>
      <c r="W28" s="30">
        <f t="shared" si="17"/>
        <v>0.85227272727272729</v>
      </c>
      <c r="X28" s="31">
        <f>+K73</f>
        <v>329.1</v>
      </c>
      <c r="Y28" s="44">
        <f t="shared" si="18"/>
        <v>41.137500000000003</v>
      </c>
      <c r="Z28" s="47">
        <f t="shared" si="19"/>
        <v>0.62329545454545454</v>
      </c>
      <c r="AA28" s="48">
        <f t="shared" si="20"/>
        <v>42.613636363636367</v>
      </c>
      <c r="AB28" s="49">
        <f t="shared" si="21"/>
        <v>33.938437499999999</v>
      </c>
      <c r="AC28" s="384">
        <f t="shared" si="22"/>
        <v>76.552073863636366</v>
      </c>
      <c r="AD28" s="161" t="str">
        <f t="shared" si="23"/>
        <v xml:space="preserve"> 사유?→</v>
      </c>
      <c r="AE28" s="160" t="s">
        <v>317</v>
      </c>
      <c r="AF28" s="37"/>
      <c r="AG28" s="38"/>
      <c r="AI28" s="39"/>
      <c r="AJ28" s="40"/>
      <c r="AL28" s="41"/>
      <c r="AM28" s="41"/>
      <c r="AN28" s="41"/>
      <c r="AP28" s="401">
        <f t="shared" si="24"/>
        <v>-8</v>
      </c>
      <c r="AQ28" s="42"/>
    </row>
    <row r="29" spans="2:43" s="401" customFormat="1" ht="36" customHeight="1" x14ac:dyDescent="0.3">
      <c r="B29" s="422" t="s">
        <v>39</v>
      </c>
      <c r="C29" s="423"/>
      <c r="D29" s="423"/>
      <c r="E29" s="424"/>
      <c r="F29" s="43">
        <f>SUM(F23:F28)</f>
        <v>55.5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3663</v>
      </c>
      <c r="U29" s="53">
        <f>SUM(U23:U28)</f>
        <v>3104</v>
      </c>
      <c r="V29" s="54">
        <f>U29/F29</f>
        <v>55.927927927927925</v>
      </c>
      <c r="W29" s="45">
        <f t="shared" si="17"/>
        <v>0.84739284739284737</v>
      </c>
      <c r="X29" s="55">
        <f>SUM(X23:X28)</f>
        <v>2573.2199999999998</v>
      </c>
      <c r="Y29" s="44">
        <f>X29/F29</f>
        <v>46.364324324324322</v>
      </c>
      <c r="Z29" s="47">
        <f t="shared" si="19"/>
        <v>0.70248976248976247</v>
      </c>
      <c r="AA29" s="56">
        <f>U29/T29*AA20</f>
        <v>42.369642369642371</v>
      </c>
      <c r="AB29" s="57">
        <f>X29/T29*AB20</f>
        <v>38.250567567567572</v>
      </c>
      <c r="AC29" s="385">
        <f t="shared" si="22"/>
        <v>80.62020993720995</v>
      </c>
      <c r="AD29" s="58" t="str">
        <f t="shared" si="23"/>
        <v>80~89</v>
      </c>
      <c r="AE29" s="43"/>
      <c r="AF29" s="37">
        <f>AG29-F29</f>
        <v>-55.5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9.25</v>
      </c>
      <c r="G30" s="398"/>
      <c r="H30" s="398"/>
      <c r="I30" s="398"/>
      <c r="J30" s="398"/>
      <c r="K30" s="398"/>
      <c r="L30" s="398"/>
      <c r="M30" s="398"/>
      <c r="N30" s="398"/>
      <c r="O30" s="398"/>
      <c r="P30" s="398"/>
      <c r="Q30" s="398"/>
      <c r="R30" s="398"/>
      <c r="S30" s="398"/>
      <c r="T30" s="398"/>
      <c r="U30" s="61">
        <f>V30*F30</f>
        <v>517.33333333333326</v>
      </c>
      <c r="V30" s="62">
        <f>U29/F29</f>
        <v>55.927927927927925</v>
      </c>
      <c r="W30" s="63">
        <f>IFERROR(U30/#REF!,0)</f>
        <v>0</v>
      </c>
      <c r="X30" s="64">
        <f>X29/F29*F30</f>
        <v>428.87</v>
      </c>
      <c r="Y30" s="62">
        <f>IF(F30=0,"휴무",X30/F30)</f>
        <v>46.364324324324322</v>
      </c>
      <c r="Z30" s="65">
        <f>IFERROR(X30/#REF!,0)</f>
        <v>0</v>
      </c>
      <c r="AA30" s="60">
        <f>AVERAGE(AA23:AA28)</f>
        <v>42.757447729038638</v>
      </c>
      <c r="AB30" s="60">
        <f>AVERAGE(AB23:AB28)</f>
        <v>38.371615384615389</v>
      </c>
      <c r="AC30" s="141">
        <f>AA30+AB30</f>
        <v>81.129063113654027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401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3</v>
      </c>
      <c r="F36" s="455" t="s">
        <v>7</v>
      </c>
      <c r="G36" s="82" t="s">
        <v>48</v>
      </c>
      <c r="H36" s="83"/>
      <c r="I36" s="84"/>
      <c r="J36" s="85"/>
      <c r="K36" s="86"/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>
        <v>102</v>
      </c>
      <c r="I37" s="84"/>
      <c r="J37" s="85"/>
      <c r="K37" s="86">
        <v>197.53</v>
      </c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204</v>
      </c>
      <c r="I38" s="88"/>
      <c r="J38" s="89"/>
      <c r="K38" s="90">
        <f>+K36+K37*2</f>
        <v>395.06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4</v>
      </c>
      <c r="F39" s="455" t="s">
        <v>52</v>
      </c>
      <c r="G39" s="82" t="s">
        <v>48</v>
      </c>
      <c r="H39" s="83">
        <f>305-13+99</f>
        <v>391</v>
      </c>
      <c r="I39" s="84"/>
      <c r="J39" s="85"/>
      <c r="K39" s="86">
        <f>289.01-23.52+68.54</f>
        <v>334.03000000000003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>
        <v>13</v>
      </c>
      <c r="I40" s="84"/>
      <c r="J40" s="85"/>
      <c r="K40" s="86">
        <v>23.52</v>
      </c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417</v>
      </c>
      <c r="I41" s="88"/>
      <c r="J41" s="89"/>
      <c r="K41" s="90">
        <f>+K39+K40*2</f>
        <v>381.07000000000005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5</v>
      </c>
      <c r="F42" s="455" t="s">
        <v>53</v>
      </c>
      <c r="G42" s="82" t="s">
        <v>48</v>
      </c>
      <c r="H42" s="83">
        <f>215-6</f>
        <v>209</v>
      </c>
      <c r="I42" s="84"/>
      <c r="J42" s="85"/>
      <c r="K42" s="86">
        <f>215.3-9.1</f>
        <v>206.20000000000002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>
        <v>6</v>
      </c>
      <c r="I43" s="84"/>
      <c r="J43" s="85"/>
      <c r="K43" s="86">
        <v>9.1</v>
      </c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221</v>
      </c>
      <c r="I44" s="88"/>
      <c r="J44" s="89"/>
      <c r="K44" s="90">
        <f>+K42+K43*2</f>
        <v>224.4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6</v>
      </c>
      <c r="F45" s="455" t="s">
        <v>55</v>
      </c>
      <c r="G45" s="82" t="s">
        <v>48</v>
      </c>
      <c r="H45" s="83">
        <v>436</v>
      </c>
      <c r="I45" s="84"/>
      <c r="J45" s="85"/>
      <c r="K45" s="86">
        <v>576.23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436</v>
      </c>
      <c r="I47" s="88"/>
      <c r="J47" s="89"/>
      <c r="K47" s="90">
        <f>+K45+K46*2</f>
        <v>576.23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7</v>
      </c>
      <c r="F48" s="455" t="s">
        <v>56</v>
      </c>
      <c r="G48" s="82" t="s">
        <v>48</v>
      </c>
      <c r="H48" s="83">
        <v>319</v>
      </c>
      <c r="I48" s="84"/>
      <c r="J48" s="85"/>
      <c r="K48" s="86">
        <v>372.23</v>
      </c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319</v>
      </c>
      <c r="I50" s="88"/>
      <c r="J50" s="89"/>
      <c r="K50" s="90">
        <f>+K48+K49*2</f>
        <v>372.23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8</v>
      </c>
      <c r="F51" s="455" t="s">
        <v>38</v>
      </c>
      <c r="G51" s="82" t="s">
        <v>48</v>
      </c>
      <c r="H51" s="83">
        <f>187-11</f>
        <v>176</v>
      </c>
      <c r="I51" s="84"/>
      <c r="J51" s="85"/>
      <c r="K51" s="86">
        <f>291.85-10.98</f>
        <v>280.87</v>
      </c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>
        <v>11</v>
      </c>
      <c r="I52" s="84"/>
      <c r="J52" s="85"/>
      <c r="K52" s="86">
        <v>10.98</v>
      </c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198</v>
      </c>
      <c r="I53" s="88"/>
      <c r="J53" s="89"/>
      <c r="K53" s="90">
        <f>+K51+K52*2</f>
        <v>302.83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3</v>
      </c>
      <c r="F56" s="455" t="s">
        <v>7</v>
      </c>
      <c r="G56" s="82" t="s">
        <v>48</v>
      </c>
      <c r="H56" s="83">
        <f>362-47</f>
        <v>315</v>
      </c>
      <c r="I56" s="84"/>
      <c r="J56" s="85"/>
      <c r="K56" s="86">
        <f>406.28-20.09</f>
        <v>386.19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>
        <v>47</v>
      </c>
      <c r="I57" s="84"/>
      <c r="J57" s="85"/>
      <c r="K57" s="86">
        <v>20.09</v>
      </c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409</v>
      </c>
      <c r="I58" s="88"/>
      <c r="J58" s="89"/>
      <c r="K58" s="90">
        <f>+K56+K57*2</f>
        <v>426.37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4</v>
      </c>
      <c r="F59" s="455" t="s">
        <v>52</v>
      </c>
      <c r="G59" s="82" t="s">
        <v>48</v>
      </c>
      <c r="H59" s="83">
        <f>507-11</f>
        <v>496</v>
      </c>
      <c r="I59" s="84"/>
      <c r="J59" s="85"/>
      <c r="K59" s="86">
        <f>585.95-7.73</f>
        <v>578.22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>
        <v>11</v>
      </c>
      <c r="I60" s="84"/>
      <c r="J60" s="85"/>
      <c r="K60" s="86">
        <v>7.73</v>
      </c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518</v>
      </c>
      <c r="I61" s="88"/>
      <c r="J61" s="89"/>
      <c r="K61" s="90">
        <f>+K59+K60*2</f>
        <v>593.68000000000006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5</v>
      </c>
      <c r="F62" s="455" t="s">
        <v>53</v>
      </c>
      <c r="G62" s="82" t="s">
        <v>48</v>
      </c>
      <c r="H62" s="83">
        <f>411+184</f>
        <v>595</v>
      </c>
      <c r="I62" s="84"/>
      <c r="J62" s="85"/>
      <c r="K62" s="86">
        <v>339.54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/>
      <c r="I63" s="84"/>
      <c r="J63" s="85"/>
      <c r="K63" s="86"/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595</v>
      </c>
      <c r="I64" s="88"/>
      <c r="J64" s="89"/>
      <c r="K64" s="90">
        <f>+K62+K63*2</f>
        <v>339.54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6</v>
      </c>
      <c r="F65" s="455" t="s">
        <v>55</v>
      </c>
      <c r="G65" s="82" t="s">
        <v>48</v>
      </c>
      <c r="H65" s="83">
        <f>624+173</f>
        <v>797</v>
      </c>
      <c r="I65" s="84"/>
      <c r="J65" s="85"/>
      <c r="K65" s="86">
        <f>447.1-2.34+80.09</f>
        <v>524.85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>
        <v>2</v>
      </c>
      <c r="I66" s="84"/>
      <c r="J66" s="85"/>
      <c r="K66" s="86">
        <v>2.34</v>
      </c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801</v>
      </c>
      <c r="I67" s="88"/>
      <c r="J67" s="89"/>
      <c r="K67" s="90">
        <f>+K65+K66*2</f>
        <v>529.53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7</v>
      </c>
      <c r="F68" s="455" t="s">
        <v>56</v>
      </c>
      <c r="G68" s="82" t="s">
        <v>48</v>
      </c>
      <c r="H68" s="83">
        <f>294+37</f>
        <v>331</v>
      </c>
      <c r="I68" s="84"/>
      <c r="J68" s="85"/>
      <c r="K68" s="86">
        <f>344.34+10.66</f>
        <v>355</v>
      </c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/>
      <c r="I69" s="84"/>
      <c r="J69" s="85"/>
      <c r="K69" s="86"/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331</v>
      </c>
      <c r="I70" s="88"/>
      <c r="J70" s="89"/>
      <c r="K70" s="90">
        <f>+K68+K69*2</f>
        <v>355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8</v>
      </c>
      <c r="F71" s="455" t="s">
        <v>38</v>
      </c>
      <c r="G71" s="82" t="s">
        <v>48</v>
      </c>
      <c r="H71" s="83">
        <v>450</v>
      </c>
      <c r="I71" s="84"/>
      <c r="J71" s="85"/>
      <c r="K71" s="86">
        <v>329.1</v>
      </c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450</v>
      </c>
      <c r="I73" s="88"/>
      <c r="J73" s="89"/>
      <c r="K73" s="90">
        <f>+K71+K72*2</f>
        <v>329.1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395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5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6">IF(F80=0,"휴무",AA80+AB80)</f>
        <v>#REF!</v>
      </c>
      <c r="AD80" s="103" t="e">
        <f t="shared" ref="AD80:AD85" si="27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401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401"/>
      <c r="AP80" s="401">
        <f>AO80-F80</f>
        <v>-10</v>
      </c>
    </row>
    <row r="81" spans="2:42" ht="98.25" customHeight="1" x14ac:dyDescent="0.3">
      <c r="B81" s="459"/>
      <c r="C81" s="92">
        <v>20</v>
      </c>
      <c r="D81" s="400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5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6"/>
        <v>#REF!</v>
      </c>
      <c r="AD81" s="108" t="e">
        <f t="shared" si="27"/>
        <v>#REF!</v>
      </c>
      <c r="AE81" s="109"/>
      <c r="AF81" s="37">
        <f>AG81-F81</f>
        <v>-10</v>
      </c>
      <c r="AG81" s="38">
        <f>AN81</f>
        <v>0</v>
      </c>
      <c r="AH81" s="401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401"/>
      <c r="AP81" s="401">
        <f>AO81-F81</f>
        <v>-10</v>
      </c>
    </row>
    <row r="82" spans="2:42" ht="98.25" customHeight="1" x14ac:dyDescent="0.3">
      <c r="B82" s="459"/>
      <c r="C82" s="92">
        <v>21</v>
      </c>
      <c r="D82" s="400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5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6"/>
        <v>#REF!</v>
      </c>
      <c r="AD82" s="108" t="e">
        <f t="shared" si="27"/>
        <v>#REF!</v>
      </c>
      <c r="AE82" s="109"/>
      <c r="AF82" s="37">
        <f>AG82-F82</f>
        <v>-10</v>
      </c>
      <c r="AG82" s="38">
        <f>AN82</f>
        <v>0</v>
      </c>
      <c r="AH82" s="401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401"/>
      <c r="AP82" s="401">
        <f>AO82-F82</f>
        <v>-10</v>
      </c>
    </row>
    <row r="83" spans="2:42" ht="98.25" customHeight="1" x14ac:dyDescent="0.3">
      <c r="B83" s="459"/>
      <c r="C83" s="92">
        <v>22</v>
      </c>
      <c r="D83" s="400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5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6"/>
        <v>#REF!</v>
      </c>
      <c r="AD83" s="110" t="e">
        <f t="shared" si="27"/>
        <v>#REF!</v>
      </c>
      <c r="AE83" s="104"/>
      <c r="AF83" s="37">
        <f>AG83-F83</f>
        <v>-10</v>
      </c>
      <c r="AG83" s="38">
        <f>AN83</f>
        <v>0</v>
      </c>
      <c r="AH83" s="401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401"/>
      <c r="AP83" s="401">
        <f>AO83-F83</f>
        <v>-10</v>
      </c>
    </row>
    <row r="84" spans="2:42" ht="98.25" customHeight="1" x14ac:dyDescent="0.3">
      <c r="B84" s="459"/>
      <c r="C84" s="92">
        <v>23</v>
      </c>
      <c r="D84" s="400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5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6"/>
        <v>#REF!</v>
      </c>
      <c r="AD84" s="110" t="e">
        <f t="shared" si="27"/>
        <v>#REF!</v>
      </c>
      <c r="AE84" s="104"/>
      <c r="AF84" s="37">
        <f>AG84-F84</f>
        <v>-10</v>
      </c>
      <c r="AG84" s="38">
        <f>AN84</f>
        <v>0</v>
      </c>
      <c r="AH84" s="401" t="s">
        <v>46</v>
      </c>
      <c r="AI84" s="39"/>
      <c r="AJ84" s="40" t="str">
        <f>IFERROR(Z84/W84*1000,"")</f>
        <v/>
      </c>
      <c r="AK84" s="401"/>
      <c r="AL84" s="41"/>
      <c r="AM84" s="41"/>
      <c r="AN84" s="41"/>
      <c r="AO84" s="401"/>
      <c r="AP84" s="401">
        <f>AO84-F84</f>
        <v>-10</v>
      </c>
    </row>
    <row r="85" spans="2:42" ht="98.25" customHeight="1" x14ac:dyDescent="0.3">
      <c r="B85" s="459"/>
      <c r="C85" s="92">
        <v>25</v>
      </c>
      <c r="D85" s="400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398"/>
      <c r="H85" s="398"/>
      <c r="I85" s="398"/>
      <c r="J85" s="398"/>
      <c r="K85" s="398"/>
      <c r="L85" s="398"/>
      <c r="M85" s="398"/>
      <c r="N85" s="398"/>
      <c r="O85" s="398"/>
      <c r="P85" s="398"/>
      <c r="Q85" s="398"/>
      <c r="R85" s="398"/>
      <c r="S85" s="398"/>
      <c r="T85" s="398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5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6"/>
        <v>휴무</v>
      </c>
      <c r="AD85" s="110" t="str">
        <f t="shared" si="27"/>
        <v>휴무</v>
      </c>
      <c r="AE85" s="104"/>
      <c r="AF85" s="37"/>
      <c r="AG85" s="38"/>
      <c r="AH85" s="401"/>
      <c r="AI85" s="39"/>
      <c r="AJ85" s="40"/>
      <c r="AK85" s="401"/>
      <c r="AL85" s="41"/>
      <c r="AM85" s="41"/>
      <c r="AN85" s="41"/>
      <c r="AO85" s="401"/>
      <c r="AP85" s="401"/>
    </row>
    <row r="86" spans="2:42" ht="36" customHeight="1" x14ac:dyDescent="0.3">
      <c r="B86" s="460" t="s">
        <v>39</v>
      </c>
      <c r="C86" s="461"/>
      <c r="D86" s="461"/>
      <c r="E86" s="462"/>
      <c r="F86" s="400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400"/>
      <c r="AB86" s="397"/>
      <c r="AC86" s="114"/>
      <c r="AD86" s="115"/>
      <c r="AE86" s="399"/>
      <c r="AF86" s="37">
        <f>AG86-F86</f>
        <v>-50</v>
      </c>
      <c r="AG86" s="38">
        <f>SUM(AG80:AG85)</f>
        <v>0</v>
      </c>
      <c r="AH86" s="401"/>
      <c r="AI86" s="401"/>
      <c r="AJ86" s="40"/>
      <c r="AK86" s="401"/>
      <c r="AL86" s="59"/>
      <c r="AM86" s="59"/>
      <c r="AN86" s="59"/>
      <c r="AO86" s="401"/>
      <c r="AP86" s="401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398"/>
      <c r="H87" s="398"/>
      <c r="I87" s="398"/>
      <c r="J87" s="398"/>
      <c r="K87" s="398"/>
      <c r="L87" s="398"/>
      <c r="M87" s="398"/>
      <c r="N87" s="398"/>
      <c r="O87" s="398"/>
      <c r="P87" s="398"/>
      <c r="Q87" s="398"/>
      <c r="R87" s="398"/>
      <c r="S87" s="398"/>
      <c r="T87" s="398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401"/>
      <c r="AE88" s="401"/>
      <c r="AF88" s="401"/>
      <c r="AG88" s="401"/>
      <c r="AH88" s="401"/>
      <c r="AI88" s="401"/>
      <c r="AJ88" s="401"/>
      <c r="AK88" s="401"/>
      <c r="AL88" s="59"/>
      <c r="AM88" s="59"/>
      <c r="AN88" s="59"/>
      <c r="AO88" s="401"/>
      <c r="AP88" s="401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400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400" t="s">
        <v>63</v>
      </c>
      <c r="D117" s="466" t="s">
        <v>12</v>
      </c>
      <c r="E117" s="466"/>
      <c r="F117" s="400" t="s">
        <v>64</v>
      </c>
      <c r="G117" s="400"/>
      <c r="H117" s="400"/>
      <c r="I117" s="400"/>
      <c r="J117" s="400"/>
      <c r="K117" s="400"/>
      <c r="L117" s="400"/>
      <c r="M117" s="400"/>
      <c r="N117" s="400"/>
      <c r="O117" s="400"/>
      <c r="P117" s="400"/>
      <c r="Q117" s="400"/>
      <c r="R117" s="400"/>
      <c r="S117" s="400"/>
      <c r="T117" s="400"/>
      <c r="U117" s="400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400"/>
      <c r="G118" s="400"/>
      <c r="H118" s="400"/>
      <c r="I118" s="400"/>
      <c r="J118" s="400"/>
      <c r="K118" s="400"/>
      <c r="L118" s="400"/>
      <c r="M118" s="400"/>
      <c r="N118" s="400"/>
      <c r="O118" s="400"/>
      <c r="P118" s="400"/>
      <c r="Q118" s="400"/>
      <c r="R118" s="400"/>
      <c r="S118" s="400"/>
      <c r="T118" s="400"/>
      <c r="U118" s="400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400"/>
      <c r="G119" s="400"/>
      <c r="H119" s="400"/>
      <c r="I119" s="400"/>
      <c r="J119" s="400"/>
      <c r="K119" s="400"/>
      <c r="L119" s="400"/>
      <c r="M119" s="400"/>
      <c r="N119" s="400"/>
      <c r="O119" s="400"/>
      <c r="P119" s="400"/>
      <c r="Q119" s="400"/>
      <c r="R119" s="400"/>
      <c r="S119" s="400"/>
      <c r="T119" s="400"/>
      <c r="U119" s="400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400"/>
      <c r="G120" s="400"/>
      <c r="H120" s="400"/>
      <c r="I120" s="400"/>
      <c r="J120" s="400"/>
      <c r="K120" s="400"/>
      <c r="L120" s="400"/>
      <c r="M120" s="400"/>
      <c r="N120" s="400"/>
      <c r="O120" s="400"/>
      <c r="P120" s="400"/>
      <c r="Q120" s="400"/>
      <c r="R120" s="400"/>
      <c r="S120" s="400"/>
      <c r="T120" s="400"/>
      <c r="U120" s="400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400"/>
      <c r="G121" s="400"/>
      <c r="H121" s="400"/>
      <c r="I121" s="400"/>
      <c r="J121" s="400"/>
      <c r="K121" s="400"/>
      <c r="L121" s="400"/>
      <c r="M121" s="400"/>
      <c r="N121" s="400"/>
      <c r="O121" s="400"/>
      <c r="P121" s="400"/>
      <c r="Q121" s="400"/>
      <c r="R121" s="400"/>
      <c r="S121" s="400"/>
      <c r="T121" s="400"/>
      <c r="U121" s="400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400"/>
      <c r="G122" s="400"/>
      <c r="H122" s="400"/>
      <c r="I122" s="400"/>
      <c r="J122" s="400"/>
      <c r="K122" s="400"/>
      <c r="L122" s="400"/>
      <c r="M122" s="400"/>
      <c r="N122" s="400"/>
      <c r="O122" s="400"/>
      <c r="P122" s="400"/>
      <c r="Q122" s="400"/>
      <c r="R122" s="400"/>
      <c r="S122" s="400"/>
      <c r="T122" s="400"/>
      <c r="U122" s="400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400"/>
      <c r="G123" s="400"/>
      <c r="H123" s="400"/>
      <c r="I123" s="400"/>
      <c r="J123" s="400"/>
      <c r="K123" s="400"/>
      <c r="L123" s="400"/>
      <c r="M123" s="400"/>
      <c r="N123" s="400"/>
      <c r="O123" s="400"/>
      <c r="P123" s="400"/>
      <c r="Q123" s="400"/>
      <c r="R123" s="400"/>
      <c r="S123" s="400"/>
      <c r="T123" s="400"/>
      <c r="U123" s="400"/>
      <c r="V123" s="117"/>
      <c r="W123" s="118"/>
      <c r="X123" s="116"/>
      <c r="Y123" s="117"/>
      <c r="Z123" s="116"/>
      <c r="AA123" s="116"/>
    </row>
    <row r="124" spans="3:27" x14ac:dyDescent="0.3">
      <c r="C124" s="400"/>
      <c r="D124" s="460"/>
      <c r="E124" s="462"/>
      <c r="F124" s="400"/>
      <c r="G124" s="400"/>
      <c r="H124" s="400"/>
      <c r="I124" s="400"/>
      <c r="J124" s="400"/>
      <c r="K124" s="400"/>
      <c r="L124" s="400"/>
      <c r="M124" s="400"/>
      <c r="N124" s="400"/>
      <c r="O124" s="400"/>
      <c r="P124" s="400"/>
      <c r="Q124" s="400"/>
      <c r="R124" s="400"/>
      <c r="S124" s="400"/>
      <c r="T124" s="400"/>
      <c r="U124" s="400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400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400" t="s">
        <v>63</v>
      </c>
      <c r="D127" s="466" t="s">
        <v>12</v>
      </c>
      <c r="E127" s="466"/>
      <c r="F127" s="400" t="s">
        <v>64</v>
      </c>
      <c r="G127" s="400"/>
      <c r="H127" s="400"/>
      <c r="I127" s="400"/>
      <c r="J127" s="400"/>
      <c r="K127" s="400"/>
      <c r="L127" s="400"/>
      <c r="M127" s="400"/>
      <c r="N127" s="400"/>
      <c r="O127" s="400"/>
      <c r="P127" s="400"/>
      <c r="Q127" s="400"/>
      <c r="R127" s="400"/>
      <c r="S127" s="400"/>
      <c r="T127" s="400"/>
      <c r="U127" s="400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400"/>
      <c r="G128" s="400"/>
      <c r="H128" s="400"/>
      <c r="I128" s="400"/>
      <c r="J128" s="400"/>
      <c r="K128" s="400"/>
      <c r="L128" s="400"/>
      <c r="M128" s="400"/>
      <c r="N128" s="400"/>
      <c r="O128" s="400"/>
      <c r="P128" s="400"/>
      <c r="Q128" s="400"/>
      <c r="R128" s="400"/>
      <c r="S128" s="400"/>
      <c r="T128" s="400"/>
      <c r="U128" s="400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400"/>
      <c r="G129" s="400"/>
      <c r="H129" s="400"/>
      <c r="I129" s="400"/>
      <c r="J129" s="400"/>
      <c r="K129" s="400"/>
      <c r="L129" s="400"/>
      <c r="M129" s="400"/>
      <c r="N129" s="400"/>
      <c r="O129" s="400"/>
      <c r="P129" s="400"/>
      <c r="Q129" s="400"/>
      <c r="R129" s="400"/>
      <c r="S129" s="400"/>
      <c r="T129" s="400"/>
      <c r="U129" s="400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400"/>
      <c r="G130" s="400"/>
      <c r="H130" s="400"/>
      <c r="I130" s="400"/>
      <c r="J130" s="400"/>
      <c r="K130" s="400"/>
      <c r="L130" s="400"/>
      <c r="M130" s="400"/>
      <c r="N130" s="400"/>
      <c r="O130" s="400"/>
      <c r="P130" s="400"/>
      <c r="Q130" s="400"/>
      <c r="R130" s="400"/>
      <c r="S130" s="400"/>
      <c r="T130" s="400"/>
      <c r="U130" s="400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400"/>
      <c r="G131" s="400"/>
      <c r="H131" s="400"/>
      <c r="I131" s="400"/>
      <c r="J131" s="400"/>
      <c r="K131" s="400"/>
      <c r="L131" s="400"/>
      <c r="M131" s="400"/>
      <c r="N131" s="400"/>
      <c r="O131" s="400"/>
      <c r="P131" s="400"/>
      <c r="Q131" s="400"/>
      <c r="R131" s="400"/>
      <c r="S131" s="400"/>
      <c r="T131" s="400"/>
      <c r="U131" s="400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400"/>
      <c r="G132" s="400"/>
      <c r="H132" s="400"/>
      <c r="I132" s="400"/>
      <c r="J132" s="400"/>
      <c r="K132" s="400"/>
      <c r="L132" s="400"/>
      <c r="M132" s="400"/>
      <c r="N132" s="400"/>
      <c r="O132" s="400"/>
      <c r="P132" s="400"/>
      <c r="Q132" s="400"/>
      <c r="R132" s="400"/>
      <c r="S132" s="400"/>
      <c r="T132" s="400"/>
      <c r="U132" s="400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400"/>
      <c r="G133" s="400"/>
      <c r="H133" s="400"/>
      <c r="I133" s="400"/>
      <c r="J133" s="400"/>
      <c r="K133" s="400"/>
      <c r="L133" s="400"/>
      <c r="M133" s="400"/>
      <c r="N133" s="400"/>
      <c r="O133" s="400"/>
      <c r="P133" s="400"/>
      <c r="Q133" s="400"/>
      <c r="R133" s="400"/>
      <c r="S133" s="400"/>
      <c r="T133" s="400"/>
      <c r="U133" s="400"/>
      <c r="V133" s="117"/>
      <c r="W133" s="118"/>
      <c r="X133" s="116"/>
      <c r="Y133" s="117"/>
      <c r="Z133" s="116"/>
      <c r="AA133" s="116"/>
    </row>
    <row r="134" spans="3:27" x14ac:dyDescent="0.3">
      <c r="C134" s="400"/>
      <c r="D134" s="460"/>
      <c r="E134" s="462"/>
      <c r="F134" s="400"/>
      <c r="G134" s="400"/>
      <c r="H134" s="400"/>
      <c r="I134" s="400"/>
      <c r="J134" s="400"/>
      <c r="K134" s="400"/>
      <c r="L134" s="400"/>
      <c r="M134" s="400"/>
      <c r="N134" s="400"/>
      <c r="O134" s="400"/>
      <c r="P134" s="400"/>
      <c r="Q134" s="400"/>
      <c r="R134" s="400"/>
      <c r="S134" s="400"/>
      <c r="T134" s="400"/>
      <c r="U134" s="400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400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400" t="s">
        <v>63</v>
      </c>
      <c r="D137" s="466" t="s">
        <v>12</v>
      </c>
      <c r="E137" s="466"/>
      <c r="F137" s="400" t="s">
        <v>64</v>
      </c>
      <c r="G137" s="400"/>
      <c r="H137" s="400"/>
      <c r="I137" s="400"/>
      <c r="J137" s="400"/>
      <c r="K137" s="400"/>
      <c r="L137" s="400"/>
      <c r="M137" s="400"/>
      <c r="N137" s="400"/>
      <c r="O137" s="400"/>
      <c r="P137" s="400"/>
      <c r="Q137" s="400"/>
      <c r="R137" s="400"/>
      <c r="S137" s="400"/>
      <c r="T137" s="400"/>
      <c r="U137" s="400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400"/>
      <c r="G138" s="400"/>
      <c r="H138" s="400"/>
      <c r="I138" s="400"/>
      <c r="J138" s="400"/>
      <c r="K138" s="400"/>
      <c r="L138" s="400"/>
      <c r="M138" s="400"/>
      <c r="N138" s="400"/>
      <c r="O138" s="400"/>
      <c r="P138" s="400"/>
      <c r="Q138" s="400"/>
      <c r="R138" s="400"/>
      <c r="S138" s="400"/>
      <c r="T138" s="400"/>
      <c r="U138" s="400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400"/>
      <c r="G139" s="400"/>
      <c r="H139" s="400"/>
      <c r="I139" s="400"/>
      <c r="J139" s="400"/>
      <c r="K139" s="400"/>
      <c r="L139" s="400"/>
      <c r="M139" s="400"/>
      <c r="N139" s="400"/>
      <c r="O139" s="400"/>
      <c r="P139" s="400"/>
      <c r="Q139" s="400"/>
      <c r="R139" s="400"/>
      <c r="S139" s="400"/>
      <c r="T139" s="400"/>
      <c r="U139" s="400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400"/>
      <c r="G140" s="400"/>
      <c r="H140" s="400"/>
      <c r="I140" s="400"/>
      <c r="J140" s="400"/>
      <c r="K140" s="400"/>
      <c r="L140" s="400"/>
      <c r="M140" s="400"/>
      <c r="N140" s="400"/>
      <c r="O140" s="400"/>
      <c r="P140" s="400"/>
      <c r="Q140" s="400"/>
      <c r="R140" s="400"/>
      <c r="S140" s="400"/>
      <c r="T140" s="400"/>
      <c r="U140" s="400"/>
    </row>
    <row r="141" spans="3:27" x14ac:dyDescent="0.3">
      <c r="C141" s="119">
        <v>45078</v>
      </c>
      <c r="D141" s="466"/>
      <c r="E141" s="466"/>
      <c r="F141" s="400"/>
      <c r="G141" s="400"/>
      <c r="H141" s="400"/>
      <c r="I141" s="400"/>
      <c r="J141" s="400"/>
      <c r="K141" s="400"/>
      <c r="L141" s="400"/>
      <c r="M141" s="400"/>
      <c r="N141" s="400"/>
      <c r="O141" s="400"/>
      <c r="P141" s="400"/>
      <c r="Q141" s="400"/>
      <c r="R141" s="400"/>
      <c r="S141" s="400"/>
      <c r="T141" s="400"/>
      <c r="U141" s="400"/>
    </row>
    <row r="142" spans="3:27" x14ac:dyDescent="0.3">
      <c r="C142" s="119">
        <v>45079</v>
      </c>
      <c r="D142" s="466"/>
      <c r="E142" s="466"/>
      <c r="F142" s="400"/>
      <c r="G142" s="400"/>
      <c r="H142" s="400"/>
      <c r="I142" s="400"/>
      <c r="J142" s="400"/>
      <c r="K142" s="400"/>
      <c r="L142" s="400"/>
      <c r="M142" s="400"/>
      <c r="N142" s="400"/>
      <c r="O142" s="400"/>
      <c r="P142" s="400"/>
      <c r="Q142" s="400"/>
      <c r="R142" s="400"/>
      <c r="S142" s="400"/>
      <c r="T142" s="400"/>
      <c r="U142" s="400"/>
    </row>
    <row r="143" spans="3:27" x14ac:dyDescent="0.3">
      <c r="C143" s="119">
        <v>45080</v>
      </c>
      <c r="D143" s="466"/>
      <c r="E143" s="466"/>
      <c r="F143" s="400"/>
      <c r="G143" s="400"/>
      <c r="H143" s="400"/>
      <c r="I143" s="400"/>
      <c r="J143" s="400"/>
      <c r="K143" s="400"/>
      <c r="L143" s="400"/>
      <c r="M143" s="400"/>
      <c r="N143" s="400"/>
      <c r="O143" s="400"/>
      <c r="P143" s="400"/>
      <c r="Q143" s="400"/>
      <c r="R143" s="400"/>
      <c r="S143" s="400"/>
      <c r="T143" s="400"/>
      <c r="U143" s="400"/>
    </row>
    <row r="144" spans="3:27" x14ac:dyDescent="0.3">
      <c r="C144" s="400"/>
      <c r="D144" s="460"/>
      <c r="E144" s="462"/>
      <c r="F144" s="400"/>
      <c r="G144" s="400"/>
      <c r="H144" s="400"/>
      <c r="I144" s="400"/>
      <c r="J144" s="400"/>
      <c r="K144" s="400"/>
      <c r="L144" s="400"/>
      <c r="M144" s="400"/>
      <c r="N144" s="400"/>
      <c r="O144" s="400"/>
      <c r="P144" s="400"/>
      <c r="Q144" s="400"/>
      <c r="R144" s="400"/>
      <c r="S144" s="400"/>
      <c r="T144" s="400"/>
      <c r="U144" s="400"/>
    </row>
  </sheetData>
  <mergeCells count="111">
    <mergeCell ref="AE5:AE6"/>
    <mergeCell ref="B7:B12"/>
    <mergeCell ref="B13:E13"/>
    <mergeCell ref="B2:AE2"/>
    <mergeCell ref="B5:C6"/>
    <mergeCell ref="D5:D6"/>
    <mergeCell ref="E5:E6"/>
    <mergeCell ref="F5:F6"/>
    <mergeCell ref="G5:G6"/>
    <mergeCell ref="H5:H6"/>
    <mergeCell ref="I5:S5"/>
    <mergeCell ref="T5:T6"/>
    <mergeCell ref="U5:W5"/>
    <mergeCell ref="B14:E14"/>
    <mergeCell ref="B21:B22"/>
    <mergeCell ref="C21:C22"/>
    <mergeCell ref="D21:D22"/>
    <mergeCell ref="E21:E22"/>
    <mergeCell ref="F21:F22"/>
    <mergeCell ref="X5:Z5"/>
    <mergeCell ref="AC5:AC6"/>
    <mergeCell ref="AD5:AD6"/>
    <mergeCell ref="AA21:AA22"/>
    <mergeCell ref="AB21:AB22"/>
    <mergeCell ref="AC21:AC22"/>
    <mergeCell ref="AD21:AD22"/>
    <mergeCell ref="AE21:AE22"/>
    <mergeCell ref="B23:B28"/>
    <mergeCell ref="G21:G22"/>
    <mergeCell ref="H21:H22"/>
    <mergeCell ref="I21:S21"/>
    <mergeCell ref="T21:T22"/>
    <mergeCell ref="U21:W21"/>
    <mergeCell ref="X21:Z21"/>
    <mergeCell ref="E42:E44"/>
    <mergeCell ref="F42:F44"/>
    <mergeCell ref="E45:E47"/>
    <mergeCell ref="F45:F47"/>
    <mergeCell ref="E48:E50"/>
    <mergeCell ref="F48:F50"/>
    <mergeCell ref="B29:E29"/>
    <mergeCell ref="B30:E30"/>
    <mergeCell ref="E36:E38"/>
    <mergeCell ref="F36:F38"/>
    <mergeCell ref="E39:E41"/>
    <mergeCell ref="F39:F41"/>
    <mergeCell ref="E62:E64"/>
    <mergeCell ref="F62:F64"/>
    <mergeCell ref="E65:E67"/>
    <mergeCell ref="F65:F67"/>
    <mergeCell ref="E68:E70"/>
    <mergeCell ref="F68:F70"/>
    <mergeCell ref="E51:E53"/>
    <mergeCell ref="F51:F53"/>
    <mergeCell ref="E56:E58"/>
    <mergeCell ref="F56:F58"/>
    <mergeCell ref="E59:E61"/>
    <mergeCell ref="F59:F61"/>
    <mergeCell ref="AC78:AC79"/>
    <mergeCell ref="AD78:AD79"/>
    <mergeCell ref="AE78:AE79"/>
    <mergeCell ref="B80:B85"/>
    <mergeCell ref="B86:E86"/>
    <mergeCell ref="B87:E87"/>
    <mergeCell ref="E71:E73"/>
    <mergeCell ref="F71:F73"/>
    <mergeCell ref="B76:AE76"/>
    <mergeCell ref="B78:B79"/>
    <mergeCell ref="C78:C79"/>
    <mergeCell ref="D78:D79"/>
    <mergeCell ref="E78:E79"/>
    <mergeCell ref="F78:F79"/>
    <mergeCell ref="U78:W78"/>
    <mergeCell ref="X78:Z78"/>
    <mergeCell ref="E101:E103"/>
    <mergeCell ref="F101:F103"/>
    <mergeCell ref="E104:E106"/>
    <mergeCell ref="F104:F106"/>
    <mergeCell ref="E107:E109"/>
    <mergeCell ref="F107:F109"/>
    <mergeCell ref="E92:E94"/>
    <mergeCell ref="F92:F94"/>
    <mergeCell ref="E95:E97"/>
    <mergeCell ref="F95:F97"/>
    <mergeCell ref="E98:E100"/>
    <mergeCell ref="F98:F100"/>
    <mergeCell ref="D122:E122"/>
    <mergeCell ref="D123:E123"/>
    <mergeCell ref="D124:E124"/>
    <mergeCell ref="D127:E127"/>
    <mergeCell ref="D128:E128"/>
    <mergeCell ref="D129:E129"/>
    <mergeCell ref="C114:U114"/>
    <mergeCell ref="D117:E117"/>
    <mergeCell ref="D118:E118"/>
    <mergeCell ref="D119:E119"/>
    <mergeCell ref="D120:E120"/>
    <mergeCell ref="D121:E121"/>
    <mergeCell ref="D144:E144"/>
    <mergeCell ref="D138:E138"/>
    <mergeCell ref="D139:E139"/>
    <mergeCell ref="D140:E140"/>
    <mergeCell ref="D141:E141"/>
    <mergeCell ref="D142:E142"/>
    <mergeCell ref="D143:E143"/>
    <mergeCell ref="D130:E130"/>
    <mergeCell ref="D131:E131"/>
    <mergeCell ref="D132:E132"/>
    <mergeCell ref="D133:E133"/>
    <mergeCell ref="D134:E134"/>
    <mergeCell ref="D137:E137"/>
  </mergeCells>
  <phoneticPr fontId="4" type="noConversion"/>
  <dataValidations count="3">
    <dataValidation type="list" allowBlank="1" showInputMessage="1" showErrorMessage="1" sqref="E8 E23:E24 E12 E28 E26 E10">
      <formula1>$U$7:$U$12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 E7 E11 E9 E25 E27">
      <formula1>$AH$7:$AH$12</formula1>
    </dataValidation>
  </dataValidations>
  <pageMargins left="0.62992125984251968" right="0.62992125984251968" top="0.94488188976377963" bottom="0.55118110236220474" header="0.31496062992125984" footer="0.31496062992125984"/>
  <pageSetup paperSize="9" scale="28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80" zoomScaleNormal="80" workbookViewId="0">
      <pane xSplit="4" ySplit="6" topLeftCell="E25" activePane="bottomRight" state="frozen"/>
      <selection pane="topRight" activeCell="D1" sqref="D1"/>
      <selection pane="bottomLeft" activeCell="A6" sqref="A6"/>
      <selection pane="bottomRight" activeCell="I27" sqref="I27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70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11.75" hidden="1" customWidth="1"/>
    <col min="44" max="44" width="3.25" customWidth="1"/>
  </cols>
  <sheetData>
    <row r="2" spans="2:52" ht="20.25" x14ac:dyDescent="0.3">
      <c r="B2" s="425" t="s">
        <v>305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390" t="s">
        <v>1</v>
      </c>
      <c r="AY2" s="390" t="s">
        <v>2</v>
      </c>
      <c r="AZ2" s="3" t="s">
        <v>3</v>
      </c>
    </row>
    <row r="3" spans="2:52" ht="45" customHeight="1" x14ac:dyDescent="0.3">
      <c r="B3" s="330" t="s">
        <v>4</v>
      </c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391" t="s">
        <v>68</v>
      </c>
      <c r="J6" s="18" t="s">
        <v>69</v>
      </c>
      <c r="K6" s="18" t="s">
        <v>71</v>
      </c>
      <c r="L6" s="18" t="s">
        <v>72</v>
      </c>
      <c r="M6" s="18" t="s">
        <v>75</v>
      </c>
      <c r="N6" s="18" t="s">
        <v>75</v>
      </c>
      <c r="O6" s="18" t="s">
        <v>75</v>
      </c>
      <c r="P6" s="18" t="s">
        <v>230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391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-49.680000000000007</v>
      </c>
    </row>
    <row r="7" spans="2:52" s="388" customFormat="1" ht="99" customHeight="1" thickTop="1" x14ac:dyDescent="0.3">
      <c r="B7" s="420">
        <v>7</v>
      </c>
      <c r="C7" s="24">
        <v>27</v>
      </c>
      <c r="D7" s="25" t="s">
        <v>7</v>
      </c>
      <c r="E7" s="26" t="s">
        <v>28</v>
      </c>
      <c r="F7" s="25">
        <v>11</v>
      </c>
      <c r="G7" s="128">
        <v>537</v>
      </c>
      <c r="H7" s="128">
        <f t="shared" ref="H7:H12" si="0">(G7/U7)*100</f>
        <v>96.409335727109507</v>
      </c>
      <c r="I7" s="123" t="s">
        <v>85</v>
      </c>
      <c r="J7" s="123" t="s">
        <v>86</v>
      </c>
      <c r="K7" s="123" t="s">
        <v>87</v>
      </c>
      <c r="L7" s="123"/>
      <c r="M7" s="129" t="s">
        <v>90</v>
      </c>
      <c r="N7" s="123" t="s">
        <v>74</v>
      </c>
      <c r="O7" s="123" t="s">
        <v>169</v>
      </c>
      <c r="P7" s="123" t="s">
        <v>231</v>
      </c>
      <c r="Q7" s="123" t="s">
        <v>91</v>
      </c>
      <c r="R7" s="123" t="s">
        <v>89</v>
      </c>
      <c r="S7" s="125">
        <f t="shared" ref="S7:S12" si="1">COUNTA(I7:L7)+COUNTA(M7:R7)/2</f>
        <v>6</v>
      </c>
      <c r="T7" s="27">
        <f t="shared" ref="T7:T12" si="2">F7*$D$4*$U$4</f>
        <v>726</v>
      </c>
      <c r="U7" s="28">
        <f>+H38</f>
        <v>557</v>
      </c>
      <c r="V7" s="29">
        <f t="shared" ref="V7:V12" si="3">IF(F7=0,"휴무",U7/F7)</f>
        <v>50.636363636363633</v>
      </c>
      <c r="W7" s="30">
        <f t="shared" ref="W7:W13" si="4">IFERROR(U7/T7,0)</f>
        <v>0.76721763085399453</v>
      </c>
      <c r="X7" s="31">
        <f>+K38</f>
        <v>471.18999999999994</v>
      </c>
      <c r="Y7" s="29">
        <f t="shared" ref="Y7:Y12" si="5">IF(F7=0,"휴무",X7/F7)</f>
        <v>42.835454545454539</v>
      </c>
      <c r="Z7" s="32">
        <f t="shared" ref="Z7:Z13" si="6">IFERROR(X7/T7,0)</f>
        <v>0.64902203856749308</v>
      </c>
      <c r="AA7" s="33">
        <f t="shared" ref="AA7:AA12" si="7">IF(F7=0,"휴무",U7/T7*$AA$4)</f>
        <v>38.36088154269973</v>
      </c>
      <c r="AB7" s="34">
        <f t="shared" ref="AB7:AB12" si="8">IF(F7=0,"휴무",X7/T7*$AB$4)</f>
        <v>35.33925</v>
      </c>
      <c r="AC7" s="383">
        <f t="shared" ref="AC7:AC13" si="9">IF(F7=0,"휴무",AA7+AB7)</f>
        <v>73.700131542699722</v>
      </c>
      <c r="AD7" s="159" t="str">
        <f t="shared" ref="AD7:AD13" si="10">IF(F7=0,"휴무",IF(AC7&gt;=100,"좋아요",IF(AC7&gt;=90,"90~99",IF(AC7&gt;=80,"80~89"," 사유?→"))))</f>
        <v xml:space="preserve"> 사유?→</v>
      </c>
      <c r="AE7" s="160" t="s">
        <v>306</v>
      </c>
      <c r="AF7" s="37">
        <f>AG7-F7</f>
        <v>-11</v>
      </c>
      <c r="AG7" s="38">
        <f>AN7</f>
        <v>0</v>
      </c>
      <c r="AH7" s="388" t="s">
        <v>29</v>
      </c>
      <c r="AI7" s="39"/>
      <c r="AJ7" s="40">
        <f>IFERROR(Z7/W7*1000,"")</f>
        <v>845.94254937163373</v>
      </c>
      <c r="AK7" s="39"/>
      <c r="AL7" s="41"/>
      <c r="AM7" s="41"/>
      <c r="AN7" s="41"/>
      <c r="AP7" s="388">
        <f t="shared" ref="AP7:AP12" si="11">AO7-F7</f>
        <v>-11</v>
      </c>
      <c r="AQ7" s="42"/>
    </row>
    <row r="8" spans="2:52" s="388" customFormat="1" ht="99.75" customHeight="1" x14ac:dyDescent="0.3">
      <c r="B8" s="421"/>
      <c r="C8" s="24">
        <f>+C7+1</f>
        <v>28</v>
      </c>
      <c r="D8" s="43" t="s">
        <v>30</v>
      </c>
      <c r="E8" s="26" t="s">
        <v>28</v>
      </c>
      <c r="F8" s="25">
        <v>11</v>
      </c>
      <c r="G8" s="125">
        <v>270</v>
      </c>
      <c r="H8" s="125">
        <f t="shared" si="0"/>
        <v>65.853658536585371</v>
      </c>
      <c r="I8" s="123" t="s">
        <v>85</v>
      </c>
      <c r="J8" s="123" t="s">
        <v>86</v>
      </c>
      <c r="K8" s="123" t="s">
        <v>87</v>
      </c>
      <c r="L8" s="123"/>
      <c r="M8" s="129" t="s">
        <v>90</v>
      </c>
      <c r="N8" s="123" t="s">
        <v>74</v>
      </c>
      <c r="O8" s="123" t="s">
        <v>169</v>
      </c>
      <c r="P8" s="123" t="s">
        <v>231</v>
      </c>
      <c r="Q8" s="123" t="s">
        <v>91</v>
      </c>
      <c r="R8" s="123" t="s">
        <v>89</v>
      </c>
      <c r="S8" s="125">
        <f t="shared" si="1"/>
        <v>6</v>
      </c>
      <c r="T8" s="27">
        <f t="shared" si="2"/>
        <v>726</v>
      </c>
      <c r="U8" s="28">
        <f>+H41</f>
        <v>410</v>
      </c>
      <c r="V8" s="44">
        <f t="shared" si="3"/>
        <v>37.272727272727273</v>
      </c>
      <c r="W8" s="45">
        <f t="shared" si="4"/>
        <v>0.56473829201101933</v>
      </c>
      <c r="X8" s="46">
        <f>+K41</f>
        <v>460.41999999999996</v>
      </c>
      <c r="Y8" s="29">
        <f t="shared" si="5"/>
        <v>41.856363636363632</v>
      </c>
      <c r="Z8" s="47">
        <f t="shared" si="6"/>
        <v>0.63418732782369136</v>
      </c>
      <c r="AA8" s="48">
        <f t="shared" si="7"/>
        <v>28.236914600550968</v>
      </c>
      <c r="AB8" s="49">
        <f t="shared" si="8"/>
        <v>34.531499999999994</v>
      </c>
      <c r="AC8" s="384">
        <f t="shared" si="9"/>
        <v>62.768414600550962</v>
      </c>
      <c r="AD8" s="161" t="str">
        <f t="shared" si="10"/>
        <v xml:space="preserve"> 사유?→</v>
      </c>
      <c r="AE8" s="160" t="s">
        <v>314</v>
      </c>
      <c r="AF8" s="37">
        <f>AG8-F8</f>
        <v>-11</v>
      </c>
      <c r="AG8" s="38">
        <f>AN8</f>
        <v>0</v>
      </c>
      <c r="AH8" s="388" t="s">
        <v>31</v>
      </c>
      <c r="AI8" s="39"/>
      <c r="AJ8" s="40">
        <f>IFERROR(Z8/W8*1000,"")</f>
        <v>1122.9756097560971</v>
      </c>
      <c r="AK8" s="39"/>
      <c r="AL8" s="41"/>
      <c r="AM8" s="41"/>
      <c r="AN8" s="41"/>
      <c r="AP8" s="388">
        <f t="shared" si="11"/>
        <v>-11</v>
      </c>
      <c r="AQ8" s="42"/>
    </row>
    <row r="9" spans="2:52" s="388" customFormat="1" ht="97.5" customHeight="1" x14ac:dyDescent="0.3">
      <c r="B9" s="421"/>
      <c r="C9" s="24">
        <f>+C8+1</f>
        <v>29</v>
      </c>
      <c r="D9" s="43" t="s">
        <v>32</v>
      </c>
      <c r="E9" s="26" t="s">
        <v>29</v>
      </c>
      <c r="F9" s="25">
        <f>8-0.66</f>
        <v>7.34</v>
      </c>
      <c r="G9" s="125">
        <v>344</v>
      </c>
      <c r="H9" s="125">
        <f t="shared" si="0"/>
        <v>97.450424929178467</v>
      </c>
      <c r="I9" s="123" t="s">
        <v>85</v>
      </c>
      <c r="J9" s="123" t="s">
        <v>86</v>
      </c>
      <c r="K9" s="123" t="s">
        <v>87</v>
      </c>
      <c r="L9" s="123"/>
      <c r="M9" s="129" t="s">
        <v>90</v>
      </c>
      <c r="N9" s="123" t="s">
        <v>74</v>
      </c>
      <c r="O9" s="123" t="s">
        <v>169</v>
      </c>
      <c r="P9" s="123" t="s">
        <v>231</v>
      </c>
      <c r="Q9" s="123" t="s">
        <v>91</v>
      </c>
      <c r="R9" s="123" t="s">
        <v>89</v>
      </c>
      <c r="S9" s="125">
        <f t="shared" si="1"/>
        <v>6</v>
      </c>
      <c r="T9" s="27">
        <f t="shared" si="2"/>
        <v>484.43999999999994</v>
      </c>
      <c r="U9" s="51">
        <f>+H44</f>
        <v>353</v>
      </c>
      <c r="V9" s="44">
        <f t="shared" si="3"/>
        <v>48.09264305177112</v>
      </c>
      <c r="W9" s="45">
        <f t="shared" si="4"/>
        <v>0.72867640987532001</v>
      </c>
      <c r="X9" s="46">
        <f>+K44</f>
        <v>327.22000000000003</v>
      </c>
      <c r="Y9" s="44">
        <f t="shared" si="5"/>
        <v>44.58038147138965</v>
      </c>
      <c r="Z9" s="47">
        <f t="shared" si="6"/>
        <v>0.67546032532408573</v>
      </c>
      <c r="AA9" s="48">
        <f t="shared" si="7"/>
        <v>36.433820493766</v>
      </c>
      <c r="AB9" s="49">
        <f t="shared" si="8"/>
        <v>36.778814713896473</v>
      </c>
      <c r="AC9" s="384">
        <f t="shared" si="9"/>
        <v>73.212635207662473</v>
      </c>
      <c r="AD9" s="161" t="str">
        <f t="shared" si="10"/>
        <v xml:space="preserve"> 사유?→</v>
      </c>
      <c r="AE9" s="160" t="s">
        <v>307</v>
      </c>
      <c r="AF9" s="37">
        <f>AG9-F9</f>
        <v>-7.34</v>
      </c>
      <c r="AG9" s="38">
        <f>AN9</f>
        <v>0</v>
      </c>
      <c r="AH9" s="388" t="s">
        <v>34</v>
      </c>
      <c r="AI9" s="39"/>
      <c r="AJ9" s="40">
        <f>IFERROR(Z9/W9*1000,"")</f>
        <v>926.96883852691235</v>
      </c>
      <c r="AK9" s="39"/>
      <c r="AL9" s="41"/>
      <c r="AM9" s="41"/>
      <c r="AN9" s="41"/>
      <c r="AP9" s="388">
        <f t="shared" si="11"/>
        <v>-7.34</v>
      </c>
      <c r="AQ9" s="42"/>
    </row>
    <row r="10" spans="2:52" s="388" customFormat="1" ht="95.25" customHeight="1" x14ac:dyDescent="0.3">
      <c r="B10" s="421"/>
      <c r="C10" s="24">
        <f>+C9+1</f>
        <v>30</v>
      </c>
      <c r="D10" s="43" t="s">
        <v>35</v>
      </c>
      <c r="E10" s="26" t="s">
        <v>29</v>
      </c>
      <c r="F10" s="25">
        <v>8</v>
      </c>
      <c r="G10" s="125">
        <v>280</v>
      </c>
      <c r="H10" s="125">
        <f t="shared" si="0"/>
        <v>99.644128113879006</v>
      </c>
      <c r="I10" s="123" t="s">
        <v>85</v>
      </c>
      <c r="J10" s="123" t="s">
        <v>86</v>
      </c>
      <c r="K10" s="123" t="s">
        <v>99</v>
      </c>
      <c r="L10" s="123"/>
      <c r="M10" s="129" t="s">
        <v>90</v>
      </c>
      <c r="N10" s="123" t="s">
        <v>74</v>
      </c>
      <c r="O10" s="123" t="s">
        <v>169</v>
      </c>
      <c r="P10" s="123" t="s">
        <v>231</v>
      </c>
      <c r="Q10" s="123" t="s">
        <v>91</v>
      </c>
      <c r="R10" s="123" t="s">
        <v>89</v>
      </c>
      <c r="S10" s="125">
        <f t="shared" si="1"/>
        <v>6</v>
      </c>
      <c r="T10" s="27">
        <f t="shared" si="2"/>
        <v>528</v>
      </c>
      <c r="U10" s="28">
        <f>+H47</f>
        <v>281</v>
      </c>
      <c r="V10" s="44">
        <f t="shared" si="3"/>
        <v>35.125</v>
      </c>
      <c r="W10" s="45">
        <f t="shared" si="4"/>
        <v>0.53219696969696972</v>
      </c>
      <c r="X10" s="46">
        <f>+K47</f>
        <v>497.24</v>
      </c>
      <c r="Y10" s="29">
        <f t="shared" si="5"/>
        <v>62.155000000000001</v>
      </c>
      <c r="Z10" s="47">
        <f t="shared" si="6"/>
        <v>0.94174242424242427</v>
      </c>
      <c r="AA10" s="48">
        <f t="shared" si="7"/>
        <v>26.609848484848484</v>
      </c>
      <c r="AB10" s="49">
        <f t="shared" si="8"/>
        <v>51.277875000000002</v>
      </c>
      <c r="AC10" s="384">
        <f t="shared" si="9"/>
        <v>77.887723484848493</v>
      </c>
      <c r="AD10" s="161" t="str">
        <f t="shared" si="10"/>
        <v xml:space="preserve"> 사유?→</v>
      </c>
      <c r="AE10" s="160" t="s">
        <v>308</v>
      </c>
      <c r="AF10" s="37">
        <f>AG10-F10</f>
        <v>-8</v>
      </c>
      <c r="AG10" s="38">
        <f>AN10</f>
        <v>0</v>
      </c>
      <c r="AH10" s="388" t="s">
        <v>36</v>
      </c>
      <c r="AI10" s="39"/>
      <c r="AJ10" s="40">
        <f>IFERROR(Z10/W10*1000,"")</f>
        <v>1769.5373665480427</v>
      </c>
      <c r="AK10" s="39"/>
      <c r="AL10" s="41"/>
      <c r="AM10" s="41"/>
      <c r="AN10" s="41"/>
      <c r="AP10" s="388">
        <f t="shared" si="11"/>
        <v>-8</v>
      </c>
      <c r="AQ10" s="42"/>
    </row>
    <row r="11" spans="2:52" s="388" customFormat="1" ht="102.75" customHeight="1" x14ac:dyDescent="0.3">
      <c r="B11" s="421"/>
      <c r="C11" s="24">
        <f>+C10+1</f>
        <v>31</v>
      </c>
      <c r="D11" s="43" t="s">
        <v>37</v>
      </c>
      <c r="E11" s="26" t="s">
        <v>29</v>
      </c>
      <c r="F11" s="25">
        <f>8-3.66</f>
        <v>4.34</v>
      </c>
      <c r="G11" s="125">
        <v>148</v>
      </c>
      <c r="H11" s="125">
        <f t="shared" si="0"/>
        <v>99.328859060402692</v>
      </c>
      <c r="I11" s="123" t="s">
        <v>85</v>
      </c>
      <c r="J11" s="123" t="s">
        <v>86</v>
      </c>
      <c r="K11" s="123" t="s">
        <v>99</v>
      </c>
      <c r="L11" s="123"/>
      <c r="M11" s="129" t="s">
        <v>90</v>
      </c>
      <c r="N11" s="123" t="s">
        <v>74</v>
      </c>
      <c r="O11" s="123"/>
      <c r="P11" s="123" t="s">
        <v>231</v>
      </c>
      <c r="Q11" s="123" t="s">
        <v>91</v>
      </c>
      <c r="R11" s="123" t="s">
        <v>89</v>
      </c>
      <c r="S11" s="125">
        <f t="shared" si="1"/>
        <v>5.5</v>
      </c>
      <c r="T11" s="27">
        <f t="shared" si="2"/>
        <v>286.44</v>
      </c>
      <c r="U11" s="28">
        <f>+H50</f>
        <v>149</v>
      </c>
      <c r="V11" s="44">
        <f t="shared" si="3"/>
        <v>34.331797235023039</v>
      </c>
      <c r="W11" s="45">
        <f t="shared" si="4"/>
        <v>0.52017874598519764</v>
      </c>
      <c r="X11" s="46">
        <f>+K50</f>
        <v>225.84</v>
      </c>
      <c r="Y11" s="44">
        <f t="shared" si="5"/>
        <v>52.036866359447004</v>
      </c>
      <c r="Z11" s="47">
        <f t="shared" si="6"/>
        <v>0.78843736908253037</v>
      </c>
      <c r="AA11" s="48">
        <f t="shared" si="7"/>
        <v>26.008937299259884</v>
      </c>
      <c r="AB11" s="49">
        <f t="shared" si="8"/>
        <v>42.930414746543782</v>
      </c>
      <c r="AC11" s="384">
        <f t="shared" si="9"/>
        <v>68.939352045803673</v>
      </c>
      <c r="AD11" s="161" t="str">
        <f t="shared" si="10"/>
        <v xml:space="preserve"> 사유?→</v>
      </c>
      <c r="AE11" s="160" t="s">
        <v>311</v>
      </c>
      <c r="AF11" s="37">
        <f>AG11-F11</f>
        <v>-4.34</v>
      </c>
      <c r="AG11" s="38">
        <f>AN11</f>
        <v>0</v>
      </c>
      <c r="AH11" s="388" t="s">
        <v>33</v>
      </c>
      <c r="AI11" s="39"/>
      <c r="AJ11" s="40">
        <f>IFERROR(Z11/W11*1000,"")</f>
        <v>1515.7046979865772</v>
      </c>
      <c r="AL11" s="41"/>
      <c r="AM11" s="41"/>
      <c r="AN11" s="41"/>
      <c r="AP11" s="388">
        <f t="shared" si="11"/>
        <v>-4.34</v>
      </c>
      <c r="AQ11" s="42"/>
    </row>
    <row r="12" spans="2:52" s="388" customFormat="1" ht="102.75" customHeight="1" x14ac:dyDescent="0.3">
      <c r="B12" s="421"/>
      <c r="C12" s="24">
        <v>1</v>
      </c>
      <c r="D12" s="43" t="s">
        <v>38</v>
      </c>
      <c r="E12" s="26" t="s">
        <v>36</v>
      </c>
      <c r="F12" s="25">
        <v>8</v>
      </c>
      <c r="G12" s="125">
        <v>209</v>
      </c>
      <c r="H12" s="125">
        <f t="shared" si="0"/>
        <v>72.569444444444443</v>
      </c>
      <c r="I12" s="123" t="s">
        <v>85</v>
      </c>
      <c r="J12" s="123" t="s">
        <v>86</v>
      </c>
      <c r="K12" s="123" t="s">
        <v>99</v>
      </c>
      <c r="L12" s="123"/>
      <c r="M12" s="123" t="s">
        <v>91</v>
      </c>
      <c r="N12" s="123"/>
      <c r="O12" s="123"/>
      <c r="P12" s="123" t="s">
        <v>231</v>
      </c>
      <c r="Q12" s="123"/>
      <c r="R12" s="123" t="s">
        <v>89</v>
      </c>
      <c r="S12" s="125">
        <f t="shared" si="1"/>
        <v>4.5</v>
      </c>
      <c r="T12" s="393">
        <f t="shared" si="2"/>
        <v>528</v>
      </c>
      <c r="U12" s="28">
        <f>+H53</f>
        <v>288</v>
      </c>
      <c r="V12" s="29">
        <f t="shared" si="3"/>
        <v>36</v>
      </c>
      <c r="W12" s="30">
        <f t="shared" si="4"/>
        <v>0.54545454545454541</v>
      </c>
      <c r="X12" s="31">
        <f>+K53</f>
        <v>404.24</v>
      </c>
      <c r="Y12" s="44">
        <f t="shared" si="5"/>
        <v>50.53</v>
      </c>
      <c r="Z12" s="47">
        <f t="shared" si="6"/>
        <v>0.76560606060606062</v>
      </c>
      <c r="AA12" s="48">
        <f t="shared" si="7"/>
        <v>27.27272727272727</v>
      </c>
      <c r="AB12" s="49">
        <f t="shared" si="8"/>
        <v>41.687250000000006</v>
      </c>
      <c r="AC12" s="384">
        <f t="shared" si="9"/>
        <v>68.959977272727272</v>
      </c>
      <c r="AD12" s="161" t="str">
        <f t="shared" si="10"/>
        <v xml:space="preserve"> 사유?→</v>
      </c>
      <c r="AE12" s="160" t="s">
        <v>315</v>
      </c>
      <c r="AF12" s="37"/>
      <c r="AG12" s="38"/>
      <c r="AI12" s="39"/>
      <c r="AJ12" s="40"/>
      <c r="AL12" s="41"/>
      <c r="AM12" s="41"/>
      <c r="AN12" s="41"/>
      <c r="AP12" s="388">
        <f t="shared" si="11"/>
        <v>-8</v>
      </c>
      <c r="AQ12" s="42"/>
    </row>
    <row r="13" spans="2:52" s="388" customFormat="1" ht="36" customHeight="1" x14ac:dyDescent="0.3">
      <c r="B13" s="422" t="s">
        <v>39</v>
      </c>
      <c r="C13" s="423"/>
      <c r="D13" s="423"/>
      <c r="E13" s="424"/>
      <c r="F13" s="43">
        <f>SUM(F7:F12)</f>
        <v>49.680000000000007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>COUNTA(I13:M13)+COUNTA(N13:R13)/2</f>
        <v>0</v>
      </c>
      <c r="T13" s="52">
        <f>SUM(T7:T12)</f>
        <v>3278.88</v>
      </c>
      <c r="U13" s="53">
        <f>SUM(U7:U12)</f>
        <v>2038</v>
      </c>
      <c r="V13" s="54">
        <f>U13/F13</f>
        <v>41.022544283413843</v>
      </c>
      <c r="W13" s="45">
        <f t="shared" si="4"/>
        <v>0.62155370126384613</v>
      </c>
      <c r="X13" s="55">
        <f>SUM(X7:X12)</f>
        <v>2386.1499999999996</v>
      </c>
      <c r="Y13" s="44">
        <f>X13/F13</f>
        <v>48.030394524959732</v>
      </c>
      <c r="Z13" s="47">
        <f t="shared" si="6"/>
        <v>0.72773325037817782</v>
      </c>
      <c r="AA13" s="56">
        <f>U13/T13*AA4</f>
        <v>31.077685063192305</v>
      </c>
      <c r="AB13" s="57">
        <f>X13/T13*AB4</f>
        <v>39.625075483091784</v>
      </c>
      <c r="AC13" s="385">
        <f t="shared" si="9"/>
        <v>70.702760546284082</v>
      </c>
      <c r="AD13" s="162" t="str">
        <f t="shared" si="10"/>
        <v xml:space="preserve"> 사유?→</v>
      </c>
      <c r="AE13" s="43"/>
      <c r="AF13" s="37">
        <f>AG13-F13</f>
        <v>-49.680000000000007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8.2800000000000011</v>
      </c>
      <c r="G14" s="392"/>
      <c r="H14" s="392"/>
      <c r="I14" s="392"/>
      <c r="J14" s="392"/>
      <c r="K14" s="392"/>
      <c r="L14" s="392"/>
      <c r="M14" s="392"/>
      <c r="N14" s="392"/>
      <c r="O14" s="392"/>
      <c r="P14" s="392"/>
      <c r="Q14" s="392"/>
      <c r="R14" s="392"/>
      <c r="S14" s="392"/>
      <c r="T14" s="392"/>
      <c r="U14" s="61">
        <f>V14*F14</f>
        <v>339.66666666666669</v>
      </c>
      <c r="V14" s="62">
        <f>U13/F13</f>
        <v>41.022544283413843</v>
      </c>
      <c r="W14" s="63">
        <f>IFERROR(U14/#REF!,0)</f>
        <v>0</v>
      </c>
      <c r="X14" s="64">
        <f>X13/F13*F14</f>
        <v>397.69166666666666</v>
      </c>
      <c r="Y14" s="62">
        <f>IF(F14=0,"휴무",X14/F14)</f>
        <v>48.030394524959732</v>
      </c>
      <c r="Z14" s="65">
        <f>IFERROR(X14/#REF!,0)</f>
        <v>0</v>
      </c>
      <c r="AA14" s="60">
        <f>AVERAGE(AA7:AA12)</f>
        <v>30.487188282308722</v>
      </c>
      <c r="AB14" s="60">
        <f>AVERAGE(AB7:AB12)</f>
        <v>40.42418407674004</v>
      </c>
      <c r="AC14" s="141">
        <f>AA14+AB14</f>
        <v>70.911372359048755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388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330" t="s">
        <v>44</v>
      </c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391" t="s">
        <v>68</v>
      </c>
      <c r="J22" s="18" t="s">
        <v>69</v>
      </c>
      <c r="K22" s="18" t="s">
        <v>71</v>
      </c>
      <c r="L22" s="18" t="s">
        <v>72</v>
      </c>
      <c r="M22" s="18" t="s">
        <v>75</v>
      </c>
      <c r="N22" s="18" t="s">
        <v>75</v>
      </c>
      <c r="O22" s="18" t="s">
        <v>75</v>
      </c>
      <c r="P22" s="18" t="s">
        <v>230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-60</v>
      </c>
    </row>
    <row r="23" spans="2:43" s="388" customFormat="1" ht="99" customHeight="1" thickTop="1" x14ac:dyDescent="0.3">
      <c r="B23" s="420">
        <f>+B7</f>
        <v>7</v>
      </c>
      <c r="C23" s="24">
        <f t="shared" ref="C23:C28" si="12">+C7</f>
        <v>27</v>
      </c>
      <c r="D23" s="25" t="s">
        <v>7</v>
      </c>
      <c r="E23" s="26" t="s">
        <v>28</v>
      </c>
      <c r="F23" s="25">
        <v>11</v>
      </c>
      <c r="G23" s="128">
        <v>601</v>
      </c>
      <c r="H23" s="128">
        <f t="shared" ref="H23:H28" si="13">(G23/U23)*100</f>
        <v>96.935483870967744</v>
      </c>
      <c r="I23" s="123" t="s">
        <v>78</v>
      </c>
      <c r="J23" s="123" t="s">
        <v>88</v>
      </c>
      <c r="K23" s="123" t="s">
        <v>84</v>
      </c>
      <c r="L23" s="123"/>
      <c r="M23" s="129" t="s">
        <v>90</v>
      </c>
      <c r="N23" s="123" t="s">
        <v>74</v>
      </c>
      <c r="O23" s="123" t="s">
        <v>169</v>
      </c>
      <c r="P23" s="123" t="s">
        <v>92</v>
      </c>
      <c r="Q23" s="123" t="s">
        <v>91</v>
      </c>
      <c r="R23" s="123" t="s">
        <v>89</v>
      </c>
      <c r="S23" s="124">
        <f t="shared" ref="S23:S28" si="14">COUNTA(I23:L23)+COUNTA(M23:R23)/2</f>
        <v>6</v>
      </c>
      <c r="T23" s="27">
        <f t="shared" ref="T23:T28" si="15">F23*$D$4*$U$4</f>
        <v>726</v>
      </c>
      <c r="U23" s="28">
        <f>+H58</f>
        <v>620</v>
      </c>
      <c r="V23" s="29">
        <f t="shared" ref="V23:V28" si="16">IF(F23=0,"휴무",U23/F23)</f>
        <v>56.363636363636367</v>
      </c>
      <c r="W23" s="30">
        <f t="shared" ref="W23:W29" si="17">IFERROR(U23/T23,0)</f>
        <v>0.85399449035812669</v>
      </c>
      <c r="X23" s="31">
        <f>+K58</f>
        <v>523.30000000000007</v>
      </c>
      <c r="Y23" s="29">
        <f t="shared" ref="Y23:Y28" si="18">IF(F23=0,"휴무",X23/F23)</f>
        <v>47.572727272727278</v>
      </c>
      <c r="Z23" s="32">
        <f t="shared" ref="Z23:Z29" si="19">IFERROR(X23/T23,0)</f>
        <v>0.72079889807162545</v>
      </c>
      <c r="AA23" s="33">
        <f t="shared" ref="AA23:AA28" si="20">IF(F23=0,"휴무",U23/T23*$AA$4)</f>
        <v>42.699724517906333</v>
      </c>
      <c r="AB23" s="34">
        <f t="shared" ref="AB23:AB28" si="21">IF(F23=0,"휴무",X23/T23*$AB$4)</f>
        <v>39.247500000000009</v>
      </c>
      <c r="AC23" s="383">
        <f t="shared" ref="AC23:AC29" si="22">IF(F23=0,"휴무",AA23+AB23)</f>
        <v>81.947224517906335</v>
      </c>
      <c r="AD23" s="35" t="str">
        <f t="shared" ref="AD23:AD29" si="23">IF(F23=0,"휴무",IF(AC23&gt;=100,"좋아요",IF(AC23&gt;=90,"90~99",IF(AC23&gt;=80,"80~89"," 사유?→"))))</f>
        <v>80~89</v>
      </c>
      <c r="AE23" s="36"/>
      <c r="AF23" s="37">
        <f>AG23-F23</f>
        <v>-11</v>
      </c>
      <c r="AG23" s="38">
        <f>AN23</f>
        <v>0</v>
      </c>
      <c r="AH23" s="388" t="s">
        <v>29</v>
      </c>
      <c r="AI23" s="39"/>
      <c r="AJ23" s="40">
        <f>IFERROR(Z23/W23*1000,"")</f>
        <v>844.03225806451633</v>
      </c>
      <c r="AK23" s="39"/>
      <c r="AL23" s="41"/>
      <c r="AM23" s="41"/>
      <c r="AN23" s="41"/>
      <c r="AP23" s="388">
        <f t="shared" ref="AP23:AP28" si="24">AO23-F23</f>
        <v>-11</v>
      </c>
      <c r="AQ23" s="42"/>
    </row>
    <row r="24" spans="2:43" s="388" customFormat="1" ht="99.75" customHeight="1" x14ac:dyDescent="0.3">
      <c r="B24" s="421"/>
      <c r="C24" s="24">
        <f t="shared" si="12"/>
        <v>28</v>
      </c>
      <c r="D24" s="43" t="s">
        <v>30</v>
      </c>
      <c r="E24" s="26" t="s">
        <v>28</v>
      </c>
      <c r="F24" s="25">
        <v>11</v>
      </c>
      <c r="G24" s="125">
        <v>663</v>
      </c>
      <c r="H24" s="125">
        <f t="shared" si="13"/>
        <v>99.699248120300751</v>
      </c>
      <c r="I24" s="123" t="s">
        <v>78</v>
      </c>
      <c r="J24" s="123" t="s">
        <v>88</v>
      </c>
      <c r="K24" s="123" t="s">
        <v>84</v>
      </c>
      <c r="L24" s="123"/>
      <c r="M24" s="129" t="s">
        <v>90</v>
      </c>
      <c r="N24" s="123" t="s">
        <v>74</v>
      </c>
      <c r="O24" s="123" t="s">
        <v>169</v>
      </c>
      <c r="P24" s="123" t="s">
        <v>92</v>
      </c>
      <c r="Q24" s="123" t="s">
        <v>91</v>
      </c>
      <c r="R24" s="123" t="s">
        <v>89</v>
      </c>
      <c r="S24" s="124">
        <f t="shared" si="14"/>
        <v>6</v>
      </c>
      <c r="T24" s="27">
        <f t="shared" si="15"/>
        <v>726</v>
      </c>
      <c r="U24" s="28">
        <f>+H61</f>
        <v>665</v>
      </c>
      <c r="V24" s="44">
        <f t="shared" si="16"/>
        <v>60.454545454545453</v>
      </c>
      <c r="W24" s="45">
        <f t="shared" si="17"/>
        <v>0.91597796143250687</v>
      </c>
      <c r="X24" s="46">
        <f>+K61</f>
        <v>486.50000000000006</v>
      </c>
      <c r="Y24" s="29">
        <f t="shared" si="18"/>
        <v>44.227272727272734</v>
      </c>
      <c r="Z24" s="47">
        <f t="shared" si="19"/>
        <v>0.67011019283746565</v>
      </c>
      <c r="AA24" s="48">
        <f t="shared" si="20"/>
        <v>45.798898071625345</v>
      </c>
      <c r="AB24" s="49">
        <f t="shared" si="21"/>
        <v>36.487500000000004</v>
      </c>
      <c r="AC24" s="384">
        <f t="shared" si="22"/>
        <v>82.286398071625342</v>
      </c>
      <c r="AD24" s="80" t="str">
        <f t="shared" si="23"/>
        <v>80~89</v>
      </c>
      <c r="AE24" s="36"/>
      <c r="AF24" s="37">
        <f>AG24-F24</f>
        <v>-11</v>
      </c>
      <c r="AG24" s="38">
        <f>AN24</f>
        <v>0</v>
      </c>
      <c r="AH24" s="388" t="s">
        <v>34</v>
      </c>
      <c r="AI24" s="39"/>
      <c r="AJ24" s="40">
        <f>IFERROR(Z24/W24*1000,"")</f>
        <v>731.57894736842115</v>
      </c>
      <c r="AK24" s="39"/>
      <c r="AL24" s="41"/>
      <c r="AM24" s="41"/>
      <c r="AN24" s="41"/>
      <c r="AP24" s="388">
        <f t="shared" si="24"/>
        <v>-11</v>
      </c>
      <c r="AQ24" s="42"/>
    </row>
    <row r="25" spans="2:43" s="388" customFormat="1" ht="97.5" customHeight="1" x14ac:dyDescent="0.3">
      <c r="B25" s="421"/>
      <c r="C25" s="24">
        <f t="shared" si="12"/>
        <v>29</v>
      </c>
      <c r="D25" s="43" t="s">
        <v>32</v>
      </c>
      <c r="E25" s="26" t="s">
        <v>28</v>
      </c>
      <c r="F25" s="25">
        <v>11</v>
      </c>
      <c r="G25" s="124">
        <v>589</v>
      </c>
      <c r="H25" s="124">
        <f t="shared" si="13"/>
        <v>99.325463743676224</v>
      </c>
      <c r="I25" s="123" t="s">
        <v>78</v>
      </c>
      <c r="J25" s="123" t="s">
        <v>88</v>
      </c>
      <c r="K25" s="123" t="s">
        <v>84</v>
      </c>
      <c r="L25" s="123"/>
      <c r="M25" s="129" t="s">
        <v>90</v>
      </c>
      <c r="N25" s="123" t="s">
        <v>74</v>
      </c>
      <c r="O25" s="123" t="s">
        <v>169</v>
      </c>
      <c r="P25" s="123" t="s">
        <v>92</v>
      </c>
      <c r="Q25" s="123" t="s">
        <v>91</v>
      </c>
      <c r="R25" s="123" t="s">
        <v>89</v>
      </c>
      <c r="S25" s="124">
        <f t="shared" si="14"/>
        <v>6</v>
      </c>
      <c r="T25" s="27">
        <f t="shared" si="15"/>
        <v>726</v>
      </c>
      <c r="U25" s="28">
        <f>+H64</f>
        <v>593</v>
      </c>
      <c r="V25" s="44">
        <f t="shared" si="16"/>
        <v>53.909090909090907</v>
      </c>
      <c r="W25" s="45">
        <f t="shared" si="17"/>
        <v>0.8168044077134986</v>
      </c>
      <c r="X25" s="46">
        <f>+K64</f>
        <v>502.78000000000003</v>
      </c>
      <c r="Y25" s="29">
        <f t="shared" si="18"/>
        <v>45.707272727272731</v>
      </c>
      <c r="Z25" s="47">
        <f t="shared" si="19"/>
        <v>0.69253443526170799</v>
      </c>
      <c r="AA25" s="48">
        <f t="shared" si="20"/>
        <v>40.840220385674932</v>
      </c>
      <c r="AB25" s="49">
        <f t="shared" si="21"/>
        <v>37.708500000000001</v>
      </c>
      <c r="AC25" s="384">
        <f t="shared" si="22"/>
        <v>78.548720385674926</v>
      </c>
      <c r="AD25" s="161" t="str">
        <f t="shared" si="23"/>
        <v xml:space="preserve"> 사유?→</v>
      </c>
      <c r="AE25" s="160" t="s">
        <v>310</v>
      </c>
      <c r="AF25" s="37">
        <f>AG25-F25</f>
        <v>-11</v>
      </c>
      <c r="AG25" s="38">
        <f>AN25</f>
        <v>0</v>
      </c>
      <c r="AH25" s="388" t="s">
        <v>36</v>
      </c>
      <c r="AI25" s="39"/>
      <c r="AJ25" s="40">
        <f>IFERROR(Z25/W25*1000,"")</f>
        <v>847.858347386172</v>
      </c>
      <c r="AK25" s="39"/>
      <c r="AL25" s="41"/>
      <c r="AM25" s="41"/>
      <c r="AN25" s="41"/>
      <c r="AP25" s="388">
        <f t="shared" si="24"/>
        <v>-11</v>
      </c>
      <c r="AQ25" s="42"/>
    </row>
    <row r="26" spans="2:43" s="388" customFormat="1" ht="115.5" customHeight="1" x14ac:dyDescent="0.3">
      <c r="B26" s="421"/>
      <c r="C26" s="24">
        <f t="shared" si="12"/>
        <v>30</v>
      </c>
      <c r="D26" s="43" t="s">
        <v>35</v>
      </c>
      <c r="E26" s="26" t="s">
        <v>28</v>
      </c>
      <c r="F26" s="25">
        <v>11</v>
      </c>
      <c r="G26" s="124">
        <v>387</v>
      </c>
      <c r="H26" s="124">
        <f t="shared" si="13"/>
        <v>77.555110220440881</v>
      </c>
      <c r="I26" s="123" t="s">
        <v>78</v>
      </c>
      <c r="J26" s="123" t="s">
        <v>88</v>
      </c>
      <c r="K26" s="123" t="s">
        <v>84</v>
      </c>
      <c r="L26" s="123"/>
      <c r="M26" s="129" t="s">
        <v>90</v>
      </c>
      <c r="N26" s="123" t="s">
        <v>74</v>
      </c>
      <c r="O26" s="123" t="s">
        <v>169</v>
      </c>
      <c r="P26" s="123" t="s">
        <v>92</v>
      </c>
      <c r="Q26" s="123" t="s">
        <v>91</v>
      </c>
      <c r="R26" s="123" t="s">
        <v>89</v>
      </c>
      <c r="S26" s="124">
        <f t="shared" si="14"/>
        <v>6</v>
      </c>
      <c r="T26" s="27">
        <f t="shared" si="15"/>
        <v>726</v>
      </c>
      <c r="U26" s="28">
        <f>+H67</f>
        <v>499</v>
      </c>
      <c r="V26" s="44">
        <f t="shared" si="16"/>
        <v>45.363636363636367</v>
      </c>
      <c r="W26" s="45">
        <f t="shared" si="17"/>
        <v>0.68732782369146006</v>
      </c>
      <c r="X26" s="46">
        <f>+K67</f>
        <v>309.85000000000002</v>
      </c>
      <c r="Y26" s="44">
        <f t="shared" si="18"/>
        <v>28.168181818181822</v>
      </c>
      <c r="Z26" s="47">
        <f t="shared" si="19"/>
        <v>0.42679063360881547</v>
      </c>
      <c r="AA26" s="48">
        <f t="shared" si="20"/>
        <v>34.366391184573004</v>
      </c>
      <c r="AB26" s="49">
        <f t="shared" si="21"/>
        <v>23.238750000000003</v>
      </c>
      <c r="AC26" s="384">
        <f t="shared" si="22"/>
        <v>57.605141184573007</v>
      </c>
      <c r="AD26" s="161" t="str">
        <f t="shared" si="23"/>
        <v xml:space="preserve"> 사유?→</v>
      </c>
      <c r="AE26" s="160" t="s">
        <v>309</v>
      </c>
      <c r="AF26" s="37">
        <f>AG26-F26</f>
        <v>-11</v>
      </c>
      <c r="AG26" s="38">
        <f>AN26</f>
        <v>0</v>
      </c>
      <c r="AH26" s="388" t="s">
        <v>33</v>
      </c>
      <c r="AI26" s="39"/>
      <c r="AJ26" s="40">
        <f>IFERROR(Z26/W26*1000,"")</f>
        <v>620.94188376753516</v>
      </c>
      <c r="AK26" s="39"/>
      <c r="AL26" s="41"/>
      <c r="AM26" s="41"/>
      <c r="AN26" s="41"/>
      <c r="AP26" s="388">
        <f t="shared" si="24"/>
        <v>-11</v>
      </c>
      <c r="AQ26" s="42"/>
    </row>
    <row r="27" spans="2:43" s="388" customFormat="1" ht="104.25" customHeight="1" x14ac:dyDescent="0.3">
      <c r="B27" s="421"/>
      <c r="C27" s="24">
        <f t="shared" si="12"/>
        <v>31</v>
      </c>
      <c r="D27" s="43" t="s">
        <v>37</v>
      </c>
      <c r="E27" s="26" t="s">
        <v>29</v>
      </c>
      <c r="F27" s="25">
        <v>8</v>
      </c>
      <c r="G27" s="125">
        <v>299</v>
      </c>
      <c r="H27" s="130">
        <f t="shared" si="13"/>
        <v>94.620253164556971</v>
      </c>
      <c r="I27" s="123" t="s">
        <v>78</v>
      </c>
      <c r="J27" s="123" t="s">
        <v>88</v>
      </c>
      <c r="K27" s="123" t="s">
        <v>84</v>
      </c>
      <c r="L27" s="123"/>
      <c r="M27" s="129" t="s">
        <v>90</v>
      </c>
      <c r="N27" s="123" t="s">
        <v>74</v>
      </c>
      <c r="O27" s="123"/>
      <c r="P27" s="123" t="s">
        <v>92</v>
      </c>
      <c r="Q27" s="123" t="s">
        <v>91</v>
      </c>
      <c r="R27" s="123" t="s">
        <v>89</v>
      </c>
      <c r="S27" s="125">
        <f t="shared" si="14"/>
        <v>5.5</v>
      </c>
      <c r="T27" s="27">
        <f t="shared" si="15"/>
        <v>528</v>
      </c>
      <c r="U27" s="28">
        <f>+H70</f>
        <v>316</v>
      </c>
      <c r="V27" s="44">
        <f t="shared" si="16"/>
        <v>39.5</v>
      </c>
      <c r="W27" s="45">
        <f t="shared" si="17"/>
        <v>0.59848484848484851</v>
      </c>
      <c r="X27" s="46">
        <f>+K70</f>
        <v>287.52999999999997</v>
      </c>
      <c r="Y27" s="44">
        <f t="shared" si="18"/>
        <v>35.941249999999997</v>
      </c>
      <c r="Z27" s="47">
        <f t="shared" si="19"/>
        <v>0.54456439393939393</v>
      </c>
      <c r="AA27" s="48">
        <f t="shared" si="20"/>
        <v>29.924242424242426</v>
      </c>
      <c r="AB27" s="49">
        <f t="shared" si="21"/>
        <v>29.651531250000001</v>
      </c>
      <c r="AC27" s="384">
        <f t="shared" si="22"/>
        <v>59.575773674242427</v>
      </c>
      <c r="AD27" s="161" t="str">
        <f t="shared" si="23"/>
        <v xml:space="preserve"> 사유?→</v>
      </c>
      <c r="AE27" s="160" t="s">
        <v>312</v>
      </c>
      <c r="AF27" s="37">
        <f>AG27-F27</f>
        <v>-8</v>
      </c>
      <c r="AG27" s="38">
        <f>AN27</f>
        <v>0</v>
      </c>
      <c r="AH27" s="388" t="s">
        <v>46</v>
      </c>
      <c r="AI27" s="39"/>
      <c r="AJ27" s="40">
        <f>IFERROR(Z27/W27*1000,"")</f>
        <v>909.90506329113919</v>
      </c>
      <c r="AL27" s="41"/>
      <c r="AM27" s="41"/>
      <c r="AN27" s="41"/>
      <c r="AP27" s="388">
        <f t="shared" si="24"/>
        <v>-8</v>
      </c>
      <c r="AQ27" s="42"/>
    </row>
    <row r="28" spans="2:43" s="388" customFormat="1" ht="104.25" customHeight="1" x14ac:dyDescent="0.3">
      <c r="B28" s="421"/>
      <c r="C28" s="24">
        <f t="shared" si="12"/>
        <v>1</v>
      </c>
      <c r="D28" s="43" t="s">
        <v>47</v>
      </c>
      <c r="E28" s="26" t="s">
        <v>36</v>
      </c>
      <c r="F28" s="25">
        <v>8</v>
      </c>
      <c r="G28" s="124">
        <v>249</v>
      </c>
      <c r="H28" s="124">
        <f t="shared" si="13"/>
        <v>88.612099644128122</v>
      </c>
      <c r="I28" s="123" t="s">
        <v>78</v>
      </c>
      <c r="J28" s="123" t="s">
        <v>88</v>
      </c>
      <c r="K28" s="123" t="s">
        <v>84</v>
      </c>
      <c r="L28" s="123"/>
      <c r="M28" s="123" t="s">
        <v>91</v>
      </c>
      <c r="N28" s="123"/>
      <c r="O28" s="123"/>
      <c r="P28" s="123" t="s">
        <v>92</v>
      </c>
      <c r="Q28" s="123"/>
      <c r="R28" s="123" t="s">
        <v>89</v>
      </c>
      <c r="S28" s="124">
        <f t="shared" si="14"/>
        <v>4.5</v>
      </c>
      <c r="T28" s="393">
        <f t="shared" si="15"/>
        <v>528</v>
      </c>
      <c r="U28" s="28">
        <f>+H73</f>
        <v>281</v>
      </c>
      <c r="V28" s="29">
        <f t="shared" si="16"/>
        <v>35.125</v>
      </c>
      <c r="W28" s="30">
        <f t="shared" si="17"/>
        <v>0.53219696969696972</v>
      </c>
      <c r="X28" s="31">
        <f>+K73</f>
        <v>331.93</v>
      </c>
      <c r="Y28" s="44">
        <f t="shared" si="18"/>
        <v>41.491250000000001</v>
      </c>
      <c r="Z28" s="47">
        <f t="shared" si="19"/>
        <v>0.62865530303030304</v>
      </c>
      <c r="AA28" s="48">
        <f t="shared" si="20"/>
        <v>26.609848484848484</v>
      </c>
      <c r="AB28" s="49">
        <f t="shared" si="21"/>
        <v>34.230281250000004</v>
      </c>
      <c r="AC28" s="384">
        <f t="shared" si="22"/>
        <v>60.840129734848489</v>
      </c>
      <c r="AD28" s="161" t="str">
        <f t="shared" si="23"/>
        <v xml:space="preserve"> 사유?→</v>
      </c>
      <c r="AE28" s="160" t="s">
        <v>313</v>
      </c>
      <c r="AF28" s="37"/>
      <c r="AG28" s="38"/>
      <c r="AI28" s="39"/>
      <c r="AJ28" s="40"/>
      <c r="AL28" s="41"/>
      <c r="AM28" s="41"/>
      <c r="AN28" s="41"/>
      <c r="AP28" s="388">
        <f t="shared" si="24"/>
        <v>-8</v>
      </c>
      <c r="AQ28" s="42"/>
    </row>
    <row r="29" spans="2:43" s="388" customFormat="1" ht="36" customHeight="1" x14ac:dyDescent="0.3">
      <c r="B29" s="422" t="s">
        <v>39</v>
      </c>
      <c r="C29" s="423"/>
      <c r="D29" s="423"/>
      <c r="E29" s="424"/>
      <c r="F29" s="43">
        <f>SUM(F23:F28)</f>
        <v>60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3960</v>
      </c>
      <c r="U29" s="53">
        <f>SUM(U23:U28)</f>
        <v>2974</v>
      </c>
      <c r="V29" s="54">
        <f>U29/F29</f>
        <v>49.56666666666667</v>
      </c>
      <c r="W29" s="45">
        <f t="shared" si="17"/>
        <v>0.75101010101010102</v>
      </c>
      <c r="X29" s="55">
        <f>SUM(X23:X28)</f>
        <v>2441.89</v>
      </c>
      <c r="Y29" s="44">
        <f>X29/F29</f>
        <v>40.698166666666665</v>
      </c>
      <c r="Z29" s="47">
        <f t="shared" si="19"/>
        <v>0.61663888888888885</v>
      </c>
      <c r="AA29" s="56">
        <f>U29/T29*AA20</f>
        <v>37.550505050505052</v>
      </c>
      <c r="AB29" s="57">
        <f>X29/T29*AB20</f>
        <v>33.575987499999997</v>
      </c>
      <c r="AC29" s="385">
        <f t="shared" si="22"/>
        <v>71.126492550505048</v>
      </c>
      <c r="AD29" s="162" t="str">
        <f t="shared" si="23"/>
        <v xml:space="preserve"> 사유?→</v>
      </c>
      <c r="AE29" s="43"/>
      <c r="AF29" s="37">
        <f>AG29-F29</f>
        <v>-60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10</v>
      </c>
      <c r="G30" s="392"/>
      <c r="H30" s="392"/>
      <c r="I30" s="392"/>
      <c r="J30" s="392"/>
      <c r="K30" s="392"/>
      <c r="L30" s="392"/>
      <c r="M30" s="392"/>
      <c r="N30" s="392"/>
      <c r="O30" s="392"/>
      <c r="P30" s="392"/>
      <c r="Q30" s="392"/>
      <c r="R30" s="392"/>
      <c r="S30" s="392"/>
      <c r="T30" s="392"/>
      <c r="U30" s="61">
        <f>V30*F30</f>
        <v>495.66666666666669</v>
      </c>
      <c r="V30" s="62">
        <f>U29/F29</f>
        <v>49.56666666666667</v>
      </c>
      <c r="W30" s="63">
        <f>IFERROR(U30/#REF!,0)</f>
        <v>0</v>
      </c>
      <c r="X30" s="64">
        <f>X29/F29*F30</f>
        <v>406.98166666666668</v>
      </c>
      <c r="Y30" s="62">
        <f>IF(F30=0,"휴무",X30/F30)</f>
        <v>40.698166666666665</v>
      </c>
      <c r="Z30" s="65">
        <f>IFERROR(X30/#REF!,0)</f>
        <v>0</v>
      </c>
      <c r="AA30" s="60">
        <f>AVERAGE(AA23:AA28)</f>
        <v>36.70655417814509</v>
      </c>
      <c r="AB30" s="60">
        <f>AVERAGE(AB23:AB28)</f>
        <v>33.427343750000006</v>
      </c>
      <c r="AC30" s="141">
        <f>AA30+AB30</f>
        <v>70.133897928145103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388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27</v>
      </c>
      <c r="F36" s="455" t="s">
        <v>7</v>
      </c>
      <c r="G36" s="82" t="s">
        <v>48</v>
      </c>
      <c r="H36" s="83">
        <f>537-20</f>
        <v>517</v>
      </c>
      <c r="I36" s="84"/>
      <c r="J36" s="85"/>
      <c r="K36" s="86">
        <f>462.59-8.6</f>
        <v>453.98999999999995</v>
      </c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>
        <v>20</v>
      </c>
      <c r="I37" s="84"/>
      <c r="J37" s="85"/>
      <c r="K37" s="86">
        <v>8.6</v>
      </c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557</v>
      </c>
      <c r="I38" s="88"/>
      <c r="J38" s="89"/>
      <c r="K38" s="90">
        <f>+K36+K37*2</f>
        <v>471.18999999999994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28</v>
      </c>
      <c r="F39" s="455" t="s">
        <v>52</v>
      </c>
      <c r="G39" s="82" t="s">
        <v>48</v>
      </c>
      <c r="H39" s="83">
        <v>212</v>
      </c>
      <c r="I39" s="84"/>
      <c r="J39" s="85"/>
      <c r="K39" s="86">
        <v>205.48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>
        <v>99</v>
      </c>
      <c r="I40" s="84"/>
      <c r="J40" s="85"/>
      <c r="K40" s="86">
        <v>127.47</v>
      </c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410</v>
      </c>
      <c r="I41" s="88"/>
      <c r="J41" s="89"/>
      <c r="K41" s="90">
        <f>+K39+K40*2</f>
        <v>460.41999999999996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29</v>
      </c>
      <c r="F42" s="455" t="s">
        <v>53</v>
      </c>
      <c r="G42" s="82" t="s">
        <v>48</v>
      </c>
      <c r="H42" s="83">
        <f>351-2</f>
        <v>349</v>
      </c>
      <c r="I42" s="84"/>
      <c r="J42" s="85"/>
      <c r="K42" s="86">
        <f>322.95-4.27</f>
        <v>318.68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>
        <v>2</v>
      </c>
      <c r="I43" s="84"/>
      <c r="J43" s="85"/>
      <c r="K43" s="86">
        <v>4.2699999999999996</v>
      </c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353</v>
      </c>
      <c r="I44" s="88"/>
      <c r="J44" s="89"/>
      <c r="K44" s="90">
        <f>+K42+K43*2</f>
        <v>327.22000000000003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30</v>
      </c>
      <c r="F45" s="455" t="s">
        <v>55</v>
      </c>
      <c r="G45" s="82" t="s">
        <v>48</v>
      </c>
      <c r="H45" s="83">
        <v>281</v>
      </c>
      <c r="I45" s="84"/>
      <c r="J45" s="85"/>
      <c r="K45" s="86">
        <v>497.24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281</v>
      </c>
      <c r="I47" s="88"/>
      <c r="J47" s="89"/>
      <c r="K47" s="90">
        <f>+K45+K46*2</f>
        <v>497.24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31</v>
      </c>
      <c r="F48" s="455" t="s">
        <v>56</v>
      </c>
      <c r="G48" s="82" t="s">
        <v>48</v>
      </c>
      <c r="H48" s="83">
        <v>149</v>
      </c>
      <c r="I48" s="84"/>
      <c r="J48" s="85"/>
      <c r="K48" s="86">
        <v>225.84</v>
      </c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149</v>
      </c>
      <c r="I50" s="88"/>
      <c r="J50" s="89"/>
      <c r="K50" s="90">
        <f>+K48+K49*2</f>
        <v>225.84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1</v>
      </c>
      <c r="F51" s="455" t="s">
        <v>38</v>
      </c>
      <c r="G51" s="82" t="s">
        <v>48</v>
      </c>
      <c r="H51" s="83">
        <v>146</v>
      </c>
      <c r="I51" s="84"/>
      <c r="J51" s="85"/>
      <c r="K51" s="86">
        <v>190.74</v>
      </c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>
        <v>71</v>
      </c>
      <c r="I52" s="84"/>
      <c r="J52" s="85"/>
      <c r="K52" s="86">
        <v>106.75</v>
      </c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288</v>
      </c>
      <c r="I53" s="88"/>
      <c r="J53" s="89"/>
      <c r="K53" s="90">
        <f>+K51+K52*2</f>
        <v>404.24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27</v>
      </c>
      <c r="F56" s="455" t="s">
        <v>7</v>
      </c>
      <c r="G56" s="82" t="s">
        <v>48</v>
      </c>
      <c r="H56" s="83">
        <f>601-19</f>
        <v>582</v>
      </c>
      <c r="I56" s="84"/>
      <c r="J56" s="85"/>
      <c r="K56" s="86">
        <f>516.96-6.34</f>
        <v>510.62000000000006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>
        <v>19</v>
      </c>
      <c r="I57" s="84"/>
      <c r="J57" s="85"/>
      <c r="K57" s="86">
        <v>6.34</v>
      </c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620</v>
      </c>
      <c r="I58" s="88"/>
      <c r="J58" s="89"/>
      <c r="K58" s="90">
        <f>+K56+K57*2</f>
        <v>523.30000000000007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28</v>
      </c>
      <c r="F59" s="455" t="s">
        <v>52</v>
      </c>
      <c r="G59" s="82" t="s">
        <v>48</v>
      </c>
      <c r="H59" s="83">
        <v>663</v>
      </c>
      <c r="I59" s="84"/>
      <c r="J59" s="85"/>
      <c r="K59" s="86">
        <f>486.22-0.28</f>
        <v>485.94000000000005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>
        <v>1</v>
      </c>
      <c r="I60" s="84"/>
      <c r="J60" s="85"/>
      <c r="K60" s="86">
        <v>0.28000000000000003</v>
      </c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665</v>
      </c>
      <c r="I61" s="88"/>
      <c r="J61" s="89"/>
      <c r="K61" s="90">
        <f>+K59+K60*2</f>
        <v>486.50000000000006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29</v>
      </c>
      <c r="F62" s="455" t="s">
        <v>53</v>
      </c>
      <c r="G62" s="82" t="s">
        <v>48</v>
      </c>
      <c r="H62" s="83">
        <v>587</v>
      </c>
      <c r="I62" s="84"/>
      <c r="J62" s="85"/>
      <c r="K62" s="86">
        <f>501.94-0.84</f>
        <v>501.1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>
        <v>3</v>
      </c>
      <c r="I63" s="84"/>
      <c r="J63" s="85"/>
      <c r="K63" s="86">
        <v>0.84</v>
      </c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593</v>
      </c>
      <c r="I64" s="88"/>
      <c r="J64" s="89"/>
      <c r="K64" s="90">
        <f>+K62+K63*2</f>
        <v>502.78000000000003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30</v>
      </c>
      <c r="F65" s="455" t="s">
        <v>55</v>
      </c>
      <c r="G65" s="82" t="s">
        <v>48</v>
      </c>
      <c r="H65" s="83">
        <f>391-108</f>
        <v>283</v>
      </c>
      <c r="I65" s="84"/>
      <c r="J65" s="85"/>
      <c r="K65" s="86">
        <f>229.42-80.43</f>
        <v>148.98999999999998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>
        <v>108</v>
      </c>
      <c r="I66" s="84"/>
      <c r="J66" s="85"/>
      <c r="K66" s="86">
        <v>80.430000000000007</v>
      </c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499</v>
      </c>
      <c r="I67" s="88"/>
      <c r="J67" s="89"/>
      <c r="K67" s="90">
        <f>+K65+K66*2</f>
        <v>309.85000000000002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31</v>
      </c>
      <c r="F68" s="455" t="s">
        <v>56</v>
      </c>
      <c r="G68" s="82" t="s">
        <v>48</v>
      </c>
      <c r="H68" s="83">
        <f>300-16</f>
        <v>284</v>
      </c>
      <c r="I68" s="84"/>
      <c r="J68" s="85"/>
      <c r="K68" s="86">
        <f>264.81-22.72</f>
        <v>242.09</v>
      </c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>
        <v>16</v>
      </c>
      <c r="I69" s="84"/>
      <c r="J69" s="85"/>
      <c r="K69" s="86">
        <v>22.72</v>
      </c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316</v>
      </c>
      <c r="I70" s="88"/>
      <c r="J70" s="89"/>
      <c r="K70" s="90">
        <f>+K68+K69*2</f>
        <v>287.52999999999997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1</v>
      </c>
      <c r="F71" s="455" t="s">
        <v>38</v>
      </c>
      <c r="G71" s="82" t="s">
        <v>48</v>
      </c>
      <c r="H71" s="83">
        <v>235</v>
      </c>
      <c r="I71" s="84"/>
      <c r="J71" s="85"/>
      <c r="K71" s="86">
        <v>293.75</v>
      </c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>
        <v>23</v>
      </c>
      <c r="I72" s="84"/>
      <c r="J72" s="85"/>
      <c r="K72" s="86">
        <v>19.09</v>
      </c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281</v>
      </c>
      <c r="I73" s="88"/>
      <c r="J73" s="89"/>
      <c r="K73" s="90">
        <f>+K71+K72*2</f>
        <v>331.93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391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5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6">IF(F80=0,"휴무",AA80+AB80)</f>
        <v>#REF!</v>
      </c>
      <c r="AD80" s="103" t="e">
        <f t="shared" ref="AD80:AD85" si="27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388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388"/>
      <c r="AP80" s="388">
        <f>AO80-F80</f>
        <v>-10</v>
      </c>
    </row>
    <row r="81" spans="2:42" ht="98.25" customHeight="1" x14ac:dyDescent="0.3">
      <c r="B81" s="459"/>
      <c r="C81" s="92">
        <v>20</v>
      </c>
      <c r="D81" s="387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5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6"/>
        <v>#REF!</v>
      </c>
      <c r="AD81" s="108" t="e">
        <f t="shared" si="27"/>
        <v>#REF!</v>
      </c>
      <c r="AE81" s="109"/>
      <c r="AF81" s="37">
        <f>AG81-F81</f>
        <v>-10</v>
      </c>
      <c r="AG81" s="38">
        <f>AN81</f>
        <v>0</v>
      </c>
      <c r="AH81" s="388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388"/>
      <c r="AP81" s="388">
        <f>AO81-F81</f>
        <v>-10</v>
      </c>
    </row>
    <row r="82" spans="2:42" ht="98.25" customHeight="1" x14ac:dyDescent="0.3">
      <c r="B82" s="459"/>
      <c r="C82" s="92">
        <v>21</v>
      </c>
      <c r="D82" s="387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5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6"/>
        <v>#REF!</v>
      </c>
      <c r="AD82" s="108" t="e">
        <f t="shared" si="27"/>
        <v>#REF!</v>
      </c>
      <c r="AE82" s="109"/>
      <c r="AF82" s="37">
        <f>AG82-F82</f>
        <v>-10</v>
      </c>
      <c r="AG82" s="38">
        <f>AN82</f>
        <v>0</v>
      </c>
      <c r="AH82" s="388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388"/>
      <c r="AP82" s="388">
        <f>AO82-F82</f>
        <v>-10</v>
      </c>
    </row>
    <row r="83" spans="2:42" ht="98.25" customHeight="1" x14ac:dyDescent="0.3">
      <c r="B83" s="459"/>
      <c r="C83" s="92">
        <v>22</v>
      </c>
      <c r="D83" s="387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5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6"/>
        <v>#REF!</v>
      </c>
      <c r="AD83" s="110" t="e">
        <f t="shared" si="27"/>
        <v>#REF!</v>
      </c>
      <c r="AE83" s="104"/>
      <c r="AF83" s="37">
        <f>AG83-F83</f>
        <v>-10</v>
      </c>
      <c r="AG83" s="38">
        <f>AN83</f>
        <v>0</v>
      </c>
      <c r="AH83" s="388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388"/>
      <c r="AP83" s="388">
        <f>AO83-F83</f>
        <v>-10</v>
      </c>
    </row>
    <row r="84" spans="2:42" ht="98.25" customHeight="1" x14ac:dyDescent="0.3">
      <c r="B84" s="459"/>
      <c r="C84" s="92">
        <v>23</v>
      </c>
      <c r="D84" s="387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5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6"/>
        <v>#REF!</v>
      </c>
      <c r="AD84" s="110" t="e">
        <f t="shared" si="27"/>
        <v>#REF!</v>
      </c>
      <c r="AE84" s="104"/>
      <c r="AF84" s="37">
        <f>AG84-F84</f>
        <v>-10</v>
      </c>
      <c r="AG84" s="38">
        <f>AN84</f>
        <v>0</v>
      </c>
      <c r="AH84" s="388" t="s">
        <v>46</v>
      </c>
      <c r="AI84" s="39"/>
      <c r="AJ84" s="40" t="str">
        <f>IFERROR(Z84/W84*1000,"")</f>
        <v/>
      </c>
      <c r="AK84" s="388"/>
      <c r="AL84" s="41"/>
      <c r="AM84" s="41"/>
      <c r="AN84" s="41"/>
      <c r="AO84" s="388"/>
      <c r="AP84" s="388">
        <f>AO84-F84</f>
        <v>-10</v>
      </c>
    </row>
    <row r="85" spans="2:42" ht="98.25" customHeight="1" x14ac:dyDescent="0.3">
      <c r="B85" s="459"/>
      <c r="C85" s="92">
        <v>25</v>
      </c>
      <c r="D85" s="387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392"/>
      <c r="H85" s="392"/>
      <c r="I85" s="392"/>
      <c r="J85" s="392"/>
      <c r="K85" s="392"/>
      <c r="L85" s="392"/>
      <c r="M85" s="392"/>
      <c r="N85" s="392"/>
      <c r="O85" s="392"/>
      <c r="P85" s="392"/>
      <c r="Q85" s="392"/>
      <c r="R85" s="392"/>
      <c r="S85" s="392"/>
      <c r="T85" s="392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5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6"/>
        <v>휴무</v>
      </c>
      <c r="AD85" s="110" t="str">
        <f t="shared" si="27"/>
        <v>휴무</v>
      </c>
      <c r="AE85" s="104"/>
      <c r="AF85" s="37"/>
      <c r="AG85" s="38"/>
      <c r="AH85" s="388"/>
      <c r="AI85" s="39"/>
      <c r="AJ85" s="40"/>
      <c r="AK85" s="388"/>
      <c r="AL85" s="41"/>
      <c r="AM85" s="41"/>
      <c r="AN85" s="41"/>
      <c r="AO85" s="388"/>
      <c r="AP85" s="388"/>
    </row>
    <row r="86" spans="2:42" ht="36" customHeight="1" x14ac:dyDescent="0.3">
      <c r="B86" s="460" t="s">
        <v>39</v>
      </c>
      <c r="C86" s="461"/>
      <c r="D86" s="461"/>
      <c r="E86" s="462"/>
      <c r="F86" s="387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387"/>
      <c r="AB86" s="386"/>
      <c r="AC86" s="114"/>
      <c r="AD86" s="115"/>
      <c r="AE86" s="389"/>
      <c r="AF86" s="37">
        <f>AG86-F86</f>
        <v>-50</v>
      </c>
      <c r="AG86" s="38">
        <f>SUM(AG80:AG85)</f>
        <v>0</v>
      </c>
      <c r="AH86" s="388"/>
      <c r="AI86" s="388"/>
      <c r="AJ86" s="40"/>
      <c r="AK86" s="388"/>
      <c r="AL86" s="59"/>
      <c r="AM86" s="59"/>
      <c r="AN86" s="59"/>
      <c r="AO86" s="388"/>
      <c r="AP86" s="388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392"/>
      <c r="H87" s="392"/>
      <c r="I87" s="392"/>
      <c r="J87" s="392"/>
      <c r="K87" s="392"/>
      <c r="L87" s="392"/>
      <c r="M87" s="392"/>
      <c r="N87" s="392"/>
      <c r="O87" s="392"/>
      <c r="P87" s="392"/>
      <c r="Q87" s="392"/>
      <c r="R87" s="392"/>
      <c r="S87" s="392"/>
      <c r="T87" s="392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388"/>
      <c r="AE88" s="388"/>
      <c r="AF88" s="388"/>
      <c r="AG88" s="388"/>
      <c r="AH88" s="388"/>
      <c r="AI88" s="388"/>
      <c r="AJ88" s="388"/>
      <c r="AK88" s="388"/>
      <c r="AL88" s="59"/>
      <c r="AM88" s="59"/>
      <c r="AN88" s="59"/>
      <c r="AO88" s="388"/>
      <c r="AP88" s="388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387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387" t="s">
        <v>63</v>
      </c>
      <c r="D117" s="466" t="s">
        <v>12</v>
      </c>
      <c r="E117" s="466"/>
      <c r="F117" s="387" t="s">
        <v>64</v>
      </c>
      <c r="G117" s="387"/>
      <c r="H117" s="387"/>
      <c r="I117" s="387"/>
      <c r="J117" s="387"/>
      <c r="K117" s="387"/>
      <c r="L117" s="387"/>
      <c r="M117" s="387"/>
      <c r="N117" s="387"/>
      <c r="O117" s="387"/>
      <c r="P117" s="387"/>
      <c r="Q117" s="387"/>
      <c r="R117" s="387"/>
      <c r="S117" s="387"/>
      <c r="T117" s="387"/>
      <c r="U117" s="387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387"/>
      <c r="G118" s="387"/>
      <c r="H118" s="387"/>
      <c r="I118" s="387"/>
      <c r="J118" s="387"/>
      <c r="K118" s="387"/>
      <c r="L118" s="387"/>
      <c r="M118" s="387"/>
      <c r="N118" s="387"/>
      <c r="O118" s="387"/>
      <c r="P118" s="387"/>
      <c r="Q118" s="387"/>
      <c r="R118" s="387"/>
      <c r="S118" s="387"/>
      <c r="T118" s="387"/>
      <c r="U118" s="387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387"/>
      <c r="G119" s="387"/>
      <c r="H119" s="387"/>
      <c r="I119" s="387"/>
      <c r="J119" s="387"/>
      <c r="K119" s="387"/>
      <c r="L119" s="387"/>
      <c r="M119" s="387"/>
      <c r="N119" s="387"/>
      <c r="O119" s="387"/>
      <c r="P119" s="387"/>
      <c r="Q119" s="387"/>
      <c r="R119" s="387"/>
      <c r="S119" s="387"/>
      <c r="T119" s="387"/>
      <c r="U119" s="387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387"/>
      <c r="G120" s="387"/>
      <c r="H120" s="387"/>
      <c r="I120" s="387"/>
      <c r="J120" s="387"/>
      <c r="K120" s="387"/>
      <c r="L120" s="387"/>
      <c r="M120" s="387"/>
      <c r="N120" s="387"/>
      <c r="O120" s="387"/>
      <c r="P120" s="387"/>
      <c r="Q120" s="387"/>
      <c r="R120" s="387"/>
      <c r="S120" s="387"/>
      <c r="T120" s="387"/>
      <c r="U120" s="387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387"/>
      <c r="G121" s="387"/>
      <c r="H121" s="387"/>
      <c r="I121" s="387"/>
      <c r="J121" s="387"/>
      <c r="K121" s="387"/>
      <c r="L121" s="387"/>
      <c r="M121" s="387"/>
      <c r="N121" s="387"/>
      <c r="O121" s="387"/>
      <c r="P121" s="387"/>
      <c r="Q121" s="387"/>
      <c r="R121" s="387"/>
      <c r="S121" s="387"/>
      <c r="T121" s="387"/>
      <c r="U121" s="387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387"/>
      <c r="G122" s="387"/>
      <c r="H122" s="387"/>
      <c r="I122" s="387"/>
      <c r="J122" s="387"/>
      <c r="K122" s="387"/>
      <c r="L122" s="387"/>
      <c r="M122" s="387"/>
      <c r="N122" s="387"/>
      <c r="O122" s="387"/>
      <c r="P122" s="387"/>
      <c r="Q122" s="387"/>
      <c r="R122" s="387"/>
      <c r="S122" s="387"/>
      <c r="T122" s="387"/>
      <c r="U122" s="387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387"/>
      <c r="G123" s="387"/>
      <c r="H123" s="387"/>
      <c r="I123" s="387"/>
      <c r="J123" s="387"/>
      <c r="K123" s="387"/>
      <c r="L123" s="387"/>
      <c r="M123" s="387"/>
      <c r="N123" s="387"/>
      <c r="O123" s="387"/>
      <c r="P123" s="387"/>
      <c r="Q123" s="387"/>
      <c r="R123" s="387"/>
      <c r="S123" s="387"/>
      <c r="T123" s="387"/>
      <c r="U123" s="387"/>
      <c r="V123" s="117"/>
      <c r="W123" s="118"/>
      <c r="X123" s="116"/>
      <c r="Y123" s="117"/>
      <c r="Z123" s="116"/>
      <c r="AA123" s="116"/>
    </row>
    <row r="124" spans="3:27" x14ac:dyDescent="0.3">
      <c r="C124" s="387"/>
      <c r="D124" s="460"/>
      <c r="E124" s="462"/>
      <c r="F124" s="387"/>
      <c r="G124" s="387"/>
      <c r="H124" s="387"/>
      <c r="I124" s="387"/>
      <c r="J124" s="387"/>
      <c r="K124" s="387"/>
      <c r="L124" s="387"/>
      <c r="M124" s="387"/>
      <c r="N124" s="387"/>
      <c r="O124" s="387"/>
      <c r="P124" s="387"/>
      <c r="Q124" s="387"/>
      <c r="R124" s="387"/>
      <c r="S124" s="387"/>
      <c r="T124" s="387"/>
      <c r="U124" s="387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387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387" t="s">
        <v>63</v>
      </c>
      <c r="D127" s="466" t="s">
        <v>12</v>
      </c>
      <c r="E127" s="466"/>
      <c r="F127" s="387" t="s">
        <v>64</v>
      </c>
      <c r="G127" s="387"/>
      <c r="H127" s="387"/>
      <c r="I127" s="387"/>
      <c r="J127" s="387"/>
      <c r="K127" s="387"/>
      <c r="L127" s="387"/>
      <c r="M127" s="387"/>
      <c r="N127" s="387"/>
      <c r="O127" s="387"/>
      <c r="P127" s="387"/>
      <c r="Q127" s="387"/>
      <c r="R127" s="387"/>
      <c r="S127" s="387"/>
      <c r="T127" s="387"/>
      <c r="U127" s="387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387"/>
      <c r="G128" s="387"/>
      <c r="H128" s="387"/>
      <c r="I128" s="387"/>
      <c r="J128" s="387"/>
      <c r="K128" s="387"/>
      <c r="L128" s="387"/>
      <c r="M128" s="387"/>
      <c r="N128" s="387"/>
      <c r="O128" s="387"/>
      <c r="P128" s="387"/>
      <c r="Q128" s="387"/>
      <c r="R128" s="387"/>
      <c r="S128" s="387"/>
      <c r="T128" s="387"/>
      <c r="U128" s="387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387"/>
      <c r="G129" s="387"/>
      <c r="H129" s="387"/>
      <c r="I129" s="387"/>
      <c r="J129" s="387"/>
      <c r="K129" s="387"/>
      <c r="L129" s="387"/>
      <c r="M129" s="387"/>
      <c r="N129" s="387"/>
      <c r="O129" s="387"/>
      <c r="P129" s="387"/>
      <c r="Q129" s="387"/>
      <c r="R129" s="387"/>
      <c r="S129" s="387"/>
      <c r="T129" s="387"/>
      <c r="U129" s="387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387"/>
      <c r="G130" s="387"/>
      <c r="H130" s="387"/>
      <c r="I130" s="387"/>
      <c r="J130" s="387"/>
      <c r="K130" s="387"/>
      <c r="L130" s="387"/>
      <c r="M130" s="387"/>
      <c r="N130" s="387"/>
      <c r="O130" s="387"/>
      <c r="P130" s="387"/>
      <c r="Q130" s="387"/>
      <c r="R130" s="387"/>
      <c r="S130" s="387"/>
      <c r="T130" s="387"/>
      <c r="U130" s="387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387"/>
      <c r="G131" s="387"/>
      <c r="H131" s="387"/>
      <c r="I131" s="387"/>
      <c r="J131" s="387"/>
      <c r="K131" s="387"/>
      <c r="L131" s="387"/>
      <c r="M131" s="387"/>
      <c r="N131" s="387"/>
      <c r="O131" s="387"/>
      <c r="P131" s="387"/>
      <c r="Q131" s="387"/>
      <c r="R131" s="387"/>
      <c r="S131" s="387"/>
      <c r="T131" s="387"/>
      <c r="U131" s="387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387"/>
      <c r="G132" s="387"/>
      <c r="H132" s="387"/>
      <c r="I132" s="387"/>
      <c r="J132" s="387"/>
      <c r="K132" s="387"/>
      <c r="L132" s="387"/>
      <c r="M132" s="387"/>
      <c r="N132" s="387"/>
      <c r="O132" s="387"/>
      <c r="P132" s="387"/>
      <c r="Q132" s="387"/>
      <c r="R132" s="387"/>
      <c r="S132" s="387"/>
      <c r="T132" s="387"/>
      <c r="U132" s="387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387"/>
      <c r="G133" s="387"/>
      <c r="H133" s="387"/>
      <c r="I133" s="387"/>
      <c r="J133" s="387"/>
      <c r="K133" s="387"/>
      <c r="L133" s="387"/>
      <c r="M133" s="387"/>
      <c r="N133" s="387"/>
      <c r="O133" s="387"/>
      <c r="P133" s="387"/>
      <c r="Q133" s="387"/>
      <c r="R133" s="387"/>
      <c r="S133" s="387"/>
      <c r="T133" s="387"/>
      <c r="U133" s="387"/>
      <c r="V133" s="117"/>
      <c r="W133" s="118"/>
      <c r="X133" s="116"/>
      <c r="Y133" s="117"/>
      <c r="Z133" s="116"/>
      <c r="AA133" s="116"/>
    </row>
    <row r="134" spans="3:27" x14ac:dyDescent="0.3">
      <c r="C134" s="387"/>
      <c r="D134" s="460"/>
      <c r="E134" s="462"/>
      <c r="F134" s="387"/>
      <c r="G134" s="387"/>
      <c r="H134" s="387"/>
      <c r="I134" s="387"/>
      <c r="J134" s="387"/>
      <c r="K134" s="387"/>
      <c r="L134" s="387"/>
      <c r="M134" s="387"/>
      <c r="N134" s="387"/>
      <c r="O134" s="387"/>
      <c r="P134" s="387"/>
      <c r="Q134" s="387"/>
      <c r="R134" s="387"/>
      <c r="S134" s="387"/>
      <c r="T134" s="387"/>
      <c r="U134" s="387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387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387" t="s">
        <v>63</v>
      </c>
      <c r="D137" s="466" t="s">
        <v>12</v>
      </c>
      <c r="E137" s="466"/>
      <c r="F137" s="387" t="s">
        <v>64</v>
      </c>
      <c r="G137" s="387"/>
      <c r="H137" s="387"/>
      <c r="I137" s="387"/>
      <c r="J137" s="387"/>
      <c r="K137" s="387"/>
      <c r="L137" s="387"/>
      <c r="M137" s="387"/>
      <c r="N137" s="387"/>
      <c r="O137" s="387"/>
      <c r="P137" s="387"/>
      <c r="Q137" s="387"/>
      <c r="R137" s="387"/>
      <c r="S137" s="387"/>
      <c r="T137" s="387"/>
      <c r="U137" s="387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387"/>
      <c r="G138" s="387"/>
      <c r="H138" s="387"/>
      <c r="I138" s="387"/>
      <c r="J138" s="387"/>
      <c r="K138" s="387"/>
      <c r="L138" s="387"/>
      <c r="M138" s="387"/>
      <c r="N138" s="387"/>
      <c r="O138" s="387"/>
      <c r="P138" s="387"/>
      <c r="Q138" s="387"/>
      <c r="R138" s="387"/>
      <c r="S138" s="387"/>
      <c r="T138" s="387"/>
      <c r="U138" s="387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387"/>
      <c r="G139" s="387"/>
      <c r="H139" s="387"/>
      <c r="I139" s="387"/>
      <c r="J139" s="387"/>
      <c r="K139" s="387"/>
      <c r="L139" s="387"/>
      <c r="M139" s="387"/>
      <c r="N139" s="387"/>
      <c r="O139" s="387"/>
      <c r="P139" s="387"/>
      <c r="Q139" s="387"/>
      <c r="R139" s="387"/>
      <c r="S139" s="387"/>
      <c r="T139" s="387"/>
      <c r="U139" s="387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387"/>
      <c r="G140" s="387"/>
      <c r="H140" s="387"/>
      <c r="I140" s="387"/>
      <c r="J140" s="387"/>
      <c r="K140" s="387"/>
      <c r="L140" s="387"/>
      <c r="M140" s="387"/>
      <c r="N140" s="387"/>
      <c r="O140" s="387"/>
      <c r="P140" s="387"/>
      <c r="Q140" s="387"/>
      <c r="R140" s="387"/>
      <c r="S140" s="387"/>
      <c r="T140" s="387"/>
      <c r="U140" s="387"/>
    </row>
    <row r="141" spans="3:27" x14ac:dyDescent="0.3">
      <c r="C141" s="119">
        <v>45078</v>
      </c>
      <c r="D141" s="466"/>
      <c r="E141" s="466"/>
      <c r="F141" s="387"/>
      <c r="G141" s="387"/>
      <c r="H141" s="387"/>
      <c r="I141" s="387"/>
      <c r="J141" s="387"/>
      <c r="K141" s="387"/>
      <c r="L141" s="387"/>
      <c r="M141" s="387"/>
      <c r="N141" s="387"/>
      <c r="O141" s="387"/>
      <c r="P141" s="387"/>
      <c r="Q141" s="387"/>
      <c r="R141" s="387"/>
      <c r="S141" s="387"/>
      <c r="T141" s="387"/>
      <c r="U141" s="387"/>
    </row>
    <row r="142" spans="3:27" x14ac:dyDescent="0.3">
      <c r="C142" s="119">
        <v>45079</v>
      </c>
      <c r="D142" s="466"/>
      <c r="E142" s="466"/>
      <c r="F142" s="387"/>
      <c r="G142" s="387"/>
      <c r="H142" s="387"/>
      <c r="I142" s="387"/>
      <c r="J142" s="387"/>
      <c r="K142" s="387"/>
      <c r="L142" s="387"/>
      <c r="M142" s="387"/>
      <c r="N142" s="387"/>
      <c r="O142" s="387"/>
      <c r="P142" s="387"/>
      <c r="Q142" s="387"/>
      <c r="R142" s="387"/>
      <c r="S142" s="387"/>
      <c r="T142" s="387"/>
      <c r="U142" s="387"/>
    </row>
    <row r="143" spans="3:27" x14ac:dyDescent="0.3">
      <c r="C143" s="119">
        <v>45080</v>
      </c>
      <c r="D143" s="466"/>
      <c r="E143" s="466"/>
      <c r="F143" s="387"/>
      <c r="G143" s="387"/>
      <c r="H143" s="387"/>
      <c r="I143" s="387"/>
      <c r="J143" s="387"/>
      <c r="K143" s="387"/>
      <c r="L143" s="387"/>
      <c r="M143" s="387"/>
      <c r="N143" s="387"/>
      <c r="O143" s="387"/>
      <c r="P143" s="387"/>
      <c r="Q143" s="387"/>
      <c r="R143" s="387"/>
      <c r="S143" s="387"/>
      <c r="T143" s="387"/>
      <c r="U143" s="387"/>
    </row>
    <row r="144" spans="3:27" x14ac:dyDescent="0.3">
      <c r="C144" s="387"/>
      <c r="D144" s="460"/>
      <c r="E144" s="462"/>
      <c r="F144" s="387"/>
      <c r="G144" s="387"/>
      <c r="H144" s="387"/>
      <c r="I144" s="387"/>
      <c r="J144" s="387"/>
      <c r="K144" s="387"/>
      <c r="L144" s="387"/>
      <c r="M144" s="387"/>
      <c r="N144" s="387"/>
      <c r="O144" s="387"/>
      <c r="P144" s="387"/>
      <c r="Q144" s="387"/>
      <c r="R144" s="387"/>
      <c r="S144" s="387"/>
      <c r="T144" s="387"/>
      <c r="U144" s="387"/>
    </row>
  </sheetData>
  <mergeCells count="111">
    <mergeCell ref="D144:E144"/>
    <mergeCell ref="D138:E138"/>
    <mergeCell ref="D139:E139"/>
    <mergeCell ref="D140:E140"/>
    <mergeCell ref="D141:E141"/>
    <mergeCell ref="D142:E142"/>
    <mergeCell ref="D143:E143"/>
    <mergeCell ref="D130:E130"/>
    <mergeCell ref="D131:E131"/>
    <mergeCell ref="D132:E132"/>
    <mergeCell ref="D133:E133"/>
    <mergeCell ref="D134:E134"/>
    <mergeCell ref="D137:E137"/>
    <mergeCell ref="D122:E122"/>
    <mergeCell ref="D123:E123"/>
    <mergeCell ref="D124:E124"/>
    <mergeCell ref="D127:E127"/>
    <mergeCell ref="D128:E128"/>
    <mergeCell ref="D129:E129"/>
    <mergeCell ref="C114:U114"/>
    <mergeCell ref="D117:E117"/>
    <mergeCell ref="D118:E118"/>
    <mergeCell ref="D119:E119"/>
    <mergeCell ref="D120:E120"/>
    <mergeCell ref="D121:E121"/>
    <mergeCell ref="E101:E103"/>
    <mergeCell ref="F101:F103"/>
    <mergeCell ref="E104:E106"/>
    <mergeCell ref="F104:F106"/>
    <mergeCell ref="E107:E109"/>
    <mergeCell ref="F107:F109"/>
    <mergeCell ref="E92:E94"/>
    <mergeCell ref="F92:F94"/>
    <mergeCell ref="E95:E97"/>
    <mergeCell ref="F95:F97"/>
    <mergeCell ref="E98:E100"/>
    <mergeCell ref="F98:F100"/>
    <mergeCell ref="AC78:AC79"/>
    <mergeCell ref="AD78:AD79"/>
    <mergeCell ref="AE78:AE79"/>
    <mergeCell ref="B80:B85"/>
    <mergeCell ref="B86:E86"/>
    <mergeCell ref="B87:E87"/>
    <mergeCell ref="E71:E73"/>
    <mergeCell ref="F71:F73"/>
    <mergeCell ref="B76:AE76"/>
    <mergeCell ref="B78:B79"/>
    <mergeCell ref="C78:C79"/>
    <mergeCell ref="D78:D79"/>
    <mergeCell ref="E78:E79"/>
    <mergeCell ref="F78:F79"/>
    <mergeCell ref="U78:W78"/>
    <mergeCell ref="X78:Z78"/>
    <mergeCell ref="E62:E64"/>
    <mergeCell ref="F62:F64"/>
    <mergeCell ref="E65:E67"/>
    <mergeCell ref="F65:F67"/>
    <mergeCell ref="E68:E70"/>
    <mergeCell ref="F68:F70"/>
    <mergeCell ref="E51:E53"/>
    <mergeCell ref="F51:F53"/>
    <mergeCell ref="E56:E58"/>
    <mergeCell ref="F56:F58"/>
    <mergeCell ref="E59:E61"/>
    <mergeCell ref="F59:F61"/>
    <mergeCell ref="E45:E47"/>
    <mergeCell ref="F45:F47"/>
    <mergeCell ref="E48:E50"/>
    <mergeCell ref="F48:F50"/>
    <mergeCell ref="B29:E29"/>
    <mergeCell ref="B30:E30"/>
    <mergeCell ref="E36:E38"/>
    <mergeCell ref="F36:F38"/>
    <mergeCell ref="E39:E41"/>
    <mergeCell ref="F39:F41"/>
    <mergeCell ref="AE21:AE22"/>
    <mergeCell ref="B23:B28"/>
    <mergeCell ref="G21:G22"/>
    <mergeCell ref="H21:H22"/>
    <mergeCell ref="I21:S21"/>
    <mergeCell ref="T21:T22"/>
    <mergeCell ref="U21:W21"/>
    <mergeCell ref="X21:Z21"/>
    <mergeCell ref="E42:E44"/>
    <mergeCell ref="F42:F44"/>
    <mergeCell ref="B14:E14"/>
    <mergeCell ref="B21:B22"/>
    <mergeCell ref="C21:C22"/>
    <mergeCell ref="D21:D22"/>
    <mergeCell ref="E21:E22"/>
    <mergeCell ref="F21:F22"/>
    <mergeCell ref="X5:Z5"/>
    <mergeCell ref="AC5:AC6"/>
    <mergeCell ref="AD5:AD6"/>
    <mergeCell ref="AA21:AA22"/>
    <mergeCell ref="AB21:AB22"/>
    <mergeCell ref="AC21:AC22"/>
    <mergeCell ref="AD21:AD22"/>
    <mergeCell ref="AE5:AE6"/>
    <mergeCell ref="B7:B12"/>
    <mergeCell ref="B13:E13"/>
    <mergeCell ref="B2:AE2"/>
    <mergeCell ref="B5:C6"/>
    <mergeCell ref="D5:D6"/>
    <mergeCell ref="E5:E6"/>
    <mergeCell ref="F5:F6"/>
    <mergeCell ref="G5:G6"/>
    <mergeCell ref="H5:H6"/>
    <mergeCell ref="I5:S5"/>
    <mergeCell ref="T5:T6"/>
    <mergeCell ref="U5:W5"/>
  </mergeCells>
  <phoneticPr fontId="4" type="noConversion"/>
  <dataValidations disablePrompts="1" count="3">
    <dataValidation type="list" allowBlank="1" showInputMessage="1" showErrorMessage="1" sqref="E7:E8 E23:E26 E12 E28">
      <formula1>$U$7:$U$12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 E9:E11 E27">
      <formula1>$AH$7:$AH$12</formula1>
    </dataValidation>
  </dataValidations>
  <pageMargins left="0.62992125984251968" right="0.62992125984251968" top="0.94488188976377963" bottom="0.55118110236220474" header="0.31496062992125984" footer="0.31496062992125984"/>
  <pageSetup paperSize="9" scale="28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80" zoomScaleNormal="80" workbookViewId="0">
      <pane xSplit="4" ySplit="6" topLeftCell="E25" activePane="bottomRight" state="frozen"/>
      <selection pane="topRight" activeCell="D1" sqref="D1"/>
      <selection pane="bottomLeft" activeCell="A6" sqref="A6"/>
      <selection pane="bottomRight" activeCell="B2" sqref="B2:AE2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58.875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11.75" hidden="1" customWidth="1"/>
    <col min="44" max="44" width="3.25" customWidth="1"/>
  </cols>
  <sheetData>
    <row r="2" spans="2:52" ht="20.25" x14ac:dyDescent="0.3">
      <c r="B2" s="425" t="s">
        <v>290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377" t="s">
        <v>1</v>
      </c>
      <c r="AY2" s="377" t="s">
        <v>2</v>
      </c>
      <c r="AZ2" s="3" t="s">
        <v>3</v>
      </c>
    </row>
    <row r="3" spans="2:52" ht="45" customHeight="1" x14ac:dyDescent="0.3">
      <c r="B3" s="330" t="s">
        <v>4</v>
      </c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376" t="s">
        <v>68</v>
      </c>
      <c r="J6" s="18" t="s">
        <v>69</v>
      </c>
      <c r="K6" s="18" t="s">
        <v>71</v>
      </c>
      <c r="L6" s="18" t="s">
        <v>72</v>
      </c>
      <c r="M6" s="18" t="s">
        <v>75</v>
      </c>
      <c r="N6" s="18" t="s">
        <v>75</v>
      </c>
      <c r="O6" s="18" t="s">
        <v>75</v>
      </c>
      <c r="P6" s="18" t="s">
        <v>230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376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-63</v>
      </c>
    </row>
    <row r="7" spans="2:52" s="382" customFormat="1" ht="99" customHeight="1" thickTop="1" x14ac:dyDescent="0.3">
      <c r="B7" s="420">
        <v>7</v>
      </c>
      <c r="C7" s="24">
        <v>20</v>
      </c>
      <c r="D7" s="25" t="s">
        <v>7</v>
      </c>
      <c r="E7" s="26" t="s">
        <v>28</v>
      </c>
      <c r="F7" s="25">
        <v>11</v>
      </c>
      <c r="G7" s="128">
        <v>609</v>
      </c>
      <c r="H7" s="128">
        <f t="shared" ref="H7:H12" si="0">(G7/U7)*100</f>
        <v>100</v>
      </c>
      <c r="I7" s="123" t="s">
        <v>85</v>
      </c>
      <c r="J7" s="123" t="s">
        <v>86</v>
      </c>
      <c r="K7" s="123" t="s">
        <v>87</v>
      </c>
      <c r="L7" s="123"/>
      <c r="M7" s="129" t="s">
        <v>90</v>
      </c>
      <c r="N7" s="123" t="s">
        <v>74</v>
      </c>
      <c r="O7" s="123" t="s">
        <v>169</v>
      </c>
      <c r="P7" s="123" t="s">
        <v>231</v>
      </c>
      <c r="Q7" s="123" t="s">
        <v>91</v>
      </c>
      <c r="R7" s="123" t="s">
        <v>89</v>
      </c>
      <c r="S7" s="125">
        <f t="shared" ref="S7:S12" si="1">COUNTA(I7:L7)+COUNTA(M7:R7)/2</f>
        <v>6</v>
      </c>
      <c r="T7" s="27">
        <f t="shared" ref="T7:T12" si="2">F7*$D$4*$U$4</f>
        <v>726</v>
      </c>
      <c r="U7" s="28">
        <f>+H38</f>
        <v>609</v>
      </c>
      <c r="V7" s="29">
        <f t="shared" ref="V7:V12" si="3">IF(F7=0,"휴무",U7/F7)</f>
        <v>55.363636363636367</v>
      </c>
      <c r="W7" s="30">
        <f t="shared" ref="W7:W13" si="4">IFERROR(U7/T7,0)</f>
        <v>0.83884297520661155</v>
      </c>
      <c r="X7" s="31">
        <f>+K38</f>
        <v>481.35</v>
      </c>
      <c r="Y7" s="29">
        <f t="shared" ref="Y7:Y12" si="5">IF(F7=0,"휴무",X7/F7)</f>
        <v>43.759090909090908</v>
      </c>
      <c r="Z7" s="32">
        <f t="shared" ref="Z7:Z13" si="6">IFERROR(X7/T7,0)</f>
        <v>0.66301652892561991</v>
      </c>
      <c r="AA7" s="33">
        <f t="shared" ref="AA7:AA12" si="7">IF(F7=0,"휴무",U7/T7*$AA$4)</f>
        <v>41.942148760330575</v>
      </c>
      <c r="AB7" s="34">
        <f t="shared" ref="AB7:AB12" si="8">IF(F7=0,"휴무",X7/T7*$AB$4)</f>
        <v>36.101250000000007</v>
      </c>
      <c r="AC7" s="383">
        <f t="shared" ref="AC7:AC13" si="9">IF(F7=0,"휴무",AA7+AB7)</f>
        <v>78.043398760330575</v>
      </c>
      <c r="AD7" s="159" t="str">
        <f t="shared" ref="AD7:AD13" si="10">IF(F7=0,"휴무",IF(AC7&gt;=100,"좋아요",IF(AC7&gt;=90,"90~99",IF(AC7&gt;=80,"80~89"," 사유?→"))))</f>
        <v xml:space="preserve"> 사유?→</v>
      </c>
      <c r="AE7" s="160" t="s">
        <v>291</v>
      </c>
      <c r="AF7" s="37">
        <f>AG7-F7</f>
        <v>-11</v>
      </c>
      <c r="AG7" s="38">
        <f>AN7</f>
        <v>0</v>
      </c>
      <c r="AH7" s="382" t="s">
        <v>29</v>
      </c>
      <c r="AI7" s="39"/>
      <c r="AJ7" s="40">
        <f>IFERROR(Z7/W7*1000,"")</f>
        <v>790.39408866995086</v>
      </c>
      <c r="AK7" s="39"/>
      <c r="AL7" s="41"/>
      <c r="AM7" s="41"/>
      <c r="AN7" s="41"/>
      <c r="AP7" s="382">
        <f t="shared" ref="AP7:AP12" si="11">AO7-F7</f>
        <v>-11</v>
      </c>
      <c r="AQ7" s="42"/>
    </row>
    <row r="8" spans="2:52" s="382" customFormat="1" ht="99.75" customHeight="1" x14ac:dyDescent="0.3">
      <c r="B8" s="421"/>
      <c r="C8" s="24">
        <f>+C7+1</f>
        <v>21</v>
      </c>
      <c r="D8" s="43" t="s">
        <v>30</v>
      </c>
      <c r="E8" s="26" t="s">
        <v>28</v>
      </c>
      <c r="F8" s="25">
        <v>11</v>
      </c>
      <c r="G8" s="125">
        <v>523</v>
      </c>
      <c r="H8" s="125">
        <f t="shared" si="0"/>
        <v>94.918330308529946</v>
      </c>
      <c r="I8" s="123" t="s">
        <v>85</v>
      </c>
      <c r="J8" s="123" t="s">
        <v>86</v>
      </c>
      <c r="K8" s="123" t="s">
        <v>87</v>
      </c>
      <c r="L8" s="123"/>
      <c r="M8" s="129" t="s">
        <v>90</v>
      </c>
      <c r="N8" s="123" t="s">
        <v>74</v>
      </c>
      <c r="O8" s="123" t="s">
        <v>169</v>
      </c>
      <c r="P8" s="123" t="s">
        <v>231</v>
      </c>
      <c r="Q8" s="123" t="s">
        <v>91</v>
      </c>
      <c r="R8" s="123" t="s">
        <v>89</v>
      </c>
      <c r="S8" s="125">
        <f t="shared" si="1"/>
        <v>6</v>
      </c>
      <c r="T8" s="27">
        <f t="shared" si="2"/>
        <v>726</v>
      </c>
      <c r="U8" s="28">
        <f>+H41</f>
        <v>551</v>
      </c>
      <c r="V8" s="44">
        <f t="shared" si="3"/>
        <v>50.090909090909093</v>
      </c>
      <c r="W8" s="45">
        <f t="shared" si="4"/>
        <v>0.75895316804407709</v>
      </c>
      <c r="X8" s="46">
        <f>+K41</f>
        <v>487.92</v>
      </c>
      <c r="Y8" s="29">
        <f t="shared" si="5"/>
        <v>44.356363636363639</v>
      </c>
      <c r="Z8" s="47">
        <f t="shared" si="6"/>
        <v>0.67206611570247932</v>
      </c>
      <c r="AA8" s="48">
        <f t="shared" si="7"/>
        <v>37.947658402203857</v>
      </c>
      <c r="AB8" s="49">
        <f t="shared" si="8"/>
        <v>36.594000000000001</v>
      </c>
      <c r="AC8" s="384">
        <f t="shared" si="9"/>
        <v>74.541658402203865</v>
      </c>
      <c r="AD8" s="161" t="str">
        <f t="shared" si="10"/>
        <v xml:space="preserve"> 사유?→</v>
      </c>
      <c r="AE8" s="160" t="s">
        <v>295</v>
      </c>
      <c r="AF8" s="37">
        <f>AG8-F8</f>
        <v>-11</v>
      </c>
      <c r="AG8" s="38">
        <f>AN8</f>
        <v>0</v>
      </c>
      <c r="AH8" s="382" t="s">
        <v>31</v>
      </c>
      <c r="AI8" s="39"/>
      <c r="AJ8" s="40">
        <f>IFERROR(Z8/W8*1000,"")</f>
        <v>885.51724137931046</v>
      </c>
      <c r="AK8" s="39"/>
      <c r="AL8" s="41"/>
      <c r="AM8" s="41"/>
      <c r="AN8" s="41"/>
      <c r="AP8" s="382">
        <f t="shared" si="11"/>
        <v>-11</v>
      </c>
      <c r="AQ8" s="42"/>
    </row>
    <row r="9" spans="2:52" s="382" customFormat="1" ht="97.5" customHeight="1" x14ac:dyDescent="0.3">
      <c r="B9" s="421"/>
      <c r="C9" s="24">
        <f>+C8+1</f>
        <v>22</v>
      </c>
      <c r="D9" s="43" t="s">
        <v>32</v>
      </c>
      <c r="E9" s="26" t="s">
        <v>28</v>
      </c>
      <c r="F9" s="25">
        <v>11</v>
      </c>
      <c r="G9" s="125">
        <v>237</v>
      </c>
      <c r="H9" s="125">
        <f t="shared" si="0"/>
        <v>74.528301886792448</v>
      </c>
      <c r="I9" s="123" t="s">
        <v>85</v>
      </c>
      <c r="J9" s="123" t="s">
        <v>86</v>
      </c>
      <c r="K9" s="123" t="s">
        <v>87</v>
      </c>
      <c r="L9" s="123"/>
      <c r="M9" s="129" t="s">
        <v>90</v>
      </c>
      <c r="N9" s="123" t="s">
        <v>74</v>
      </c>
      <c r="O9" s="123" t="s">
        <v>169</v>
      </c>
      <c r="P9" s="123" t="s">
        <v>231</v>
      </c>
      <c r="Q9" s="123" t="s">
        <v>91</v>
      </c>
      <c r="R9" s="123" t="s">
        <v>89</v>
      </c>
      <c r="S9" s="125">
        <f t="shared" si="1"/>
        <v>6</v>
      </c>
      <c r="T9" s="27">
        <f t="shared" si="2"/>
        <v>726</v>
      </c>
      <c r="U9" s="51">
        <f>+H44</f>
        <v>318</v>
      </c>
      <c r="V9" s="44">
        <f t="shared" si="3"/>
        <v>28.90909090909091</v>
      </c>
      <c r="W9" s="45">
        <f t="shared" si="4"/>
        <v>0.43801652892561982</v>
      </c>
      <c r="X9" s="46">
        <f>+K44</f>
        <v>413.65999999999997</v>
      </c>
      <c r="Y9" s="44">
        <f t="shared" si="5"/>
        <v>37.605454545454542</v>
      </c>
      <c r="Z9" s="47">
        <f t="shared" si="6"/>
        <v>0.56977961432506885</v>
      </c>
      <c r="AA9" s="48">
        <f t="shared" si="7"/>
        <v>21.900826446280991</v>
      </c>
      <c r="AB9" s="49">
        <f t="shared" si="8"/>
        <v>31.0245</v>
      </c>
      <c r="AC9" s="384">
        <f t="shared" si="9"/>
        <v>52.925326446280991</v>
      </c>
      <c r="AD9" s="161" t="str">
        <f t="shared" si="10"/>
        <v xml:space="preserve"> 사유?→</v>
      </c>
      <c r="AE9" s="160" t="s">
        <v>297</v>
      </c>
      <c r="AF9" s="37">
        <f>AG9-F9</f>
        <v>-11</v>
      </c>
      <c r="AG9" s="38">
        <f>AN9</f>
        <v>0</v>
      </c>
      <c r="AH9" s="382" t="s">
        <v>34</v>
      </c>
      <c r="AI9" s="39"/>
      <c r="AJ9" s="40">
        <f>IFERROR(Z9/W9*1000,"")</f>
        <v>1300.817610062893</v>
      </c>
      <c r="AK9" s="39"/>
      <c r="AL9" s="41"/>
      <c r="AM9" s="41"/>
      <c r="AN9" s="41"/>
      <c r="AP9" s="382">
        <f t="shared" si="11"/>
        <v>-11</v>
      </c>
      <c r="AQ9" s="42"/>
    </row>
    <row r="10" spans="2:52" s="382" customFormat="1" ht="95.25" customHeight="1" x14ac:dyDescent="0.3">
      <c r="B10" s="421"/>
      <c r="C10" s="24">
        <f>+C9+1</f>
        <v>23</v>
      </c>
      <c r="D10" s="43" t="s">
        <v>35</v>
      </c>
      <c r="E10" s="26" t="s">
        <v>28</v>
      </c>
      <c r="F10" s="25">
        <v>11</v>
      </c>
      <c r="G10" s="125">
        <v>371</v>
      </c>
      <c r="H10" s="125">
        <f t="shared" si="0"/>
        <v>87.706855791962184</v>
      </c>
      <c r="I10" s="123" t="s">
        <v>85</v>
      </c>
      <c r="J10" s="123" t="s">
        <v>86</v>
      </c>
      <c r="K10" s="123" t="s">
        <v>87</v>
      </c>
      <c r="L10" s="123"/>
      <c r="M10" s="129" t="s">
        <v>90</v>
      </c>
      <c r="N10" s="123" t="s">
        <v>74</v>
      </c>
      <c r="O10" s="123" t="s">
        <v>169</v>
      </c>
      <c r="P10" s="123" t="s">
        <v>231</v>
      </c>
      <c r="Q10" s="123" t="s">
        <v>91</v>
      </c>
      <c r="R10" s="123" t="s">
        <v>89</v>
      </c>
      <c r="S10" s="125">
        <f t="shared" si="1"/>
        <v>6</v>
      </c>
      <c r="T10" s="27">
        <f t="shared" si="2"/>
        <v>726</v>
      </c>
      <c r="U10" s="28">
        <f>+H47</f>
        <v>423</v>
      </c>
      <c r="V10" s="44">
        <f t="shared" si="3"/>
        <v>38.454545454545453</v>
      </c>
      <c r="W10" s="45">
        <f t="shared" si="4"/>
        <v>0.5826446280991735</v>
      </c>
      <c r="X10" s="46">
        <f>+K47</f>
        <v>473.84999999999997</v>
      </c>
      <c r="Y10" s="29">
        <f t="shared" si="5"/>
        <v>43.077272727272721</v>
      </c>
      <c r="Z10" s="47">
        <f t="shared" si="6"/>
        <v>0.65268595041322308</v>
      </c>
      <c r="AA10" s="48">
        <f t="shared" si="7"/>
        <v>29.132231404958674</v>
      </c>
      <c r="AB10" s="49">
        <f t="shared" si="8"/>
        <v>35.53875</v>
      </c>
      <c r="AC10" s="384">
        <f t="shared" si="9"/>
        <v>64.670981404958667</v>
      </c>
      <c r="AD10" s="161" t="str">
        <f t="shared" si="10"/>
        <v xml:space="preserve"> 사유?→</v>
      </c>
      <c r="AE10" s="160" t="s">
        <v>298</v>
      </c>
      <c r="AF10" s="37">
        <f>AG10-F10</f>
        <v>-11</v>
      </c>
      <c r="AG10" s="38">
        <f>AN10</f>
        <v>0</v>
      </c>
      <c r="AH10" s="382" t="s">
        <v>36</v>
      </c>
      <c r="AI10" s="39"/>
      <c r="AJ10" s="40">
        <f>IFERROR(Z10/W10*1000,"")</f>
        <v>1120.2127659574469</v>
      </c>
      <c r="AK10" s="39"/>
      <c r="AL10" s="41"/>
      <c r="AM10" s="41"/>
      <c r="AN10" s="41"/>
      <c r="AP10" s="382">
        <f t="shared" si="11"/>
        <v>-11</v>
      </c>
      <c r="AQ10" s="42"/>
    </row>
    <row r="11" spans="2:52" s="382" customFormat="1" ht="102.75" customHeight="1" x14ac:dyDescent="0.3">
      <c r="B11" s="421"/>
      <c r="C11" s="24">
        <f>+C10+1</f>
        <v>24</v>
      </c>
      <c r="D11" s="43" t="s">
        <v>37</v>
      </c>
      <c r="E11" s="26" t="s">
        <v>28</v>
      </c>
      <c r="F11" s="25">
        <v>11</v>
      </c>
      <c r="G11" s="125">
        <v>565</v>
      </c>
      <c r="H11" s="125">
        <f t="shared" si="0"/>
        <v>100</v>
      </c>
      <c r="I11" s="123" t="s">
        <v>85</v>
      </c>
      <c r="J11" s="123" t="s">
        <v>86</v>
      </c>
      <c r="K11" s="123" t="s">
        <v>87</v>
      </c>
      <c r="L11" s="123"/>
      <c r="M11" s="129" t="s">
        <v>90</v>
      </c>
      <c r="N11" s="123" t="s">
        <v>74</v>
      </c>
      <c r="O11" s="123" t="s">
        <v>169</v>
      </c>
      <c r="P11" s="123" t="s">
        <v>231</v>
      </c>
      <c r="Q11" s="123" t="s">
        <v>91</v>
      </c>
      <c r="R11" s="123" t="s">
        <v>89</v>
      </c>
      <c r="S11" s="125">
        <f t="shared" si="1"/>
        <v>6</v>
      </c>
      <c r="T11" s="27">
        <f t="shared" si="2"/>
        <v>726</v>
      </c>
      <c r="U11" s="28">
        <f>+H50</f>
        <v>565</v>
      </c>
      <c r="V11" s="44">
        <f t="shared" si="3"/>
        <v>51.363636363636367</v>
      </c>
      <c r="W11" s="45">
        <f t="shared" si="4"/>
        <v>0.778236914600551</v>
      </c>
      <c r="X11" s="46">
        <f>+K50</f>
        <v>434.12</v>
      </c>
      <c r="Y11" s="44">
        <f t="shared" si="5"/>
        <v>39.465454545454548</v>
      </c>
      <c r="Z11" s="47">
        <f t="shared" si="6"/>
        <v>0.59796143250688705</v>
      </c>
      <c r="AA11" s="48">
        <f t="shared" si="7"/>
        <v>38.911845730027551</v>
      </c>
      <c r="AB11" s="49">
        <f t="shared" si="8"/>
        <v>32.559000000000005</v>
      </c>
      <c r="AC11" s="384">
        <f t="shared" si="9"/>
        <v>71.470845730027548</v>
      </c>
      <c r="AD11" s="161" t="str">
        <f t="shared" si="10"/>
        <v xml:space="preserve"> 사유?→</v>
      </c>
      <c r="AE11" s="160" t="s">
        <v>303</v>
      </c>
      <c r="AF11" s="37">
        <f>AG11-F11</f>
        <v>-11</v>
      </c>
      <c r="AG11" s="38">
        <f>AN11</f>
        <v>0</v>
      </c>
      <c r="AH11" s="382" t="s">
        <v>33</v>
      </c>
      <c r="AI11" s="39"/>
      <c r="AJ11" s="40">
        <f>IFERROR(Z11/W11*1000,"")</f>
        <v>768.35398230088492</v>
      </c>
      <c r="AL11" s="41"/>
      <c r="AM11" s="41"/>
      <c r="AN11" s="41"/>
      <c r="AP11" s="382">
        <f t="shared" si="11"/>
        <v>-11</v>
      </c>
      <c r="AQ11" s="42"/>
    </row>
    <row r="12" spans="2:52" s="382" customFormat="1" ht="102.75" customHeight="1" x14ac:dyDescent="0.3">
      <c r="B12" s="421"/>
      <c r="C12" s="24">
        <f>+C11+1</f>
        <v>25</v>
      </c>
      <c r="D12" s="43" t="s">
        <v>38</v>
      </c>
      <c r="E12" s="26" t="s">
        <v>36</v>
      </c>
      <c r="F12" s="25">
        <v>8</v>
      </c>
      <c r="G12" s="125">
        <v>363</v>
      </c>
      <c r="H12" s="125">
        <f t="shared" si="0"/>
        <v>97.58064516129032</v>
      </c>
      <c r="I12" s="123" t="s">
        <v>85</v>
      </c>
      <c r="J12" s="123" t="s">
        <v>86</v>
      </c>
      <c r="K12" s="123" t="s">
        <v>87</v>
      </c>
      <c r="L12" s="123"/>
      <c r="M12" s="244" t="s">
        <v>104</v>
      </c>
      <c r="N12" s="123" t="s">
        <v>301</v>
      </c>
      <c r="O12" s="123"/>
      <c r="P12" s="123" t="s">
        <v>231</v>
      </c>
      <c r="Q12" s="123" t="s">
        <v>91</v>
      </c>
      <c r="R12" s="123" t="s">
        <v>89</v>
      </c>
      <c r="S12" s="125">
        <f t="shared" si="1"/>
        <v>5.5</v>
      </c>
      <c r="T12" s="375">
        <f t="shared" si="2"/>
        <v>528</v>
      </c>
      <c r="U12" s="28">
        <f>+H53</f>
        <v>372</v>
      </c>
      <c r="V12" s="29">
        <f t="shared" si="3"/>
        <v>46.5</v>
      </c>
      <c r="W12" s="30">
        <f t="shared" si="4"/>
        <v>0.70454545454545459</v>
      </c>
      <c r="X12" s="31">
        <f>+K53</f>
        <v>332.34000000000003</v>
      </c>
      <c r="Y12" s="44">
        <f t="shared" si="5"/>
        <v>41.542500000000004</v>
      </c>
      <c r="Z12" s="47">
        <f t="shared" si="6"/>
        <v>0.62943181818181826</v>
      </c>
      <c r="AA12" s="48">
        <f t="shared" si="7"/>
        <v>35.227272727272727</v>
      </c>
      <c r="AB12" s="49">
        <f t="shared" si="8"/>
        <v>34.272562500000006</v>
      </c>
      <c r="AC12" s="384">
        <f t="shared" si="9"/>
        <v>69.49983522727274</v>
      </c>
      <c r="AD12" s="161" t="str">
        <f t="shared" si="10"/>
        <v xml:space="preserve"> 사유?→</v>
      </c>
      <c r="AE12" s="160" t="s">
        <v>302</v>
      </c>
      <c r="AF12" s="37"/>
      <c r="AG12" s="38"/>
      <c r="AI12" s="39"/>
      <c r="AJ12" s="40"/>
      <c r="AL12" s="41"/>
      <c r="AM12" s="41"/>
      <c r="AN12" s="41"/>
      <c r="AP12" s="382">
        <f t="shared" si="11"/>
        <v>-8</v>
      </c>
      <c r="AQ12" s="42"/>
    </row>
    <row r="13" spans="2:52" s="382" customFormat="1" ht="36" customHeight="1" x14ac:dyDescent="0.3">
      <c r="B13" s="422" t="s">
        <v>39</v>
      </c>
      <c r="C13" s="423"/>
      <c r="D13" s="423"/>
      <c r="E13" s="424"/>
      <c r="F13" s="43">
        <f>SUM(F7:F12)</f>
        <v>63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>COUNTA(I13:M13)+COUNTA(N13:R13)/2</f>
        <v>0</v>
      </c>
      <c r="T13" s="52">
        <f>SUM(T7:T12)</f>
        <v>4158</v>
      </c>
      <c r="U13" s="53">
        <f>SUM(U7:U12)</f>
        <v>2838</v>
      </c>
      <c r="V13" s="54">
        <f>U13/F13</f>
        <v>45.047619047619051</v>
      </c>
      <c r="W13" s="45">
        <f t="shared" si="4"/>
        <v>0.68253968253968256</v>
      </c>
      <c r="X13" s="55">
        <f>SUM(X7:X12)</f>
        <v>2623.24</v>
      </c>
      <c r="Y13" s="44">
        <f>X13/F13</f>
        <v>41.638730158730155</v>
      </c>
      <c r="Z13" s="47">
        <f t="shared" si="6"/>
        <v>0.63088985088985083</v>
      </c>
      <c r="AA13" s="56">
        <f>U13/T13*AA4</f>
        <v>34.126984126984127</v>
      </c>
      <c r="AB13" s="57">
        <f>X13/T13*AB4</f>
        <v>34.351952380952383</v>
      </c>
      <c r="AC13" s="385">
        <f t="shared" si="9"/>
        <v>68.47893650793651</v>
      </c>
      <c r="AD13" s="162" t="str">
        <f t="shared" si="10"/>
        <v xml:space="preserve"> 사유?→</v>
      </c>
      <c r="AE13" s="43"/>
      <c r="AF13" s="37">
        <f>AG13-F13</f>
        <v>-63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10.5</v>
      </c>
      <c r="G14" s="379"/>
      <c r="H14" s="379"/>
      <c r="I14" s="379"/>
      <c r="J14" s="379"/>
      <c r="K14" s="379"/>
      <c r="L14" s="379"/>
      <c r="M14" s="379"/>
      <c r="N14" s="379"/>
      <c r="O14" s="379"/>
      <c r="P14" s="379"/>
      <c r="Q14" s="379"/>
      <c r="R14" s="379"/>
      <c r="S14" s="379"/>
      <c r="T14" s="379"/>
      <c r="U14" s="61">
        <f>V14*F14</f>
        <v>473.00000000000006</v>
      </c>
      <c r="V14" s="62">
        <f>U13/F13</f>
        <v>45.047619047619051</v>
      </c>
      <c r="W14" s="63">
        <f>IFERROR(U14/#REF!,0)</f>
        <v>0</v>
      </c>
      <c r="X14" s="64">
        <f>X13/F13*F14</f>
        <v>437.20666666666665</v>
      </c>
      <c r="Y14" s="62">
        <f>IF(F14=0,"휴무",X14/F14)</f>
        <v>41.638730158730155</v>
      </c>
      <c r="Z14" s="65">
        <f>IFERROR(X14/#REF!,0)</f>
        <v>0</v>
      </c>
      <c r="AA14" s="60">
        <f>AVERAGE(AA7:AA12)</f>
        <v>34.176997245179059</v>
      </c>
      <c r="AB14" s="60">
        <f>AVERAGE(AB7:AB12)</f>
        <v>34.348343750000005</v>
      </c>
      <c r="AC14" s="141">
        <f>AA14+AB14</f>
        <v>68.525340995179064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382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330" t="s">
        <v>44</v>
      </c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376" t="s">
        <v>68</v>
      </c>
      <c r="J22" s="18" t="s">
        <v>69</v>
      </c>
      <c r="K22" s="18" t="s">
        <v>71</v>
      </c>
      <c r="L22" s="18" t="s">
        <v>72</v>
      </c>
      <c r="M22" s="18" t="s">
        <v>75</v>
      </c>
      <c r="N22" s="18" t="s">
        <v>75</v>
      </c>
      <c r="O22" s="18" t="s">
        <v>75</v>
      </c>
      <c r="P22" s="18" t="s">
        <v>230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-62.75</v>
      </c>
    </row>
    <row r="23" spans="2:43" s="382" customFormat="1" ht="99" customHeight="1" thickTop="1" x14ac:dyDescent="0.3">
      <c r="B23" s="420">
        <f>+B7</f>
        <v>7</v>
      </c>
      <c r="C23" s="24">
        <f t="shared" ref="C23:C28" si="12">+C7</f>
        <v>20</v>
      </c>
      <c r="D23" s="25" t="s">
        <v>7</v>
      </c>
      <c r="E23" s="26" t="s">
        <v>28</v>
      </c>
      <c r="F23" s="25">
        <v>11</v>
      </c>
      <c r="G23" s="128">
        <v>586</v>
      </c>
      <c r="H23" s="128">
        <f t="shared" ref="H23:H28" si="13">(G23/U23)*100</f>
        <v>100</v>
      </c>
      <c r="I23" s="123" t="s">
        <v>78</v>
      </c>
      <c r="J23" s="123" t="s">
        <v>88</v>
      </c>
      <c r="K23" s="123" t="s">
        <v>84</v>
      </c>
      <c r="L23" s="123"/>
      <c r="M23" s="129" t="s">
        <v>90</v>
      </c>
      <c r="N23" s="123" t="s">
        <v>74</v>
      </c>
      <c r="O23" s="123" t="s">
        <v>169</v>
      </c>
      <c r="P23" s="123" t="s">
        <v>92</v>
      </c>
      <c r="Q23" s="123" t="s">
        <v>91</v>
      </c>
      <c r="R23" s="123" t="s">
        <v>89</v>
      </c>
      <c r="S23" s="124">
        <f t="shared" ref="S23:S28" si="14">COUNTA(I23:L23)+COUNTA(M23:R23)/2</f>
        <v>6</v>
      </c>
      <c r="T23" s="27">
        <f t="shared" ref="T23:T28" si="15">F23*$D$4*$U$4</f>
        <v>726</v>
      </c>
      <c r="U23" s="28">
        <f>+H58</f>
        <v>586</v>
      </c>
      <c r="V23" s="29">
        <f t="shared" ref="V23:V28" si="16">IF(F23=0,"휴무",U23/F23)</f>
        <v>53.272727272727273</v>
      </c>
      <c r="W23" s="30">
        <f t="shared" ref="W23:W29" si="17">IFERROR(U23/T23,0)</f>
        <v>0.80716253443526176</v>
      </c>
      <c r="X23" s="31">
        <f>+K58</f>
        <v>497.28</v>
      </c>
      <c r="Y23" s="29">
        <f t="shared" ref="Y23:Y28" si="18">IF(F23=0,"휴무",X23/F23)</f>
        <v>45.207272727272724</v>
      </c>
      <c r="Z23" s="32">
        <f t="shared" ref="Z23:Z29" si="19">IFERROR(X23/T23,0)</f>
        <v>0.68495867768595042</v>
      </c>
      <c r="AA23" s="33">
        <f t="shared" ref="AA23:AA28" si="20">IF(F23=0,"휴무",U23/T23*$AA$4)</f>
        <v>40.358126721763085</v>
      </c>
      <c r="AB23" s="34">
        <f t="shared" ref="AB23:AB28" si="21">IF(F23=0,"휴무",X23/T23*$AB$4)</f>
        <v>37.295999999999999</v>
      </c>
      <c r="AC23" s="383">
        <f t="shared" ref="AC23:AC29" si="22">IF(F23=0,"휴무",AA23+AB23)</f>
        <v>77.654126721763078</v>
      </c>
      <c r="AD23" s="159" t="str">
        <f t="shared" ref="AD23:AD29" si="23">IF(F23=0,"휴무",IF(AC23&gt;=100,"좋아요",IF(AC23&gt;=90,"90~99",IF(AC23&gt;=80,"80~89"," 사유?→"))))</f>
        <v xml:space="preserve"> 사유?→</v>
      </c>
      <c r="AE23" s="160" t="s">
        <v>292</v>
      </c>
      <c r="AF23" s="37">
        <f>AG23-F23</f>
        <v>-11</v>
      </c>
      <c r="AG23" s="38">
        <f>AN23</f>
        <v>0</v>
      </c>
      <c r="AH23" s="382" t="s">
        <v>29</v>
      </c>
      <c r="AI23" s="39"/>
      <c r="AJ23" s="40">
        <f>IFERROR(Z23/W23*1000,"")</f>
        <v>848.60068259385662</v>
      </c>
      <c r="AK23" s="39"/>
      <c r="AL23" s="41"/>
      <c r="AM23" s="41"/>
      <c r="AN23" s="41"/>
      <c r="AP23" s="382">
        <f t="shared" ref="AP23:AP28" si="24">AO23-F23</f>
        <v>-11</v>
      </c>
      <c r="AQ23" s="42"/>
    </row>
    <row r="24" spans="2:43" s="382" customFormat="1" ht="99.75" customHeight="1" x14ac:dyDescent="0.3">
      <c r="B24" s="421"/>
      <c r="C24" s="24">
        <f t="shared" si="12"/>
        <v>21</v>
      </c>
      <c r="D24" s="43" t="s">
        <v>30</v>
      </c>
      <c r="E24" s="26" t="s">
        <v>28</v>
      </c>
      <c r="F24" s="25">
        <v>11</v>
      </c>
      <c r="G24" s="125">
        <v>481</v>
      </c>
      <c r="H24" s="125">
        <f t="shared" si="13"/>
        <v>99.792531120331944</v>
      </c>
      <c r="I24" s="123" t="s">
        <v>78</v>
      </c>
      <c r="J24" s="123" t="s">
        <v>88</v>
      </c>
      <c r="K24" s="123" t="s">
        <v>84</v>
      </c>
      <c r="L24" s="123"/>
      <c r="M24" s="129" t="s">
        <v>90</v>
      </c>
      <c r="N24" s="123" t="s">
        <v>74</v>
      </c>
      <c r="O24" s="123" t="s">
        <v>169</v>
      </c>
      <c r="P24" s="123" t="s">
        <v>92</v>
      </c>
      <c r="Q24" s="123" t="s">
        <v>91</v>
      </c>
      <c r="R24" s="123" t="s">
        <v>89</v>
      </c>
      <c r="S24" s="124">
        <f t="shared" si="14"/>
        <v>6</v>
      </c>
      <c r="T24" s="27">
        <f t="shared" si="15"/>
        <v>726</v>
      </c>
      <c r="U24" s="28">
        <f>+H61</f>
        <v>482</v>
      </c>
      <c r="V24" s="44">
        <f t="shared" si="16"/>
        <v>43.81818181818182</v>
      </c>
      <c r="W24" s="45">
        <f t="shared" si="17"/>
        <v>0.66391184573002759</v>
      </c>
      <c r="X24" s="46">
        <f>+K61</f>
        <v>429.28</v>
      </c>
      <c r="Y24" s="29">
        <f t="shared" si="18"/>
        <v>39.025454545454544</v>
      </c>
      <c r="Z24" s="47">
        <f t="shared" si="19"/>
        <v>0.59129476584022034</v>
      </c>
      <c r="AA24" s="48">
        <f t="shared" si="20"/>
        <v>33.19559228650138</v>
      </c>
      <c r="AB24" s="49">
        <f t="shared" si="21"/>
        <v>32.195999999999998</v>
      </c>
      <c r="AC24" s="384">
        <f t="shared" si="22"/>
        <v>65.391592286501378</v>
      </c>
      <c r="AD24" s="195" t="str">
        <f t="shared" si="23"/>
        <v xml:space="preserve"> 사유?→</v>
      </c>
      <c r="AE24" s="160" t="s">
        <v>296</v>
      </c>
      <c r="AF24" s="37">
        <f>AG24-F24</f>
        <v>-11</v>
      </c>
      <c r="AG24" s="38">
        <f>AN24</f>
        <v>0</v>
      </c>
      <c r="AH24" s="382" t="s">
        <v>34</v>
      </c>
      <c r="AI24" s="39"/>
      <c r="AJ24" s="40">
        <f>IFERROR(Z24/W24*1000,"")</f>
        <v>890.622406639004</v>
      </c>
      <c r="AK24" s="39"/>
      <c r="AL24" s="41"/>
      <c r="AM24" s="41"/>
      <c r="AN24" s="41"/>
      <c r="AP24" s="382">
        <f t="shared" si="24"/>
        <v>-11</v>
      </c>
      <c r="AQ24" s="42"/>
    </row>
    <row r="25" spans="2:43" s="382" customFormat="1" ht="97.5" customHeight="1" x14ac:dyDescent="0.3">
      <c r="B25" s="421"/>
      <c r="C25" s="24">
        <f t="shared" si="12"/>
        <v>22</v>
      </c>
      <c r="D25" s="43" t="s">
        <v>32</v>
      </c>
      <c r="E25" s="26" t="s">
        <v>28</v>
      </c>
      <c r="F25" s="25">
        <v>10.75</v>
      </c>
      <c r="G25" s="124">
        <v>360</v>
      </c>
      <c r="H25" s="124">
        <f t="shared" si="13"/>
        <v>84.112149532710276</v>
      </c>
      <c r="I25" s="123" t="s">
        <v>78</v>
      </c>
      <c r="J25" s="123" t="s">
        <v>88</v>
      </c>
      <c r="K25" s="123" t="s">
        <v>84</v>
      </c>
      <c r="L25" s="123"/>
      <c r="M25" s="129" t="s">
        <v>90</v>
      </c>
      <c r="N25" s="123" t="s">
        <v>74</v>
      </c>
      <c r="O25" s="123" t="s">
        <v>169</v>
      </c>
      <c r="P25" s="123" t="s">
        <v>92</v>
      </c>
      <c r="Q25" s="123" t="s">
        <v>91</v>
      </c>
      <c r="R25" s="123" t="s">
        <v>89</v>
      </c>
      <c r="S25" s="124">
        <f t="shared" si="14"/>
        <v>6</v>
      </c>
      <c r="T25" s="27">
        <f t="shared" si="15"/>
        <v>709.5</v>
      </c>
      <c r="U25" s="28">
        <f>+H64</f>
        <v>428</v>
      </c>
      <c r="V25" s="44">
        <f t="shared" si="16"/>
        <v>39.813953488372093</v>
      </c>
      <c r="W25" s="45">
        <f t="shared" si="17"/>
        <v>0.60324171952078931</v>
      </c>
      <c r="X25" s="46">
        <f>+K64</f>
        <v>369.99</v>
      </c>
      <c r="Y25" s="29">
        <f t="shared" si="18"/>
        <v>34.417674418604655</v>
      </c>
      <c r="Z25" s="47">
        <f t="shared" si="19"/>
        <v>0.52147991543340377</v>
      </c>
      <c r="AA25" s="48">
        <f t="shared" si="20"/>
        <v>30.162085976039464</v>
      </c>
      <c r="AB25" s="49">
        <f t="shared" si="21"/>
        <v>28.394581395348837</v>
      </c>
      <c r="AC25" s="384">
        <f t="shared" si="22"/>
        <v>58.556667371388301</v>
      </c>
      <c r="AD25" s="161" t="str">
        <f t="shared" si="23"/>
        <v xml:space="preserve"> 사유?→</v>
      </c>
      <c r="AE25" s="160" t="s">
        <v>300</v>
      </c>
      <c r="AF25" s="37">
        <f>AG25-F25</f>
        <v>-10.75</v>
      </c>
      <c r="AG25" s="38">
        <f>AN25</f>
        <v>0</v>
      </c>
      <c r="AH25" s="382" t="s">
        <v>36</v>
      </c>
      <c r="AI25" s="39"/>
      <c r="AJ25" s="40">
        <f>IFERROR(Z25/W25*1000,"")</f>
        <v>864.46261682242982</v>
      </c>
      <c r="AK25" s="39"/>
      <c r="AL25" s="41"/>
      <c r="AM25" s="41"/>
      <c r="AN25" s="41"/>
      <c r="AP25" s="382">
        <f t="shared" si="24"/>
        <v>-10.75</v>
      </c>
      <c r="AQ25" s="42"/>
    </row>
    <row r="26" spans="2:43" s="382" customFormat="1" ht="115.5" customHeight="1" x14ac:dyDescent="0.3">
      <c r="B26" s="421"/>
      <c r="C26" s="24">
        <f t="shared" si="12"/>
        <v>23</v>
      </c>
      <c r="D26" s="43" t="s">
        <v>35</v>
      </c>
      <c r="E26" s="26" t="s">
        <v>28</v>
      </c>
      <c r="F26" s="25">
        <v>11</v>
      </c>
      <c r="G26" s="124">
        <v>285</v>
      </c>
      <c r="H26" s="124">
        <f t="shared" si="13"/>
        <v>78.296703296703299</v>
      </c>
      <c r="I26" s="123" t="s">
        <v>78</v>
      </c>
      <c r="J26" s="123" t="s">
        <v>88</v>
      </c>
      <c r="K26" s="123" t="s">
        <v>84</v>
      </c>
      <c r="L26" s="123"/>
      <c r="M26" s="129" t="s">
        <v>90</v>
      </c>
      <c r="N26" s="123" t="s">
        <v>74</v>
      </c>
      <c r="O26" s="123" t="s">
        <v>169</v>
      </c>
      <c r="P26" s="123" t="s">
        <v>92</v>
      </c>
      <c r="Q26" s="123" t="s">
        <v>91</v>
      </c>
      <c r="R26" s="123" t="s">
        <v>89</v>
      </c>
      <c r="S26" s="124">
        <f t="shared" si="14"/>
        <v>6</v>
      </c>
      <c r="T26" s="27">
        <f t="shared" si="15"/>
        <v>726</v>
      </c>
      <c r="U26" s="28">
        <f>+H67</f>
        <v>364</v>
      </c>
      <c r="V26" s="44">
        <f t="shared" si="16"/>
        <v>33.090909090909093</v>
      </c>
      <c r="W26" s="45">
        <f t="shared" si="17"/>
        <v>0.50137741046831952</v>
      </c>
      <c r="X26" s="46">
        <f>+K67</f>
        <v>374.6</v>
      </c>
      <c r="Y26" s="44">
        <f t="shared" si="18"/>
        <v>34.054545454545455</v>
      </c>
      <c r="Z26" s="47">
        <f t="shared" si="19"/>
        <v>0.51597796143250696</v>
      </c>
      <c r="AA26" s="48">
        <f t="shared" si="20"/>
        <v>25.068870523415974</v>
      </c>
      <c r="AB26" s="49">
        <f t="shared" si="21"/>
        <v>28.095000000000006</v>
      </c>
      <c r="AC26" s="384">
        <f t="shared" si="22"/>
        <v>53.16387052341598</v>
      </c>
      <c r="AD26" s="161" t="str">
        <f t="shared" si="23"/>
        <v xml:space="preserve"> 사유?→</v>
      </c>
      <c r="AE26" s="160" t="s">
        <v>299</v>
      </c>
      <c r="AF26" s="37">
        <f>AG26-F26</f>
        <v>-11</v>
      </c>
      <c r="AG26" s="38">
        <f>AN26</f>
        <v>0</v>
      </c>
      <c r="AH26" s="382" t="s">
        <v>33</v>
      </c>
      <c r="AI26" s="39"/>
      <c r="AJ26" s="40">
        <f>IFERROR(Z26/W26*1000,"")</f>
        <v>1029.1208791208794</v>
      </c>
      <c r="AK26" s="39"/>
      <c r="AL26" s="41"/>
      <c r="AM26" s="41"/>
      <c r="AN26" s="41"/>
      <c r="AP26" s="382">
        <f t="shared" si="24"/>
        <v>-11</v>
      </c>
      <c r="AQ26" s="42"/>
    </row>
    <row r="27" spans="2:43" s="382" customFormat="1" ht="104.25" customHeight="1" x14ac:dyDescent="0.3">
      <c r="B27" s="421"/>
      <c r="C27" s="24">
        <f t="shared" si="12"/>
        <v>24</v>
      </c>
      <c r="D27" s="43" t="s">
        <v>37</v>
      </c>
      <c r="E27" s="26" t="s">
        <v>28</v>
      </c>
      <c r="F27" s="25">
        <v>11</v>
      </c>
      <c r="G27" s="125">
        <v>451</v>
      </c>
      <c r="H27" s="130">
        <f t="shared" si="13"/>
        <v>98.471615720524014</v>
      </c>
      <c r="I27" s="123" t="s">
        <v>78</v>
      </c>
      <c r="J27" s="123" t="s">
        <v>88</v>
      </c>
      <c r="K27" s="123" t="s">
        <v>84</v>
      </c>
      <c r="L27" s="123"/>
      <c r="M27" s="129" t="s">
        <v>90</v>
      </c>
      <c r="N27" s="123" t="s">
        <v>74</v>
      </c>
      <c r="O27" s="123" t="s">
        <v>169</v>
      </c>
      <c r="P27" s="123" t="s">
        <v>92</v>
      </c>
      <c r="Q27" s="123" t="s">
        <v>91</v>
      </c>
      <c r="R27" s="123" t="s">
        <v>89</v>
      </c>
      <c r="S27" s="125">
        <f t="shared" si="14"/>
        <v>6</v>
      </c>
      <c r="T27" s="27">
        <f t="shared" si="15"/>
        <v>726</v>
      </c>
      <c r="U27" s="28">
        <f>+H70</f>
        <v>458</v>
      </c>
      <c r="V27" s="44">
        <f t="shared" si="16"/>
        <v>41.636363636363633</v>
      </c>
      <c r="W27" s="45">
        <f t="shared" si="17"/>
        <v>0.63085399449035817</v>
      </c>
      <c r="X27" s="46">
        <f>+K70</f>
        <v>328.77</v>
      </c>
      <c r="Y27" s="44">
        <f t="shared" si="18"/>
        <v>29.888181818181817</v>
      </c>
      <c r="Z27" s="47">
        <f t="shared" si="19"/>
        <v>0.45285123966942148</v>
      </c>
      <c r="AA27" s="48">
        <f t="shared" si="20"/>
        <v>31.542699724517909</v>
      </c>
      <c r="AB27" s="49">
        <f t="shared" si="21"/>
        <v>24.65775</v>
      </c>
      <c r="AC27" s="384">
        <f t="shared" si="22"/>
        <v>56.20044972451791</v>
      </c>
      <c r="AD27" s="161" t="str">
        <f t="shared" si="23"/>
        <v xml:space="preserve"> 사유?→</v>
      </c>
      <c r="AE27" s="160" t="s">
        <v>304</v>
      </c>
      <c r="AF27" s="37">
        <f>AG27-F27</f>
        <v>-11</v>
      </c>
      <c r="AG27" s="38">
        <f>AN27</f>
        <v>0</v>
      </c>
      <c r="AH27" s="382" t="s">
        <v>46</v>
      </c>
      <c r="AI27" s="39"/>
      <c r="AJ27" s="40">
        <f>IFERROR(Z27/W27*1000,"")</f>
        <v>717.83842794759823</v>
      </c>
      <c r="AL27" s="41"/>
      <c r="AM27" s="41"/>
      <c r="AN27" s="41"/>
      <c r="AP27" s="382">
        <f t="shared" si="24"/>
        <v>-11</v>
      </c>
      <c r="AQ27" s="42"/>
    </row>
    <row r="28" spans="2:43" s="382" customFormat="1" ht="104.25" customHeight="1" x14ac:dyDescent="0.3">
      <c r="B28" s="421"/>
      <c r="C28" s="24">
        <f t="shared" si="12"/>
        <v>25</v>
      </c>
      <c r="D28" s="43" t="s">
        <v>47</v>
      </c>
      <c r="E28" s="26" t="s">
        <v>36</v>
      </c>
      <c r="F28" s="25">
        <v>8</v>
      </c>
      <c r="G28" s="124">
        <v>430</v>
      </c>
      <c r="H28" s="124">
        <f t="shared" si="13"/>
        <v>99.537037037037038</v>
      </c>
      <c r="I28" s="123" t="s">
        <v>78</v>
      </c>
      <c r="J28" s="123" t="s">
        <v>88</v>
      </c>
      <c r="K28" s="123" t="s">
        <v>84</v>
      </c>
      <c r="L28" s="123"/>
      <c r="M28" s="244" t="s">
        <v>104</v>
      </c>
      <c r="N28" s="123" t="s">
        <v>301</v>
      </c>
      <c r="O28" s="123"/>
      <c r="P28" s="123" t="s">
        <v>92</v>
      </c>
      <c r="Q28" s="123" t="s">
        <v>91</v>
      </c>
      <c r="R28" s="123" t="s">
        <v>89</v>
      </c>
      <c r="S28" s="124">
        <f t="shared" si="14"/>
        <v>5.5</v>
      </c>
      <c r="T28" s="375">
        <f t="shared" si="15"/>
        <v>528</v>
      </c>
      <c r="U28" s="28">
        <f>+H73</f>
        <v>432</v>
      </c>
      <c r="V28" s="29">
        <f t="shared" si="16"/>
        <v>54</v>
      </c>
      <c r="W28" s="30">
        <f t="shared" si="17"/>
        <v>0.81818181818181823</v>
      </c>
      <c r="X28" s="31">
        <f>+K73</f>
        <v>499.12000000000006</v>
      </c>
      <c r="Y28" s="44">
        <f t="shared" si="18"/>
        <v>62.390000000000008</v>
      </c>
      <c r="Z28" s="47">
        <f t="shared" si="19"/>
        <v>0.94530303030303042</v>
      </c>
      <c r="AA28" s="48">
        <f t="shared" si="20"/>
        <v>40.909090909090914</v>
      </c>
      <c r="AB28" s="49">
        <f t="shared" si="21"/>
        <v>51.471750000000007</v>
      </c>
      <c r="AC28" s="384">
        <f t="shared" si="22"/>
        <v>92.380840909090921</v>
      </c>
      <c r="AD28" s="50" t="str">
        <f t="shared" si="23"/>
        <v>90~99</v>
      </c>
      <c r="AE28" s="36"/>
      <c r="AF28" s="37"/>
      <c r="AG28" s="38"/>
      <c r="AI28" s="39"/>
      <c r="AJ28" s="40"/>
      <c r="AL28" s="41"/>
      <c r="AM28" s="41"/>
      <c r="AN28" s="41"/>
      <c r="AP28" s="382">
        <f t="shared" si="24"/>
        <v>-8</v>
      </c>
      <c r="AQ28" s="42"/>
    </row>
    <row r="29" spans="2:43" s="382" customFormat="1" ht="36" customHeight="1" x14ac:dyDescent="0.3">
      <c r="B29" s="422" t="s">
        <v>39</v>
      </c>
      <c r="C29" s="423"/>
      <c r="D29" s="423"/>
      <c r="E29" s="424"/>
      <c r="F29" s="43">
        <f>SUM(F23:F28)</f>
        <v>62.75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4141.5</v>
      </c>
      <c r="U29" s="53">
        <f>SUM(U23:U28)</f>
        <v>2750</v>
      </c>
      <c r="V29" s="54">
        <f>U29/F29</f>
        <v>43.82470119521912</v>
      </c>
      <c r="W29" s="45">
        <f t="shared" si="17"/>
        <v>0.66401062416998669</v>
      </c>
      <c r="X29" s="55">
        <f>SUM(X23:X28)</f>
        <v>2499.04</v>
      </c>
      <c r="Y29" s="44">
        <f>X29/F29</f>
        <v>39.825338645418327</v>
      </c>
      <c r="Z29" s="47">
        <f t="shared" si="19"/>
        <v>0.60341422190027771</v>
      </c>
      <c r="AA29" s="56">
        <f>U29/T29*AA20</f>
        <v>33.200531208499335</v>
      </c>
      <c r="AB29" s="57">
        <f>X29/T29*AB20</f>
        <v>32.855904382470122</v>
      </c>
      <c r="AC29" s="385">
        <f t="shared" si="22"/>
        <v>66.056435590969457</v>
      </c>
      <c r="AD29" s="162" t="str">
        <f t="shared" si="23"/>
        <v xml:space="preserve"> 사유?→</v>
      </c>
      <c r="AE29" s="43"/>
      <c r="AF29" s="37">
        <f>AG29-F29</f>
        <v>-62.75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10.458333333333334</v>
      </c>
      <c r="G30" s="379"/>
      <c r="H30" s="379"/>
      <c r="I30" s="379"/>
      <c r="J30" s="379"/>
      <c r="K30" s="379"/>
      <c r="L30" s="379"/>
      <c r="M30" s="379"/>
      <c r="N30" s="379"/>
      <c r="O30" s="379"/>
      <c r="P30" s="379"/>
      <c r="Q30" s="379"/>
      <c r="R30" s="379"/>
      <c r="S30" s="379"/>
      <c r="T30" s="379"/>
      <c r="U30" s="61">
        <f>V30*F30</f>
        <v>458.33333333333331</v>
      </c>
      <c r="V30" s="62">
        <f>U29/F29</f>
        <v>43.82470119521912</v>
      </c>
      <c r="W30" s="63">
        <f>IFERROR(U30/#REF!,0)</f>
        <v>0</v>
      </c>
      <c r="X30" s="64">
        <f>X29/F29*F30</f>
        <v>416.50666666666672</v>
      </c>
      <c r="Y30" s="62">
        <f>IF(F30=0,"휴무",X30/F30)</f>
        <v>39.825338645418327</v>
      </c>
      <c r="Z30" s="65">
        <f>IFERROR(X30/#REF!,0)</f>
        <v>0</v>
      </c>
      <c r="AA30" s="60">
        <f>AVERAGE(AA23:AA28)</f>
        <v>33.539411023554784</v>
      </c>
      <c r="AB30" s="60">
        <f>AVERAGE(AB23:AB28)</f>
        <v>33.685180232558139</v>
      </c>
      <c r="AC30" s="141">
        <f>AA30+AB30</f>
        <v>67.224591256112916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382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20</v>
      </c>
      <c r="F36" s="455" t="s">
        <v>7</v>
      </c>
      <c r="G36" s="82" t="s">
        <v>48</v>
      </c>
      <c r="H36" s="83">
        <v>609</v>
      </c>
      <c r="I36" s="84"/>
      <c r="J36" s="85"/>
      <c r="K36" s="86">
        <v>481.35</v>
      </c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609</v>
      </c>
      <c r="I38" s="88"/>
      <c r="J38" s="89"/>
      <c r="K38" s="90">
        <f>+K36+K37*2</f>
        <v>481.35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21</v>
      </c>
      <c r="F39" s="455" t="s">
        <v>52</v>
      </c>
      <c r="G39" s="82" t="s">
        <v>48</v>
      </c>
      <c r="H39" s="83">
        <f>523-28</f>
        <v>495</v>
      </c>
      <c r="I39" s="84"/>
      <c r="J39" s="85"/>
      <c r="K39" s="86">
        <f>451.08-36.84</f>
        <v>414.24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>
        <v>28</v>
      </c>
      <c r="I40" s="84"/>
      <c r="J40" s="85"/>
      <c r="K40" s="86">
        <v>36.840000000000003</v>
      </c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551</v>
      </c>
      <c r="I41" s="88"/>
      <c r="J41" s="89"/>
      <c r="K41" s="90">
        <f>+K39+K40*2</f>
        <v>487.92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22</v>
      </c>
      <c r="F42" s="455" t="s">
        <v>53</v>
      </c>
      <c r="G42" s="82" t="s">
        <v>48</v>
      </c>
      <c r="H42" s="83">
        <f>232-64+22</f>
        <v>190</v>
      </c>
      <c r="I42" s="84"/>
      <c r="J42" s="85"/>
      <c r="K42" s="86">
        <f>262.34-110.02+41.3</f>
        <v>193.62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>
        <v>64</v>
      </c>
      <c r="I43" s="84"/>
      <c r="J43" s="85"/>
      <c r="K43" s="86">
        <v>110.02</v>
      </c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318</v>
      </c>
      <c r="I44" s="88"/>
      <c r="J44" s="89"/>
      <c r="K44" s="90">
        <f>+K42+K43*2</f>
        <v>413.65999999999997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23</v>
      </c>
      <c r="F45" s="455" t="s">
        <v>55</v>
      </c>
      <c r="G45" s="82" t="s">
        <v>48</v>
      </c>
      <c r="H45" s="83">
        <f>378-45</f>
        <v>333</v>
      </c>
      <c r="I45" s="84"/>
      <c r="J45" s="85"/>
      <c r="K45" s="86">
        <f>371.88-101.97</f>
        <v>269.90999999999997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>
        <v>45</v>
      </c>
      <c r="I46" s="84"/>
      <c r="J46" s="85"/>
      <c r="K46" s="86">
        <v>101.97</v>
      </c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423</v>
      </c>
      <c r="I47" s="88"/>
      <c r="J47" s="89"/>
      <c r="K47" s="90">
        <f>+K45+K46*2</f>
        <v>473.84999999999997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24</v>
      </c>
      <c r="F48" s="455" t="s">
        <v>56</v>
      </c>
      <c r="G48" s="82" t="s">
        <v>48</v>
      </c>
      <c r="H48" s="83">
        <v>565</v>
      </c>
      <c r="I48" s="84"/>
      <c r="J48" s="85"/>
      <c r="K48" s="86">
        <v>434.12</v>
      </c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565</v>
      </c>
      <c r="I50" s="88"/>
      <c r="J50" s="89"/>
      <c r="K50" s="90">
        <f>+K48+K49*2</f>
        <v>434.12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25</v>
      </c>
      <c r="F51" s="455" t="s">
        <v>38</v>
      </c>
      <c r="G51" s="82" t="s">
        <v>48</v>
      </c>
      <c r="H51" s="83">
        <f>363-9</f>
        <v>354</v>
      </c>
      <c r="I51" s="84"/>
      <c r="J51" s="85"/>
      <c r="K51" s="86">
        <f>315.29-17.05</f>
        <v>298.24</v>
      </c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>
        <v>9</v>
      </c>
      <c r="I52" s="84"/>
      <c r="J52" s="85"/>
      <c r="K52" s="86">
        <v>17.05</v>
      </c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372</v>
      </c>
      <c r="I53" s="88"/>
      <c r="J53" s="89"/>
      <c r="K53" s="90">
        <f>+K51+K52*2</f>
        <v>332.34000000000003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20</v>
      </c>
      <c r="F56" s="455" t="s">
        <v>7</v>
      </c>
      <c r="G56" s="82" t="s">
        <v>48</v>
      </c>
      <c r="H56" s="83">
        <v>586</v>
      </c>
      <c r="I56" s="84"/>
      <c r="J56" s="85"/>
      <c r="K56" s="86">
        <v>497.28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/>
      <c r="I57" s="84"/>
      <c r="J57" s="85"/>
      <c r="K57" s="86"/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586</v>
      </c>
      <c r="I58" s="88"/>
      <c r="J58" s="89"/>
      <c r="K58" s="90">
        <f>+K56+K57*2</f>
        <v>497.28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21</v>
      </c>
      <c r="F59" s="455" t="s">
        <v>52</v>
      </c>
      <c r="G59" s="82" t="s">
        <v>48</v>
      </c>
      <c r="H59" s="83">
        <v>482</v>
      </c>
      <c r="I59" s="84"/>
      <c r="J59" s="85"/>
      <c r="K59" s="86">
        <v>429.28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/>
      <c r="I60" s="84"/>
      <c r="J60" s="85"/>
      <c r="K60" s="86"/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482</v>
      </c>
      <c r="I61" s="88"/>
      <c r="J61" s="89"/>
      <c r="K61" s="90">
        <f>+K59+K60*2</f>
        <v>429.28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22</v>
      </c>
      <c r="F62" s="455" t="s">
        <v>53</v>
      </c>
      <c r="G62" s="82" t="s">
        <v>48</v>
      </c>
      <c r="H62" s="83">
        <f>373-43</f>
        <v>330</v>
      </c>
      <c r="I62" s="84"/>
      <c r="J62" s="85"/>
      <c r="K62" s="86">
        <f>345.94-3.01-21.04</f>
        <v>321.89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>
        <f>6+43</f>
        <v>49</v>
      </c>
      <c r="I63" s="84"/>
      <c r="J63" s="85"/>
      <c r="K63" s="86">
        <f>3.01+21.04</f>
        <v>24.049999999999997</v>
      </c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428</v>
      </c>
      <c r="I64" s="88"/>
      <c r="J64" s="89"/>
      <c r="K64" s="90">
        <f>+K62+K63*2</f>
        <v>369.99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23</v>
      </c>
      <c r="F65" s="455" t="s">
        <v>55</v>
      </c>
      <c r="G65" s="82" t="s">
        <v>48</v>
      </c>
      <c r="H65" s="83">
        <f>285-79</f>
        <v>206</v>
      </c>
      <c r="I65" s="84"/>
      <c r="J65" s="85"/>
      <c r="K65" s="86">
        <f>301.3-73.3</f>
        <v>228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>
        <v>79</v>
      </c>
      <c r="I66" s="84"/>
      <c r="J66" s="85"/>
      <c r="K66" s="86">
        <v>73.3</v>
      </c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364</v>
      </c>
      <c r="I67" s="88"/>
      <c r="J67" s="89"/>
      <c r="K67" s="90">
        <f>+K65+K66*2</f>
        <v>374.6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24</v>
      </c>
      <c r="F68" s="455" t="s">
        <v>56</v>
      </c>
      <c r="G68" s="82" t="s">
        <v>48</v>
      </c>
      <c r="H68" s="83">
        <v>454</v>
      </c>
      <c r="I68" s="84"/>
      <c r="J68" s="85"/>
      <c r="K68" s="86">
        <f>321.61-7.16</f>
        <v>314.45</v>
      </c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>
        <v>2</v>
      </c>
      <c r="I69" s="84"/>
      <c r="J69" s="85"/>
      <c r="K69" s="86">
        <f>4.01+3.15</f>
        <v>7.16</v>
      </c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458</v>
      </c>
      <c r="I70" s="88"/>
      <c r="J70" s="89"/>
      <c r="K70" s="90">
        <f>+K68+K69*2</f>
        <v>328.77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25</v>
      </c>
      <c r="F71" s="455" t="s">
        <v>38</v>
      </c>
      <c r="G71" s="82" t="s">
        <v>48</v>
      </c>
      <c r="H71" s="83">
        <v>428</v>
      </c>
      <c r="I71" s="84"/>
      <c r="J71" s="85"/>
      <c r="K71" s="86">
        <f>497.66-1.46</f>
        <v>496.20000000000005</v>
      </c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>
        <v>2</v>
      </c>
      <c r="I72" s="84"/>
      <c r="J72" s="85"/>
      <c r="K72" s="86">
        <v>1.46</v>
      </c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432</v>
      </c>
      <c r="I73" s="88"/>
      <c r="J73" s="89"/>
      <c r="K73" s="90">
        <f>+K71+K72*2</f>
        <v>499.12000000000006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376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5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6">IF(F80=0,"휴무",AA80+AB80)</f>
        <v>#REF!</v>
      </c>
      <c r="AD80" s="103" t="e">
        <f t="shared" ref="AD80:AD85" si="27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382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382"/>
      <c r="AP80" s="382">
        <f>AO80-F80</f>
        <v>-10</v>
      </c>
    </row>
    <row r="81" spans="2:42" ht="98.25" customHeight="1" x14ac:dyDescent="0.3">
      <c r="B81" s="459"/>
      <c r="C81" s="92">
        <v>20</v>
      </c>
      <c r="D81" s="381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5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6"/>
        <v>#REF!</v>
      </c>
      <c r="AD81" s="108" t="e">
        <f t="shared" si="27"/>
        <v>#REF!</v>
      </c>
      <c r="AE81" s="109"/>
      <c r="AF81" s="37">
        <f>AG81-F81</f>
        <v>-10</v>
      </c>
      <c r="AG81" s="38">
        <f>AN81</f>
        <v>0</v>
      </c>
      <c r="AH81" s="382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382"/>
      <c r="AP81" s="382">
        <f>AO81-F81</f>
        <v>-10</v>
      </c>
    </row>
    <row r="82" spans="2:42" ht="98.25" customHeight="1" x14ac:dyDescent="0.3">
      <c r="B82" s="459"/>
      <c r="C82" s="92">
        <v>21</v>
      </c>
      <c r="D82" s="381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5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6"/>
        <v>#REF!</v>
      </c>
      <c r="AD82" s="108" t="e">
        <f t="shared" si="27"/>
        <v>#REF!</v>
      </c>
      <c r="AE82" s="109"/>
      <c r="AF82" s="37">
        <f>AG82-F82</f>
        <v>-10</v>
      </c>
      <c r="AG82" s="38">
        <f>AN82</f>
        <v>0</v>
      </c>
      <c r="AH82" s="382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382"/>
      <c r="AP82" s="382">
        <f>AO82-F82</f>
        <v>-10</v>
      </c>
    </row>
    <row r="83" spans="2:42" ht="98.25" customHeight="1" x14ac:dyDescent="0.3">
      <c r="B83" s="459"/>
      <c r="C83" s="92">
        <v>22</v>
      </c>
      <c r="D83" s="381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5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6"/>
        <v>#REF!</v>
      </c>
      <c r="AD83" s="110" t="e">
        <f t="shared" si="27"/>
        <v>#REF!</v>
      </c>
      <c r="AE83" s="104"/>
      <c r="AF83" s="37">
        <f>AG83-F83</f>
        <v>-10</v>
      </c>
      <c r="AG83" s="38">
        <f>AN83</f>
        <v>0</v>
      </c>
      <c r="AH83" s="382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382"/>
      <c r="AP83" s="382">
        <f>AO83-F83</f>
        <v>-10</v>
      </c>
    </row>
    <row r="84" spans="2:42" ht="98.25" customHeight="1" x14ac:dyDescent="0.3">
      <c r="B84" s="459"/>
      <c r="C84" s="92">
        <v>23</v>
      </c>
      <c r="D84" s="381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5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6"/>
        <v>#REF!</v>
      </c>
      <c r="AD84" s="110" t="e">
        <f t="shared" si="27"/>
        <v>#REF!</v>
      </c>
      <c r="AE84" s="104"/>
      <c r="AF84" s="37">
        <f>AG84-F84</f>
        <v>-10</v>
      </c>
      <c r="AG84" s="38">
        <f>AN84</f>
        <v>0</v>
      </c>
      <c r="AH84" s="382" t="s">
        <v>46</v>
      </c>
      <c r="AI84" s="39"/>
      <c r="AJ84" s="40" t="str">
        <f>IFERROR(Z84/W84*1000,"")</f>
        <v/>
      </c>
      <c r="AK84" s="382"/>
      <c r="AL84" s="41"/>
      <c r="AM84" s="41"/>
      <c r="AN84" s="41"/>
      <c r="AO84" s="382"/>
      <c r="AP84" s="382">
        <f>AO84-F84</f>
        <v>-10</v>
      </c>
    </row>
    <row r="85" spans="2:42" ht="98.25" customHeight="1" x14ac:dyDescent="0.3">
      <c r="B85" s="459"/>
      <c r="C85" s="92">
        <v>25</v>
      </c>
      <c r="D85" s="381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379"/>
      <c r="H85" s="379"/>
      <c r="I85" s="379"/>
      <c r="J85" s="379"/>
      <c r="K85" s="379"/>
      <c r="L85" s="379"/>
      <c r="M85" s="379"/>
      <c r="N85" s="379"/>
      <c r="O85" s="379"/>
      <c r="P85" s="379"/>
      <c r="Q85" s="379"/>
      <c r="R85" s="379"/>
      <c r="S85" s="379"/>
      <c r="T85" s="379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5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6"/>
        <v>휴무</v>
      </c>
      <c r="AD85" s="110" t="str">
        <f t="shared" si="27"/>
        <v>휴무</v>
      </c>
      <c r="AE85" s="104"/>
      <c r="AF85" s="37"/>
      <c r="AG85" s="38"/>
      <c r="AH85" s="382"/>
      <c r="AI85" s="39"/>
      <c r="AJ85" s="40"/>
      <c r="AK85" s="382"/>
      <c r="AL85" s="41"/>
      <c r="AM85" s="41"/>
      <c r="AN85" s="41"/>
      <c r="AO85" s="382"/>
      <c r="AP85" s="382"/>
    </row>
    <row r="86" spans="2:42" ht="36" customHeight="1" x14ac:dyDescent="0.3">
      <c r="B86" s="460" t="s">
        <v>39</v>
      </c>
      <c r="C86" s="461"/>
      <c r="D86" s="461"/>
      <c r="E86" s="462"/>
      <c r="F86" s="381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381"/>
      <c r="AB86" s="378"/>
      <c r="AC86" s="114"/>
      <c r="AD86" s="115"/>
      <c r="AE86" s="380"/>
      <c r="AF86" s="37">
        <f>AG86-F86</f>
        <v>-50</v>
      </c>
      <c r="AG86" s="38">
        <f>SUM(AG80:AG85)</f>
        <v>0</v>
      </c>
      <c r="AH86" s="382"/>
      <c r="AI86" s="382"/>
      <c r="AJ86" s="40"/>
      <c r="AK86" s="382"/>
      <c r="AL86" s="59"/>
      <c r="AM86" s="59"/>
      <c r="AN86" s="59"/>
      <c r="AO86" s="382"/>
      <c r="AP86" s="382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379"/>
      <c r="H87" s="379"/>
      <c r="I87" s="379"/>
      <c r="J87" s="379"/>
      <c r="K87" s="379"/>
      <c r="L87" s="379"/>
      <c r="M87" s="379"/>
      <c r="N87" s="379"/>
      <c r="O87" s="379"/>
      <c r="P87" s="379"/>
      <c r="Q87" s="379"/>
      <c r="R87" s="379"/>
      <c r="S87" s="379"/>
      <c r="T87" s="379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382"/>
      <c r="AE88" s="382"/>
      <c r="AF88" s="382"/>
      <c r="AG88" s="382"/>
      <c r="AH88" s="382"/>
      <c r="AI88" s="382"/>
      <c r="AJ88" s="382"/>
      <c r="AK88" s="382"/>
      <c r="AL88" s="59"/>
      <c r="AM88" s="59"/>
      <c r="AN88" s="59"/>
      <c r="AO88" s="382"/>
      <c r="AP88" s="382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381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381" t="s">
        <v>63</v>
      </c>
      <c r="D117" s="466" t="s">
        <v>12</v>
      </c>
      <c r="E117" s="466"/>
      <c r="F117" s="381" t="s">
        <v>64</v>
      </c>
      <c r="G117" s="381"/>
      <c r="H117" s="381"/>
      <c r="I117" s="381"/>
      <c r="J117" s="381"/>
      <c r="K117" s="381"/>
      <c r="L117" s="381"/>
      <c r="M117" s="381"/>
      <c r="N117" s="381"/>
      <c r="O117" s="381"/>
      <c r="P117" s="381"/>
      <c r="Q117" s="381"/>
      <c r="R117" s="381"/>
      <c r="S117" s="381"/>
      <c r="T117" s="381"/>
      <c r="U117" s="381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381"/>
      <c r="G118" s="381"/>
      <c r="H118" s="381"/>
      <c r="I118" s="381"/>
      <c r="J118" s="381"/>
      <c r="K118" s="381"/>
      <c r="L118" s="381"/>
      <c r="M118" s="381"/>
      <c r="N118" s="381"/>
      <c r="O118" s="381"/>
      <c r="P118" s="381"/>
      <c r="Q118" s="381"/>
      <c r="R118" s="381"/>
      <c r="S118" s="381"/>
      <c r="T118" s="381"/>
      <c r="U118" s="381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381"/>
      <c r="G119" s="381"/>
      <c r="H119" s="381"/>
      <c r="I119" s="381"/>
      <c r="J119" s="381"/>
      <c r="K119" s="381"/>
      <c r="L119" s="381"/>
      <c r="M119" s="381"/>
      <c r="N119" s="381"/>
      <c r="O119" s="381"/>
      <c r="P119" s="381"/>
      <c r="Q119" s="381"/>
      <c r="R119" s="381"/>
      <c r="S119" s="381"/>
      <c r="T119" s="381"/>
      <c r="U119" s="381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381"/>
      <c r="G120" s="381"/>
      <c r="H120" s="381"/>
      <c r="I120" s="381"/>
      <c r="J120" s="381"/>
      <c r="K120" s="381"/>
      <c r="L120" s="381"/>
      <c r="M120" s="381"/>
      <c r="N120" s="381"/>
      <c r="O120" s="381"/>
      <c r="P120" s="381"/>
      <c r="Q120" s="381"/>
      <c r="R120" s="381"/>
      <c r="S120" s="381"/>
      <c r="T120" s="381"/>
      <c r="U120" s="381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381"/>
      <c r="G121" s="381"/>
      <c r="H121" s="381"/>
      <c r="I121" s="381"/>
      <c r="J121" s="381"/>
      <c r="K121" s="381"/>
      <c r="L121" s="381"/>
      <c r="M121" s="381"/>
      <c r="N121" s="381"/>
      <c r="O121" s="381"/>
      <c r="P121" s="381"/>
      <c r="Q121" s="381"/>
      <c r="R121" s="381"/>
      <c r="S121" s="381"/>
      <c r="T121" s="381"/>
      <c r="U121" s="381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381"/>
      <c r="G122" s="381"/>
      <c r="H122" s="381"/>
      <c r="I122" s="381"/>
      <c r="J122" s="381"/>
      <c r="K122" s="381"/>
      <c r="L122" s="381"/>
      <c r="M122" s="381"/>
      <c r="N122" s="381"/>
      <c r="O122" s="381"/>
      <c r="P122" s="381"/>
      <c r="Q122" s="381"/>
      <c r="R122" s="381"/>
      <c r="S122" s="381"/>
      <c r="T122" s="381"/>
      <c r="U122" s="381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381"/>
      <c r="G123" s="381"/>
      <c r="H123" s="381"/>
      <c r="I123" s="381"/>
      <c r="J123" s="381"/>
      <c r="K123" s="381"/>
      <c r="L123" s="381"/>
      <c r="M123" s="381"/>
      <c r="N123" s="381"/>
      <c r="O123" s="381"/>
      <c r="P123" s="381"/>
      <c r="Q123" s="381"/>
      <c r="R123" s="381"/>
      <c r="S123" s="381"/>
      <c r="T123" s="381"/>
      <c r="U123" s="381"/>
      <c r="V123" s="117"/>
      <c r="W123" s="118"/>
      <c r="X123" s="116"/>
      <c r="Y123" s="117"/>
      <c r="Z123" s="116"/>
      <c r="AA123" s="116"/>
    </row>
    <row r="124" spans="3:27" x14ac:dyDescent="0.3">
      <c r="C124" s="381"/>
      <c r="D124" s="460"/>
      <c r="E124" s="462"/>
      <c r="F124" s="381"/>
      <c r="G124" s="381"/>
      <c r="H124" s="381"/>
      <c r="I124" s="381"/>
      <c r="J124" s="381"/>
      <c r="K124" s="381"/>
      <c r="L124" s="381"/>
      <c r="M124" s="381"/>
      <c r="N124" s="381"/>
      <c r="O124" s="381"/>
      <c r="P124" s="381"/>
      <c r="Q124" s="381"/>
      <c r="R124" s="381"/>
      <c r="S124" s="381"/>
      <c r="T124" s="381"/>
      <c r="U124" s="381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381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381" t="s">
        <v>63</v>
      </c>
      <c r="D127" s="466" t="s">
        <v>12</v>
      </c>
      <c r="E127" s="466"/>
      <c r="F127" s="381" t="s">
        <v>64</v>
      </c>
      <c r="G127" s="381"/>
      <c r="H127" s="381"/>
      <c r="I127" s="381"/>
      <c r="J127" s="381"/>
      <c r="K127" s="381"/>
      <c r="L127" s="381"/>
      <c r="M127" s="381"/>
      <c r="N127" s="381"/>
      <c r="O127" s="381"/>
      <c r="P127" s="381"/>
      <c r="Q127" s="381"/>
      <c r="R127" s="381"/>
      <c r="S127" s="381"/>
      <c r="T127" s="381"/>
      <c r="U127" s="381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381"/>
      <c r="G128" s="381"/>
      <c r="H128" s="381"/>
      <c r="I128" s="381"/>
      <c r="J128" s="381"/>
      <c r="K128" s="381"/>
      <c r="L128" s="381"/>
      <c r="M128" s="381"/>
      <c r="N128" s="381"/>
      <c r="O128" s="381"/>
      <c r="P128" s="381"/>
      <c r="Q128" s="381"/>
      <c r="R128" s="381"/>
      <c r="S128" s="381"/>
      <c r="T128" s="381"/>
      <c r="U128" s="381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381"/>
      <c r="G129" s="381"/>
      <c r="H129" s="381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381"/>
      <c r="U129" s="381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381"/>
      <c r="G130" s="381"/>
      <c r="H130" s="381"/>
      <c r="I130" s="381"/>
      <c r="J130" s="381"/>
      <c r="K130" s="381"/>
      <c r="L130" s="381"/>
      <c r="M130" s="381"/>
      <c r="N130" s="381"/>
      <c r="O130" s="381"/>
      <c r="P130" s="381"/>
      <c r="Q130" s="381"/>
      <c r="R130" s="381"/>
      <c r="S130" s="381"/>
      <c r="T130" s="381"/>
      <c r="U130" s="381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381"/>
      <c r="G131" s="381"/>
      <c r="H131" s="381"/>
      <c r="I131" s="381"/>
      <c r="J131" s="381"/>
      <c r="K131" s="381"/>
      <c r="L131" s="381"/>
      <c r="M131" s="381"/>
      <c r="N131" s="381"/>
      <c r="O131" s="381"/>
      <c r="P131" s="381"/>
      <c r="Q131" s="381"/>
      <c r="R131" s="381"/>
      <c r="S131" s="381"/>
      <c r="T131" s="381"/>
      <c r="U131" s="381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381"/>
      <c r="G132" s="381"/>
      <c r="H132" s="381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381"/>
      <c r="U132" s="381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381"/>
      <c r="G133" s="381"/>
      <c r="H133" s="381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381"/>
      <c r="U133" s="381"/>
      <c r="V133" s="117"/>
      <c r="W133" s="118"/>
      <c r="X133" s="116"/>
      <c r="Y133" s="117"/>
      <c r="Z133" s="116"/>
      <c r="AA133" s="116"/>
    </row>
    <row r="134" spans="3:27" x14ac:dyDescent="0.3">
      <c r="C134" s="381"/>
      <c r="D134" s="460"/>
      <c r="E134" s="462"/>
      <c r="F134" s="381"/>
      <c r="G134" s="381"/>
      <c r="H134" s="381"/>
      <c r="I134" s="381"/>
      <c r="J134" s="381"/>
      <c r="K134" s="381"/>
      <c r="L134" s="381"/>
      <c r="M134" s="381"/>
      <c r="N134" s="381"/>
      <c r="O134" s="381"/>
      <c r="P134" s="381"/>
      <c r="Q134" s="381"/>
      <c r="R134" s="381"/>
      <c r="S134" s="381"/>
      <c r="T134" s="381"/>
      <c r="U134" s="381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381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381" t="s">
        <v>63</v>
      </c>
      <c r="D137" s="466" t="s">
        <v>12</v>
      </c>
      <c r="E137" s="466"/>
      <c r="F137" s="381" t="s">
        <v>64</v>
      </c>
      <c r="G137" s="381"/>
      <c r="H137" s="381"/>
      <c r="I137" s="381"/>
      <c r="J137" s="381"/>
      <c r="K137" s="381"/>
      <c r="L137" s="381"/>
      <c r="M137" s="381"/>
      <c r="N137" s="381"/>
      <c r="O137" s="381"/>
      <c r="P137" s="381"/>
      <c r="Q137" s="381"/>
      <c r="R137" s="381"/>
      <c r="S137" s="381"/>
      <c r="T137" s="381"/>
      <c r="U137" s="381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381"/>
      <c r="G138" s="381"/>
      <c r="H138" s="381"/>
      <c r="I138" s="381"/>
      <c r="J138" s="381"/>
      <c r="K138" s="381"/>
      <c r="L138" s="381"/>
      <c r="M138" s="381"/>
      <c r="N138" s="381"/>
      <c r="O138" s="381"/>
      <c r="P138" s="381"/>
      <c r="Q138" s="381"/>
      <c r="R138" s="381"/>
      <c r="S138" s="381"/>
      <c r="T138" s="381"/>
      <c r="U138" s="381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381"/>
      <c r="G139" s="381"/>
      <c r="H139" s="381"/>
      <c r="I139" s="381"/>
      <c r="J139" s="381"/>
      <c r="K139" s="381"/>
      <c r="L139" s="381"/>
      <c r="M139" s="381"/>
      <c r="N139" s="381"/>
      <c r="O139" s="381"/>
      <c r="P139" s="381"/>
      <c r="Q139" s="381"/>
      <c r="R139" s="381"/>
      <c r="S139" s="381"/>
      <c r="T139" s="381"/>
      <c r="U139" s="381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381"/>
      <c r="G140" s="381"/>
      <c r="H140" s="381"/>
      <c r="I140" s="381"/>
      <c r="J140" s="381"/>
      <c r="K140" s="381"/>
      <c r="L140" s="381"/>
      <c r="M140" s="381"/>
      <c r="N140" s="381"/>
      <c r="O140" s="381"/>
      <c r="P140" s="381"/>
      <c r="Q140" s="381"/>
      <c r="R140" s="381"/>
      <c r="S140" s="381"/>
      <c r="T140" s="381"/>
      <c r="U140" s="381"/>
    </row>
    <row r="141" spans="3:27" x14ac:dyDescent="0.3">
      <c r="C141" s="119">
        <v>45078</v>
      </c>
      <c r="D141" s="466"/>
      <c r="E141" s="466"/>
      <c r="F141" s="381"/>
      <c r="G141" s="381"/>
      <c r="H141" s="381"/>
      <c r="I141" s="381"/>
      <c r="J141" s="381"/>
      <c r="K141" s="381"/>
      <c r="L141" s="381"/>
      <c r="M141" s="381"/>
      <c r="N141" s="381"/>
      <c r="O141" s="381"/>
      <c r="P141" s="381"/>
      <c r="Q141" s="381"/>
      <c r="R141" s="381"/>
      <c r="S141" s="381"/>
      <c r="T141" s="381"/>
      <c r="U141" s="381"/>
    </row>
    <row r="142" spans="3:27" x14ac:dyDescent="0.3">
      <c r="C142" s="119">
        <v>45079</v>
      </c>
      <c r="D142" s="466"/>
      <c r="E142" s="466"/>
      <c r="F142" s="381"/>
      <c r="G142" s="381"/>
      <c r="H142" s="381"/>
      <c r="I142" s="381"/>
      <c r="J142" s="381"/>
      <c r="K142" s="381"/>
      <c r="L142" s="381"/>
      <c r="M142" s="381"/>
      <c r="N142" s="381"/>
      <c r="O142" s="381"/>
      <c r="P142" s="381"/>
      <c r="Q142" s="381"/>
      <c r="R142" s="381"/>
      <c r="S142" s="381"/>
      <c r="T142" s="381"/>
      <c r="U142" s="381"/>
    </row>
    <row r="143" spans="3:27" x14ac:dyDescent="0.3">
      <c r="C143" s="119">
        <v>45080</v>
      </c>
      <c r="D143" s="466"/>
      <c r="E143" s="466"/>
      <c r="F143" s="381"/>
      <c r="G143" s="381"/>
      <c r="H143" s="381"/>
      <c r="I143" s="381"/>
      <c r="J143" s="381"/>
      <c r="K143" s="381"/>
      <c r="L143" s="381"/>
      <c r="M143" s="381"/>
      <c r="N143" s="381"/>
      <c r="O143" s="381"/>
      <c r="P143" s="381"/>
      <c r="Q143" s="381"/>
      <c r="R143" s="381"/>
      <c r="S143" s="381"/>
      <c r="T143" s="381"/>
      <c r="U143" s="381"/>
    </row>
    <row r="144" spans="3:27" x14ac:dyDescent="0.3">
      <c r="C144" s="381"/>
      <c r="D144" s="460"/>
      <c r="E144" s="462"/>
      <c r="F144" s="381"/>
      <c r="G144" s="381"/>
      <c r="H144" s="381"/>
      <c r="I144" s="381"/>
      <c r="J144" s="381"/>
      <c r="K144" s="381"/>
      <c r="L144" s="381"/>
      <c r="M144" s="381"/>
      <c r="N144" s="381"/>
      <c r="O144" s="381"/>
      <c r="P144" s="381"/>
      <c r="Q144" s="381"/>
      <c r="R144" s="381"/>
      <c r="S144" s="381"/>
      <c r="T144" s="381"/>
      <c r="U144" s="381"/>
    </row>
  </sheetData>
  <mergeCells count="111">
    <mergeCell ref="AE5:AE6"/>
    <mergeCell ref="B7:B12"/>
    <mergeCell ref="B13:E13"/>
    <mergeCell ref="B2:AE2"/>
    <mergeCell ref="B5:C6"/>
    <mergeCell ref="D5:D6"/>
    <mergeCell ref="E5:E6"/>
    <mergeCell ref="F5:F6"/>
    <mergeCell ref="G5:G6"/>
    <mergeCell ref="H5:H6"/>
    <mergeCell ref="I5:S5"/>
    <mergeCell ref="T5:T6"/>
    <mergeCell ref="U5:W5"/>
    <mergeCell ref="B14:E14"/>
    <mergeCell ref="B21:B22"/>
    <mergeCell ref="C21:C22"/>
    <mergeCell ref="D21:D22"/>
    <mergeCell ref="E21:E22"/>
    <mergeCell ref="F21:F22"/>
    <mergeCell ref="X5:Z5"/>
    <mergeCell ref="AC5:AC6"/>
    <mergeCell ref="AD5:AD6"/>
    <mergeCell ref="AA21:AA22"/>
    <mergeCell ref="AB21:AB22"/>
    <mergeCell ref="AC21:AC22"/>
    <mergeCell ref="AD21:AD22"/>
    <mergeCell ref="AE21:AE22"/>
    <mergeCell ref="B23:B28"/>
    <mergeCell ref="G21:G22"/>
    <mergeCell ref="H21:H22"/>
    <mergeCell ref="I21:S21"/>
    <mergeCell ref="T21:T22"/>
    <mergeCell ref="U21:W21"/>
    <mergeCell ref="X21:Z21"/>
    <mergeCell ref="E42:E44"/>
    <mergeCell ref="F42:F44"/>
    <mergeCell ref="E45:E47"/>
    <mergeCell ref="F45:F47"/>
    <mergeCell ref="E48:E50"/>
    <mergeCell ref="F48:F50"/>
    <mergeCell ref="B29:E29"/>
    <mergeCell ref="B30:E30"/>
    <mergeCell ref="E36:E38"/>
    <mergeCell ref="F36:F38"/>
    <mergeCell ref="E39:E41"/>
    <mergeCell ref="F39:F41"/>
    <mergeCell ref="E62:E64"/>
    <mergeCell ref="F62:F64"/>
    <mergeCell ref="E65:E67"/>
    <mergeCell ref="F65:F67"/>
    <mergeCell ref="E68:E70"/>
    <mergeCell ref="F68:F70"/>
    <mergeCell ref="E51:E53"/>
    <mergeCell ref="F51:F53"/>
    <mergeCell ref="E56:E58"/>
    <mergeCell ref="F56:F58"/>
    <mergeCell ref="E59:E61"/>
    <mergeCell ref="F59:F61"/>
    <mergeCell ref="AC78:AC79"/>
    <mergeCell ref="AD78:AD79"/>
    <mergeCell ref="AE78:AE79"/>
    <mergeCell ref="B80:B85"/>
    <mergeCell ref="B86:E86"/>
    <mergeCell ref="B87:E87"/>
    <mergeCell ref="E71:E73"/>
    <mergeCell ref="F71:F73"/>
    <mergeCell ref="B76:AE76"/>
    <mergeCell ref="B78:B79"/>
    <mergeCell ref="C78:C79"/>
    <mergeCell ref="D78:D79"/>
    <mergeCell ref="E78:E79"/>
    <mergeCell ref="F78:F79"/>
    <mergeCell ref="U78:W78"/>
    <mergeCell ref="X78:Z78"/>
    <mergeCell ref="E101:E103"/>
    <mergeCell ref="F101:F103"/>
    <mergeCell ref="E104:E106"/>
    <mergeCell ref="F104:F106"/>
    <mergeCell ref="E107:E109"/>
    <mergeCell ref="F107:F109"/>
    <mergeCell ref="E92:E94"/>
    <mergeCell ref="F92:F94"/>
    <mergeCell ref="E95:E97"/>
    <mergeCell ref="F95:F97"/>
    <mergeCell ref="E98:E100"/>
    <mergeCell ref="F98:F100"/>
    <mergeCell ref="D122:E122"/>
    <mergeCell ref="D123:E123"/>
    <mergeCell ref="D124:E124"/>
    <mergeCell ref="D127:E127"/>
    <mergeCell ref="D128:E128"/>
    <mergeCell ref="D129:E129"/>
    <mergeCell ref="C114:U114"/>
    <mergeCell ref="D117:E117"/>
    <mergeCell ref="D118:E118"/>
    <mergeCell ref="D119:E119"/>
    <mergeCell ref="D120:E120"/>
    <mergeCell ref="D121:E121"/>
    <mergeCell ref="D144:E144"/>
    <mergeCell ref="D138:E138"/>
    <mergeCell ref="D139:E139"/>
    <mergeCell ref="D140:E140"/>
    <mergeCell ref="D141:E141"/>
    <mergeCell ref="D142:E142"/>
    <mergeCell ref="D143:E143"/>
    <mergeCell ref="D130:E130"/>
    <mergeCell ref="D131:E131"/>
    <mergeCell ref="D132:E132"/>
    <mergeCell ref="D133:E133"/>
    <mergeCell ref="D134:E134"/>
    <mergeCell ref="D137:E137"/>
  </mergeCells>
  <phoneticPr fontId="4" type="noConversion"/>
  <dataValidations count="3">
    <dataValidation type="list" allowBlank="1" showInputMessage="1" showErrorMessage="1" sqref="E7:E12 E23:E28">
      <formula1>$U$7:$U$12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">
      <formula1>$AH$7:$AH$12</formula1>
    </dataValidation>
  </dataValidations>
  <pageMargins left="0.62992125984251968" right="0.62992125984251968" top="0.94488188976377963" bottom="0.55118110236220474" header="0.31496062992125984" footer="0.31496062992125984"/>
  <pageSetup paperSize="9" scale="28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80" zoomScaleNormal="80" workbookViewId="0">
      <pane xSplit="4" ySplit="6" topLeftCell="E25" activePane="bottomRight" state="frozen"/>
      <selection pane="topRight" activeCell="D1" sqref="D1"/>
      <selection pane="bottomLeft" activeCell="A6" sqref="A6"/>
      <selection pane="bottomRight" activeCell="K38" sqref="K38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60.875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11.75" hidden="1" customWidth="1"/>
    <col min="44" max="44" width="3.25" customWidth="1"/>
  </cols>
  <sheetData>
    <row r="2" spans="2:52" ht="20.25" x14ac:dyDescent="0.3">
      <c r="B2" s="425" t="s">
        <v>280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371" t="s">
        <v>1</v>
      </c>
      <c r="AY2" s="371" t="s">
        <v>2</v>
      </c>
      <c r="AZ2" s="3" t="s">
        <v>3</v>
      </c>
    </row>
    <row r="3" spans="2:52" ht="45" customHeight="1" x14ac:dyDescent="0.3">
      <c r="B3" s="330" t="s">
        <v>4</v>
      </c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372" t="s">
        <v>68</v>
      </c>
      <c r="J6" s="18" t="s">
        <v>69</v>
      </c>
      <c r="K6" s="18" t="s">
        <v>71</v>
      </c>
      <c r="L6" s="18" t="s">
        <v>72</v>
      </c>
      <c r="M6" s="18" t="s">
        <v>75</v>
      </c>
      <c r="N6" s="18" t="s">
        <v>75</v>
      </c>
      <c r="O6" s="18" t="s">
        <v>75</v>
      </c>
      <c r="P6" s="18" t="s">
        <v>230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372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-58.59</v>
      </c>
    </row>
    <row r="7" spans="2:52" s="369" customFormat="1" ht="99" customHeight="1" thickTop="1" x14ac:dyDescent="0.3">
      <c r="B7" s="420">
        <v>7</v>
      </c>
      <c r="C7" s="24">
        <v>13</v>
      </c>
      <c r="D7" s="25" t="s">
        <v>7</v>
      </c>
      <c r="E7" s="26" t="s">
        <v>28</v>
      </c>
      <c r="F7" s="25">
        <f>11-1.41</f>
        <v>9.59</v>
      </c>
      <c r="G7" s="128">
        <v>251</v>
      </c>
      <c r="H7" s="128">
        <f t="shared" ref="H7:H12" si="0">(G7/U7)*100</f>
        <v>70.308123249299712</v>
      </c>
      <c r="I7" s="123" t="s">
        <v>85</v>
      </c>
      <c r="J7" s="123" t="s">
        <v>86</v>
      </c>
      <c r="K7" s="123" t="s">
        <v>87</v>
      </c>
      <c r="L7" s="123"/>
      <c r="M7" s="129" t="s">
        <v>90</v>
      </c>
      <c r="N7" s="123" t="s">
        <v>74</v>
      </c>
      <c r="O7" s="123" t="s">
        <v>169</v>
      </c>
      <c r="P7" s="123" t="s">
        <v>231</v>
      </c>
      <c r="Q7" s="123" t="s">
        <v>91</v>
      </c>
      <c r="R7" s="123" t="s">
        <v>89</v>
      </c>
      <c r="S7" s="125">
        <f t="shared" ref="S7:S12" si="1">COUNTA(I7:L7)+COUNTA(M7:R7)/2</f>
        <v>6</v>
      </c>
      <c r="T7" s="27">
        <f t="shared" ref="T7:T12" si="2">F7*$D$4*$U$4</f>
        <v>632.94000000000005</v>
      </c>
      <c r="U7" s="28">
        <f>+H38</f>
        <v>357</v>
      </c>
      <c r="V7" s="29">
        <f t="shared" ref="V7:V12" si="3">IF(F7=0,"휴무",U7/F7)</f>
        <v>37.226277372262771</v>
      </c>
      <c r="W7" s="30">
        <f t="shared" ref="W7:W13" si="4">IFERROR(U7/T7,0)</f>
        <v>0.56403450564034496</v>
      </c>
      <c r="X7" s="31">
        <f>+K38</f>
        <v>680.65000000000009</v>
      </c>
      <c r="Y7" s="29">
        <f t="shared" ref="Y7:Y12" si="5">IF(F7=0,"휴무",X7/F7)</f>
        <v>70.974973931178326</v>
      </c>
      <c r="Z7" s="32">
        <f t="shared" ref="Z7:Z13" si="6">IFERROR(X7/T7,0)</f>
        <v>1.0753783928966412</v>
      </c>
      <c r="AA7" s="33">
        <f t="shared" ref="AA7:AA12" si="7">IF(F7=0,"휴무",U7/T7*$AA$4)</f>
        <v>28.201725282017247</v>
      </c>
      <c r="AB7" s="34">
        <f t="shared" ref="AB7:AB12" si="8">IF(F7=0,"휴무",X7/T7*$AB$4)</f>
        <v>58.554353493222116</v>
      </c>
      <c r="AC7" s="383">
        <f t="shared" ref="AC7:AC13" si="9">IF(F7=0,"휴무",AA7+AB7)</f>
        <v>86.756078775239359</v>
      </c>
      <c r="AD7" s="35" t="str">
        <f t="shared" ref="AD7:AD13" si="10">IF(F7=0,"휴무",IF(AC7&gt;=100,"좋아요",IF(AC7&gt;=90,"90~99",IF(AC7&gt;=80,"80~89"," 사유?→"))))</f>
        <v>80~89</v>
      </c>
      <c r="AE7" s="36" t="s">
        <v>281</v>
      </c>
      <c r="AF7" s="37">
        <f>AG7-F7</f>
        <v>-9.59</v>
      </c>
      <c r="AG7" s="38">
        <f>AN7</f>
        <v>0</v>
      </c>
      <c r="AH7" s="369" t="s">
        <v>29</v>
      </c>
      <c r="AI7" s="39"/>
      <c r="AJ7" s="40">
        <f>IFERROR(Z7/W7*1000,"")</f>
        <v>1906.5826330532218</v>
      </c>
      <c r="AK7" s="39"/>
      <c r="AL7" s="41"/>
      <c r="AM7" s="41"/>
      <c r="AN7" s="41"/>
      <c r="AP7" s="369">
        <f t="shared" ref="AP7:AP12" si="11">AO7-F7</f>
        <v>-9.59</v>
      </c>
      <c r="AQ7" s="42"/>
    </row>
    <row r="8" spans="2:52" s="369" customFormat="1" ht="99.75" customHeight="1" x14ac:dyDescent="0.3">
      <c r="B8" s="421"/>
      <c r="C8" s="24">
        <f>+C7+1</f>
        <v>14</v>
      </c>
      <c r="D8" s="43" t="s">
        <v>30</v>
      </c>
      <c r="E8" s="26" t="s">
        <v>28</v>
      </c>
      <c r="F8" s="25">
        <v>11</v>
      </c>
      <c r="G8" s="125">
        <v>342</v>
      </c>
      <c r="H8" s="125">
        <f t="shared" si="0"/>
        <v>70.081967213114751</v>
      </c>
      <c r="I8" s="123" t="s">
        <v>85</v>
      </c>
      <c r="J8" s="123" t="s">
        <v>86</v>
      </c>
      <c r="K8" s="123" t="s">
        <v>87</v>
      </c>
      <c r="L8" s="123"/>
      <c r="M8" s="129" t="s">
        <v>90</v>
      </c>
      <c r="N8" s="123" t="s">
        <v>74</v>
      </c>
      <c r="O8" s="123" t="s">
        <v>169</v>
      </c>
      <c r="P8" s="123" t="s">
        <v>231</v>
      </c>
      <c r="Q8" s="123" t="s">
        <v>91</v>
      </c>
      <c r="R8" s="123" t="s">
        <v>89</v>
      </c>
      <c r="S8" s="125">
        <f t="shared" si="1"/>
        <v>6</v>
      </c>
      <c r="T8" s="27">
        <f t="shared" si="2"/>
        <v>726</v>
      </c>
      <c r="U8" s="28">
        <f>+H41</f>
        <v>488</v>
      </c>
      <c r="V8" s="44">
        <f t="shared" si="3"/>
        <v>44.363636363636367</v>
      </c>
      <c r="W8" s="45">
        <f t="shared" si="4"/>
        <v>0.67217630853994492</v>
      </c>
      <c r="X8" s="46">
        <f>+K41</f>
        <v>511.90999999999997</v>
      </c>
      <c r="Y8" s="29">
        <f t="shared" si="5"/>
        <v>46.537272727272722</v>
      </c>
      <c r="Z8" s="47">
        <f t="shared" si="6"/>
        <v>0.70511019283746557</v>
      </c>
      <c r="AA8" s="48">
        <f t="shared" si="7"/>
        <v>33.608815426997246</v>
      </c>
      <c r="AB8" s="49">
        <f t="shared" si="8"/>
        <v>38.393250000000002</v>
      </c>
      <c r="AC8" s="384">
        <f t="shared" si="9"/>
        <v>72.002065426997248</v>
      </c>
      <c r="AD8" s="161" t="str">
        <f t="shared" si="10"/>
        <v xml:space="preserve"> 사유?→</v>
      </c>
      <c r="AE8" s="160" t="s">
        <v>282</v>
      </c>
      <c r="AF8" s="37">
        <f>AG8-F8</f>
        <v>-11</v>
      </c>
      <c r="AG8" s="38">
        <f>AN8</f>
        <v>0</v>
      </c>
      <c r="AH8" s="369" t="s">
        <v>31</v>
      </c>
      <c r="AI8" s="39"/>
      <c r="AJ8" s="40">
        <f>IFERROR(Z8/W8*1000,"")</f>
        <v>1048.9959016393441</v>
      </c>
      <c r="AK8" s="39"/>
      <c r="AL8" s="41"/>
      <c r="AM8" s="41"/>
      <c r="AN8" s="41"/>
      <c r="AP8" s="369">
        <f t="shared" si="11"/>
        <v>-11</v>
      </c>
      <c r="AQ8" s="42"/>
    </row>
    <row r="9" spans="2:52" s="369" customFormat="1" ht="97.5" customHeight="1" x14ac:dyDescent="0.3">
      <c r="B9" s="421"/>
      <c r="C9" s="24">
        <f>+C8+1</f>
        <v>15</v>
      </c>
      <c r="D9" s="43" t="s">
        <v>32</v>
      </c>
      <c r="E9" s="26" t="s">
        <v>28</v>
      </c>
      <c r="F9" s="25">
        <v>11</v>
      </c>
      <c r="G9" s="125">
        <v>375</v>
      </c>
      <c r="H9" s="125">
        <f t="shared" si="0"/>
        <v>86.805555555555557</v>
      </c>
      <c r="I9" s="123" t="s">
        <v>85</v>
      </c>
      <c r="J9" s="123" t="s">
        <v>86</v>
      </c>
      <c r="K9" s="123" t="s">
        <v>87</v>
      </c>
      <c r="L9" s="123"/>
      <c r="M9" s="129" t="s">
        <v>90</v>
      </c>
      <c r="N9" s="123" t="s">
        <v>74</v>
      </c>
      <c r="O9" s="123" t="s">
        <v>169</v>
      </c>
      <c r="P9" s="123" t="s">
        <v>231</v>
      </c>
      <c r="Q9" s="123" t="s">
        <v>91</v>
      </c>
      <c r="R9" s="123" t="s">
        <v>89</v>
      </c>
      <c r="S9" s="125">
        <f t="shared" si="1"/>
        <v>6</v>
      </c>
      <c r="T9" s="27">
        <f t="shared" si="2"/>
        <v>726</v>
      </c>
      <c r="U9" s="51">
        <f>+H44</f>
        <v>432</v>
      </c>
      <c r="V9" s="44">
        <f t="shared" si="3"/>
        <v>39.272727272727273</v>
      </c>
      <c r="W9" s="45">
        <f t="shared" si="4"/>
        <v>0.5950413223140496</v>
      </c>
      <c r="X9" s="46">
        <f>+K44</f>
        <v>606.28</v>
      </c>
      <c r="Y9" s="44">
        <f t="shared" si="5"/>
        <v>55.116363636363637</v>
      </c>
      <c r="Z9" s="47">
        <f t="shared" si="6"/>
        <v>0.83509641873278229</v>
      </c>
      <c r="AA9" s="48">
        <f t="shared" si="7"/>
        <v>29.75206611570248</v>
      </c>
      <c r="AB9" s="49">
        <f t="shared" si="8"/>
        <v>45.470999999999997</v>
      </c>
      <c r="AC9" s="384">
        <f t="shared" si="9"/>
        <v>75.22306611570248</v>
      </c>
      <c r="AD9" s="161" t="str">
        <f t="shared" si="10"/>
        <v xml:space="preserve"> 사유?→</v>
      </c>
      <c r="AE9" s="160" t="s">
        <v>284</v>
      </c>
      <c r="AF9" s="37">
        <f>AG9-F9</f>
        <v>-11</v>
      </c>
      <c r="AG9" s="38">
        <f>AN9</f>
        <v>0</v>
      </c>
      <c r="AH9" s="369" t="s">
        <v>34</v>
      </c>
      <c r="AI9" s="39"/>
      <c r="AJ9" s="40">
        <f>IFERROR(Z9/W9*1000,"")</f>
        <v>1403.4259259259259</v>
      </c>
      <c r="AK9" s="39"/>
      <c r="AL9" s="41"/>
      <c r="AM9" s="41"/>
      <c r="AN9" s="41"/>
      <c r="AP9" s="369">
        <f t="shared" si="11"/>
        <v>-11</v>
      </c>
      <c r="AQ9" s="42"/>
    </row>
    <row r="10" spans="2:52" s="369" customFormat="1" ht="95.25" customHeight="1" x14ac:dyDescent="0.3">
      <c r="B10" s="421"/>
      <c r="C10" s="24">
        <f>+C9+1</f>
        <v>16</v>
      </c>
      <c r="D10" s="43" t="s">
        <v>35</v>
      </c>
      <c r="E10" s="26" t="s">
        <v>28</v>
      </c>
      <c r="F10" s="25">
        <v>11</v>
      </c>
      <c r="G10" s="125">
        <v>229</v>
      </c>
      <c r="H10" s="125">
        <f t="shared" si="0"/>
        <v>50.888888888888886</v>
      </c>
      <c r="I10" s="123" t="s">
        <v>85</v>
      </c>
      <c r="J10" s="123" t="s">
        <v>86</v>
      </c>
      <c r="K10" s="123" t="s">
        <v>87</v>
      </c>
      <c r="L10" s="123"/>
      <c r="M10" s="129" t="s">
        <v>90</v>
      </c>
      <c r="N10" s="123" t="s">
        <v>74</v>
      </c>
      <c r="O10" s="123" t="s">
        <v>169</v>
      </c>
      <c r="P10" s="123" t="s">
        <v>231</v>
      </c>
      <c r="Q10" s="123" t="s">
        <v>91</v>
      </c>
      <c r="R10" s="123" t="s">
        <v>89</v>
      </c>
      <c r="S10" s="125">
        <f t="shared" si="1"/>
        <v>6</v>
      </c>
      <c r="T10" s="27">
        <f t="shared" si="2"/>
        <v>726</v>
      </c>
      <c r="U10" s="28">
        <f>+H47</f>
        <v>450</v>
      </c>
      <c r="V10" s="44">
        <f t="shared" si="3"/>
        <v>40.909090909090907</v>
      </c>
      <c r="W10" s="45">
        <f t="shared" si="4"/>
        <v>0.6198347107438017</v>
      </c>
      <c r="X10" s="46">
        <f>+K47</f>
        <v>678.73</v>
      </c>
      <c r="Y10" s="29">
        <f t="shared" si="5"/>
        <v>61.702727272727273</v>
      </c>
      <c r="Z10" s="47">
        <f t="shared" si="6"/>
        <v>0.93488980716253445</v>
      </c>
      <c r="AA10" s="48">
        <f t="shared" si="7"/>
        <v>30.991735537190085</v>
      </c>
      <c r="AB10" s="49">
        <f t="shared" si="8"/>
        <v>50.90475</v>
      </c>
      <c r="AC10" s="384">
        <f t="shared" si="9"/>
        <v>81.896485537190088</v>
      </c>
      <c r="AD10" s="50" t="str">
        <f t="shared" si="10"/>
        <v>80~89</v>
      </c>
      <c r="AE10" s="36"/>
      <c r="AF10" s="37">
        <f>AG10-F10</f>
        <v>-11</v>
      </c>
      <c r="AG10" s="38">
        <f>AN10</f>
        <v>0</v>
      </c>
      <c r="AH10" s="369" t="s">
        <v>36</v>
      </c>
      <c r="AI10" s="39"/>
      <c r="AJ10" s="40">
        <f>IFERROR(Z10/W10*1000,"")</f>
        <v>1508.2888888888888</v>
      </c>
      <c r="AK10" s="39"/>
      <c r="AL10" s="41"/>
      <c r="AM10" s="41"/>
      <c r="AN10" s="41"/>
      <c r="AP10" s="369">
        <f t="shared" si="11"/>
        <v>-11</v>
      </c>
      <c r="AQ10" s="42"/>
    </row>
    <row r="11" spans="2:52" s="369" customFormat="1" ht="102.75" customHeight="1" x14ac:dyDescent="0.3">
      <c r="B11" s="421"/>
      <c r="C11" s="24">
        <f>+C10+1</f>
        <v>17</v>
      </c>
      <c r="D11" s="43" t="s">
        <v>37</v>
      </c>
      <c r="E11" s="26" t="s">
        <v>29</v>
      </c>
      <c r="F11" s="25">
        <v>8</v>
      </c>
      <c r="G11" s="125">
        <v>360</v>
      </c>
      <c r="H11" s="125">
        <f t="shared" si="0"/>
        <v>96.774193548387103</v>
      </c>
      <c r="I11" s="123" t="s">
        <v>85</v>
      </c>
      <c r="J11" s="123" t="s">
        <v>86</v>
      </c>
      <c r="K11" s="123" t="s">
        <v>87</v>
      </c>
      <c r="L11" s="123"/>
      <c r="M11" s="129" t="s">
        <v>293</v>
      </c>
      <c r="N11" s="123" t="s">
        <v>294</v>
      </c>
      <c r="O11" s="123"/>
      <c r="P11" s="123" t="s">
        <v>231</v>
      </c>
      <c r="Q11" s="123" t="s">
        <v>91</v>
      </c>
      <c r="R11" s="123" t="s">
        <v>89</v>
      </c>
      <c r="S11" s="125">
        <f t="shared" si="1"/>
        <v>5.5</v>
      </c>
      <c r="T11" s="27">
        <f t="shared" si="2"/>
        <v>528</v>
      </c>
      <c r="U11" s="28">
        <f>+H50</f>
        <v>372</v>
      </c>
      <c r="V11" s="44">
        <f t="shared" si="3"/>
        <v>46.5</v>
      </c>
      <c r="W11" s="45">
        <f t="shared" si="4"/>
        <v>0.70454545454545459</v>
      </c>
      <c r="X11" s="46">
        <f>+K50</f>
        <v>331.36</v>
      </c>
      <c r="Y11" s="44">
        <f t="shared" si="5"/>
        <v>41.42</v>
      </c>
      <c r="Z11" s="47">
        <f t="shared" si="6"/>
        <v>0.62757575757575756</v>
      </c>
      <c r="AA11" s="48">
        <f t="shared" si="7"/>
        <v>35.227272727272727</v>
      </c>
      <c r="AB11" s="49">
        <f t="shared" si="8"/>
        <v>34.171500000000002</v>
      </c>
      <c r="AC11" s="384">
        <f t="shared" si="9"/>
        <v>69.398772727272728</v>
      </c>
      <c r="AD11" s="161" t="str">
        <f t="shared" si="10"/>
        <v xml:space="preserve"> 사유?→</v>
      </c>
      <c r="AE11" s="160" t="s">
        <v>287</v>
      </c>
      <c r="AF11" s="37">
        <f>AG11-F11</f>
        <v>-8</v>
      </c>
      <c r="AG11" s="38">
        <f>AN11</f>
        <v>0</v>
      </c>
      <c r="AH11" s="369" t="s">
        <v>33</v>
      </c>
      <c r="AI11" s="39"/>
      <c r="AJ11" s="40">
        <f>IFERROR(Z11/W11*1000,"")</f>
        <v>890.75268817204289</v>
      </c>
      <c r="AL11" s="41"/>
      <c r="AM11" s="41"/>
      <c r="AN11" s="41"/>
      <c r="AP11" s="369">
        <f t="shared" si="11"/>
        <v>-8</v>
      </c>
      <c r="AQ11" s="42"/>
    </row>
    <row r="12" spans="2:52" s="369" customFormat="1" ht="102.75" customHeight="1" x14ac:dyDescent="0.3">
      <c r="B12" s="421"/>
      <c r="C12" s="24">
        <f>+C11+1</f>
        <v>18</v>
      </c>
      <c r="D12" s="43" t="s">
        <v>38</v>
      </c>
      <c r="E12" s="26" t="s">
        <v>36</v>
      </c>
      <c r="F12" s="25">
        <v>8</v>
      </c>
      <c r="G12" s="125">
        <v>246</v>
      </c>
      <c r="H12" s="125">
        <f t="shared" si="0"/>
        <v>85.714285714285708</v>
      </c>
      <c r="I12" s="123" t="s">
        <v>85</v>
      </c>
      <c r="J12" s="123" t="s">
        <v>86</v>
      </c>
      <c r="K12" s="123" t="s">
        <v>87</v>
      </c>
      <c r="L12" s="123"/>
      <c r="M12" s="129" t="s">
        <v>293</v>
      </c>
      <c r="N12" s="123" t="s">
        <v>294</v>
      </c>
      <c r="O12" s="123"/>
      <c r="P12" s="123" t="s">
        <v>231</v>
      </c>
      <c r="Q12" s="123" t="s">
        <v>91</v>
      </c>
      <c r="R12" s="123" t="s">
        <v>89</v>
      </c>
      <c r="S12" s="125">
        <f t="shared" si="1"/>
        <v>5.5</v>
      </c>
      <c r="T12" s="374">
        <f t="shared" si="2"/>
        <v>528</v>
      </c>
      <c r="U12" s="28">
        <f>+H53</f>
        <v>287</v>
      </c>
      <c r="V12" s="29">
        <f t="shared" si="3"/>
        <v>35.875</v>
      </c>
      <c r="W12" s="30">
        <f t="shared" si="4"/>
        <v>0.54356060606060608</v>
      </c>
      <c r="X12" s="31">
        <f>+K53</f>
        <v>334.8</v>
      </c>
      <c r="Y12" s="44">
        <f t="shared" si="5"/>
        <v>41.85</v>
      </c>
      <c r="Z12" s="47">
        <f t="shared" si="6"/>
        <v>0.63409090909090915</v>
      </c>
      <c r="AA12" s="48">
        <f t="shared" si="7"/>
        <v>27.178030303030305</v>
      </c>
      <c r="AB12" s="49">
        <f t="shared" si="8"/>
        <v>34.526250000000005</v>
      </c>
      <c r="AC12" s="384">
        <f t="shared" si="9"/>
        <v>61.704280303030309</v>
      </c>
      <c r="AD12" s="161" t="str">
        <f t="shared" si="10"/>
        <v xml:space="preserve"> 사유?→</v>
      </c>
      <c r="AE12" s="160" t="s">
        <v>288</v>
      </c>
      <c r="AF12" s="37"/>
      <c r="AG12" s="38"/>
      <c r="AI12" s="39"/>
      <c r="AJ12" s="40"/>
      <c r="AL12" s="41"/>
      <c r="AM12" s="41"/>
      <c r="AN12" s="41"/>
      <c r="AP12" s="369">
        <f t="shared" si="11"/>
        <v>-8</v>
      </c>
      <c r="AQ12" s="42"/>
    </row>
    <row r="13" spans="2:52" s="369" customFormat="1" ht="36" customHeight="1" x14ac:dyDescent="0.3">
      <c r="B13" s="422" t="s">
        <v>39</v>
      </c>
      <c r="C13" s="423"/>
      <c r="D13" s="423"/>
      <c r="E13" s="424"/>
      <c r="F13" s="43">
        <f>SUM(F7:F12)</f>
        <v>58.59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>COUNTA(I13:M13)+COUNTA(N13:R13)/2</f>
        <v>0</v>
      </c>
      <c r="T13" s="52">
        <f>SUM(T7:T12)</f>
        <v>3866.94</v>
      </c>
      <c r="U13" s="53">
        <f>SUM(U7:U12)</f>
        <v>2386</v>
      </c>
      <c r="V13" s="54">
        <f>U13/F13</f>
        <v>40.723672981737494</v>
      </c>
      <c r="W13" s="45">
        <f t="shared" si="4"/>
        <v>0.61702534820814392</v>
      </c>
      <c r="X13" s="55">
        <f>SUM(X7:X12)</f>
        <v>3143.73</v>
      </c>
      <c r="Y13" s="44">
        <f>X13/F13</f>
        <v>53.65642601126472</v>
      </c>
      <c r="Z13" s="47">
        <f t="shared" si="6"/>
        <v>0.81297615168582915</v>
      </c>
      <c r="AA13" s="56">
        <f>U13/T13*AA4</f>
        <v>30.851267410407196</v>
      </c>
      <c r="AB13" s="57">
        <f>X13/T13*AB4</f>
        <v>44.266551459293403</v>
      </c>
      <c r="AC13" s="385">
        <f t="shared" si="9"/>
        <v>75.117818869700599</v>
      </c>
      <c r="AD13" s="162" t="str">
        <f t="shared" si="10"/>
        <v xml:space="preserve"> 사유?→</v>
      </c>
      <c r="AE13" s="43"/>
      <c r="AF13" s="37">
        <f>AG13-F13</f>
        <v>-58.59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9.7650000000000006</v>
      </c>
      <c r="G14" s="373"/>
      <c r="H14" s="373"/>
      <c r="I14" s="373"/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61">
        <f>V14*F14</f>
        <v>397.66666666666663</v>
      </c>
      <c r="V14" s="62">
        <f>U13/F13</f>
        <v>40.723672981737494</v>
      </c>
      <c r="W14" s="63">
        <f>IFERROR(U14/#REF!,0)</f>
        <v>0</v>
      </c>
      <c r="X14" s="64">
        <f>X13/F13*F14</f>
        <v>523.95500000000004</v>
      </c>
      <c r="Y14" s="62">
        <f>IF(F14=0,"휴무",X14/F14)</f>
        <v>53.65642601126472</v>
      </c>
      <c r="Z14" s="65">
        <f>IFERROR(X14/#REF!,0)</f>
        <v>0</v>
      </c>
      <c r="AA14" s="60">
        <f>AVERAGE(AA7:AA12)</f>
        <v>30.826607565368349</v>
      </c>
      <c r="AB14" s="60">
        <f>AVERAGE(AB7:AB12)</f>
        <v>43.670183915537024</v>
      </c>
      <c r="AC14" s="141">
        <f>AA14+AB14</f>
        <v>74.496791480905372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369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330" t="s">
        <v>44</v>
      </c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372" t="s">
        <v>68</v>
      </c>
      <c r="J22" s="18" t="s">
        <v>69</v>
      </c>
      <c r="K22" s="18" t="s">
        <v>71</v>
      </c>
      <c r="L22" s="18" t="s">
        <v>72</v>
      </c>
      <c r="M22" s="18" t="s">
        <v>75</v>
      </c>
      <c r="N22" s="18" t="s">
        <v>75</v>
      </c>
      <c r="O22" s="18" t="s">
        <v>75</v>
      </c>
      <c r="P22" s="18" t="s">
        <v>230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-60</v>
      </c>
    </row>
    <row r="23" spans="2:43" s="369" customFormat="1" ht="99" customHeight="1" thickTop="1" x14ac:dyDescent="0.3">
      <c r="B23" s="420">
        <f>+B7</f>
        <v>7</v>
      </c>
      <c r="C23" s="24">
        <f t="shared" ref="C23:C28" si="12">+C7</f>
        <v>13</v>
      </c>
      <c r="D23" s="25" t="s">
        <v>7</v>
      </c>
      <c r="E23" s="26" t="s">
        <v>28</v>
      </c>
      <c r="F23" s="25">
        <v>11</v>
      </c>
      <c r="G23" s="128">
        <v>461</v>
      </c>
      <c r="H23" s="128">
        <f t="shared" ref="H23:H28" si="13">(G23/U23)*100</f>
        <v>78.268251273344646</v>
      </c>
      <c r="I23" s="123" t="s">
        <v>78</v>
      </c>
      <c r="J23" s="123" t="s">
        <v>88</v>
      </c>
      <c r="K23" s="123" t="s">
        <v>84</v>
      </c>
      <c r="L23" s="123"/>
      <c r="M23" s="129" t="s">
        <v>90</v>
      </c>
      <c r="N23" s="123" t="s">
        <v>74</v>
      </c>
      <c r="O23" s="123" t="s">
        <v>169</v>
      </c>
      <c r="P23" s="123" t="s">
        <v>92</v>
      </c>
      <c r="Q23" s="123" t="s">
        <v>91</v>
      </c>
      <c r="R23" s="123" t="s">
        <v>89</v>
      </c>
      <c r="S23" s="124">
        <f t="shared" ref="S23:S28" si="14">COUNTA(I23:L23)+COUNTA(M23:R23)/2</f>
        <v>6</v>
      </c>
      <c r="T23" s="27">
        <f t="shared" ref="T23:T28" si="15">F23*$D$4*$U$4</f>
        <v>726</v>
      </c>
      <c r="U23" s="28">
        <f>+H58</f>
        <v>589</v>
      </c>
      <c r="V23" s="29">
        <f t="shared" ref="V23:V28" si="16">IF(F23=0,"휴무",U23/F23)</f>
        <v>53.545454545454547</v>
      </c>
      <c r="W23" s="30">
        <f t="shared" ref="W23:W29" si="17">IFERROR(U23/T23,0)</f>
        <v>0.81129476584022042</v>
      </c>
      <c r="X23" s="31">
        <f>+K58</f>
        <v>538.86</v>
      </c>
      <c r="Y23" s="29">
        <f t="shared" ref="Y23:Y28" si="18">IF(F23=0,"휴무",X23/F23)</f>
        <v>48.987272727272732</v>
      </c>
      <c r="Z23" s="32">
        <f t="shared" ref="Z23:Z29" si="19">IFERROR(X23/T23,0)</f>
        <v>0.74223140495867768</v>
      </c>
      <c r="AA23" s="33">
        <f t="shared" ref="AA23:AA28" si="20">IF(F23=0,"휴무",U23/T23*$AA$4)</f>
        <v>40.564738292011022</v>
      </c>
      <c r="AB23" s="34">
        <f t="shared" ref="AB23:AB28" si="21">IF(F23=0,"휴무",X23/T23*$AB$4)</f>
        <v>40.414500000000004</v>
      </c>
      <c r="AC23" s="383">
        <f t="shared" ref="AC23:AC29" si="22">IF(F23=0,"휴무",AA23+AB23)</f>
        <v>80.979238292011019</v>
      </c>
      <c r="AD23" s="35" t="str">
        <f t="shared" ref="AD23:AD29" si="23">IF(F23=0,"휴무",IF(AC23&gt;=100,"좋아요",IF(AC23&gt;=90,"90~99",IF(AC23&gt;=80,"80~89"," 사유?→"))))</f>
        <v>80~89</v>
      </c>
      <c r="AE23" s="36"/>
      <c r="AF23" s="37">
        <f>AG23-F23</f>
        <v>-11</v>
      </c>
      <c r="AG23" s="38">
        <f>AN23</f>
        <v>0</v>
      </c>
      <c r="AH23" s="369" t="s">
        <v>29</v>
      </c>
      <c r="AI23" s="39"/>
      <c r="AJ23" s="40">
        <f>IFERROR(Z23/W23*1000,"")</f>
        <v>914.8726655348047</v>
      </c>
      <c r="AK23" s="39"/>
      <c r="AL23" s="41"/>
      <c r="AM23" s="41"/>
      <c r="AN23" s="41"/>
      <c r="AP23" s="369">
        <f t="shared" ref="AP23:AP28" si="24">AO23-F23</f>
        <v>-11</v>
      </c>
      <c r="AQ23" s="42"/>
    </row>
    <row r="24" spans="2:43" s="369" customFormat="1" ht="99.75" customHeight="1" x14ac:dyDescent="0.3">
      <c r="B24" s="421"/>
      <c r="C24" s="24">
        <f t="shared" si="12"/>
        <v>14</v>
      </c>
      <c r="D24" s="43" t="s">
        <v>30</v>
      </c>
      <c r="E24" s="26" t="s">
        <v>28</v>
      </c>
      <c r="F24" s="25">
        <v>11</v>
      </c>
      <c r="G24" s="125">
        <v>660</v>
      </c>
      <c r="H24" s="125">
        <f t="shared" si="13"/>
        <v>98.654708520179369</v>
      </c>
      <c r="I24" s="123" t="s">
        <v>78</v>
      </c>
      <c r="J24" s="123" t="s">
        <v>88</v>
      </c>
      <c r="K24" s="123" t="s">
        <v>84</v>
      </c>
      <c r="L24" s="123"/>
      <c r="M24" s="129" t="s">
        <v>90</v>
      </c>
      <c r="N24" s="123" t="s">
        <v>74</v>
      </c>
      <c r="O24" s="123" t="s">
        <v>169</v>
      </c>
      <c r="P24" s="123" t="s">
        <v>92</v>
      </c>
      <c r="Q24" s="123" t="s">
        <v>91</v>
      </c>
      <c r="R24" s="123" t="s">
        <v>89</v>
      </c>
      <c r="S24" s="124">
        <f t="shared" si="14"/>
        <v>6</v>
      </c>
      <c r="T24" s="27">
        <f t="shared" si="15"/>
        <v>726</v>
      </c>
      <c r="U24" s="28">
        <f>+H61</f>
        <v>669</v>
      </c>
      <c r="V24" s="44">
        <f t="shared" si="16"/>
        <v>60.81818181818182</v>
      </c>
      <c r="W24" s="45">
        <f t="shared" si="17"/>
        <v>0.92148760330578516</v>
      </c>
      <c r="X24" s="46">
        <f>+K61</f>
        <v>469.98</v>
      </c>
      <c r="Y24" s="29">
        <f t="shared" si="18"/>
        <v>42.725454545454546</v>
      </c>
      <c r="Z24" s="47">
        <f t="shared" si="19"/>
        <v>0.64735537190082648</v>
      </c>
      <c r="AA24" s="48">
        <f t="shared" si="20"/>
        <v>46.074380165289256</v>
      </c>
      <c r="AB24" s="49">
        <f t="shared" si="21"/>
        <v>35.248500000000007</v>
      </c>
      <c r="AC24" s="384">
        <f t="shared" si="22"/>
        <v>81.322880165289263</v>
      </c>
      <c r="AD24" s="80" t="str">
        <f t="shared" si="23"/>
        <v>80~89</v>
      </c>
      <c r="AE24" s="36"/>
      <c r="AF24" s="37">
        <f>AG24-F24</f>
        <v>-11</v>
      </c>
      <c r="AG24" s="38">
        <f>AN24</f>
        <v>0</v>
      </c>
      <c r="AH24" s="369" t="s">
        <v>34</v>
      </c>
      <c r="AI24" s="39"/>
      <c r="AJ24" s="40">
        <f>IFERROR(Z24/W24*1000,"")</f>
        <v>702.51121076233176</v>
      </c>
      <c r="AK24" s="39"/>
      <c r="AL24" s="41"/>
      <c r="AM24" s="41"/>
      <c r="AN24" s="41"/>
      <c r="AP24" s="369">
        <f t="shared" si="24"/>
        <v>-11</v>
      </c>
      <c r="AQ24" s="42"/>
    </row>
    <row r="25" spans="2:43" s="369" customFormat="1" ht="97.5" customHeight="1" x14ac:dyDescent="0.3">
      <c r="B25" s="421"/>
      <c r="C25" s="24">
        <f t="shared" si="12"/>
        <v>15</v>
      </c>
      <c r="D25" s="43" t="s">
        <v>32</v>
      </c>
      <c r="E25" s="26" t="s">
        <v>28</v>
      </c>
      <c r="F25" s="25">
        <v>11</v>
      </c>
      <c r="G25" s="124">
        <v>466</v>
      </c>
      <c r="H25" s="124">
        <f t="shared" si="13"/>
        <v>99.572649572649567</v>
      </c>
      <c r="I25" s="123" t="s">
        <v>78</v>
      </c>
      <c r="J25" s="123" t="s">
        <v>88</v>
      </c>
      <c r="K25" s="123" t="s">
        <v>84</v>
      </c>
      <c r="L25" s="123"/>
      <c r="M25" s="129" t="s">
        <v>90</v>
      </c>
      <c r="N25" s="123" t="s">
        <v>74</v>
      </c>
      <c r="O25" s="123" t="s">
        <v>169</v>
      </c>
      <c r="P25" s="123" t="s">
        <v>92</v>
      </c>
      <c r="Q25" s="123" t="s">
        <v>91</v>
      </c>
      <c r="R25" s="123" t="s">
        <v>89</v>
      </c>
      <c r="S25" s="124">
        <f t="shared" si="14"/>
        <v>6</v>
      </c>
      <c r="T25" s="27">
        <f t="shared" si="15"/>
        <v>726</v>
      </c>
      <c r="U25" s="28">
        <f>+H64</f>
        <v>468</v>
      </c>
      <c r="V25" s="44">
        <f t="shared" si="16"/>
        <v>42.545454545454547</v>
      </c>
      <c r="W25" s="45">
        <f t="shared" si="17"/>
        <v>0.64462809917355368</v>
      </c>
      <c r="X25" s="46">
        <f>+K64</f>
        <v>508.26</v>
      </c>
      <c r="Y25" s="29">
        <f t="shared" si="18"/>
        <v>46.205454545454543</v>
      </c>
      <c r="Z25" s="47">
        <f t="shared" si="19"/>
        <v>0.70008264462809922</v>
      </c>
      <c r="AA25" s="48">
        <f t="shared" si="20"/>
        <v>32.231404958677686</v>
      </c>
      <c r="AB25" s="49">
        <f t="shared" si="21"/>
        <v>38.119500000000002</v>
      </c>
      <c r="AC25" s="384">
        <f t="shared" si="22"/>
        <v>70.350904958677688</v>
      </c>
      <c r="AD25" s="161" t="str">
        <f t="shared" si="23"/>
        <v xml:space="preserve"> 사유?→</v>
      </c>
      <c r="AE25" s="160" t="s">
        <v>283</v>
      </c>
      <c r="AF25" s="37">
        <f>AG25-F25</f>
        <v>-11</v>
      </c>
      <c r="AG25" s="38">
        <f>AN25</f>
        <v>0</v>
      </c>
      <c r="AH25" s="369" t="s">
        <v>36</v>
      </c>
      <c r="AI25" s="39"/>
      <c r="AJ25" s="40">
        <f>IFERROR(Z25/W25*1000,"")</f>
        <v>1086.0256410256413</v>
      </c>
      <c r="AK25" s="39"/>
      <c r="AL25" s="41"/>
      <c r="AM25" s="41"/>
      <c r="AN25" s="41"/>
      <c r="AP25" s="369">
        <f t="shared" si="24"/>
        <v>-11</v>
      </c>
      <c r="AQ25" s="42"/>
    </row>
    <row r="26" spans="2:43" s="369" customFormat="1" ht="115.5" customHeight="1" x14ac:dyDescent="0.3">
      <c r="B26" s="421"/>
      <c r="C26" s="24">
        <f t="shared" si="12"/>
        <v>16</v>
      </c>
      <c r="D26" s="43" t="s">
        <v>35</v>
      </c>
      <c r="E26" s="26" t="s">
        <v>28</v>
      </c>
      <c r="F26" s="25">
        <v>11</v>
      </c>
      <c r="G26" s="124">
        <v>571</v>
      </c>
      <c r="H26" s="124">
        <f t="shared" si="13"/>
        <v>100</v>
      </c>
      <c r="I26" s="123" t="s">
        <v>78</v>
      </c>
      <c r="J26" s="123" t="s">
        <v>88</v>
      </c>
      <c r="K26" s="123" t="s">
        <v>84</v>
      </c>
      <c r="L26" s="123"/>
      <c r="M26" s="129" t="s">
        <v>90</v>
      </c>
      <c r="N26" s="123" t="s">
        <v>74</v>
      </c>
      <c r="O26" s="123" t="s">
        <v>169</v>
      </c>
      <c r="P26" s="123" t="s">
        <v>92</v>
      </c>
      <c r="Q26" s="123" t="s">
        <v>91</v>
      </c>
      <c r="R26" s="123" t="s">
        <v>89</v>
      </c>
      <c r="S26" s="124">
        <f t="shared" si="14"/>
        <v>6</v>
      </c>
      <c r="T26" s="27">
        <f t="shared" si="15"/>
        <v>726</v>
      </c>
      <c r="U26" s="28">
        <f>+H67</f>
        <v>571</v>
      </c>
      <c r="V26" s="44">
        <f t="shared" si="16"/>
        <v>51.909090909090907</v>
      </c>
      <c r="W26" s="45">
        <f t="shared" si="17"/>
        <v>0.78650137741046833</v>
      </c>
      <c r="X26" s="46">
        <f>+K67</f>
        <v>466.09</v>
      </c>
      <c r="Y26" s="44">
        <f t="shared" si="18"/>
        <v>42.371818181818178</v>
      </c>
      <c r="Z26" s="47">
        <f t="shared" si="19"/>
        <v>0.64199724517906331</v>
      </c>
      <c r="AA26" s="48">
        <f t="shared" si="20"/>
        <v>39.325068870523417</v>
      </c>
      <c r="AB26" s="49">
        <f t="shared" si="21"/>
        <v>34.95675</v>
      </c>
      <c r="AC26" s="384">
        <f t="shared" si="22"/>
        <v>74.281818870523409</v>
      </c>
      <c r="AD26" s="161" t="str">
        <f t="shared" si="23"/>
        <v xml:space="preserve"> 사유?→</v>
      </c>
      <c r="AE26" s="160" t="s">
        <v>289</v>
      </c>
      <c r="AF26" s="37">
        <f>AG26-F26</f>
        <v>-11</v>
      </c>
      <c r="AG26" s="38">
        <f>AN26</f>
        <v>0</v>
      </c>
      <c r="AH26" s="369" t="s">
        <v>33</v>
      </c>
      <c r="AI26" s="39"/>
      <c r="AJ26" s="40">
        <f>IFERROR(Z26/W26*1000,"")</f>
        <v>816.26970227670745</v>
      </c>
      <c r="AK26" s="39"/>
      <c r="AL26" s="41"/>
      <c r="AM26" s="41"/>
      <c r="AN26" s="41"/>
      <c r="AP26" s="369">
        <f t="shared" si="24"/>
        <v>-11</v>
      </c>
      <c r="AQ26" s="42"/>
    </row>
    <row r="27" spans="2:43" s="369" customFormat="1" ht="104.25" customHeight="1" x14ac:dyDescent="0.3">
      <c r="B27" s="421"/>
      <c r="C27" s="24">
        <f t="shared" si="12"/>
        <v>17</v>
      </c>
      <c r="D27" s="43" t="s">
        <v>37</v>
      </c>
      <c r="E27" s="26" t="s">
        <v>29</v>
      </c>
      <c r="F27" s="25">
        <v>8</v>
      </c>
      <c r="G27" s="125">
        <v>349</v>
      </c>
      <c r="H27" s="130">
        <f t="shared" si="13"/>
        <v>98.587570621468927</v>
      </c>
      <c r="I27" s="123" t="s">
        <v>78</v>
      </c>
      <c r="J27" s="123" t="s">
        <v>88</v>
      </c>
      <c r="K27" s="123" t="s">
        <v>84</v>
      </c>
      <c r="L27" s="123"/>
      <c r="M27" s="129" t="s">
        <v>293</v>
      </c>
      <c r="N27" s="123" t="s">
        <v>294</v>
      </c>
      <c r="O27" s="123"/>
      <c r="P27" s="123" t="s">
        <v>92</v>
      </c>
      <c r="Q27" s="123" t="s">
        <v>91</v>
      </c>
      <c r="R27" s="123" t="s">
        <v>89</v>
      </c>
      <c r="S27" s="125">
        <f t="shared" si="14"/>
        <v>5.5</v>
      </c>
      <c r="T27" s="27">
        <f t="shared" si="15"/>
        <v>528</v>
      </c>
      <c r="U27" s="28">
        <f>+H70</f>
        <v>354</v>
      </c>
      <c r="V27" s="44">
        <f t="shared" si="16"/>
        <v>44.25</v>
      </c>
      <c r="W27" s="45">
        <f t="shared" si="17"/>
        <v>0.67045454545454541</v>
      </c>
      <c r="X27" s="46">
        <f>+K70</f>
        <v>371.89</v>
      </c>
      <c r="Y27" s="44">
        <f t="shared" si="18"/>
        <v>46.486249999999998</v>
      </c>
      <c r="Z27" s="47">
        <f t="shared" si="19"/>
        <v>0.70433712121212122</v>
      </c>
      <c r="AA27" s="48">
        <f t="shared" si="20"/>
        <v>33.522727272727273</v>
      </c>
      <c r="AB27" s="49">
        <f t="shared" si="21"/>
        <v>38.351156250000003</v>
      </c>
      <c r="AC27" s="384">
        <f t="shared" si="22"/>
        <v>71.873883522727283</v>
      </c>
      <c r="AD27" s="161" t="str">
        <f t="shared" si="23"/>
        <v xml:space="preserve"> 사유?→</v>
      </c>
      <c r="AE27" s="160" t="s">
        <v>286</v>
      </c>
      <c r="AF27" s="37">
        <f>AG27-F27</f>
        <v>-8</v>
      </c>
      <c r="AG27" s="38">
        <f>AN27</f>
        <v>0</v>
      </c>
      <c r="AH27" s="369" t="s">
        <v>46</v>
      </c>
      <c r="AI27" s="39"/>
      <c r="AJ27" s="40">
        <f>IFERROR(Z27/W27*1000,"")</f>
        <v>1050.5367231638418</v>
      </c>
      <c r="AL27" s="41"/>
      <c r="AM27" s="41"/>
      <c r="AN27" s="41"/>
      <c r="AP27" s="369">
        <f t="shared" si="24"/>
        <v>-8</v>
      </c>
      <c r="AQ27" s="42"/>
    </row>
    <row r="28" spans="2:43" s="369" customFormat="1" ht="104.25" customHeight="1" x14ac:dyDescent="0.3">
      <c r="B28" s="421"/>
      <c r="C28" s="24">
        <f t="shared" si="12"/>
        <v>18</v>
      </c>
      <c r="D28" s="43" t="s">
        <v>47</v>
      </c>
      <c r="E28" s="26" t="s">
        <v>36</v>
      </c>
      <c r="F28" s="25">
        <v>8</v>
      </c>
      <c r="G28" s="124">
        <v>458</v>
      </c>
      <c r="H28" s="124">
        <f t="shared" si="13"/>
        <v>98.920086393088553</v>
      </c>
      <c r="I28" s="123" t="s">
        <v>78</v>
      </c>
      <c r="J28" s="123" t="s">
        <v>88</v>
      </c>
      <c r="K28" s="123" t="s">
        <v>84</v>
      </c>
      <c r="L28" s="123"/>
      <c r="M28" s="129" t="s">
        <v>293</v>
      </c>
      <c r="N28" s="123" t="s">
        <v>294</v>
      </c>
      <c r="O28" s="123"/>
      <c r="P28" s="123" t="s">
        <v>92</v>
      </c>
      <c r="Q28" s="123" t="s">
        <v>91</v>
      </c>
      <c r="R28" s="123" t="s">
        <v>89</v>
      </c>
      <c r="S28" s="124">
        <f t="shared" si="14"/>
        <v>5.5</v>
      </c>
      <c r="T28" s="374">
        <f t="shared" si="15"/>
        <v>528</v>
      </c>
      <c r="U28" s="28">
        <f>+H73</f>
        <v>463</v>
      </c>
      <c r="V28" s="29">
        <f t="shared" si="16"/>
        <v>57.875</v>
      </c>
      <c r="W28" s="30">
        <f t="shared" si="17"/>
        <v>0.87689393939393945</v>
      </c>
      <c r="X28" s="31">
        <f>+K73</f>
        <v>333.54</v>
      </c>
      <c r="Y28" s="44">
        <f t="shared" si="18"/>
        <v>41.692500000000003</v>
      </c>
      <c r="Z28" s="47">
        <f t="shared" si="19"/>
        <v>0.63170454545454546</v>
      </c>
      <c r="AA28" s="48">
        <f t="shared" si="20"/>
        <v>43.844696969696969</v>
      </c>
      <c r="AB28" s="49">
        <f t="shared" si="21"/>
        <v>34.396312500000001</v>
      </c>
      <c r="AC28" s="384">
        <f t="shared" si="22"/>
        <v>78.241009469696962</v>
      </c>
      <c r="AD28" s="161" t="str">
        <f t="shared" si="23"/>
        <v xml:space="preserve"> 사유?→</v>
      </c>
      <c r="AE28" s="160" t="s">
        <v>285</v>
      </c>
      <c r="AF28" s="37"/>
      <c r="AG28" s="38"/>
      <c r="AI28" s="39"/>
      <c r="AJ28" s="40"/>
      <c r="AL28" s="41"/>
      <c r="AM28" s="41"/>
      <c r="AN28" s="41"/>
      <c r="AP28" s="369">
        <f t="shared" si="24"/>
        <v>-8</v>
      </c>
      <c r="AQ28" s="42"/>
    </row>
    <row r="29" spans="2:43" s="369" customFormat="1" ht="36" customHeight="1" x14ac:dyDescent="0.3">
      <c r="B29" s="422" t="s">
        <v>39</v>
      </c>
      <c r="C29" s="423"/>
      <c r="D29" s="423"/>
      <c r="E29" s="424"/>
      <c r="F29" s="43">
        <f>SUM(F23:F28)</f>
        <v>60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3960</v>
      </c>
      <c r="U29" s="53">
        <f>SUM(U23:U28)</f>
        <v>3114</v>
      </c>
      <c r="V29" s="54">
        <f>U29/F29</f>
        <v>51.9</v>
      </c>
      <c r="W29" s="45">
        <f t="shared" si="17"/>
        <v>0.78636363636363638</v>
      </c>
      <c r="X29" s="55">
        <f>SUM(X23:X28)</f>
        <v>2688.62</v>
      </c>
      <c r="Y29" s="44">
        <f>X29/F29</f>
        <v>44.810333333333332</v>
      </c>
      <c r="Z29" s="47">
        <f t="shared" si="19"/>
        <v>0.67894444444444446</v>
      </c>
      <c r="AA29" s="56">
        <f>U29/T29*AA20</f>
        <v>39.31818181818182</v>
      </c>
      <c r="AB29" s="57">
        <f>X29/T29*AB20</f>
        <v>36.968525</v>
      </c>
      <c r="AC29" s="385">
        <f t="shared" si="22"/>
        <v>76.286706818181813</v>
      </c>
      <c r="AD29" s="162" t="str">
        <f t="shared" si="23"/>
        <v xml:space="preserve"> 사유?→</v>
      </c>
      <c r="AE29" s="43"/>
      <c r="AF29" s="37">
        <f>AG29-F29</f>
        <v>-60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10</v>
      </c>
      <c r="G30" s="373"/>
      <c r="H30" s="373"/>
      <c r="I30" s="373"/>
      <c r="J30" s="373"/>
      <c r="K30" s="373"/>
      <c r="L30" s="373"/>
      <c r="M30" s="373"/>
      <c r="N30" s="373"/>
      <c r="O30" s="373"/>
      <c r="P30" s="373"/>
      <c r="Q30" s="373"/>
      <c r="R30" s="373"/>
      <c r="S30" s="373"/>
      <c r="T30" s="373"/>
      <c r="U30" s="61">
        <f>V30*F30</f>
        <v>519</v>
      </c>
      <c r="V30" s="62">
        <f>U29/F29</f>
        <v>51.9</v>
      </c>
      <c r="W30" s="63">
        <f>IFERROR(U30/#REF!,0)</f>
        <v>0</v>
      </c>
      <c r="X30" s="64">
        <f>X29/F29*F30</f>
        <v>448.10333333333335</v>
      </c>
      <c r="Y30" s="62">
        <f>IF(F30=0,"휴무",X30/F30)</f>
        <v>44.810333333333332</v>
      </c>
      <c r="Z30" s="65">
        <f>IFERROR(X30/#REF!,0)</f>
        <v>0</v>
      </c>
      <c r="AA30" s="60">
        <f>AVERAGE(AA23:AA28)</f>
        <v>39.260502754820941</v>
      </c>
      <c r="AB30" s="60">
        <f>AVERAGE(AB23:AB28)</f>
        <v>36.914453125000001</v>
      </c>
      <c r="AC30" s="141">
        <f>AA30+AB30</f>
        <v>76.174955879820942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369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13</v>
      </c>
      <c r="F36" s="455" t="s">
        <v>7</v>
      </c>
      <c r="G36" s="82" t="s">
        <v>48</v>
      </c>
      <c r="H36" s="83">
        <v>155</v>
      </c>
      <c r="I36" s="84"/>
      <c r="J36" s="85"/>
      <c r="K36" s="86">
        <v>364.29</v>
      </c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>
        <v>101</v>
      </c>
      <c r="I37" s="84"/>
      <c r="J37" s="85"/>
      <c r="K37" s="86">
        <v>158.18</v>
      </c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357</v>
      </c>
      <c r="I38" s="88"/>
      <c r="J38" s="89"/>
      <c r="K38" s="90">
        <f>+K36+K37*2</f>
        <v>680.65000000000009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14</v>
      </c>
      <c r="F39" s="455" t="s">
        <v>52</v>
      </c>
      <c r="G39" s="82" t="s">
        <v>48</v>
      </c>
      <c r="H39" s="83">
        <v>202</v>
      </c>
      <c r="I39" s="84"/>
      <c r="J39" s="85"/>
      <c r="K39" s="86">
        <v>269.01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>
        <v>143</v>
      </c>
      <c r="I40" s="84"/>
      <c r="J40" s="85"/>
      <c r="K40" s="86">
        <v>121.45</v>
      </c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488</v>
      </c>
      <c r="I41" s="88"/>
      <c r="J41" s="89"/>
      <c r="K41" s="90">
        <f>+K39+K40*2</f>
        <v>511.90999999999997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15</v>
      </c>
      <c r="F42" s="455" t="s">
        <v>53</v>
      </c>
      <c r="G42" s="82" t="s">
        <v>48</v>
      </c>
      <c r="H42" s="83">
        <f>377-55</f>
        <v>322</v>
      </c>
      <c r="I42" s="84"/>
      <c r="J42" s="85"/>
      <c r="K42" s="86">
        <f>469.4-136.88</f>
        <v>332.52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>
        <v>55</v>
      </c>
      <c r="I43" s="84"/>
      <c r="J43" s="85"/>
      <c r="K43" s="86">
        <v>136.88</v>
      </c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432</v>
      </c>
      <c r="I44" s="88"/>
      <c r="J44" s="89"/>
      <c r="K44" s="90">
        <f>+K42+K43*2</f>
        <v>606.28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16</v>
      </c>
      <c r="F45" s="455" t="s">
        <v>55</v>
      </c>
      <c r="G45" s="82" t="s">
        <v>48</v>
      </c>
      <c r="H45" s="83">
        <f>236-214</f>
        <v>22</v>
      </c>
      <c r="I45" s="84"/>
      <c r="J45" s="85"/>
      <c r="K45" s="86">
        <f>352.02-326.71</f>
        <v>25.310000000000002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>
        <v>214</v>
      </c>
      <c r="I46" s="84"/>
      <c r="J46" s="85"/>
      <c r="K46" s="86">
        <v>326.70999999999998</v>
      </c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450</v>
      </c>
      <c r="I47" s="88"/>
      <c r="J47" s="89"/>
      <c r="K47" s="90">
        <f>+K45+K46*2</f>
        <v>678.73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17</v>
      </c>
      <c r="F48" s="455" t="s">
        <v>56</v>
      </c>
      <c r="G48" s="82" t="s">
        <v>48</v>
      </c>
      <c r="H48" s="83">
        <f>360-12</f>
        <v>348</v>
      </c>
      <c r="I48" s="84"/>
      <c r="J48" s="85"/>
      <c r="K48" s="86">
        <f>315.27-16.09</f>
        <v>299.18</v>
      </c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>
        <v>12</v>
      </c>
      <c r="I49" s="84"/>
      <c r="J49" s="85"/>
      <c r="K49" s="86">
        <v>16.09</v>
      </c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372</v>
      </c>
      <c r="I50" s="88"/>
      <c r="J50" s="89"/>
      <c r="K50" s="90">
        <f>+K48+K49*2</f>
        <v>331.36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18</v>
      </c>
      <c r="F51" s="455" t="s">
        <v>38</v>
      </c>
      <c r="G51" s="82" t="s">
        <v>48</v>
      </c>
      <c r="H51" s="83">
        <f>249-38</f>
        <v>211</v>
      </c>
      <c r="I51" s="84"/>
      <c r="J51" s="85"/>
      <c r="K51" s="86">
        <f>260.92-73.88</f>
        <v>187.04000000000002</v>
      </c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>
        <v>38</v>
      </c>
      <c r="I52" s="84"/>
      <c r="J52" s="85"/>
      <c r="K52" s="86">
        <v>73.88</v>
      </c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287</v>
      </c>
      <c r="I53" s="88"/>
      <c r="J53" s="89"/>
      <c r="K53" s="90">
        <f>+K51+K52*2</f>
        <v>334.8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13</v>
      </c>
      <c r="F56" s="455" t="s">
        <v>7</v>
      </c>
      <c r="G56" s="82" t="s">
        <v>48</v>
      </c>
      <c r="H56" s="83">
        <v>339</v>
      </c>
      <c r="I56" s="84"/>
      <c r="J56" s="85"/>
      <c r="K56" s="86">
        <v>369.68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>
        <v>125</v>
      </c>
      <c r="I57" s="84"/>
      <c r="J57" s="85"/>
      <c r="K57" s="86">
        <v>84.59</v>
      </c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589</v>
      </c>
      <c r="I58" s="88"/>
      <c r="J58" s="89"/>
      <c r="K58" s="90">
        <f>+K56+K57*2</f>
        <v>538.86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14</v>
      </c>
      <c r="F59" s="455" t="s">
        <v>52</v>
      </c>
      <c r="G59" s="82" t="s">
        <v>48</v>
      </c>
      <c r="H59" s="83">
        <f>660-9</f>
        <v>651</v>
      </c>
      <c r="I59" s="84"/>
      <c r="J59" s="85"/>
      <c r="K59" s="86">
        <f>461.96-8.02</f>
        <v>453.94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>
        <v>9</v>
      </c>
      <c r="I60" s="84"/>
      <c r="J60" s="85"/>
      <c r="K60" s="86">
        <v>8.02</v>
      </c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669</v>
      </c>
      <c r="I61" s="88"/>
      <c r="J61" s="89"/>
      <c r="K61" s="90">
        <f>+K59+K60*2</f>
        <v>469.98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15</v>
      </c>
      <c r="F62" s="455" t="s">
        <v>53</v>
      </c>
      <c r="G62" s="82" t="s">
        <v>48</v>
      </c>
      <c r="H62" s="83">
        <v>466</v>
      </c>
      <c r="I62" s="84"/>
      <c r="J62" s="85"/>
      <c r="K62" s="86">
        <f>507.91-0.35</f>
        <v>507.56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>
        <v>1</v>
      </c>
      <c r="I63" s="84"/>
      <c r="J63" s="85"/>
      <c r="K63" s="86">
        <v>0.35</v>
      </c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468</v>
      </c>
      <c r="I64" s="88"/>
      <c r="J64" s="89"/>
      <c r="K64" s="90">
        <f>+K62+K63*2</f>
        <v>508.26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16</v>
      </c>
      <c r="F65" s="455" t="s">
        <v>55</v>
      </c>
      <c r="G65" s="82" t="s">
        <v>48</v>
      </c>
      <c r="H65" s="83">
        <v>571</v>
      </c>
      <c r="I65" s="84"/>
      <c r="J65" s="85"/>
      <c r="K65" s="86">
        <v>466.09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/>
      <c r="I66" s="84"/>
      <c r="J66" s="85"/>
      <c r="K66" s="86"/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571</v>
      </c>
      <c r="I67" s="88"/>
      <c r="J67" s="89"/>
      <c r="K67" s="90">
        <f>+K65+K66*2</f>
        <v>466.09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17</v>
      </c>
      <c r="F68" s="455" t="s">
        <v>56</v>
      </c>
      <c r="G68" s="82" t="s">
        <v>48</v>
      </c>
      <c r="H68" s="83">
        <v>354</v>
      </c>
      <c r="I68" s="84"/>
      <c r="J68" s="85"/>
      <c r="K68" s="86">
        <v>371.89</v>
      </c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/>
      <c r="I69" s="84"/>
      <c r="J69" s="85"/>
      <c r="K69" s="86"/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354</v>
      </c>
      <c r="I70" s="88"/>
      <c r="J70" s="89"/>
      <c r="K70" s="90">
        <f>+K68+K69*2</f>
        <v>371.89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18</v>
      </c>
      <c r="F71" s="455" t="s">
        <v>38</v>
      </c>
      <c r="G71" s="82" t="s">
        <v>48</v>
      </c>
      <c r="H71" s="83">
        <v>463</v>
      </c>
      <c r="I71" s="84"/>
      <c r="J71" s="85"/>
      <c r="K71" s="86">
        <v>333.54</v>
      </c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463</v>
      </c>
      <c r="I73" s="88"/>
      <c r="J73" s="89"/>
      <c r="K73" s="90">
        <f>+K71+K72*2</f>
        <v>333.54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372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5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6">IF(F80=0,"휴무",AA80+AB80)</f>
        <v>#REF!</v>
      </c>
      <c r="AD80" s="103" t="e">
        <f t="shared" ref="AD80:AD85" si="27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369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369"/>
      <c r="AP80" s="369">
        <f>AO80-F80</f>
        <v>-10</v>
      </c>
    </row>
    <row r="81" spans="2:42" ht="98.25" customHeight="1" x14ac:dyDescent="0.3">
      <c r="B81" s="459"/>
      <c r="C81" s="92">
        <v>20</v>
      </c>
      <c r="D81" s="368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5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6"/>
        <v>#REF!</v>
      </c>
      <c r="AD81" s="108" t="e">
        <f t="shared" si="27"/>
        <v>#REF!</v>
      </c>
      <c r="AE81" s="109"/>
      <c r="AF81" s="37">
        <f>AG81-F81</f>
        <v>-10</v>
      </c>
      <c r="AG81" s="38">
        <f>AN81</f>
        <v>0</v>
      </c>
      <c r="AH81" s="369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369"/>
      <c r="AP81" s="369">
        <f>AO81-F81</f>
        <v>-10</v>
      </c>
    </row>
    <row r="82" spans="2:42" ht="98.25" customHeight="1" x14ac:dyDescent="0.3">
      <c r="B82" s="459"/>
      <c r="C82" s="92">
        <v>21</v>
      </c>
      <c r="D82" s="368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5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6"/>
        <v>#REF!</v>
      </c>
      <c r="AD82" s="108" t="e">
        <f t="shared" si="27"/>
        <v>#REF!</v>
      </c>
      <c r="AE82" s="109"/>
      <c r="AF82" s="37">
        <f>AG82-F82</f>
        <v>-10</v>
      </c>
      <c r="AG82" s="38">
        <f>AN82</f>
        <v>0</v>
      </c>
      <c r="AH82" s="369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369"/>
      <c r="AP82" s="369">
        <f>AO82-F82</f>
        <v>-10</v>
      </c>
    </row>
    <row r="83" spans="2:42" ht="98.25" customHeight="1" x14ac:dyDescent="0.3">
      <c r="B83" s="459"/>
      <c r="C83" s="92">
        <v>22</v>
      </c>
      <c r="D83" s="368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5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6"/>
        <v>#REF!</v>
      </c>
      <c r="AD83" s="110" t="e">
        <f t="shared" si="27"/>
        <v>#REF!</v>
      </c>
      <c r="AE83" s="104"/>
      <c r="AF83" s="37">
        <f>AG83-F83</f>
        <v>-10</v>
      </c>
      <c r="AG83" s="38">
        <f>AN83</f>
        <v>0</v>
      </c>
      <c r="AH83" s="369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369"/>
      <c r="AP83" s="369">
        <f>AO83-F83</f>
        <v>-10</v>
      </c>
    </row>
    <row r="84" spans="2:42" ht="98.25" customHeight="1" x14ac:dyDescent="0.3">
      <c r="B84" s="459"/>
      <c r="C84" s="92">
        <v>23</v>
      </c>
      <c r="D84" s="368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5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6"/>
        <v>#REF!</v>
      </c>
      <c r="AD84" s="110" t="e">
        <f t="shared" si="27"/>
        <v>#REF!</v>
      </c>
      <c r="AE84" s="104"/>
      <c r="AF84" s="37">
        <f>AG84-F84</f>
        <v>-10</v>
      </c>
      <c r="AG84" s="38">
        <f>AN84</f>
        <v>0</v>
      </c>
      <c r="AH84" s="369" t="s">
        <v>46</v>
      </c>
      <c r="AI84" s="39"/>
      <c r="AJ84" s="40" t="str">
        <f>IFERROR(Z84/W84*1000,"")</f>
        <v/>
      </c>
      <c r="AK84" s="369"/>
      <c r="AL84" s="41"/>
      <c r="AM84" s="41"/>
      <c r="AN84" s="41"/>
      <c r="AO84" s="369"/>
      <c r="AP84" s="369">
        <f>AO84-F84</f>
        <v>-10</v>
      </c>
    </row>
    <row r="85" spans="2:42" ht="98.25" customHeight="1" x14ac:dyDescent="0.3">
      <c r="B85" s="459"/>
      <c r="C85" s="92">
        <v>25</v>
      </c>
      <c r="D85" s="368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373"/>
      <c r="H85" s="373"/>
      <c r="I85" s="373"/>
      <c r="J85" s="373"/>
      <c r="K85" s="373"/>
      <c r="L85" s="373"/>
      <c r="M85" s="373"/>
      <c r="N85" s="373"/>
      <c r="O85" s="373"/>
      <c r="P85" s="373"/>
      <c r="Q85" s="373"/>
      <c r="R85" s="373"/>
      <c r="S85" s="373"/>
      <c r="T85" s="373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5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6"/>
        <v>휴무</v>
      </c>
      <c r="AD85" s="110" t="str">
        <f t="shared" si="27"/>
        <v>휴무</v>
      </c>
      <c r="AE85" s="104"/>
      <c r="AF85" s="37"/>
      <c r="AG85" s="38"/>
      <c r="AH85" s="369"/>
      <c r="AI85" s="39"/>
      <c r="AJ85" s="40"/>
      <c r="AK85" s="369"/>
      <c r="AL85" s="41"/>
      <c r="AM85" s="41"/>
      <c r="AN85" s="41"/>
      <c r="AO85" s="369"/>
      <c r="AP85" s="369"/>
    </row>
    <row r="86" spans="2:42" ht="36" customHeight="1" x14ac:dyDescent="0.3">
      <c r="B86" s="460" t="s">
        <v>39</v>
      </c>
      <c r="C86" s="461"/>
      <c r="D86" s="461"/>
      <c r="E86" s="462"/>
      <c r="F86" s="368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368"/>
      <c r="AB86" s="367"/>
      <c r="AC86" s="114"/>
      <c r="AD86" s="115"/>
      <c r="AE86" s="370"/>
      <c r="AF86" s="37">
        <f>AG86-F86</f>
        <v>-50</v>
      </c>
      <c r="AG86" s="38">
        <f>SUM(AG80:AG85)</f>
        <v>0</v>
      </c>
      <c r="AH86" s="369"/>
      <c r="AI86" s="369"/>
      <c r="AJ86" s="40"/>
      <c r="AK86" s="369"/>
      <c r="AL86" s="59"/>
      <c r="AM86" s="59"/>
      <c r="AN86" s="59"/>
      <c r="AO86" s="369"/>
      <c r="AP86" s="369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373"/>
      <c r="H87" s="373"/>
      <c r="I87" s="373"/>
      <c r="J87" s="373"/>
      <c r="K87" s="373"/>
      <c r="L87" s="373"/>
      <c r="M87" s="373"/>
      <c r="N87" s="373"/>
      <c r="O87" s="373"/>
      <c r="P87" s="373"/>
      <c r="Q87" s="373"/>
      <c r="R87" s="373"/>
      <c r="S87" s="373"/>
      <c r="T87" s="373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369"/>
      <c r="AE88" s="369"/>
      <c r="AF88" s="369"/>
      <c r="AG88" s="369"/>
      <c r="AH88" s="369"/>
      <c r="AI88" s="369"/>
      <c r="AJ88" s="369"/>
      <c r="AK88" s="369"/>
      <c r="AL88" s="59"/>
      <c r="AM88" s="59"/>
      <c r="AN88" s="59"/>
      <c r="AO88" s="369"/>
      <c r="AP88" s="369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368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368" t="s">
        <v>63</v>
      </c>
      <c r="D117" s="466" t="s">
        <v>12</v>
      </c>
      <c r="E117" s="466"/>
      <c r="F117" s="368" t="s">
        <v>64</v>
      </c>
      <c r="G117" s="368"/>
      <c r="H117" s="368"/>
      <c r="I117" s="368"/>
      <c r="J117" s="368"/>
      <c r="K117" s="368"/>
      <c r="L117" s="368"/>
      <c r="M117" s="368"/>
      <c r="N117" s="368"/>
      <c r="O117" s="368"/>
      <c r="P117" s="368"/>
      <c r="Q117" s="368"/>
      <c r="R117" s="368"/>
      <c r="S117" s="368"/>
      <c r="T117" s="368"/>
      <c r="U117" s="368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368"/>
      <c r="G118" s="368"/>
      <c r="H118" s="368"/>
      <c r="I118" s="368"/>
      <c r="J118" s="368"/>
      <c r="K118" s="368"/>
      <c r="L118" s="368"/>
      <c r="M118" s="368"/>
      <c r="N118" s="368"/>
      <c r="O118" s="368"/>
      <c r="P118" s="368"/>
      <c r="Q118" s="368"/>
      <c r="R118" s="368"/>
      <c r="S118" s="368"/>
      <c r="T118" s="368"/>
      <c r="U118" s="368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368"/>
      <c r="G119" s="368"/>
      <c r="H119" s="368"/>
      <c r="I119" s="368"/>
      <c r="J119" s="368"/>
      <c r="K119" s="368"/>
      <c r="L119" s="368"/>
      <c r="M119" s="368"/>
      <c r="N119" s="368"/>
      <c r="O119" s="368"/>
      <c r="P119" s="368"/>
      <c r="Q119" s="368"/>
      <c r="R119" s="368"/>
      <c r="S119" s="368"/>
      <c r="T119" s="368"/>
      <c r="U119" s="368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368"/>
      <c r="G120" s="368"/>
      <c r="H120" s="368"/>
      <c r="I120" s="368"/>
      <c r="J120" s="368"/>
      <c r="K120" s="368"/>
      <c r="L120" s="368"/>
      <c r="M120" s="368"/>
      <c r="N120" s="368"/>
      <c r="O120" s="368"/>
      <c r="P120" s="368"/>
      <c r="Q120" s="368"/>
      <c r="R120" s="368"/>
      <c r="S120" s="368"/>
      <c r="T120" s="368"/>
      <c r="U120" s="368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368"/>
      <c r="G121" s="368"/>
      <c r="H121" s="368"/>
      <c r="I121" s="368"/>
      <c r="J121" s="368"/>
      <c r="K121" s="368"/>
      <c r="L121" s="368"/>
      <c r="M121" s="368"/>
      <c r="N121" s="368"/>
      <c r="O121" s="368"/>
      <c r="P121" s="368"/>
      <c r="Q121" s="368"/>
      <c r="R121" s="368"/>
      <c r="S121" s="368"/>
      <c r="T121" s="368"/>
      <c r="U121" s="368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368"/>
      <c r="G122" s="368"/>
      <c r="H122" s="368"/>
      <c r="I122" s="368"/>
      <c r="J122" s="368"/>
      <c r="K122" s="368"/>
      <c r="L122" s="368"/>
      <c r="M122" s="368"/>
      <c r="N122" s="368"/>
      <c r="O122" s="368"/>
      <c r="P122" s="368"/>
      <c r="Q122" s="368"/>
      <c r="R122" s="368"/>
      <c r="S122" s="368"/>
      <c r="T122" s="368"/>
      <c r="U122" s="368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368"/>
      <c r="G123" s="368"/>
      <c r="H123" s="368"/>
      <c r="I123" s="368"/>
      <c r="J123" s="368"/>
      <c r="K123" s="368"/>
      <c r="L123" s="368"/>
      <c r="M123" s="368"/>
      <c r="N123" s="368"/>
      <c r="O123" s="368"/>
      <c r="P123" s="368"/>
      <c r="Q123" s="368"/>
      <c r="R123" s="368"/>
      <c r="S123" s="368"/>
      <c r="T123" s="368"/>
      <c r="U123" s="368"/>
      <c r="V123" s="117"/>
      <c r="W123" s="118"/>
      <c r="X123" s="116"/>
      <c r="Y123" s="117"/>
      <c r="Z123" s="116"/>
      <c r="AA123" s="116"/>
    </row>
    <row r="124" spans="3:27" x14ac:dyDescent="0.3">
      <c r="C124" s="368"/>
      <c r="D124" s="460"/>
      <c r="E124" s="462"/>
      <c r="F124" s="368"/>
      <c r="G124" s="368"/>
      <c r="H124" s="368"/>
      <c r="I124" s="368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368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368" t="s">
        <v>63</v>
      </c>
      <c r="D127" s="466" t="s">
        <v>12</v>
      </c>
      <c r="E127" s="466"/>
      <c r="F127" s="368" t="s">
        <v>64</v>
      </c>
      <c r="G127" s="368"/>
      <c r="H127" s="368"/>
      <c r="I127" s="368"/>
      <c r="J127" s="368"/>
      <c r="K127" s="368"/>
      <c r="L127" s="368"/>
      <c r="M127" s="368"/>
      <c r="N127" s="368"/>
      <c r="O127" s="368"/>
      <c r="P127" s="368"/>
      <c r="Q127" s="368"/>
      <c r="R127" s="368"/>
      <c r="S127" s="368"/>
      <c r="T127" s="368"/>
      <c r="U127" s="368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368"/>
      <c r="G128" s="368"/>
      <c r="H128" s="368"/>
      <c r="I128" s="368"/>
      <c r="J128" s="368"/>
      <c r="K128" s="368"/>
      <c r="L128" s="368"/>
      <c r="M128" s="368"/>
      <c r="N128" s="368"/>
      <c r="O128" s="368"/>
      <c r="P128" s="368"/>
      <c r="Q128" s="368"/>
      <c r="R128" s="368"/>
      <c r="S128" s="368"/>
      <c r="T128" s="368"/>
      <c r="U128" s="368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368"/>
      <c r="G129" s="368"/>
      <c r="H129" s="368"/>
      <c r="I129" s="368"/>
      <c r="J129" s="368"/>
      <c r="K129" s="368"/>
      <c r="L129" s="368"/>
      <c r="M129" s="368"/>
      <c r="N129" s="368"/>
      <c r="O129" s="368"/>
      <c r="P129" s="368"/>
      <c r="Q129" s="368"/>
      <c r="R129" s="368"/>
      <c r="S129" s="368"/>
      <c r="T129" s="368"/>
      <c r="U129" s="368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368"/>
      <c r="G130" s="368"/>
      <c r="H130" s="368"/>
      <c r="I130" s="368"/>
      <c r="J130" s="368"/>
      <c r="K130" s="368"/>
      <c r="L130" s="368"/>
      <c r="M130" s="368"/>
      <c r="N130" s="368"/>
      <c r="O130" s="368"/>
      <c r="P130" s="368"/>
      <c r="Q130" s="368"/>
      <c r="R130" s="368"/>
      <c r="S130" s="368"/>
      <c r="T130" s="368"/>
      <c r="U130" s="368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368"/>
      <c r="G131" s="368"/>
      <c r="H131" s="368"/>
      <c r="I131" s="368"/>
      <c r="J131" s="368"/>
      <c r="K131" s="368"/>
      <c r="L131" s="368"/>
      <c r="M131" s="368"/>
      <c r="N131" s="368"/>
      <c r="O131" s="368"/>
      <c r="P131" s="368"/>
      <c r="Q131" s="368"/>
      <c r="R131" s="368"/>
      <c r="S131" s="368"/>
      <c r="T131" s="368"/>
      <c r="U131" s="368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368"/>
      <c r="G132" s="368"/>
      <c r="H132" s="368"/>
      <c r="I132" s="368"/>
      <c r="J132" s="368"/>
      <c r="K132" s="368"/>
      <c r="L132" s="368"/>
      <c r="M132" s="368"/>
      <c r="N132" s="368"/>
      <c r="O132" s="368"/>
      <c r="P132" s="368"/>
      <c r="Q132" s="368"/>
      <c r="R132" s="368"/>
      <c r="S132" s="368"/>
      <c r="T132" s="368"/>
      <c r="U132" s="368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368"/>
      <c r="G133" s="368"/>
      <c r="H133" s="368"/>
      <c r="I133" s="368"/>
      <c r="J133" s="368"/>
      <c r="K133" s="368"/>
      <c r="L133" s="368"/>
      <c r="M133" s="368"/>
      <c r="N133" s="368"/>
      <c r="O133" s="368"/>
      <c r="P133" s="368"/>
      <c r="Q133" s="368"/>
      <c r="R133" s="368"/>
      <c r="S133" s="368"/>
      <c r="T133" s="368"/>
      <c r="U133" s="368"/>
      <c r="V133" s="117"/>
      <c r="W133" s="118"/>
      <c r="X133" s="116"/>
      <c r="Y133" s="117"/>
      <c r="Z133" s="116"/>
      <c r="AA133" s="116"/>
    </row>
    <row r="134" spans="3:27" x14ac:dyDescent="0.3">
      <c r="C134" s="368"/>
      <c r="D134" s="460"/>
      <c r="E134" s="462"/>
      <c r="F134" s="368"/>
      <c r="G134" s="368"/>
      <c r="H134" s="368"/>
      <c r="I134" s="368"/>
      <c r="J134" s="368"/>
      <c r="K134" s="368"/>
      <c r="L134" s="368"/>
      <c r="M134" s="368"/>
      <c r="N134" s="368"/>
      <c r="O134" s="368"/>
      <c r="P134" s="368"/>
      <c r="Q134" s="368"/>
      <c r="R134" s="368"/>
      <c r="S134" s="368"/>
      <c r="T134" s="368"/>
      <c r="U134" s="368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368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368" t="s">
        <v>63</v>
      </c>
      <c r="D137" s="466" t="s">
        <v>12</v>
      </c>
      <c r="E137" s="466"/>
      <c r="F137" s="368" t="s">
        <v>64</v>
      </c>
      <c r="G137" s="368"/>
      <c r="H137" s="368"/>
      <c r="I137" s="368"/>
      <c r="J137" s="368"/>
      <c r="K137" s="368"/>
      <c r="L137" s="368"/>
      <c r="M137" s="368"/>
      <c r="N137" s="368"/>
      <c r="O137" s="368"/>
      <c r="P137" s="368"/>
      <c r="Q137" s="368"/>
      <c r="R137" s="368"/>
      <c r="S137" s="368"/>
      <c r="T137" s="368"/>
      <c r="U137" s="368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368"/>
      <c r="G138" s="368"/>
      <c r="H138" s="368"/>
      <c r="I138" s="368"/>
      <c r="J138" s="368"/>
      <c r="K138" s="368"/>
      <c r="L138" s="368"/>
      <c r="M138" s="368"/>
      <c r="N138" s="368"/>
      <c r="O138" s="368"/>
      <c r="P138" s="368"/>
      <c r="Q138" s="368"/>
      <c r="R138" s="368"/>
      <c r="S138" s="368"/>
      <c r="T138" s="368"/>
      <c r="U138" s="368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368"/>
      <c r="G139" s="368"/>
      <c r="H139" s="368"/>
      <c r="I139" s="368"/>
      <c r="J139" s="368"/>
      <c r="K139" s="368"/>
      <c r="L139" s="368"/>
      <c r="M139" s="368"/>
      <c r="N139" s="368"/>
      <c r="O139" s="368"/>
      <c r="P139" s="368"/>
      <c r="Q139" s="368"/>
      <c r="R139" s="368"/>
      <c r="S139" s="368"/>
      <c r="T139" s="368"/>
      <c r="U139" s="368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368"/>
      <c r="G140" s="368"/>
      <c r="H140" s="368"/>
      <c r="I140" s="368"/>
      <c r="J140" s="368"/>
      <c r="K140" s="368"/>
      <c r="L140" s="368"/>
      <c r="M140" s="368"/>
      <c r="N140" s="368"/>
      <c r="O140" s="368"/>
      <c r="P140" s="368"/>
      <c r="Q140" s="368"/>
      <c r="R140" s="368"/>
      <c r="S140" s="368"/>
      <c r="T140" s="368"/>
      <c r="U140" s="368"/>
    </row>
    <row r="141" spans="3:27" x14ac:dyDescent="0.3">
      <c r="C141" s="119">
        <v>45078</v>
      </c>
      <c r="D141" s="466"/>
      <c r="E141" s="466"/>
      <c r="F141" s="368"/>
      <c r="G141" s="368"/>
      <c r="H141" s="368"/>
      <c r="I141" s="368"/>
      <c r="J141" s="368"/>
      <c r="K141" s="368"/>
      <c r="L141" s="368"/>
      <c r="M141" s="368"/>
      <c r="N141" s="368"/>
      <c r="O141" s="368"/>
      <c r="P141" s="368"/>
      <c r="Q141" s="368"/>
      <c r="R141" s="368"/>
      <c r="S141" s="368"/>
      <c r="T141" s="368"/>
      <c r="U141" s="368"/>
    </row>
    <row r="142" spans="3:27" x14ac:dyDescent="0.3">
      <c r="C142" s="119">
        <v>45079</v>
      </c>
      <c r="D142" s="466"/>
      <c r="E142" s="466"/>
      <c r="F142" s="368"/>
      <c r="G142" s="368"/>
      <c r="H142" s="368"/>
      <c r="I142" s="368"/>
      <c r="J142" s="368"/>
      <c r="K142" s="368"/>
      <c r="L142" s="368"/>
      <c r="M142" s="368"/>
      <c r="N142" s="368"/>
      <c r="O142" s="368"/>
      <c r="P142" s="368"/>
      <c r="Q142" s="368"/>
      <c r="R142" s="368"/>
      <c r="S142" s="368"/>
      <c r="T142" s="368"/>
      <c r="U142" s="368"/>
    </row>
    <row r="143" spans="3:27" x14ac:dyDescent="0.3">
      <c r="C143" s="119">
        <v>45080</v>
      </c>
      <c r="D143" s="466"/>
      <c r="E143" s="466"/>
      <c r="F143" s="368"/>
      <c r="G143" s="368"/>
      <c r="H143" s="368"/>
      <c r="I143" s="368"/>
      <c r="J143" s="368"/>
      <c r="K143" s="368"/>
      <c r="L143" s="368"/>
      <c r="M143" s="368"/>
      <c r="N143" s="368"/>
      <c r="O143" s="368"/>
      <c r="P143" s="368"/>
      <c r="Q143" s="368"/>
      <c r="R143" s="368"/>
      <c r="S143" s="368"/>
      <c r="T143" s="368"/>
      <c r="U143" s="368"/>
    </row>
    <row r="144" spans="3:27" x14ac:dyDescent="0.3">
      <c r="C144" s="368"/>
      <c r="D144" s="460"/>
      <c r="E144" s="462"/>
      <c r="F144" s="368"/>
      <c r="G144" s="368"/>
      <c r="H144" s="368"/>
      <c r="I144" s="368"/>
      <c r="J144" s="368"/>
      <c r="K144" s="368"/>
      <c r="L144" s="368"/>
      <c r="M144" s="368"/>
      <c r="N144" s="368"/>
      <c r="O144" s="368"/>
      <c r="P144" s="368"/>
      <c r="Q144" s="368"/>
      <c r="R144" s="368"/>
      <c r="S144" s="368"/>
      <c r="T144" s="368"/>
      <c r="U144" s="368"/>
    </row>
  </sheetData>
  <mergeCells count="111">
    <mergeCell ref="D144:E144"/>
    <mergeCell ref="D138:E138"/>
    <mergeCell ref="D139:E139"/>
    <mergeCell ref="D140:E140"/>
    <mergeCell ref="D141:E141"/>
    <mergeCell ref="D142:E142"/>
    <mergeCell ref="D143:E143"/>
    <mergeCell ref="D130:E130"/>
    <mergeCell ref="D131:E131"/>
    <mergeCell ref="D132:E132"/>
    <mergeCell ref="D133:E133"/>
    <mergeCell ref="D134:E134"/>
    <mergeCell ref="D137:E137"/>
    <mergeCell ref="D122:E122"/>
    <mergeCell ref="D123:E123"/>
    <mergeCell ref="D124:E124"/>
    <mergeCell ref="D127:E127"/>
    <mergeCell ref="D128:E128"/>
    <mergeCell ref="D129:E129"/>
    <mergeCell ref="C114:U114"/>
    <mergeCell ref="D117:E117"/>
    <mergeCell ref="D118:E118"/>
    <mergeCell ref="D119:E119"/>
    <mergeCell ref="D120:E120"/>
    <mergeCell ref="D121:E121"/>
    <mergeCell ref="E101:E103"/>
    <mergeCell ref="F101:F103"/>
    <mergeCell ref="E104:E106"/>
    <mergeCell ref="F104:F106"/>
    <mergeCell ref="E107:E109"/>
    <mergeCell ref="F107:F109"/>
    <mergeCell ref="E92:E94"/>
    <mergeCell ref="F92:F94"/>
    <mergeCell ref="E95:E97"/>
    <mergeCell ref="F95:F97"/>
    <mergeCell ref="E98:E100"/>
    <mergeCell ref="F98:F100"/>
    <mergeCell ref="AC78:AC79"/>
    <mergeCell ref="AD78:AD79"/>
    <mergeCell ref="AE78:AE79"/>
    <mergeCell ref="B80:B85"/>
    <mergeCell ref="B86:E86"/>
    <mergeCell ref="B87:E87"/>
    <mergeCell ref="E71:E73"/>
    <mergeCell ref="F71:F73"/>
    <mergeCell ref="B76:AE76"/>
    <mergeCell ref="B78:B79"/>
    <mergeCell ref="C78:C79"/>
    <mergeCell ref="D78:D79"/>
    <mergeCell ref="E78:E79"/>
    <mergeCell ref="F78:F79"/>
    <mergeCell ref="U78:W78"/>
    <mergeCell ref="X78:Z78"/>
    <mergeCell ref="E62:E64"/>
    <mergeCell ref="F62:F64"/>
    <mergeCell ref="E65:E67"/>
    <mergeCell ref="F65:F67"/>
    <mergeCell ref="E68:E70"/>
    <mergeCell ref="F68:F70"/>
    <mergeCell ref="E51:E53"/>
    <mergeCell ref="F51:F53"/>
    <mergeCell ref="E56:E58"/>
    <mergeCell ref="F56:F58"/>
    <mergeCell ref="E59:E61"/>
    <mergeCell ref="F59:F61"/>
    <mergeCell ref="E45:E47"/>
    <mergeCell ref="F45:F47"/>
    <mergeCell ref="E48:E50"/>
    <mergeCell ref="F48:F50"/>
    <mergeCell ref="B29:E29"/>
    <mergeCell ref="B30:E30"/>
    <mergeCell ref="E36:E38"/>
    <mergeCell ref="F36:F38"/>
    <mergeCell ref="E39:E41"/>
    <mergeCell ref="F39:F41"/>
    <mergeCell ref="AE21:AE22"/>
    <mergeCell ref="B23:B28"/>
    <mergeCell ref="G21:G22"/>
    <mergeCell ref="H21:H22"/>
    <mergeCell ref="I21:S21"/>
    <mergeCell ref="T21:T22"/>
    <mergeCell ref="U21:W21"/>
    <mergeCell ref="X21:Z21"/>
    <mergeCell ref="E42:E44"/>
    <mergeCell ref="F42:F44"/>
    <mergeCell ref="B14:E14"/>
    <mergeCell ref="B21:B22"/>
    <mergeCell ref="C21:C22"/>
    <mergeCell ref="D21:D22"/>
    <mergeCell ref="E21:E22"/>
    <mergeCell ref="F21:F22"/>
    <mergeCell ref="X5:Z5"/>
    <mergeCell ref="AC5:AC6"/>
    <mergeCell ref="AD5:AD6"/>
    <mergeCell ref="AA21:AA22"/>
    <mergeCell ref="AB21:AB22"/>
    <mergeCell ref="AC21:AC22"/>
    <mergeCell ref="AD21:AD22"/>
    <mergeCell ref="AE5:AE6"/>
    <mergeCell ref="B7:B12"/>
    <mergeCell ref="B13:E13"/>
    <mergeCell ref="B2:AE2"/>
    <mergeCell ref="B5:C6"/>
    <mergeCell ref="D5:D6"/>
    <mergeCell ref="E5:E6"/>
    <mergeCell ref="F5:F6"/>
    <mergeCell ref="G5:G6"/>
    <mergeCell ref="H5:H6"/>
    <mergeCell ref="I5:S5"/>
    <mergeCell ref="T5:T6"/>
    <mergeCell ref="U5:W5"/>
  </mergeCells>
  <phoneticPr fontId="4" type="noConversion"/>
  <dataValidations count="3">
    <dataValidation type="list" allowBlank="1" showInputMessage="1" showErrorMessage="1" sqref="E7:E10 E23:E26 E12 E28">
      <formula1>$U$7:$U$12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 E11 E27">
      <formula1>$AH$7:$AH$12</formula1>
    </dataValidation>
  </dataValidations>
  <pageMargins left="0.62992125984251968" right="0.62992125984251968" top="0.94488188976377963" bottom="0.55118110236220474" header="0.31496062992125984" footer="0.31496062992125984"/>
  <pageSetup paperSize="9" scale="28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80" zoomScaleNormal="80" workbookViewId="0">
      <pane xSplit="4" ySplit="6" topLeftCell="E28" activePane="bottomRight" state="frozen"/>
      <selection pane="topRight" activeCell="D1" sqref="D1"/>
      <selection pane="bottomLeft" activeCell="A6" sqref="A6"/>
      <selection pane="bottomRight" activeCell="AE11" sqref="AE11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56.375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11.75" hidden="1" customWidth="1"/>
    <col min="44" max="44" width="3.25" customWidth="1"/>
  </cols>
  <sheetData>
    <row r="2" spans="2:52" ht="20.25" x14ac:dyDescent="0.3">
      <c r="B2" s="425" t="s">
        <v>270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358" t="s">
        <v>1</v>
      </c>
      <c r="AY2" s="358" t="s">
        <v>2</v>
      </c>
      <c r="AZ2" s="3" t="s">
        <v>3</v>
      </c>
    </row>
    <row r="3" spans="2:52" ht="45" customHeight="1" x14ac:dyDescent="0.3">
      <c r="B3" s="330" t="s">
        <v>4</v>
      </c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357" t="s">
        <v>68</v>
      </c>
      <c r="J6" s="18" t="s">
        <v>69</v>
      </c>
      <c r="K6" s="18" t="s">
        <v>71</v>
      </c>
      <c r="L6" s="18" t="s">
        <v>72</v>
      </c>
      <c r="M6" s="18" t="s">
        <v>75</v>
      </c>
      <c r="N6" s="18" t="s">
        <v>75</v>
      </c>
      <c r="O6" s="18" t="s">
        <v>75</v>
      </c>
      <c r="P6" s="18" t="s">
        <v>230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357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-61.49</v>
      </c>
    </row>
    <row r="7" spans="2:52" s="363" customFormat="1" ht="99" customHeight="1" thickTop="1" x14ac:dyDescent="0.3">
      <c r="B7" s="420">
        <v>7</v>
      </c>
      <c r="C7" s="24">
        <v>6</v>
      </c>
      <c r="D7" s="25" t="s">
        <v>7</v>
      </c>
      <c r="E7" s="26" t="s">
        <v>28</v>
      </c>
      <c r="F7" s="25">
        <v>11</v>
      </c>
      <c r="G7" s="128">
        <v>403</v>
      </c>
      <c r="H7" s="128">
        <f t="shared" ref="H7:H12" si="0">(G7/U7)*100</f>
        <v>94.379391100702577</v>
      </c>
      <c r="I7" s="123" t="s">
        <v>85</v>
      </c>
      <c r="J7" s="123" t="s">
        <v>86</v>
      </c>
      <c r="K7" s="123" t="s">
        <v>87</v>
      </c>
      <c r="L7" s="123"/>
      <c r="M7" s="129" t="s">
        <v>90</v>
      </c>
      <c r="N7" s="123" t="s">
        <v>74</v>
      </c>
      <c r="O7" s="123" t="s">
        <v>169</v>
      </c>
      <c r="P7" s="123" t="s">
        <v>231</v>
      </c>
      <c r="Q7" s="123" t="s">
        <v>91</v>
      </c>
      <c r="R7" s="123" t="s">
        <v>89</v>
      </c>
      <c r="S7" s="125">
        <f t="shared" ref="S7:S12" si="1">COUNTA(I7:L7)+COUNTA(M7:R7)/2</f>
        <v>6</v>
      </c>
      <c r="T7" s="27">
        <f t="shared" ref="T7:T12" si="2">F7*$D$4*$U$4</f>
        <v>726</v>
      </c>
      <c r="U7" s="28">
        <f>+H38</f>
        <v>427</v>
      </c>
      <c r="V7" s="29">
        <f t="shared" ref="V7:V12" si="3">IF(F7=0,"휴무",U7/F7)</f>
        <v>38.81818181818182</v>
      </c>
      <c r="W7" s="30">
        <f t="shared" ref="W7:W13" si="4">IFERROR(U7/T7,0)</f>
        <v>0.58815426997245179</v>
      </c>
      <c r="X7" s="31">
        <f>+K38</f>
        <v>487.06</v>
      </c>
      <c r="Y7" s="29">
        <f t="shared" ref="Y7:Y12" si="5">IF(F7=0,"휴무",X7/F7)</f>
        <v>44.278181818181821</v>
      </c>
      <c r="Z7" s="32">
        <f t="shared" ref="Z7:Z13" si="6">IFERROR(X7/T7,0)</f>
        <v>0.67088154269972455</v>
      </c>
      <c r="AA7" s="33">
        <f t="shared" ref="AA7:AA12" si="7">IF(F7=0,"휴무",U7/T7*$AA$4)</f>
        <v>29.407713498622591</v>
      </c>
      <c r="AB7" s="34">
        <f t="shared" ref="AB7:AB12" si="8">IF(F7=0,"휴무",X7/T7*$AB$4)</f>
        <v>36.529500000000006</v>
      </c>
      <c r="AC7" s="138">
        <f t="shared" ref="AC7:AC13" si="9">IF(F7=0,"휴무",AA7+AB7)</f>
        <v>65.937213498622597</v>
      </c>
      <c r="AD7" s="159" t="str">
        <f t="shared" ref="AD7:AD13" si="10">IF(F7=0,"휴무",IF(AC7&gt;=100,"좋아요",IF(AC7&gt;=90,"90~99",IF(AC7&gt;=80,"80~89"," 사유?→"))))</f>
        <v xml:space="preserve"> 사유?→</v>
      </c>
      <c r="AE7" s="160" t="s">
        <v>272</v>
      </c>
      <c r="AF7" s="37">
        <f>AG7-F7</f>
        <v>-11</v>
      </c>
      <c r="AG7" s="38">
        <f>AN7</f>
        <v>0</v>
      </c>
      <c r="AH7" s="363" t="s">
        <v>29</v>
      </c>
      <c r="AI7" s="39"/>
      <c r="AJ7" s="40">
        <f>IFERROR(Z7/W7*1000,"")</f>
        <v>1140.655737704918</v>
      </c>
      <c r="AK7" s="39"/>
      <c r="AL7" s="41"/>
      <c r="AM7" s="41"/>
      <c r="AN7" s="41"/>
      <c r="AP7" s="363">
        <f t="shared" ref="AP7:AP12" si="11">AO7-F7</f>
        <v>-11</v>
      </c>
      <c r="AQ7" s="42"/>
    </row>
    <row r="8" spans="2:52" s="363" customFormat="1" ht="99.75" customHeight="1" x14ac:dyDescent="0.3">
      <c r="B8" s="421"/>
      <c r="C8" s="24">
        <f>+C7+1</f>
        <v>7</v>
      </c>
      <c r="D8" s="43" t="s">
        <v>30</v>
      </c>
      <c r="E8" s="26" t="s">
        <v>28</v>
      </c>
      <c r="F8" s="25">
        <v>10.66</v>
      </c>
      <c r="G8" s="125">
        <v>446</v>
      </c>
      <c r="H8" s="125">
        <f t="shared" si="0"/>
        <v>98.672566371681413</v>
      </c>
      <c r="I8" s="123" t="s">
        <v>85</v>
      </c>
      <c r="J8" s="123" t="s">
        <v>86</v>
      </c>
      <c r="K8" s="123" t="s">
        <v>87</v>
      </c>
      <c r="L8" s="123"/>
      <c r="M8" s="129" t="s">
        <v>90</v>
      </c>
      <c r="N8" s="123" t="s">
        <v>74</v>
      </c>
      <c r="O8" s="123" t="s">
        <v>169</v>
      </c>
      <c r="P8" s="123" t="s">
        <v>231</v>
      </c>
      <c r="Q8" s="123" t="s">
        <v>91</v>
      </c>
      <c r="R8" s="123" t="s">
        <v>89</v>
      </c>
      <c r="S8" s="125">
        <f t="shared" si="1"/>
        <v>6</v>
      </c>
      <c r="T8" s="27">
        <f t="shared" si="2"/>
        <v>703.56</v>
      </c>
      <c r="U8" s="28">
        <f>+H41</f>
        <v>452</v>
      </c>
      <c r="V8" s="44">
        <f t="shared" si="3"/>
        <v>42.401500938086301</v>
      </c>
      <c r="W8" s="45">
        <f t="shared" si="4"/>
        <v>0.64244698391039856</v>
      </c>
      <c r="X8" s="46">
        <f>+K41</f>
        <v>541.53</v>
      </c>
      <c r="Y8" s="29">
        <f t="shared" si="5"/>
        <v>50.800187617260782</v>
      </c>
      <c r="Z8" s="47">
        <f t="shared" si="6"/>
        <v>0.76969981238273921</v>
      </c>
      <c r="AA8" s="48">
        <f t="shared" si="7"/>
        <v>32.122349195519931</v>
      </c>
      <c r="AB8" s="49">
        <f t="shared" si="8"/>
        <v>41.910154784240156</v>
      </c>
      <c r="AC8" s="139">
        <f t="shared" si="9"/>
        <v>74.032503979760094</v>
      </c>
      <c r="AD8" s="161" t="str">
        <f t="shared" si="10"/>
        <v xml:space="preserve"> 사유?→</v>
      </c>
      <c r="AE8" s="160" t="s">
        <v>274</v>
      </c>
      <c r="AF8" s="37">
        <f>AG8-F8</f>
        <v>-10.66</v>
      </c>
      <c r="AG8" s="38">
        <f>AN8</f>
        <v>0</v>
      </c>
      <c r="AH8" s="363" t="s">
        <v>31</v>
      </c>
      <c r="AI8" s="39"/>
      <c r="AJ8" s="40">
        <f>IFERROR(Z8/W8*1000,"")</f>
        <v>1198.075221238938</v>
      </c>
      <c r="AK8" s="39"/>
      <c r="AL8" s="41"/>
      <c r="AM8" s="41"/>
      <c r="AN8" s="41"/>
      <c r="AP8" s="363">
        <f t="shared" si="11"/>
        <v>-10.66</v>
      </c>
      <c r="AQ8" s="42"/>
    </row>
    <row r="9" spans="2:52" s="363" customFormat="1" ht="97.5" customHeight="1" x14ac:dyDescent="0.3">
      <c r="B9" s="421"/>
      <c r="C9" s="24">
        <f>+C8+1</f>
        <v>8</v>
      </c>
      <c r="D9" s="43" t="s">
        <v>32</v>
      </c>
      <c r="E9" s="26" t="s">
        <v>28</v>
      </c>
      <c r="F9" s="25">
        <v>9.83</v>
      </c>
      <c r="G9" s="125">
        <v>423</v>
      </c>
      <c r="H9" s="125">
        <f t="shared" si="0"/>
        <v>94.209354120267264</v>
      </c>
      <c r="I9" s="123" t="s">
        <v>85</v>
      </c>
      <c r="J9" s="123" t="s">
        <v>86</v>
      </c>
      <c r="K9" s="123" t="s">
        <v>87</v>
      </c>
      <c r="L9" s="123"/>
      <c r="M9" s="129" t="s">
        <v>90</v>
      </c>
      <c r="N9" s="123" t="s">
        <v>74</v>
      </c>
      <c r="O9" s="123" t="s">
        <v>169</v>
      </c>
      <c r="P9" s="123" t="s">
        <v>231</v>
      </c>
      <c r="Q9" s="123" t="s">
        <v>91</v>
      </c>
      <c r="R9" s="123" t="s">
        <v>89</v>
      </c>
      <c r="S9" s="125">
        <f t="shared" si="1"/>
        <v>6</v>
      </c>
      <c r="T9" s="27">
        <f t="shared" si="2"/>
        <v>648.78</v>
      </c>
      <c r="U9" s="51">
        <f>+H44</f>
        <v>449</v>
      </c>
      <c r="V9" s="44">
        <f t="shared" si="3"/>
        <v>45.676500508646996</v>
      </c>
      <c r="W9" s="45">
        <f t="shared" si="4"/>
        <v>0.69206818952495452</v>
      </c>
      <c r="X9" s="46">
        <f>+K44</f>
        <v>382.01</v>
      </c>
      <c r="Y9" s="44">
        <f t="shared" si="5"/>
        <v>38.861648016276703</v>
      </c>
      <c r="Z9" s="47">
        <f t="shared" si="6"/>
        <v>0.58881284873146522</v>
      </c>
      <c r="AA9" s="48">
        <f t="shared" si="7"/>
        <v>34.603409476247727</v>
      </c>
      <c r="AB9" s="49">
        <f t="shared" si="8"/>
        <v>32.060859613428285</v>
      </c>
      <c r="AC9" s="139">
        <f t="shared" si="9"/>
        <v>66.664269089676012</v>
      </c>
      <c r="AD9" s="161" t="str">
        <f t="shared" si="10"/>
        <v xml:space="preserve"> 사유?→</v>
      </c>
      <c r="AE9" s="160" t="s">
        <v>276</v>
      </c>
      <c r="AF9" s="37">
        <f>AG9-F9</f>
        <v>-9.83</v>
      </c>
      <c r="AG9" s="38">
        <f>AN9</f>
        <v>0</v>
      </c>
      <c r="AH9" s="363" t="s">
        <v>34</v>
      </c>
      <c r="AI9" s="39"/>
      <c r="AJ9" s="40">
        <f>IFERROR(Z9/W9*1000,"")</f>
        <v>850.80178173719378</v>
      </c>
      <c r="AK9" s="39"/>
      <c r="AL9" s="41"/>
      <c r="AM9" s="41"/>
      <c r="AN9" s="41"/>
      <c r="AP9" s="363">
        <f t="shared" si="11"/>
        <v>-9.83</v>
      </c>
      <c r="AQ9" s="42"/>
    </row>
    <row r="10" spans="2:52" s="363" customFormat="1" ht="95.25" customHeight="1" x14ac:dyDescent="0.3">
      <c r="B10" s="421"/>
      <c r="C10" s="24">
        <f>+C9+1</f>
        <v>9</v>
      </c>
      <c r="D10" s="43" t="s">
        <v>35</v>
      </c>
      <c r="E10" s="26" t="s">
        <v>28</v>
      </c>
      <c r="F10" s="25">
        <v>11</v>
      </c>
      <c r="G10" s="125">
        <v>437</v>
      </c>
      <c r="H10" s="125">
        <f t="shared" si="0"/>
        <v>93.978494623655919</v>
      </c>
      <c r="I10" s="123" t="s">
        <v>85</v>
      </c>
      <c r="J10" s="123" t="s">
        <v>86</v>
      </c>
      <c r="K10" s="123" t="s">
        <v>87</v>
      </c>
      <c r="L10" s="123"/>
      <c r="M10" s="129" t="s">
        <v>90</v>
      </c>
      <c r="N10" s="123" t="s">
        <v>74</v>
      </c>
      <c r="O10" s="123" t="s">
        <v>169</v>
      </c>
      <c r="P10" s="123" t="s">
        <v>231</v>
      </c>
      <c r="Q10" s="123" t="s">
        <v>91</v>
      </c>
      <c r="R10" s="123" t="s">
        <v>89</v>
      </c>
      <c r="S10" s="125">
        <f t="shared" si="1"/>
        <v>6</v>
      </c>
      <c r="T10" s="27">
        <f t="shared" si="2"/>
        <v>726</v>
      </c>
      <c r="U10" s="28">
        <f>+H47</f>
        <v>465</v>
      </c>
      <c r="V10" s="44">
        <f t="shared" si="3"/>
        <v>42.272727272727273</v>
      </c>
      <c r="W10" s="45">
        <f t="shared" si="4"/>
        <v>0.64049586776859502</v>
      </c>
      <c r="X10" s="46">
        <f>+K47</f>
        <v>436.44</v>
      </c>
      <c r="Y10" s="29">
        <f t="shared" si="5"/>
        <v>39.676363636363639</v>
      </c>
      <c r="Z10" s="47">
        <f t="shared" si="6"/>
        <v>0.60115702479338839</v>
      </c>
      <c r="AA10" s="48">
        <f t="shared" si="7"/>
        <v>32.02479338842975</v>
      </c>
      <c r="AB10" s="49">
        <f t="shared" si="8"/>
        <v>32.732999999999997</v>
      </c>
      <c r="AC10" s="139">
        <f t="shared" si="9"/>
        <v>64.757793388429747</v>
      </c>
      <c r="AD10" s="161" t="str">
        <f t="shared" si="10"/>
        <v xml:space="preserve"> 사유?→</v>
      </c>
      <c r="AE10" s="160" t="s">
        <v>277</v>
      </c>
      <c r="AF10" s="37">
        <f>AG10-F10</f>
        <v>-11</v>
      </c>
      <c r="AG10" s="38">
        <f>AN10</f>
        <v>0</v>
      </c>
      <c r="AH10" s="363" t="s">
        <v>36</v>
      </c>
      <c r="AI10" s="39"/>
      <c r="AJ10" s="40">
        <f>IFERROR(Z10/W10*1000,"")</f>
        <v>938.58064516129025</v>
      </c>
      <c r="AK10" s="39"/>
      <c r="AL10" s="41"/>
      <c r="AM10" s="41"/>
      <c r="AN10" s="41"/>
      <c r="AP10" s="363">
        <f t="shared" si="11"/>
        <v>-11</v>
      </c>
      <c r="AQ10" s="42"/>
    </row>
    <row r="11" spans="2:52" s="363" customFormat="1" ht="102.75" customHeight="1" x14ac:dyDescent="0.3">
      <c r="B11" s="421"/>
      <c r="C11" s="24">
        <f>+C10+1</f>
        <v>10</v>
      </c>
      <c r="D11" s="43" t="s">
        <v>37</v>
      </c>
      <c r="E11" s="26" t="s">
        <v>28</v>
      </c>
      <c r="F11" s="25">
        <v>11</v>
      </c>
      <c r="G11" s="125">
        <v>350</v>
      </c>
      <c r="H11" s="125">
        <f t="shared" si="0"/>
        <v>96.95290858725761</v>
      </c>
      <c r="I11" s="123" t="s">
        <v>85</v>
      </c>
      <c r="J11" s="123" t="s">
        <v>86</v>
      </c>
      <c r="K11" s="123" t="s">
        <v>87</v>
      </c>
      <c r="L11" s="123"/>
      <c r="M11" s="129" t="s">
        <v>90</v>
      </c>
      <c r="N11" s="123" t="s">
        <v>74</v>
      </c>
      <c r="O11" s="123" t="s">
        <v>169</v>
      </c>
      <c r="P11" s="123" t="s">
        <v>231</v>
      </c>
      <c r="Q11" s="123" t="s">
        <v>91</v>
      </c>
      <c r="R11" s="123" t="s">
        <v>89</v>
      </c>
      <c r="S11" s="125">
        <f t="shared" si="1"/>
        <v>6</v>
      </c>
      <c r="T11" s="27">
        <f t="shared" si="2"/>
        <v>726</v>
      </c>
      <c r="U11" s="28">
        <f>+H50</f>
        <v>361</v>
      </c>
      <c r="V11" s="44">
        <f t="shared" si="3"/>
        <v>32.81818181818182</v>
      </c>
      <c r="W11" s="45">
        <f t="shared" si="4"/>
        <v>0.49724517906336091</v>
      </c>
      <c r="X11" s="46">
        <f>+K50</f>
        <v>488.22</v>
      </c>
      <c r="Y11" s="44">
        <f t="shared" si="5"/>
        <v>44.383636363636363</v>
      </c>
      <c r="Z11" s="47">
        <f t="shared" si="6"/>
        <v>0.67247933884297528</v>
      </c>
      <c r="AA11" s="48">
        <f t="shared" si="7"/>
        <v>24.862258953168045</v>
      </c>
      <c r="AB11" s="49">
        <f t="shared" si="8"/>
        <v>36.616500000000009</v>
      </c>
      <c r="AC11" s="139">
        <f t="shared" si="9"/>
        <v>61.478758953168054</v>
      </c>
      <c r="AD11" s="161" t="str">
        <f t="shared" si="10"/>
        <v xml:space="preserve"> 사유?→</v>
      </c>
      <c r="AE11" s="160" t="s">
        <v>279</v>
      </c>
      <c r="AF11" s="37">
        <f>AG11-F11</f>
        <v>-11</v>
      </c>
      <c r="AG11" s="38">
        <f>AN11</f>
        <v>0</v>
      </c>
      <c r="AH11" s="363" t="s">
        <v>33</v>
      </c>
      <c r="AI11" s="39"/>
      <c r="AJ11" s="40">
        <f>IFERROR(Z11/W11*1000,"")</f>
        <v>1352.4099722991691</v>
      </c>
      <c r="AL11" s="41"/>
      <c r="AM11" s="41"/>
      <c r="AN11" s="41"/>
      <c r="AP11" s="363">
        <f t="shared" si="11"/>
        <v>-11</v>
      </c>
      <c r="AQ11" s="42"/>
    </row>
    <row r="12" spans="2:52" s="363" customFormat="1" ht="102.75" customHeight="1" x14ac:dyDescent="0.3">
      <c r="B12" s="421"/>
      <c r="C12" s="24">
        <f>+C11+1</f>
        <v>11</v>
      </c>
      <c r="D12" s="43" t="s">
        <v>38</v>
      </c>
      <c r="E12" s="26" t="s">
        <v>36</v>
      </c>
      <c r="F12" s="25">
        <v>8</v>
      </c>
      <c r="G12" s="125">
        <v>121</v>
      </c>
      <c r="H12" s="125">
        <f t="shared" si="0"/>
        <v>49.590163934426229</v>
      </c>
      <c r="I12" s="123" t="s">
        <v>85</v>
      </c>
      <c r="J12" s="123" t="s">
        <v>86</v>
      </c>
      <c r="K12" s="123" t="s">
        <v>87</v>
      </c>
      <c r="L12" s="123"/>
      <c r="M12" s="129"/>
      <c r="N12" s="123"/>
      <c r="O12" s="123"/>
      <c r="P12" s="123" t="s">
        <v>231</v>
      </c>
      <c r="Q12" s="123" t="s">
        <v>91</v>
      </c>
      <c r="R12" s="123" t="s">
        <v>89</v>
      </c>
      <c r="S12" s="125">
        <f t="shared" si="1"/>
        <v>4.5</v>
      </c>
      <c r="T12" s="356">
        <f t="shared" si="2"/>
        <v>528</v>
      </c>
      <c r="U12" s="28">
        <f>+H53</f>
        <v>244</v>
      </c>
      <c r="V12" s="29">
        <f t="shared" si="3"/>
        <v>30.5</v>
      </c>
      <c r="W12" s="30">
        <f t="shared" si="4"/>
        <v>0.4621212121212121</v>
      </c>
      <c r="X12" s="31">
        <f>+K53</f>
        <v>606.74</v>
      </c>
      <c r="Y12" s="44">
        <f t="shared" si="5"/>
        <v>75.842500000000001</v>
      </c>
      <c r="Z12" s="47">
        <f t="shared" si="6"/>
        <v>1.1491287878787879</v>
      </c>
      <c r="AA12" s="48">
        <f t="shared" si="7"/>
        <v>23.106060606060606</v>
      </c>
      <c r="AB12" s="49">
        <f t="shared" si="8"/>
        <v>62.570062500000006</v>
      </c>
      <c r="AC12" s="139">
        <f t="shared" si="9"/>
        <v>85.676123106060615</v>
      </c>
      <c r="AD12" s="50" t="str">
        <f t="shared" si="10"/>
        <v>80~89</v>
      </c>
      <c r="AE12" s="36"/>
      <c r="AF12" s="37"/>
      <c r="AG12" s="38"/>
      <c r="AI12" s="39"/>
      <c r="AJ12" s="40"/>
      <c r="AL12" s="41"/>
      <c r="AM12" s="41"/>
      <c r="AN12" s="41"/>
      <c r="AP12" s="363">
        <f t="shared" si="11"/>
        <v>-8</v>
      </c>
      <c r="AQ12" s="42"/>
    </row>
    <row r="13" spans="2:52" s="363" customFormat="1" ht="36" customHeight="1" x14ac:dyDescent="0.3">
      <c r="B13" s="422" t="s">
        <v>39</v>
      </c>
      <c r="C13" s="423"/>
      <c r="D13" s="423"/>
      <c r="E13" s="424"/>
      <c r="F13" s="43">
        <f>SUM(F7:F12)</f>
        <v>61.49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>COUNTA(I13:M13)+COUNTA(N13:R13)/2</f>
        <v>0</v>
      </c>
      <c r="T13" s="52">
        <f>SUM(T7:T12)</f>
        <v>4058.34</v>
      </c>
      <c r="U13" s="53">
        <f>SUM(U7:U12)</f>
        <v>2398</v>
      </c>
      <c r="V13" s="54">
        <f>U13/F13</f>
        <v>38.998211091234346</v>
      </c>
      <c r="W13" s="45">
        <f t="shared" si="4"/>
        <v>0.59088198623082344</v>
      </c>
      <c r="X13" s="55">
        <f>SUM(X7:X12)</f>
        <v>2942</v>
      </c>
      <c r="Y13" s="44">
        <f>X13/F13</f>
        <v>47.845178077736215</v>
      </c>
      <c r="Z13" s="47">
        <f t="shared" si="6"/>
        <v>0.72492694057176088</v>
      </c>
      <c r="AA13" s="56">
        <f>U13/T13*AA4</f>
        <v>29.544099311541171</v>
      </c>
      <c r="AB13" s="57">
        <f>X13/T13*AB4</f>
        <v>39.472271914132385</v>
      </c>
      <c r="AC13" s="140">
        <f t="shared" si="9"/>
        <v>69.016371225673552</v>
      </c>
      <c r="AD13" s="162" t="str">
        <f t="shared" si="10"/>
        <v xml:space="preserve"> 사유?→</v>
      </c>
      <c r="AE13" s="43"/>
      <c r="AF13" s="37">
        <f>AG13-F13</f>
        <v>-61.49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10.248333333333333</v>
      </c>
      <c r="G14" s="360"/>
      <c r="H14" s="360"/>
      <c r="I14" s="360"/>
      <c r="J14" s="360"/>
      <c r="K14" s="360"/>
      <c r="L14" s="360"/>
      <c r="M14" s="360"/>
      <c r="N14" s="360"/>
      <c r="O14" s="360"/>
      <c r="P14" s="360"/>
      <c r="Q14" s="360"/>
      <c r="R14" s="360"/>
      <c r="S14" s="360"/>
      <c r="T14" s="360"/>
      <c r="U14" s="61">
        <f>V14*F14</f>
        <v>399.66666666666663</v>
      </c>
      <c r="V14" s="62">
        <f>U13/F13</f>
        <v>38.998211091234346</v>
      </c>
      <c r="W14" s="63">
        <f>IFERROR(U14/#REF!,0)</f>
        <v>0</v>
      </c>
      <c r="X14" s="64">
        <f>X13/F13*F14</f>
        <v>490.33333333333331</v>
      </c>
      <c r="Y14" s="62">
        <f>IF(F14=0,"휴무",X14/F14)</f>
        <v>47.845178077736215</v>
      </c>
      <c r="Z14" s="65">
        <f>IFERROR(X14/#REF!,0)</f>
        <v>0</v>
      </c>
      <c r="AA14" s="60">
        <f>AVERAGE(AA7:AA12)</f>
        <v>29.354430853008108</v>
      </c>
      <c r="AB14" s="60">
        <f>AVERAGE(AB7:AB12)</f>
        <v>40.403346149611409</v>
      </c>
      <c r="AC14" s="141">
        <f>AA14+AB14</f>
        <v>69.75777700261952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363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330" t="s">
        <v>44</v>
      </c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357" t="s">
        <v>68</v>
      </c>
      <c r="J22" s="18" t="s">
        <v>69</v>
      </c>
      <c r="K22" s="18" t="s">
        <v>71</v>
      </c>
      <c r="L22" s="18" t="s">
        <v>72</v>
      </c>
      <c r="M22" s="18" t="s">
        <v>75</v>
      </c>
      <c r="N22" s="18" t="s">
        <v>75</v>
      </c>
      <c r="O22" s="18" t="s">
        <v>75</v>
      </c>
      <c r="P22" s="18" t="s">
        <v>230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-63</v>
      </c>
    </row>
    <row r="23" spans="2:43" s="363" customFormat="1" ht="99" customHeight="1" thickTop="1" x14ac:dyDescent="0.3">
      <c r="B23" s="420">
        <f>+B7</f>
        <v>7</v>
      </c>
      <c r="C23" s="24">
        <f t="shared" ref="C23:C28" si="12">+C7</f>
        <v>6</v>
      </c>
      <c r="D23" s="25" t="s">
        <v>7</v>
      </c>
      <c r="E23" s="26" t="s">
        <v>28</v>
      </c>
      <c r="F23" s="25">
        <v>11</v>
      </c>
      <c r="G23" s="128">
        <v>437</v>
      </c>
      <c r="H23" s="128">
        <f t="shared" ref="H23:H28" si="13">(G23/U23)*100</f>
        <v>64.549483013293937</v>
      </c>
      <c r="I23" s="123" t="s">
        <v>78</v>
      </c>
      <c r="J23" s="123" t="s">
        <v>88</v>
      </c>
      <c r="K23" s="123" t="s">
        <v>84</v>
      </c>
      <c r="L23" s="123"/>
      <c r="M23" s="129" t="s">
        <v>90</v>
      </c>
      <c r="N23" s="123" t="s">
        <v>74</v>
      </c>
      <c r="O23" s="123" t="s">
        <v>169</v>
      </c>
      <c r="P23" s="123" t="s">
        <v>92</v>
      </c>
      <c r="Q23" s="123" t="s">
        <v>91</v>
      </c>
      <c r="R23" s="123" t="s">
        <v>89</v>
      </c>
      <c r="S23" s="124">
        <f t="shared" ref="S23:S28" si="14">COUNTA(I23:L23)+COUNTA(M23:R23)/2</f>
        <v>6</v>
      </c>
      <c r="T23" s="27">
        <f t="shared" ref="T23:T28" si="15">F23*$D$4*$U$4</f>
        <v>726</v>
      </c>
      <c r="U23" s="28">
        <f>+H58</f>
        <v>677</v>
      </c>
      <c r="V23" s="29">
        <f t="shared" ref="V23:V28" si="16">IF(F23=0,"휴무",U23/F23)</f>
        <v>61.545454545454547</v>
      </c>
      <c r="W23" s="30">
        <f t="shared" ref="W23:W29" si="17">IFERROR(U23/T23,0)</f>
        <v>0.93250688705234164</v>
      </c>
      <c r="X23" s="31">
        <f>+K58</f>
        <v>417.53</v>
      </c>
      <c r="Y23" s="29">
        <f t="shared" ref="Y23:Y28" si="18">IF(F23=0,"휴무",X23/F23)</f>
        <v>37.957272727272724</v>
      </c>
      <c r="Z23" s="32">
        <f t="shared" ref="Z23:Z29" si="19">IFERROR(X23/T23,0)</f>
        <v>0.57511019283746556</v>
      </c>
      <c r="AA23" s="33">
        <f t="shared" ref="AA23:AA28" si="20">IF(F23=0,"휴무",U23/T23*$AA$4)</f>
        <v>46.625344352617084</v>
      </c>
      <c r="AB23" s="34">
        <f t="shared" ref="AB23:AB28" si="21">IF(F23=0,"휴무",X23/T23*$AB$4)</f>
        <v>31.31475</v>
      </c>
      <c r="AC23" s="138">
        <f t="shared" ref="AC23:AC29" si="22">IF(F23=0,"휴무",AA23+AB23)</f>
        <v>77.940094352617081</v>
      </c>
      <c r="AD23" s="159" t="str">
        <f t="shared" ref="AD23:AD29" si="23">IF(F23=0,"휴무",IF(AC23&gt;=100,"좋아요",IF(AC23&gt;=90,"90~99",IF(AC23&gt;=80,"80~89"," 사유?→"))))</f>
        <v xml:space="preserve"> 사유?→</v>
      </c>
      <c r="AE23" s="160" t="s">
        <v>273</v>
      </c>
      <c r="AF23" s="37">
        <f>AG23-F23</f>
        <v>-11</v>
      </c>
      <c r="AG23" s="38">
        <f>AN23</f>
        <v>0</v>
      </c>
      <c r="AH23" s="363" t="s">
        <v>29</v>
      </c>
      <c r="AI23" s="39"/>
      <c r="AJ23" s="40">
        <f>IFERROR(Z23/W23*1000,"")</f>
        <v>616.73559822747416</v>
      </c>
      <c r="AK23" s="39"/>
      <c r="AL23" s="41"/>
      <c r="AM23" s="41"/>
      <c r="AN23" s="41"/>
      <c r="AP23" s="363">
        <f t="shared" ref="AP23:AP28" si="24">AO23-F23</f>
        <v>-11</v>
      </c>
      <c r="AQ23" s="42"/>
    </row>
    <row r="24" spans="2:43" s="363" customFormat="1" ht="99.75" customHeight="1" x14ac:dyDescent="0.3">
      <c r="B24" s="421"/>
      <c r="C24" s="24">
        <f t="shared" si="12"/>
        <v>7</v>
      </c>
      <c r="D24" s="43" t="s">
        <v>30</v>
      </c>
      <c r="E24" s="26" t="s">
        <v>28</v>
      </c>
      <c r="F24" s="25">
        <v>11</v>
      </c>
      <c r="G24" s="125">
        <v>541</v>
      </c>
      <c r="H24" s="125">
        <f t="shared" si="13"/>
        <v>98.54280510018215</v>
      </c>
      <c r="I24" s="123" t="s">
        <v>78</v>
      </c>
      <c r="J24" s="123" t="s">
        <v>88</v>
      </c>
      <c r="K24" s="123" t="s">
        <v>84</v>
      </c>
      <c r="L24" s="123"/>
      <c r="M24" s="129" t="s">
        <v>90</v>
      </c>
      <c r="N24" s="123" t="s">
        <v>74</v>
      </c>
      <c r="O24" s="123" t="s">
        <v>169</v>
      </c>
      <c r="P24" s="123" t="s">
        <v>92</v>
      </c>
      <c r="Q24" s="123" t="s">
        <v>91</v>
      </c>
      <c r="R24" s="123" t="s">
        <v>89</v>
      </c>
      <c r="S24" s="124">
        <f t="shared" si="14"/>
        <v>6</v>
      </c>
      <c r="T24" s="27">
        <f t="shared" si="15"/>
        <v>726</v>
      </c>
      <c r="U24" s="28">
        <f>+H61</f>
        <v>549</v>
      </c>
      <c r="V24" s="44">
        <f t="shared" si="16"/>
        <v>49.909090909090907</v>
      </c>
      <c r="W24" s="45">
        <f t="shared" si="17"/>
        <v>0.75619834710743805</v>
      </c>
      <c r="X24" s="46">
        <f>+K61</f>
        <v>459.52</v>
      </c>
      <c r="Y24" s="29">
        <f t="shared" si="18"/>
        <v>41.774545454545454</v>
      </c>
      <c r="Z24" s="47">
        <f t="shared" si="19"/>
        <v>0.63294765840220379</v>
      </c>
      <c r="AA24" s="48">
        <f t="shared" si="20"/>
        <v>37.809917355371901</v>
      </c>
      <c r="AB24" s="49">
        <f t="shared" si="21"/>
        <v>34.463999999999999</v>
      </c>
      <c r="AC24" s="139">
        <f t="shared" si="22"/>
        <v>72.273917355371907</v>
      </c>
      <c r="AD24" s="195" t="str">
        <f t="shared" si="23"/>
        <v xml:space="preserve"> 사유?→</v>
      </c>
      <c r="AE24" s="160" t="s">
        <v>275</v>
      </c>
      <c r="AF24" s="37">
        <f>AG24-F24</f>
        <v>-11</v>
      </c>
      <c r="AG24" s="38">
        <f>AN24</f>
        <v>0</v>
      </c>
      <c r="AH24" s="363" t="s">
        <v>34</v>
      </c>
      <c r="AI24" s="39"/>
      <c r="AJ24" s="40">
        <f>IFERROR(Z24/W24*1000,"")</f>
        <v>837.01275045537329</v>
      </c>
      <c r="AK24" s="39"/>
      <c r="AL24" s="41"/>
      <c r="AM24" s="41"/>
      <c r="AN24" s="41"/>
      <c r="AP24" s="363">
        <f t="shared" si="24"/>
        <v>-11</v>
      </c>
      <c r="AQ24" s="42"/>
    </row>
    <row r="25" spans="2:43" s="363" customFormat="1" ht="97.5" customHeight="1" x14ac:dyDescent="0.3">
      <c r="B25" s="421"/>
      <c r="C25" s="24">
        <f t="shared" si="12"/>
        <v>8</v>
      </c>
      <c r="D25" s="43" t="s">
        <v>32</v>
      </c>
      <c r="E25" s="26" t="s">
        <v>28</v>
      </c>
      <c r="F25" s="25">
        <v>11</v>
      </c>
      <c r="G25" s="124">
        <v>543</v>
      </c>
      <c r="H25" s="124">
        <f t="shared" si="13"/>
        <v>88.149350649350637</v>
      </c>
      <c r="I25" s="123" t="s">
        <v>78</v>
      </c>
      <c r="J25" s="123" t="s">
        <v>88</v>
      </c>
      <c r="K25" s="123" t="s">
        <v>84</v>
      </c>
      <c r="L25" s="123"/>
      <c r="M25" s="129" t="s">
        <v>90</v>
      </c>
      <c r="N25" s="123" t="s">
        <v>74</v>
      </c>
      <c r="O25" s="123" t="s">
        <v>169</v>
      </c>
      <c r="P25" s="123" t="s">
        <v>92</v>
      </c>
      <c r="Q25" s="123" t="s">
        <v>91</v>
      </c>
      <c r="R25" s="123" t="s">
        <v>89</v>
      </c>
      <c r="S25" s="124">
        <f t="shared" si="14"/>
        <v>6</v>
      </c>
      <c r="T25" s="27">
        <f t="shared" si="15"/>
        <v>726</v>
      </c>
      <c r="U25" s="28">
        <f>+H64</f>
        <v>616</v>
      </c>
      <c r="V25" s="44">
        <f t="shared" si="16"/>
        <v>56</v>
      </c>
      <c r="W25" s="45">
        <f t="shared" si="17"/>
        <v>0.84848484848484851</v>
      </c>
      <c r="X25" s="46">
        <f>+K64</f>
        <v>498.5</v>
      </c>
      <c r="Y25" s="29">
        <f t="shared" si="18"/>
        <v>45.31818181818182</v>
      </c>
      <c r="Z25" s="47">
        <f t="shared" si="19"/>
        <v>0.6866391184573003</v>
      </c>
      <c r="AA25" s="48">
        <f t="shared" si="20"/>
        <v>42.424242424242422</v>
      </c>
      <c r="AB25" s="49">
        <f t="shared" si="21"/>
        <v>37.387500000000003</v>
      </c>
      <c r="AC25" s="139">
        <f t="shared" si="22"/>
        <v>79.811742424242425</v>
      </c>
      <c r="AD25" s="50" t="s">
        <v>271</v>
      </c>
      <c r="AE25" s="36"/>
      <c r="AF25" s="37">
        <f>AG25-F25</f>
        <v>-11</v>
      </c>
      <c r="AG25" s="38">
        <f>AN25</f>
        <v>0</v>
      </c>
      <c r="AH25" s="363" t="s">
        <v>36</v>
      </c>
      <c r="AI25" s="39"/>
      <c r="AJ25" s="40">
        <f>IFERROR(Z25/W25*1000,"")</f>
        <v>809.25324675324669</v>
      </c>
      <c r="AK25" s="39"/>
      <c r="AL25" s="41"/>
      <c r="AM25" s="41"/>
      <c r="AN25" s="41"/>
      <c r="AP25" s="363">
        <f t="shared" si="24"/>
        <v>-11</v>
      </c>
      <c r="AQ25" s="42"/>
    </row>
    <row r="26" spans="2:43" s="363" customFormat="1" ht="115.5" customHeight="1" x14ac:dyDescent="0.3">
      <c r="B26" s="421"/>
      <c r="C26" s="24">
        <f t="shared" si="12"/>
        <v>9</v>
      </c>
      <c r="D26" s="43" t="s">
        <v>35</v>
      </c>
      <c r="E26" s="26" t="s">
        <v>28</v>
      </c>
      <c r="F26" s="25">
        <v>11</v>
      </c>
      <c r="G26" s="124">
        <v>593</v>
      </c>
      <c r="H26" s="124">
        <f t="shared" si="13"/>
        <v>93.829113924050631</v>
      </c>
      <c r="I26" s="123" t="s">
        <v>78</v>
      </c>
      <c r="J26" s="123" t="s">
        <v>88</v>
      </c>
      <c r="K26" s="123" t="s">
        <v>84</v>
      </c>
      <c r="L26" s="123"/>
      <c r="M26" s="129" t="s">
        <v>90</v>
      </c>
      <c r="N26" s="123" t="s">
        <v>74</v>
      </c>
      <c r="O26" s="123" t="s">
        <v>169</v>
      </c>
      <c r="P26" s="123" t="s">
        <v>92</v>
      </c>
      <c r="Q26" s="123" t="s">
        <v>91</v>
      </c>
      <c r="R26" s="123" t="s">
        <v>89</v>
      </c>
      <c r="S26" s="124">
        <f t="shared" si="14"/>
        <v>6</v>
      </c>
      <c r="T26" s="27">
        <f t="shared" si="15"/>
        <v>726</v>
      </c>
      <c r="U26" s="28">
        <f>+H67</f>
        <v>632</v>
      </c>
      <c r="V26" s="44">
        <f t="shared" si="16"/>
        <v>57.454545454545453</v>
      </c>
      <c r="W26" s="45">
        <f t="shared" si="17"/>
        <v>0.87052341597796146</v>
      </c>
      <c r="X26" s="46">
        <f>+K67</f>
        <v>468.62999999999994</v>
      </c>
      <c r="Y26" s="44">
        <f t="shared" si="18"/>
        <v>42.602727272727265</v>
      </c>
      <c r="Z26" s="47">
        <f t="shared" si="19"/>
        <v>0.64549586776859491</v>
      </c>
      <c r="AA26" s="48">
        <f t="shared" si="20"/>
        <v>43.526170798898072</v>
      </c>
      <c r="AB26" s="49">
        <f t="shared" si="21"/>
        <v>35.147249999999993</v>
      </c>
      <c r="AC26" s="139">
        <f t="shared" si="22"/>
        <v>78.673420798898064</v>
      </c>
      <c r="AD26" s="161" t="str">
        <f t="shared" si="23"/>
        <v xml:space="preserve"> 사유?→</v>
      </c>
      <c r="AE26" s="160" t="s">
        <v>278</v>
      </c>
      <c r="AF26" s="37">
        <f>AG26-F26</f>
        <v>-11</v>
      </c>
      <c r="AG26" s="38">
        <f>AN26</f>
        <v>0</v>
      </c>
      <c r="AH26" s="363" t="s">
        <v>33</v>
      </c>
      <c r="AI26" s="39"/>
      <c r="AJ26" s="40">
        <f>IFERROR(Z26/W26*1000,"")</f>
        <v>741.50316455696191</v>
      </c>
      <c r="AK26" s="39"/>
      <c r="AL26" s="41"/>
      <c r="AM26" s="41"/>
      <c r="AN26" s="41"/>
      <c r="AP26" s="363">
        <f t="shared" si="24"/>
        <v>-11</v>
      </c>
      <c r="AQ26" s="42"/>
    </row>
    <row r="27" spans="2:43" s="363" customFormat="1" ht="104.25" customHeight="1" x14ac:dyDescent="0.3">
      <c r="B27" s="421"/>
      <c r="C27" s="24">
        <f t="shared" si="12"/>
        <v>10</v>
      </c>
      <c r="D27" s="43" t="s">
        <v>37</v>
      </c>
      <c r="E27" s="26" t="s">
        <v>28</v>
      </c>
      <c r="F27" s="25">
        <v>11</v>
      </c>
      <c r="G27" s="125">
        <v>613</v>
      </c>
      <c r="H27" s="130">
        <f t="shared" si="13"/>
        <v>93.445121951219505</v>
      </c>
      <c r="I27" s="123" t="s">
        <v>78</v>
      </c>
      <c r="J27" s="123" t="s">
        <v>88</v>
      </c>
      <c r="K27" s="123" t="s">
        <v>84</v>
      </c>
      <c r="L27" s="123"/>
      <c r="M27" s="129" t="s">
        <v>90</v>
      </c>
      <c r="N27" s="123" t="s">
        <v>74</v>
      </c>
      <c r="O27" s="123" t="s">
        <v>169</v>
      </c>
      <c r="P27" s="123" t="s">
        <v>92</v>
      </c>
      <c r="Q27" s="123" t="s">
        <v>91</v>
      </c>
      <c r="R27" s="123" t="s">
        <v>89</v>
      </c>
      <c r="S27" s="125">
        <f t="shared" si="14"/>
        <v>6</v>
      </c>
      <c r="T27" s="27">
        <f t="shared" si="15"/>
        <v>726</v>
      </c>
      <c r="U27" s="28">
        <f>+H70</f>
        <v>656</v>
      </c>
      <c r="V27" s="44">
        <f t="shared" si="16"/>
        <v>59.636363636363633</v>
      </c>
      <c r="W27" s="45">
        <f t="shared" si="17"/>
        <v>0.90358126721763088</v>
      </c>
      <c r="X27" s="46">
        <f>+K70</f>
        <v>459.65</v>
      </c>
      <c r="Y27" s="44">
        <f t="shared" si="18"/>
        <v>41.786363636363632</v>
      </c>
      <c r="Z27" s="47">
        <f t="shared" si="19"/>
        <v>0.63312672176308538</v>
      </c>
      <c r="AA27" s="48">
        <f t="shared" si="20"/>
        <v>45.179063360881543</v>
      </c>
      <c r="AB27" s="49">
        <f t="shared" si="21"/>
        <v>34.473750000000003</v>
      </c>
      <c r="AC27" s="139">
        <f t="shared" si="22"/>
        <v>79.652813360881538</v>
      </c>
      <c r="AD27" s="50" t="s">
        <v>180</v>
      </c>
      <c r="AE27" s="36"/>
      <c r="AF27" s="37">
        <f>AG27-F27</f>
        <v>-11</v>
      </c>
      <c r="AG27" s="38">
        <f>AN27</f>
        <v>0</v>
      </c>
      <c r="AH27" s="363" t="s">
        <v>46</v>
      </c>
      <c r="AI27" s="39"/>
      <c r="AJ27" s="40">
        <f>IFERROR(Z27/W27*1000,"")</f>
        <v>700.68597560975604</v>
      </c>
      <c r="AL27" s="41"/>
      <c r="AM27" s="41"/>
      <c r="AN27" s="41"/>
      <c r="AP27" s="363">
        <f t="shared" si="24"/>
        <v>-11</v>
      </c>
      <c r="AQ27" s="42"/>
    </row>
    <row r="28" spans="2:43" s="363" customFormat="1" ht="104.25" customHeight="1" x14ac:dyDescent="0.3">
      <c r="B28" s="421"/>
      <c r="C28" s="24">
        <f t="shared" si="12"/>
        <v>11</v>
      </c>
      <c r="D28" s="43" t="s">
        <v>47</v>
      </c>
      <c r="E28" s="26" t="s">
        <v>36</v>
      </c>
      <c r="F28" s="25">
        <v>8</v>
      </c>
      <c r="G28" s="124">
        <v>476</v>
      </c>
      <c r="H28" s="124">
        <f t="shared" si="13"/>
        <v>100</v>
      </c>
      <c r="I28" s="123" t="s">
        <v>78</v>
      </c>
      <c r="J28" s="123" t="s">
        <v>88</v>
      </c>
      <c r="K28" s="123" t="s">
        <v>84</v>
      </c>
      <c r="L28" s="123"/>
      <c r="M28" s="129"/>
      <c r="N28" s="123"/>
      <c r="O28" s="123"/>
      <c r="P28" s="123" t="s">
        <v>92</v>
      </c>
      <c r="Q28" s="123" t="s">
        <v>91</v>
      </c>
      <c r="R28" s="123" t="s">
        <v>89</v>
      </c>
      <c r="S28" s="124">
        <f t="shared" si="14"/>
        <v>4.5</v>
      </c>
      <c r="T28" s="356">
        <f t="shared" si="15"/>
        <v>528</v>
      </c>
      <c r="U28" s="28">
        <f>+H73</f>
        <v>476</v>
      </c>
      <c r="V28" s="29">
        <f t="shared" si="16"/>
        <v>59.5</v>
      </c>
      <c r="W28" s="30">
        <f t="shared" si="17"/>
        <v>0.90151515151515149</v>
      </c>
      <c r="X28" s="31">
        <f>+K73</f>
        <v>355.8</v>
      </c>
      <c r="Y28" s="44">
        <f t="shared" si="18"/>
        <v>44.475000000000001</v>
      </c>
      <c r="Z28" s="47">
        <f t="shared" si="19"/>
        <v>0.67386363636363633</v>
      </c>
      <c r="AA28" s="48">
        <f t="shared" si="20"/>
        <v>45.075757575757578</v>
      </c>
      <c r="AB28" s="49">
        <f t="shared" si="21"/>
        <v>36.691875000000003</v>
      </c>
      <c r="AC28" s="139">
        <f t="shared" si="22"/>
        <v>81.767632575757574</v>
      </c>
      <c r="AD28" s="50" t="str">
        <f t="shared" si="23"/>
        <v>80~89</v>
      </c>
      <c r="AE28" s="36"/>
      <c r="AF28" s="37"/>
      <c r="AG28" s="38"/>
      <c r="AI28" s="39"/>
      <c r="AJ28" s="40"/>
      <c r="AL28" s="41"/>
      <c r="AM28" s="41"/>
      <c r="AN28" s="41"/>
      <c r="AP28" s="363">
        <f t="shared" si="24"/>
        <v>-8</v>
      </c>
      <c r="AQ28" s="42"/>
    </row>
    <row r="29" spans="2:43" s="363" customFormat="1" ht="36" customHeight="1" x14ac:dyDescent="0.3">
      <c r="B29" s="422" t="s">
        <v>39</v>
      </c>
      <c r="C29" s="423"/>
      <c r="D29" s="423"/>
      <c r="E29" s="424"/>
      <c r="F29" s="43">
        <f>SUM(F23:F28)</f>
        <v>63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4158</v>
      </c>
      <c r="U29" s="53">
        <f>SUM(U23:U28)</f>
        <v>3606</v>
      </c>
      <c r="V29" s="54">
        <f>U29/F29</f>
        <v>57.238095238095241</v>
      </c>
      <c r="W29" s="45">
        <f t="shared" si="17"/>
        <v>0.86724386724386726</v>
      </c>
      <c r="X29" s="55">
        <f>SUM(X23:X28)</f>
        <v>2659.63</v>
      </c>
      <c r="Y29" s="44">
        <f>X29/F29</f>
        <v>42.216349206349207</v>
      </c>
      <c r="Z29" s="47">
        <f t="shared" si="19"/>
        <v>0.63964165464165468</v>
      </c>
      <c r="AA29" s="56">
        <f>U29/T29*AA20</f>
        <v>43.362193362193366</v>
      </c>
      <c r="AB29" s="57">
        <f>X29/T29*AB20</f>
        <v>34.8284880952381</v>
      </c>
      <c r="AC29" s="140">
        <f t="shared" si="22"/>
        <v>78.190681457431467</v>
      </c>
      <c r="AD29" s="162" t="str">
        <f t="shared" si="23"/>
        <v xml:space="preserve"> 사유?→</v>
      </c>
      <c r="AE29" s="43"/>
      <c r="AF29" s="37">
        <f>AG29-F29</f>
        <v>-63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10.5</v>
      </c>
      <c r="G30" s="360"/>
      <c r="H30" s="360"/>
      <c r="I30" s="360"/>
      <c r="J30" s="360"/>
      <c r="K30" s="360"/>
      <c r="L30" s="360"/>
      <c r="M30" s="360"/>
      <c r="N30" s="360"/>
      <c r="O30" s="360"/>
      <c r="P30" s="360"/>
      <c r="Q30" s="360"/>
      <c r="R30" s="360"/>
      <c r="S30" s="360"/>
      <c r="T30" s="360"/>
      <c r="U30" s="61">
        <f>V30*F30</f>
        <v>601</v>
      </c>
      <c r="V30" s="62">
        <f>U29/F29</f>
        <v>57.238095238095241</v>
      </c>
      <c r="W30" s="63">
        <f>IFERROR(U30/#REF!,0)</f>
        <v>0</v>
      </c>
      <c r="X30" s="64">
        <f>X29/F29*F30</f>
        <v>443.27166666666665</v>
      </c>
      <c r="Y30" s="62">
        <f>IF(F30=0,"휴무",X30/F30)</f>
        <v>42.216349206349207</v>
      </c>
      <c r="Z30" s="65">
        <f>IFERROR(X30/#REF!,0)</f>
        <v>0</v>
      </c>
      <c r="AA30" s="60">
        <f>AVERAGE(AA23:AA28)</f>
        <v>43.440082644628099</v>
      </c>
      <c r="AB30" s="60">
        <f>AVERAGE(AB23:AB28)</f>
        <v>34.913187499999999</v>
      </c>
      <c r="AC30" s="141">
        <f>AA30+AB30</f>
        <v>78.353270144628098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363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6</v>
      </c>
      <c r="F36" s="455" t="s">
        <v>7</v>
      </c>
      <c r="G36" s="82" t="s">
        <v>48</v>
      </c>
      <c r="H36" s="83">
        <v>427</v>
      </c>
      <c r="I36" s="84"/>
      <c r="J36" s="85"/>
      <c r="K36" s="86">
        <v>487.06</v>
      </c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427</v>
      </c>
      <c r="I38" s="88"/>
      <c r="J38" s="89"/>
      <c r="K38" s="90">
        <f>+K36+K37*2</f>
        <v>487.06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7</v>
      </c>
      <c r="F39" s="455" t="s">
        <v>52</v>
      </c>
      <c r="G39" s="82" t="s">
        <v>48</v>
      </c>
      <c r="H39" s="83">
        <v>452</v>
      </c>
      <c r="I39" s="84"/>
      <c r="J39" s="85"/>
      <c r="K39" s="86">
        <v>541.53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452</v>
      </c>
      <c r="I41" s="88"/>
      <c r="J41" s="89"/>
      <c r="K41" s="90">
        <f>+K39+K40*2</f>
        <v>541.53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8</v>
      </c>
      <c r="F42" s="455" t="s">
        <v>53</v>
      </c>
      <c r="G42" s="82" t="s">
        <v>48</v>
      </c>
      <c r="H42" s="83">
        <f>431-18</f>
        <v>413</v>
      </c>
      <c r="I42" s="84"/>
      <c r="J42" s="85"/>
      <c r="K42" s="86">
        <f>350.93-31.08</f>
        <v>319.85000000000002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>
        <v>18</v>
      </c>
      <c r="I43" s="84"/>
      <c r="J43" s="85"/>
      <c r="K43" s="86">
        <v>31.08</v>
      </c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449</v>
      </c>
      <c r="I44" s="88"/>
      <c r="J44" s="89"/>
      <c r="K44" s="90">
        <f>+K42+K43*2</f>
        <v>382.01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9</v>
      </c>
      <c r="F45" s="455" t="s">
        <v>55</v>
      </c>
      <c r="G45" s="82" t="s">
        <v>48</v>
      </c>
      <c r="H45" s="83">
        <v>465</v>
      </c>
      <c r="I45" s="84"/>
      <c r="J45" s="85"/>
      <c r="K45" s="86">
        <v>436.44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465</v>
      </c>
      <c r="I47" s="88"/>
      <c r="J47" s="89"/>
      <c r="K47" s="90">
        <f>+K45+K46*2</f>
        <v>436.44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10</v>
      </c>
      <c r="F48" s="455" t="s">
        <v>56</v>
      </c>
      <c r="G48" s="82" t="s">
        <v>48</v>
      </c>
      <c r="H48" s="83">
        <v>361</v>
      </c>
      <c r="I48" s="84"/>
      <c r="J48" s="85"/>
      <c r="K48" s="86">
        <v>488.22</v>
      </c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361</v>
      </c>
      <c r="I50" s="88"/>
      <c r="J50" s="89"/>
      <c r="K50" s="90">
        <f>+K48+K49*2</f>
        <v>488.22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11</v>
      </c>
      <c r="F51" s="455" t="s">
        <v>38</v>
      </c>
      <c r="G51" s="82" t="s">
        <v>48</v>
      </c>
      <c r="H51" s="83"/>
      <c r="I51" s="84"/>
      <c r="J51" s="85"/>
      <c r="K51" s="86"/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>
        <v>122</v>
      </c>
      <c r="I52" s="84"/>
      <c r="J52" s="85"/>
      <c r="K52" s="86">
        <v>303.37</v>
      </c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244</v>
      </c>
      <c r="I53" s="88"/>
      <c r="J53" s="89"/>
      <c r="K53" s="90">
        <f>+K51+K52*2</f>
        <v>606.74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6</v>
      </c>
      <c r="F56" s="455" t="s">
        <v>7</v>
      </c>
      <c r="G56" s="82" t="s">
        <v>48</v>
      </c>
      <c r="H56" s="83">
        <f>439-238</f>
        <v>201</v>
      </c>
      <c r="I56" s="84"/>
      <c r="J56" s="85"/>
      <c r="K56" s="86">
        <f>284.57-132.96</f>
        <v>151.60999999999999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>
        <v>238</v>
      </c>
      <c r="I57" s="84"/>
      <c r="J57" s="85"/>
      <c r="K57" s="86">
        <v>132.96</v>
      </c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677</v>
      </c>
      <c r="I58" s="88"/>
      <c r="J58" s="89"/>
      <c r="K58" s="90">
        <f>+K56+K57*2</f>
        <v>417.53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7</v>
      </c>
      <c r="F59" s="455" t="s">
        <v>52</v>
      </c>
      <c r="G59" s="82" t="s">
        <v>48</v>
      </c>
      <c r="H59" s="83">
        <f>542-7</f>
        <v>535</v>
      </c>
      <c r="I59" s="84"/>
      <c r="J59" s="85"/>
      <c r="K59" s="86">
        <f>443.21-16.31</f>
        <v>426.9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>
        <v>7</v>
      </c>
      <c r="I60" s="84"/>
      <c r="J60" s="85"/>
      <c r="K60" s="86">
        <v>16.309999999999999</v>
      </c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549</v>
      </c>
      <c r="I61" s="88"/>
      <c r="J61" s="89"/>
      <c r="K61" s="90">
        <f>+K59+K60*2</f>
        <v>459.52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8</v>
      </c>
      <c r="F62" s="455" t="s">
        <v>53</v>
      </c>
      <c r="G62" s="82" t="s">
        <v>48</v>
      </c>
      <c r="H62" s="83">
        <f>544-72</f>
        <v>472</v>
      </c>
      <c r="I62" s="84"/>
      <c r="J62" s="85"/>
      <c r="K62" s="86">
        <f>406.36-92.14</f>
        <v>314.22000000000003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>
        <v>72</v>
      </c>
      <c r="I63" s="84"/>
      <c r="J63" s="85"/>
      <c r="K63" s="86">
        <v>92.14</v>
      </c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616</v>
      </c>
      <c r="I64" s="88"/>
      <c r="J64" s="89"/>
      <c r="K64" s="90">
        <f>+K62+K63*2</f>
        <v>498.5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9</v>
      </c>
      <c r="F65" s="455" t="s">
        <v>55</v>
      </c>
      <c r="G65" s="82" t="s">
        <v>48</v>
      </c>
      <c r="H65" s="83">
        <f>593-39</f>
        <v>554</v>
      </c>
      <c r="I65" s="84"/>
      <c r="J65" s="85"/>
      <c r="K65" s="86">
        <f>417.53-51.1</f>
        <v>366.42999999999995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>
        <v>39</v>
      </c>
      <c r="I66" s="84"/>
      <c r="J66" s="85"/>
      <c r="K66" s="86">
        <v>51.1</v>
      </c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632</v>
      </c>
      <c r="I67" s="88"/>
      <c r="J67" s="89"/>
      <c r="K67" s="90">
        <f>+K65+K66*2</f>
        <v>468.62999999999994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10</v>
      </c>
      <c r="F68" s="455" t="s">
        <v>56</v>
      </c>
      <c r="G68" s="82" t="s">
        <v>48</v>
      </c>
      <c r="H68" s="83">
        <f>627-29</f>
        <v>598</v>
      </c>
      <c r="I68" s="84"/>
      <c r="J68" s="85"/>
      <c r="K68" s="86">
        <f>436.02-23.63</f>
        <v>412.39</v>
      </c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>
        <v>29</v>
      </c>
      <c r="I69" s="84"/>
      <c r="J69" s="85"/>
      <c r="K69" s="86">
        <v>23.63</v>
      </c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656</v>
      </c>
      <c r="I70" s="88"/>
      <c r="J70" s="89"/>
      <c r="K70" s="90">
        <f>+K68+K69*2</f>
        <v>459.65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11</v>
      </c>
      <c r="F71" s="455" t="s">
        <v>38</v>
      </c>
      <c r="G71" s="82" t="s">
        <v>48</v>
      </c>
      <c r="H71" s="83">
        <v>476</v>
      </c>
      <c r="I71" s="84"/>
      <c r="J71" s="85"/>
      <c r="K71" s="86">
        <v>355.8</v>
      </c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476</v>
      </c>
      <c r="I73" s="88"/>
      <c r="J73" s="89"/>
      <c r="K73" s="90">
        <f>+K71+K72*2</f>
        <v>355.8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357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5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6">IF(F80=0,"휴무",AA80+AB80)</f>
        <v>#REF!</v>
      </c>
      <c r="AD80" s="103" t="e">
        <f t="shared" ref="AD80:AD85" si="27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363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363"/>
      <c r="AP80" s="363">
        <f>AO80-F80</f>
        <v>-10</v>
      </c>
    </row>
    <row r="81" spans="2:42" ht="98.25" customHeight="1" x14ac:dyDescent="0.3">
      <c r="B81" s="459"/>
      <c r="C81" s="92">
        <v>20</v>
      </c>
      <c r="D81" s="362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5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6"/>
        <v>#REF!</v>
      </c>
      <c r="AD81" s="108" t="e">
        <f t="shared" si="27"/>
        <v>#REF!</v>
      </c>
      <c r="AE81" s="109"/>
      <c r="AF81" s="37">
        <f>AG81-F81</f>
        <v>-10</v>
      </c>
      <c r="AG81" s="38">
        <f>AN81</f>
        <v>0</v>
      </c>
      <c r="AH81" s="363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363"/>
      <c r="AP81" s="363">
        <f>AO81-F81</f>
        <v>-10</v>
      </c>
    </row>
    <row r="82" spans="2:42" ht="98.25" customHeight="1" x14ac:dyDescent="0.3">
      <c r="B82" s="459"/>
      <c r="C82" s="92">
        <v>21</v>
      </c>
      <c r="D82" s="362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5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6"/>
        <v>#REF!</v>
      </c>
      <c r="AD82" s="108" t="e">
        <f t="shared" si="27"/>
        <v>#REF!</v>
      </c>
      <c r="AE82" s="109"/>
      <c r="AF82" s="37">
        <f>AG82-F82</f>
        <v>-10</v>
      </c>
      <c r="AG82" s="38">
        <f>AN82</f>
        <v>0</v>
      </c>
      <c r="AH82" s="363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363"/>
      <c r="AP82" s="363">
        <f>AO82-F82</f>
        <v>-10</v>
      </c>
    </row>
    <row r="83" spans="2:42" ht="98.25" customHeight="1" x14ac:dyDescent="0.3">
      <c r="B83" s="459"/>
      <c r="C83" s="92">
        <v>22</v>
      </c>
      <c r="D83" s="362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5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6"/>
        <v>#REF!</v>
      </c>
      <c r="AD83" s="110" t="e">
        <f t="shared" si="27"/>
        <v>#REF!</v>
      </c>
      <c r="AE83" s="104"/>
      <c r="AF83" s="37">
        <f>AG83-F83</f>
        <v>-10</v>
      </c>
      <c r="AG83" s="38">
        <f>AN83</f>
        <v>0</v>
      </c>
      <c r="AH83" s="363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363"/>
      <c r="AP83" s="363">
        <f>AO83-F83</f>
        <v>-10</v>
      </c>
    </row>
    <row r="84" spans="2:42" ht="98.25" customHeight="1" x14ac:dyDescent="0.3">
      <c r="B84" s="459"/>
      <c r="C84" s="92">
        <v>23</v>
      </c>
      <c r="D84" s="362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5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6"/>
        <v>#REF!</v>
      </c>
      <c r="AD84" s="110" t="e">
        <f t="shared" si="27"/>
        <v>#REF!</v>
      </c>
      <c r="AE84" s="104"/>
      <c r="AF84" s="37">
        <f>AG84-F84</f>
        <v>-10</v>
      </c>
      <c r="AG84" s="38">
        <f>AN84</f>
        <v>0</v>
      </c>
      <c r="AH84" s="363" t="s">
        <v>46</v>
      </c>
      <c r="AI84" s="39"/>
      <c r="AJ84" s="40" t="str">
        <f>IFERROR(Z84/W84*1000,"")</f>
        <v/>
      </c>
      <c r="AK84" s="363"/>
      <c r="AL84" s="41"/>
      <c r="AM84" s="41"/>
      <c r="AN84" s="41"/>
      <c r="AO84" s="363"/>
      <c r="AP84" s="363">
        <f>AO84-F84</f>
        <v>-10</v>
      </c>
    </row>
    <row r="85" spans="2:42" ht="98.25" customHeight="1" x14ac:dyDescent="0.3">
      <c r="B85" s="459"/>
      <c r="C85" s="92">
        <v>25</v>
      </c>
      <c r="D85" s="362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360"/>
      <c r="H85" s="360"/>
      <c r="I85" s="360"/>
      <c r="J85" s="360"/>
      <c r="K85" s="360"/>
      <c r="L85" s="360"/>
      <c r="M85" s="360"/>
      <c r="N85" s="360"/>
      <c r="O85" s="360"/>
      <c r="P85" s="360"/>
      <c r="Q85" s="360"/>
      <c r="R85" s="360"/>
      <c r="S85" s="360"/>
      <c r="T85" s="360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5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6"/>
        <v>휴무</v>
      </c>
      <c r="AD85" s="110" t="str">
        <f t="shared" si="27"/>
        <v>휴무</v>
      </c>
      <c r="AE85" s="104"/>
      <c r="AF85" s="37"/>
      <c r="AG85" s="38"/>
      <c r="AH85" s="363"/>
      <c r="AI85" s="39"/>
      <c r="AJ85" s="40"/>
      <c r="AK85" s="363"/>
      <c r="AL85" s="41"/>
      <c r="AM85" s="41"/>
      <c r="AN85" s="41"/>
      <c r="AO85" s="363"/>
      <c r="AP85" s="363"/>
    </row>
    <row r="86" spans="2:42" ht="36" customHeight="1" x14ac:dyDescent="0.3">
      <c r="B86" s="460" t="s">
        <v>39</v>
      </c>
      <c r="C86" s="461"/>
      <c r="D86" s="461"/>
      <c r="E86" s="462"/>
      <c r="F86" s="362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362"/>
      <c r="AB86" s="359"/>
      <c r="AC86" s="114"/>
      <c r="AD86" s="115"/>
      <c r="AE86" s="361"/>
      <c r="AF86" s="37">
        <f>AG86-F86</f>
        <v>-50</v>
      </c>
      <c r="AG86" s="38">
        <f>SUM(AG80:AG85)</f>
        <v>0</v>
      </c>
      <c r="AH86" s="363"/>
      <c r="AI86" s="363"/>
      <c r="AJ86" s="40"/>
      <c r="AK86" s="363"/>
      <c r="AL86" s="59"/>
      <c r="AM86" s="59"/>
      <c r="AN86" s="59"/>
      <c r="AO86" s="363"/>
      <c r="AP86" s="363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360"/>
      <c r="H87" s="360"/>
      <c r="I87" s="360"/>
      <c r="J87" s="360"/>
      <c r="K87" s="360"/>
      <c r="L87" s="360"/>
      <c r="M87" s="360"/>
      <c r="N87" s="360"/>
      <c r="O87" s="360"/>
      <c r="P87" s="360"/>
      <c r="Q87" s="360"/>
      <c r="R87" s="360"/>
      <c r="S87" s="360"/>
      <c r="T87" s="360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363"/>
      <c r="AE88" s="363"/>
      <c r="AF88" s="363"/>
      <c r="AG88" s="363"/>
      <c r="AH88" s="363"/>
      <c r="AI88" s="363"/>
      <c r="AJ88" s="363"/>
      <c r="AK88" s="363"/>
      <c r="AL88" s="59"/>
      <c r="AM88" s="59"/>
      <c r="AN88" s="59"/>
      <c r="AO88" s="363"/>
      <c r="AP88" s="363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362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362" t="s">
        <v>63</v>
      </c>
      <c r="D117" s="466" t="s">
        <v>12</v>
      </c>
      <c r="E117" s="466"/>
      <c r="F117" s="362" t="s">
        <v>64</v>
      </c>
      <c r="G117" s="362"/>
      <c r="H117" s="362"/>
      <c r="I117" s="362"/>
      <c r="J117" s="362"/>
      <c r="K117" s="362"/>
      <c r="L117" s="362"/>
      <c r="M117" s="362"/>
      <c r="N117" s="362"/>
      <c r="O117" s="362"/>
      <c r="P117" s="362"/>
      <c r="Q117" s="362"/>
      <c r="R117" s="362"/>
      <c r="S117" s="362"/>
      <c r="T117" s="362"/>
      <c r="U117" s="362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362"/>
      <c r="G118" s="362"/>
      <c r="H118" s="362"/>
      <c r="I118" s="362"/>
      <c r="J118" s="362"/>
      <c r="K118" s="362"/>
      <c r="L118" s="362"/>
      <c r="M118" s="362"/>
      <c r="N118" s="362"/>
      <c r="O118" s="362"/>
      <c r="P118" s="362"/>
      <c r="Q118" s="362"/>
      <c r="R118" s="362"/>
      <c r="S118" s="362"/>
      <c r="T118" s="362"/>
      <c r="U118" s="362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362"/>
      <c r="G119" s="362"/>
      <c r="H119" s="362"/>
      <c r="I119" s="362"/>
      <c r="J119" s="362"/>
      <c r="K119" s="362"/>
      <c r="L119" s="362"/>
      <c r="M119" s="362"/>
      <c r="N119" s="362"/>
      <c r="O119" s="362"/>
      <c r="P119" s="362"/>
      <c r="Q119" s="362"/>
      <c r="R119" s="362"/>
      <c r="S119" s="362"/>
      <c r="T119" s="362"/>
      <c r="U119" s="362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362"/>
      <c r="G120" s="362"/>
      <c r="H120" s="362"/>
      <c r="I120" s="362"/>
      <c r="J120" s="362"/>
      <c r="K120" s="362"/>
      <c r="L120" s="362"/>
      <c r="M120" s="362"/>
      <c r="N120" s="362"/>
      <c r="O120" s="362"/>
      <c r="P120" s="362"/>
      <c r="Q120" s="362"/>
      <c r="R120" s="362"/>
      <c r="S120" s="362"/>
      <c r="T120" s="362"/>
      <c r="U120" s="362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362"/>
      <c r="G121" s="362"/>
      <c r="H121" s="362"/>
      <c r="I121" s="362"/>
      <c r="J121" s="362"/>
      <c r="K121" s="362"/>
      <c r="L121" s="362"/>
      <c r="M121" s="362"/>
      <c r="N121" s="362"/>
      <c r="O121" s="362"/>
      <c r="P121" s="362"/>
      <c r="Q121" s="362"/>
      <c r="R121" s="362"/>
      <c r="S121" s="362"/>
      <c r="T121" s="362"/>
      <c r="U121" s="362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362"/>
      <c r="G122" s="362"/>
      <c r="H122" s="362"/>
      <c r="I122" s="362"/>
      <c r="J122" s="362"/>
      <c r="K122" s="362"/>
      <c r="L122" s="362"/>
      <c r="M122" s="362"/>
      <c r="N122" s="362"/>
      <c r="O122" s="362"/>
      <c r="P122" s="362"/>
      <c r="Q122" s="362"/>
      <c r="R122" s="362"/>
      <c r="S122" s="362"/>
      <c r="T122" s="362"/>
      <c r="U122" s="362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362"/>
      <c r="G123" s="362"/>
      <c r="H123" s="362"/>
      <c r="I123" s="362"/>
      <c r="J123" s="362"/>
      <c r="K123" s="362"/>
      <c r="L123" s="362"/>
      <c r="M123" s="362"/>
      <c r="N123" s="362"/>
      <c r="O123" s="362"/>
      <c r="P123" s="362"/>
      <c r="Q123" s="362"/>
      <c r="R123" s="362"/>
      <c r="S123" s="362"/>
      <c r="T123" s="362"/>
      <c r="U123" s="362"/>
      <c r="V123" s="117"/>
      <c r="W123" s="118"/>
      <c r="X123" s="116"/>
      <c r="Y123" s="117"/>
      <c r="Z123" s="116"/>
      <c r="AA123" s="116"/>
    </row>
    <row r="124" spans="3:27" x14ac:dyDescent="0.3">
      <c r="C124" s="362"/>
      <c r="D124" s="460"/>
      <c r="E124" s="4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2"/>
      <c r="Q124" s="362"/>
      <c r="R124" s="362"/>
      <c r="S124" s="362"/>
      <c r="T124" s="362"/>
      <c r="U124" s="362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362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362" t="s">
        <v>63</v>
      </c>
      <c r="D127" s="466" t="s">
        <v>12</v>
      </c>
      <c r="E127" s="466"/>
      <c r="F127" s="362" t="s">
        <v>64</v>
      </c>
      <c r="G127" s="362"/>
      <c r="H127" s="362"/>
      <c r="I127" s="362"/>
      <c r="J127" s="362"/>
      <c r="K127" s="362"/>
      <c r="L127" s="362"/>
      <c r="M127" s="362"/>
      <c r="N127" s="362"/>
      <c r="O127" s="362"/>
      <c r="P127" s="362"/>
      <c r="Q127" s="362"/>
      <c r="R127" s="362"/>
      <c r="S127" s="362"/>
      <c r="T127" s="362"/>
      <c r="U127" s="362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362"/>
      <c r="G128" s="362"/>
      <c r="H128" s="362"/>
      <c r="I128" s="362"/>
      <c r="J128" s="362"/>
      <c r="K128" s="362"/>
      <c r="L128" s="362"/>
      <c r="M128" s="362"/>
      <c r="N128" s="362"/>
      <c r="O128" s="362"/>
      <c r="P128" s="362"/>
      <c r="Q128" s="362"/>
      <c r="R128" s="362"/>
      <c r="S128" s="362"/>
      <c r="T128" s="362"/>
      <c r="U128" s="362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362"/>
      <c r="G129" s="362"/>
      <c r="H129" s="362"/>
      <c r="I129" s="362"/>
      <c r="J129" s="362"/>
      <c r="K129" s="362"/>
      <c r="L129" s="362"/>
      <c r="M129" s="362"/>
      <c r="N129" s="362"/>
      <c r="O129" s="362"/>
      <c r="P129" s="362"/>
      <c r="Q129" s="362"/>
      <c r="R129" s="362"/>
      <c r="S129" s="362"/>
      <c r="T129" s="362"/>
      <c r="U129" s="362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362"/>
      <c r="G130" s="362"/>
      <c r="H130" s="362"/>
      <c r="I130" s="362"/>
      <c r="J130" s="362"/>
      <c r="K130" s="362"/>
      <c r="L130" s="362"/>
      <c r="M130" s="362"/>
      <c r="N130" s="362"/>
      <c r="O130" s="362"/>
      <c r="P130" s="362"/>
      <c r="Q130" s="362"/>
      <c r="R130" s="362"/>
      <c r="S130" s="362"/>
      <c r="T130" s="362"/>
      <c r="U130" s="362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362"/>
      <c r="G131" s="362"/>
      <c r="H131" s="362"/>
      <c r="I131" s="362"/>
      <c r="J131" s="362"/>
      <c r="K131" s="362"/>
      <c r="L131" s="362"/>
      <c r="M131" s="362"/>
      <c r="N131" s="362"/>
      <c r="O131" s="362"/>
      <c r="P131" s="362"/>
      <c r="Q131" s="362"/>
      <c r="R131" s="362"/>
      <c r="S131" s="362"/>
      <c r="T131" s="362"/>
      <c r="U131" s="362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362"/>
      <c r="G132" s="362"/>
      <c r="H132" s="362"/>
      <c r="I132" s="362"/>
      <c r="J132" s="362"/>
      <c r="K132" s="362"/>
      <c r="L132" s="362"/>
      <c r="M132" s="362"/>
      <c r="N132" s="362"/>
      <c r="O132" s="362"/>
      <c r="P132" s="362"/>
      <c r="Q132" s="362"/>
      <c r="R132" s="362"/>
      <c r="S132" s="362"/>
      <c r="T132" s="362"/>
      <c r="U132" s="362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362"/>
      <c r="G133" s="362"/>
      <c r="H133" s="362"/>
      <c r="I133" s="362"/>
      <c r="J133" s="362"/>
      <c r="K133" s="362"/>
      <c r="L133" s="362"/>
      <c r="M133" s="362"/>
      <c r="N133" s="362"/>
      <c r="O133" s="362"/>
      <c r="P133" s="362"/>
      <c r="Q133" s="362"/>
      <c r="R133" s="362"/>
      <c r="S133" s="362"/>
      <c r="T133" s="362"/>
      <c r="U133" s="362"/>
      <c r="V133" s="117"/>
      <c r="W133" s="118"/>
      <c r="X133" s="116"/>
      <c r="Y133" s="117"/>
      <c r="Z133" s="116"/>
      <c r="AA133" s="116"/>
    </row>
    <row r="134" spans="3:27" x14ac:dyDescent="0.3">
      <c r="C134" s="362"/>
      <c r="D134" s="460"/>
      <c r="E134" s="462"/>
      <c r="F134" s="362"/>
      <c r="G134" s="362"/>
      <c r="H134" s="362"/>
      <c r="I134" s="362"/>
      <c r="J134" s="362"/>
      <c r="K134" s="362"/>
      <c r="L134" s="362"/>
      <c r="M134" s="362"/>
      <c r="N134" s="362"/>
      <c r="O134" s="362"/>
      <c r="P134" s="362"/>
      <c r="Q134" s="362"/>
      <c r="R134" s="362"/>
      <c r="S134" s="362"/>
      <c r="T134" s="362"/>
      <c r="U134" s="362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362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362" t="s">
        <v>63</v>
      </c>
      <c r="D137" s="466" t="s">
        <v>12</v>
      </c>
      <c r="E137" s="466"/>
      <c r="F137" s="362" t="s">
        <v>64</v>
      </c>
      <c r="G137" s="362"/>
      <c r="H137" s="362"/>
      <c r="I137" s="362"/>
      <c r="J137" s="362"/>
      <c r="K137" s="362"/>
      <c r="L137" s="362"/>
      <c r="M137" s="362"/>
      <c r="N137" s="362"/>
      <c r="O137" s="362"/>
      <c r="P137" s="362"/>
      <c r="Q137" s="362"/>
      <c r="R137" s="362"/>
      <c r="S137" s="362"/>
      <c r="T137" s="362"/>
      <c r="U137" s="362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362"/>
      <c r="G138" s="362"/>
      <c r="H138" s="362"/>
      <c r="I138" s="362"/>
      <c r="J138" s="362"/>
      <c r="K138" s="362"/>
      <c r="L138" s="362"/>
      <c r="M138" s="362"/>
      <c r="N138" s="362"/>
      <c r="O138" s="362"/>
      <c r="P138" s="362"/>
      <c r="Q138" s="362"/>
      <c r="R138" s="362"/>
      <c r="S138" s="362"/>
      <c r="T138" s="362"/>
      <c r="U138" s="362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362"/>
      <c r="G139" s="362"/>
      <c r="H139" s="362"/>
      <c r="I139" s="362"/>
      <c r="J139" s="362"/>
      <c r="K139" s="362"/>
      <c r="L139" s="362"/>
      <c r="M139" s="362"/>
      <c r="N139" s="362"/>
      <c r="O139" s="362"/>
      <c r="P139" s="362"/>
      <c r="Q139" s="362"/>
      <c r="R139" s="362"/>
      <c r="S139" s="362"/>
      <c r="T139" s="362"/>
      <c r="U139" s="362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362"/>
      <c r="G140" s="362"/>
      <c r="H140" s="362"/>
      <c r="I140" s="362"/>
      <c r="J140" s="362"/>
      <c r="K140" s="362"/>
      <c r="L140" s="362"/>
      <c r="M140" s="362"/>
      <c r="N140" s="362"/>
      <c r="O140" s="362"/>
      <c r="P140" s="362"/>
      <c r="Q140" s="362"/>
      <c r="R140" s="362"/>
      <c r="S140" s="362"/>
      <c r="T140" s="362"/>
      <c r="U140" s="362"/>
    </row>
    <row r="141" spans="3:27" x14ac:dyDescent="0.3">
      <c r="C141" s="119">
        <v>45078</v>
      </c>
      <c r="D141" s="466"/>
      <c r="E141" s="466"/>
      <c r="F141" s="362"/>
      <c r="G141" s="362"/>
      <c r="H141" s="362"/>
      <c r="I141" s="362"/>
      <c r="J141" s="362"/>
      <c r="K141" s="362"/>
      <c r="L141" s="362"/>
      <c r="M141" s="362"/>
      <c r="N141" s="362"/>
      <c r="O141" s="362"/>
      <c r="P141" s="362"/>
      <c r="Q141" s="362"/>
      <c r="R141" s="362"/>
      <c r="S141" s="362"/>
      <c r="T141" s="362"/>
      <c r="U141" s="362"/>
    </row>
    <row r="142" spans="3:27" x14ac:dyDescent="0.3">
      <c r="C142" s="119">
        <v>45079</v>
      </c>
      <c r="D142" s="466"/>
      <c r="E142" s="466"/>
      <c r="F142" s="362"/>
      <c r="G142" s="362"/>
      <c r="H142" s="362"/>
      <c r="I142" s="362"/>
      <c r="J142" s="362"/>
      <c r="K142" s="362"/>
      <c r="L142" s="362"/>
      <c r="M142" s="362"/>
      <c r="N142" s="362"/>
      <c r="O142" s="362"/>
      <c r="P142" s="362"/>
      <c r="Q142" s="362"/>
      <c r="R142" s="362"/>
      <c r="S142" s="362"/>
      <c r="T142" s="362"/>
      <c r="U142" s="362"/>
    </row>
    <row r="143" spans="3:27" x14ac:dyDescent="0.3">
      <c r="C143" s="119">
        <v>45080</v>
      </c>
      <c r="D143" s="466"/>
      <c r="E143" s="466"/>
      <c r="F143" s="362"/>
      <c r="G143" s="362"/>
      <c r="H143" s="362"/>
      <c r="I143" s="362"/>
      <c r="J143" s="362"/>
      <c r="K143" s="362"/>
      <c r="L143" s="362"/>
      <c r="M143" s="362"/>
      <c r="N143" s="362"/>
      <c r="O143" s="362"/>
      <c r="P143" s="362"/>
      <c r="Q143" s="362"/>
      <c r="R143" s="362"/>
      <c r="S143" s="362"/>
      <c r="T143" s="362"/>
      <c r="U143" s="362"/>
    </row>
    <row r="144" spans="3:27" x14ac:dyDescent="0.3">
      <c r="C144" s="362"/>
      <c r="D144" s="460"/>
      <c r="E144" s="462"/>
      <c r="F144" s="362"/>
      <c r="G144" s="362"/>
      <c r="H144" s="362"/>
      <c r="I144" s="362"/>
      <c r="J144" s="362"/>
      <c r="K144" s="362"/>
      <c r="L144" s="362"/>
      <c r="M144" s="362"/>
      <c r="N144" s="362"/>
      <c r="O144" s="362"/>
      <c r="P144" s="362"/>
      <c r="Q144" s="362"/>
      <c r="R144" s="362"/>
      <c r="S144" s="362"/>
      <c r="T144" s="362"/>
      <c r="U144" s="362"/>
    </row>
  </sheetData>
  <mergeCells count="111">
    <mergeCell ref="AE5:AE6"/>
    <mergeCell ref="B7:B12"/>
    <mergeCell ref="B13:E13"/>
    <mergeCell ref="B2:AE2"/>
    <mergeCell ref="B5:C6"/>
    <mergeCell ref="D5:D6"/>
    <mergeCell ref="E5:E6"/>
    <mergeCell ref="F5:F6"/>
    <mergeCell ref="G5:G6"/>
    <mergeCell ref="H5:H6"/>
    <mergeCell ref="I5:S5"/>
    <mergeCell ref="T5:T6"/>
    <mergeCell ref="U5:W5"/>
    <mergeCell ref="B14:E14"/>
    <mergeCell ref="B21:B22"/>
    <mergeCell ref="C21:C22"/>
    <mergeCell ref="D21:D22"/>
    <mergeCell ref="E21:E22"/>
    <mergeCell ref="F21:F22"/>
    <mergeCell ref="X5:Z5"/>
    <mergeCell ref="AC5:AC6"/>
    <mergeCell ref="AD5:AD6"/>
    <mergeCell ref="AA21:AA22"/>
    <mergeCell ref="AB21:AB22"/>
    <mergeCell ref="AC21:AC22"/>
    <mergeCell ref="AD21:AD22"/>
    <mergeCell ref="AE21:AE22"/>
    <mergeCell ref="B23:B28"/>
    <mergeCell ref="G21:G22"/>
    <mergeCell ref="H21:H22"/>
    <mergeCell ref="I21:S21"/>
    <mergeCell ref="T21:T22"/>
    <mergeCell ref="U21:W21"/>
    <mergeCell ref="X21:Z21"/>
    <mergeCell ref="E42:E44"/>
    <mergeCell ref="F42:F44"/>
    <mergeCell ref="E45:E47"/>
    <mergeCell ref="F45:F47"/>
    <mergeCell ref="E48:E50"/>
    <mergeCell ref="F48:F50"/>
    <mergeCell ref="B29:E29"/>
    <mergeCell ref="B30:E30"/>
    <mergeCell ref="E36:E38"/>
    <mergeCell ref="F36:F38"/>
    <mergeCell ref="E39:E41"/>
    <mergeCell ref="F39:F41"/>
    <mergeCell ref="E62:E64"/>
    <mergeCell ref="F62:F64"/>
    <mergeCell ref="E65:E67"/>
    <mergeCell ref="F65:F67"/>
    <mergeCell ref="E68:E70"/>
    <mergeCell ref="F68:F70"/>
    <mergeCell ref="E51:E53"/>
    <mergeCell ref="F51:F53"/>
    <mergeCell ref="E56:E58"/>
    <mergeCell ref="F56:F58"/>
    <mergeCell ref="E59:E61"/>
    <mergeCell ref="F59:F61"/>
    <mergeCell ref="AC78:AC79"/>
    <mergeCell ref="AD78:AD79"/>
    <mergeCell ref="AE78:AE79"/>
    <mergeCell ref="B80:B85"/>
    <mergeCell ref="B86:E86"/>
    <mergeCell ref="B87:E87"/>
    <mergeCell ref="E71:E73"/>
    <mergeCell ref="F71:F73"/>
    <mergeCell ref="B76:AE76"/>
    <mergeCell ref="B78:B79"/>
    <mergeCell ref="C78:C79"/>
    <mergeCell ref="D78:D79"/>
    <mergeCell ref="E78:E79"/>
    <mergeCell ref="F78:F79"/>
    <mergeCell ref="U78:W78"/>
    <mergeCell ref="X78:Z78"/>
    <mergeCell ref="E101:E103"/>
    <mergeCell ref="F101:F103"/>
    <mergeCell ref="E104:E106"/>
    <mergeCell ref="F104:F106"/>
    <mergeCell ref="E107:E109"/>
    <mergeCell ref="F107:F109"/>
    <mergeCell ref="E92:E94"/>
    <mergeCell ref="F92:F94"/>
    <mergeCell ref="E95:E97"/>
    <mergeCell ref="F95:F97"/>
    <mergeCell ref="E98:E100"/>
    <mergeCell ref="F98:F100"/>
    <mergeCell ref="D122:E122"/>
    <mergeCell ref="D123:E123"/>
    <mergeCell ref="D124:E124"/>
    <mergeCell ref="D127:E127"/>
    <mergeCell ref="D128:E128"/>
    <mergeCell ref="D129:E129"/>
    <mergeCell ref="C114:U114"/>
    <mergeCell ref="D117:E117"/>
    <mergeCell ref="D118:E118"/>
    <mergeCell ref="D119:E119"/>
    <mergeCell ref="D120:E120"/>
    <mergeCell ref="D121:E121"/>
    <mergeCell ref="D144:E144"/>
    <mergeCell ref="D138:E138"/>
    <mergeCell ref="D139:E139"/>
    <mergeCell ref="D140:E140"/>
    <mergeCell ref="D141:E141"/>
    <mergeCell ref="D142:E142"/>
    <mergeCell ref="D143:E143"/>
    <mergeCell ref="D130:E130"/>
    <mergeCell ref="D131:E131"/>
    <mergeCell ref="D132:E132"/>
    <mergeCell ref="D133:E133"/>
    <mergeCell ref="D134:E134"/>
    <mergeCell ref="D137:E137"/>
  </mergeCells>
  <phoneticPr fontId="4" type="noConversion"/>
  <dataValidations count="3">
    <dataValidation type="list" allowBlank="1" showInputMessage="1" showErrorMessage="1" sqref="E7:E12 E23:E28">
      <formula1>$U$7:$U$12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">
      <formula1>$AH$7:$AH$12</formula1>
    </dataValidation>
  </dataValidations>
  <pageMargins left="0.62992125984251968" right="0.62992125984251968" top="0.94488188976377963" bottom="0.55118110236220474" header="0.31496062992125984" footer="0.31496062992125984"/>
  <pageSetup paperSize="9" scale="26" orientation="landscape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80" zoomScaleNormal="80" workbookViewId="0">
      <pane xSplit="4" ySplit="6" topLeftCell="E25" activePane="bottomRight" state="frozen"/>
      <selection pane="topRight" activeCell="D1" sqref="D1"/>
      <selection pane="bottomLeft" activeCell="A6" sqref="A6"/>
      <selection pane="bottomRight" activeCell="U25" sqref="U25:U28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72.625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6" customWidth="1"/>
    <col min="44" max="44" width="3.25" customWidth="1"/>
  </cols>
  <sheetData>
    <row r="2" spans="2:52" ht="20.25" x14ac:dyDescent="0.3">
      <c r="B2" s="425" t="s">
        <v>257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350" t="s">
        <v>1</v>
      </c>
      <c r="AY2" s="350" t="s">
        <v>2</v>
      </c>
      <c r="AZ2" s="3" t="s">
        <v>3</v>
      </c>
    </row>
    <row r="3" spans="2:52" ht="45" customHeight="1" x14ac:dyDescent="0.3">
      <c r="B3" s="330" t="s">
        <v>4</v>
      </c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349" t="s">
        <v>68</v>
      </c>
      <c r="J6" s="18" t="s">
        <v>69</v>
      </c>
      <c r="K6" s="18" t="s">
        <v>71</v>
      </c>
      <c r="L6" s="18" t="s">
        <v>72</v>
      </c>
      <c r="M6" s="18" t="s">
        <v>75</v>
      </c>
      <c r="N6" s="18" t="s">
        <v>75</v>
      </c>
      <c r="O6" s="18" t="s">
        <v>75</v>
      </c>
      <c r="P6" s="18" t="s">
        <v>230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349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-61.33</v>
      </c>
    </row>
    <row r="7" spans="2:52" s="355" customFormat="1" ht="99" customHeight="1" thickTop="1" x14ac:dyDescent="0.3">
      <c r="B7" s="420">
        <v>6</v>
      </c>
      <c r="C7" s="24">
        <v>29</v>
      </c>
      <c r="D7" s="25" t="s">
        <v>7</v>
      </c>
      <c r="E7" s="26" t="s">
        <v>28</v>
      </c>
      <c r="F7" s="25">
        <v>9.33</v>
      </c>
      <c r="G7" s="128">
        <v>347</v>
      </c>
      <c r="H7" s="128">
        <f t="shared" ref="H7:H12" si="0">(G7/U7)*100</f>
        <v>92.042440318302383</v>
      </c>
      <c r="I7" s="123" t="s">
        <v>85</v>
      </c>
      <c r="J7" s="123" t="s">
        <v>86</v>
      </c>
      <c r="K7" s="123" t="s">
        <v>87</v>
      </c>
      <c r="L7" s="123"/>
      <c r="M7" s="129" t="s">
        <v>90</v>
      </c>
      <c r="N7" s="123" t="s">
        <v>74</v>
      </c>
      <c r="O7" s="123" t="s">
        <v>169</v>
      </c>
      <c r="P7" s="123" t="s">
        <v>231</v>
      </c>
      <c r="Q7" s="123" t="s">
        <v>91</v>
      </c>
      <c r="R7" s="123" t="s">
        <v>89</v>
      </c>
      <c r="S7" s="125">
        <f t="shared" ref="S7:S12" si="1">COUNTA(I7:L7)+COUNTA(M7:R7)/2</f>
        <v>6</v>
      </c>
      <c r="T7" s="27">
        <f t="shared" ref="T7:T12" si="2">F7*$D$4*$U$4</f>
        <v>615.78</v>
      </c>
      <c r="U7" s="28">
        <f>+H38</f>
        <v>377</v>
      </c>
      <c r="V7" s="29">
        <f t="shared" ref="V7:V12" si="3">IF(F7=0,"휴무",U7/F7)</f>
        <v>40.40728831725616</v>
      </c>
      <c r="W7" s="30">
        <f t="shared" ref="W7:W13" si="4">IFERROR(U7/T7,0)</f>
        <v>0.61223164117054796</v>
      </c>
      <c r="X7" s="31">
        <f>+K38</f>
        <v>447.26000000000005</v>
      </c>
      <c r="Y7" s="29">
        <f t="shared" ref="Y7:Y12" si="5">IF(F7=0,"휴무",X7/F7)</f>
        <v>47.937834941050383</v>
      </c>
      <c r="Z7" s="32">
        <f t="shared" ref="Z7:Z13" si="6">IFERROR(X7/T7,0)</f>
        <v>0.72633083244015728</v>
      </c>
      <c r="AA7" s="33">
        <f t="shared" ref="AA7:AA12" si="7">IF(F7=0,"휴무",U7/T7*$AA$4)</f>
        <v>30.611582058527397</v>
      </c>
      <c r="AB7" s="34">
        <f t="shared" ref="AB7:AB12" si="8">IF(F7=0,"휴무",X7/T7*$AB$4)</f>
        <v>39.548713826366566</v>
      </c>
      <c r="AC7" s="138">
        <f t="shared" ref="AC7:AC13" si="9">IF(F7=0,"휴무",AA7+AB7)</f>
        <v>70.160295884893969</v>
      </c>
      <c r="AD7" s="159" t="str">
        <f t="shared" ref="AD7:AD13" si="10">IF(F7=0,"휴무",IF(AC7&gt;=100,"좋아요",IF(AC7&gt;=90,"90~99",IF(AC7&gt;=80,"80~89"," 사유?→"))))</f>
        <v xml:space="preserve"> 사유?→</v>
      </c>
      <c r="AE7" s="160" t="s">
        <v>259</v>
      </c>
      <c r="AF7" s="37">
        <f>AG7-F7</f>
        <v>-9.33</v>
      </c>
      <c r="AG7" s="38">
        <f>AN7</f>
        <v>0</v>
      </c>
      <c r="AH7" s="355" t="s">
        <v>29</v>
      </c>
      <c r="AI7" s="39"/>
      <c r="AJ7" s="40">
        <f>IFERROR(Z7/W7*1000,"")</f>
        <v>1186.3660477453582</v>
      </c>
      <c r="AK7" s="39"/>
      <c r="AL7" s="41"/>
      <c r="AM7" s="41"/>
      <c r="AN7" s="41"/>
      <c r="AP7" s="355">
        <f t="shared" ref="AP7:AP12" si="11">AO7-F7</f>
        <v>-9.33</v>
      </c>
      <c r="AQ7" s="42"/>
    </row>
    <row r="8" spans="2:52" s="355" customFormat="1" ht="99.75" customHeight="1" x14ac:dyDescent="0.3">
      <c r="B8" s="468"/>
      <c r="C8" s="24">
        <f>+C7+1</f>
        <v>30</v>
      </c>
      <c r="D8" s="43" t="s">
        <v>30</v>
      </c>
      <c r="E8" s="26" t="s">
        <v>28</v>
      </c>
      <c r="F8" s="25">
        <v>11</v>
      </c>
      <c r="G8" s="125">
        <v>321</v>
      </c>
      <c r="H8" s="125">
        <f t="shared" si="0"/>
        <v>96.396396396396398</v>
      </c>
      <c r="I8" s="123" t="s">
        <v>85</v>
      </c>
      <c r="J8" s="123" t="s">
        <v>86</v>
      </c>
      <c r="K8" s="123" t="s">
        <v>87</v>
      </c>
      <c r="L8" s="123"/>
      <c r="M8" s="129" t="s">
        <v>90</v>
      </c>
      <c r="N8" s="123" t="s">
        <v>74</v>
      </c>
      <c r="O8" s="123" t="s">
        <v>169</v>
      </c>
      <c r="P8" s="123" t="s">
        <v>231</v>
      </c>
      <c r="Q8" s="123" t="s">
        <v>91</v>
      </c>
      <c r="R8" s="123" t="s">
        <v>89</v>
      </c>
      <c r="S8" s="125">
        <f t="shared" si="1"/>
        <v>6</v>
      </c>
      <c r="T8" s="27">
        <f t="shared" si="2"/>
        <v>726</v>
      </c>
      <c r="U8" s="28">
        <f>+H41</f>
        <v>333</v>
      </c>
      <c r="V8" s="44">
        <f t="shared" si="3"/>
        <v>30.272727272727273</v>
      </c>
      <c r="W8" s="45">
        <f t="shared" si="4"/>
        <v>0.45867768595041325</v>
      </c>
      <c r="X8" s="46">
        <f>+K41</f>
        <v>452.18</v>
      </c>
      <c r="Y8" s="29">
        <f t="shared" si="5"/>
        <v>41.107272727272729</v>
      </c>
      <c r="Z8" s="47">
        <f t="shared" si="6"/>
        <v>0.62283746556473829</v>
      </c>
      <c r="AA8" s="48">
        <f t="shared" si="7"/>
        <v>22.933884297520663</v>
      </c>
      <c r="AB8" s="49">
        <f t="shared" si="8"/>
        <v>33.913499999999999</v>
      </c>
      <c r="AC8" s="139">
        <f t="shared" si="9"/>
        <v>56.847384297520662</v>
      </c>
      <c r="AD8" s="161" t="str">
        <f t="shared" si="10"/>
        <v xml:space="preserve"> 사유?→</v>
      </c>
      <c r="AE8" s="160" t="s">
        <v>260</v>
      </c>
      <c r="AF8" s="37">
        <f>AG8-F8</f>
        <v>-11</v>
      </c>
      <c r="AG8" s="38">
        <f>AN8</f>
        <v>0</v>
      </c>
      <c r="AH8" s="355" t="s">
        <v>31</v>
      </c>
      <c r="AI8" s="39"/>
      <c r="AJ8" s="40">
        <f>IFERROR(Z8/W8*1000,"")</f>
        <v>1357.8978978978978</v>
      </c>
      <c r="AK8" s="39"/>
      <c r="AL8" s="41"/>
      <c r="AM8" s="41"/>
      <c r="AN8" s="41"/>
      <c r="AP8" s="355">
        <f t="shared" si="11"/>
        <v>-11</v>
      </c>
      <c r="AQ8" s="42"/>
    </row>
    <row r="9" spans="2:52" s="355" customFormat="1" ht="97.5" customHeight="1" x14ac:dyDescent="0.3">
      <c r="B9" s="421">
        <v>7</v>
      </c>
      <c r="C9" s="24">
        <v>1</v>
      </c>
      <c r="D9" s="43" t="s">
        <v>32</v>
      </c>
      <c r="E9" s="26" t="s">
        <v>28</v>
      </c>
      <c r="F9" s="25">
        <v>11</v>
      </c>
      <c r="G9" s="125">
        <v>359</v>
      </c>
      <c r="H9" s="125">
        <f t="shared" si="0"/>
        <v>94.722955145118732</v>
      </c>
      <c r="I9" s="123" t="s">
        <v>85</v>
      </c>
      <c r="J9" s="123" t="s">
        <v>86</v>
      </c>
      <c r="K9" s="123" t="s">
        <v>87</v>
      </c>
      <c r="L9" s="123"/>
      <c r="M9" s="129" t="s">
        <v>90</v>
      </c>
      <c r="N9" s="123" t="s">
        <v>74</v>
      </c>
      <c r="O9" s="123" t="s">
        <v>169</v>
      </c>
      <c r="P9" s="123" t="s">
        <v>231</v>
      </c>
      <c r="Q9" s="123" t="s">
        <v>91</v>
      </c>
      <c r="R9" s="123" t="s">
        <v>89</v>
      </c>
      <c r="S9" s="125">
        <f t="shared" si="1"/>
        <v>6</v>
      </c>
      <c r="T9" s="27">
        <f t="shared" si="2"/>
        <v>726</v>
      </c>
      <c r="U9" s="51">
        <f>+H44</f>
        <v>379</v>
      </c>
      <c r="V9" s="44">
        <f t="shared" si="3"/>
        <v>34.454545454545453</v>
      </c>
      <c r="W9" s="45">
        <f t="shared" si="4"/>
        <v>0.52203856749311295</v>
      </c>
      <c r="X9" s="46">
        <f>+K44</f>
        <v>538.55999999999995</v>
      </c>
      <c r="Y9" s="44">
        <f t="shared" si="5"/>
        <v>48.959999999999994</v>
      </c>
      <c r="Z9" s="47">
        <f t="shared" si="6"/>
        <v>0.74181818181818171</v>
      </c>
      <c r="AA9" s="48">
        <f t="shared" si="7"/>
        <v>26.101928374655646</v>
      </c>
      <c r="AB9" s="49">
        <f t="shared" si="8"/>
        <v>40.391999999999996</v>
      </c>
      <c r="AC9" s="139">
        <f t="shared" si="9"/>
        <v>66.493928374655638</v>
      </c>
      <c r="AD9" s="161" t="str">
        <f t="shared" si="10"/>
        <v xml:space="preserve"> 사유?→</v>
      </c>
      <c r="AE9" s="160" t="s">
        <v>262</v>
      </c>
      <c r="AF9" s="37">
        <f>AG9-F9</f>
        <v>-11</v>
      </c>
      <c r="AG9" s="38">
        <f>AN9</f>
        <v>0</v>
      </c>
      <c r="AH9" s="355" t="s">
        <v>34</v>
      </c>
      <c r="AI9" s="39"/>
      <c r="AJ9" s="40">
        <f>IFERROR(Z9/W9*1000,"")</f>
        <v>1421.0026385224273</v>
      </c>
      <c r="AK9" s="39"/>
      <c r="AL9" s="41"/>
      <c r="AM9" s="41"/>
      <c r="AN9" s="41"/>
      <c r="AP9" s="355">
        <f t="shared" si="11"/>
        <v>-11</v>
      </c>
      <c r="AQ9" s="42"/>
    </row>
    <row r="10" spans="2:52" s="355" customFormat="1" ht="95.25" customHeight="1" x14ac:dyDescent="0.3">
      <c r="B10" s="421"/>
      <c r="C10" s="24">
        <f>+C9+1</f>
        <v>2</v>
      </c>
      <c r="D10" s="43" t="s">
        <v>35</v>
      </c>
      <c r="E10" s="26" t="s">
        <v>28</v>
      </c>
      <c r="F10" s="25">
        <v>11</v>
      </c>
      <c r="G10" s="125">
        <v>324</v>
      </c>
      <c r="H10" s="125">
        <f t="shared" si="0"/>
        <v>79.606879606879616</v>
      </c>
      <c r="I10" s="123" t="s">
        <v>85</v>
      </c>
      <c r="J10" s="123" t="s">
        <v>86</v>
      </c>
      <c r="K10" s="123" t="s">
        <v>87</v>
      </c>
      <c r="L10" s="123"/>
      <c r="M10" s="129" t="s">
        <v>90</v>
      </c>
      <c r="N10" s="123" t="s">
        <v>74</v>
      </c>
      <c r="O10" s="123" t="s">
        <v>169</v>
      </c>
      <c r="P10" s="123" t="s">
        <v>231</v>
      </c>
      <c r="Q10" s="123" t="s">
        <v>91</v>
      </c>
      <c r="R10" s="123" t="s">
        <v>89</v>
      </c>
      <c r="S10" s="125">
        <f t="shared" si="1"/>
        <v>6</v>
      </c>
      <c r="T10" s="27">
        <f t="shared" si="2"/>
        <v>726</v>
      </c>
      <c r="U10" s="28">
        <f>+H47</f>
        <v>407</v>
      </c>
      <c r="V10" s="44">
        <f t="shared" si="3"/>
        <v>37</v>
      </c>
      <c r="W10" s="45">
        <f t="shared" si="4"/>
        <v>0.56060606060606055</v>
      </c>
      <c r="X10" s="46">
        <f>+K47</f>
        <v>556.83999999999992</v>
      </c>
      <c r="Y10" s="29">
        <f t="shared" si="5"/>
        <v>50.621818181818178</v>
      </c>
      <c r="Z10" s="47">
        <f t="shared" si="6"/>
        <v>0.7669972451790632</v>
      </c>
      <c r="AA10" s="48">
        <f t="shared" si="7"/>
        <v>28.030303030303028</v>
      </c>
      <c r="AB10" s="49">
        <f t="shared" si="8"/>
        <v>41.762999999999991</v>
      </c>
      <c r="AC10" s="139">
        <f t="shared" si="9"/>
        <v>69.793303030303022</v>
      </c>
      <c r="AD10" s="161" t="str">
        <f t="shared" si="10"/>
        <v xml:space="preserve"> 사유?→</v>
      </c>
      <c r="AE10" s="160" t="s">
        <v>263</v>
      </c>
      <c r="AF10" s="37">
        <f>AG10-F10</f>
        <v>-11</v>
      </c>
      <c r="AG10" s="38">
        <f>AN10</f>
        <v>0</v>
      </c>
      <c r="AH10" s="355" t="s">
        <v>36</v>
      </c>
      <c r="AI10" s="39"/>
      <c r="AJ10" s="40">
        <f>IFERROR(Z10/W10*1000,"")</f>
        <v>1368.157248157248</v>
      </c>
      <c r="AK10" s="39"/>
      <c r="AL10" s="41"/>
      <c r="AM10" s="41"/>
      <c r="AN10" s="41"/>
      <c r="AP10" s="355">
        <f t="shared" si="11"/>
        <v>-11</v>
      </c>
      <c r="AQ10" s="42"/>
    </row>
    <row r="11" spans="2:52" s="355" customFormat="1" ht="102.75" customHeight="1" x14ac:dyDescent="0.3">
      <c r="B11" s="421"/>
      <c r="C11" s="24">
        <f>+C10+1</f>
        <v>3</v>
      </c>
      <c r="D11" s="43" t="s">
        <v>37</v>
      </c>
      <c r="E11" s="26" t="s">
        <v>28</v>
      </c>
      <c r="F11" s="25">
        <v>11</v>
      </c>
      <c r="G11" s="125">
        <v>239</v>
      </c>
      <c r="H11" s="125">
        <f t="shared" si="0"/>
        <v>65.479452054794521</v>
      </c>
      <c r="I11" s="123" t="s">
        <v>85</v>
      </c>
      <c r="J11" s="123" t="s">
        <v>86</v>
      </c>
      <c r="K11" s="123" t="s">
        <v>87</v>
      </c>
      <c r="L11" s="123"/>
      <c r="M11" s="129" t="s">
        <v>90</v>
      </c>
      <c r="N11" s="123" t="s">
        <v>74</v>
      </c>
      <c r="O11" s="123" t="s">
        <v>169</v>
      </c>
      <c r="P11" s="123" t="s">
        <v>231</v>
      </c>
      <c r="Q11" s="123" t="s">
        <v>91</v>
      </c>
      <c r="R11" s="123" t="s">
        <v>89</v>
      </c>
      <c r="S11" s="125">
        <f t="shared" si="1"/>
        <v>6</v>
      </c>
      <c r="T11" s="27">
        <f t="shared" si="2"/>
        <v>726</v>
      </c>
      <c r="U11" s="28">
        <f>+H50</f>
        <v>365</v>
      </c>
      <c r="V11" s="44">
        <f t="shared" si="3"/>
        <v>33.18181818181818</v>
      </c>
      <c r="W11" s="45">
        <f t="shared" si="4"/>
        <v>0.50275482093663915</v>
      </c>
      <c r="X11" s="46">
        <f>+K50</f>
        <v>653.78</v>
      </c>
      <c r="Y11" s="44">
        <f t="shared" si="5"/>
        <v>59.43454545454545</v>
      </c>
      <c r="Z11" s="47">
        <f t="shared" si="6"/>
        <v>0.90052341597796137</v>
      </c>
      <c r="AA11" s="48">
        <f t="shared" si="7"/>
        <v>25.137741046831959</v>
      </c>
      <c r="AB11" s="49">
        <f t="shared" si="8"/>
        <v>49.033499999999997</v>
      </c>
      <c r="AC11" s="139">
        <f t="shared" si="9"/>
        <v>74.171241046831952</v>
      </c>
      <c r="AD11" s="161" t="str">
        <f t="shared" si="10"/>
        <v xml:space="preserve"> 사유?→</v>
      </c>
      <c r="AE11" s="160" t="s">
        <v>264</v>
      </c>
      <c r="AF11" s="37">
        <f>AG11-F11</f>
        <v>-11</v>
      </c>
      <c r="AG11" s="38">
        <f>AN11</f>
        <v>0</v>
      </c>
      <c r="AH11" s="355" t="s">
        <v>33</v>
      </c>
      <c r="AI11" s="39"/>
      <c r="AJ11" s="40">
        <f>IFERROR(Z11/W11*1000,"")</f>
        <v>1791.1780821917807</v>
      </c>
      <c r="AL11" s="41"/>
      <c r="AM11" s="41"/>
      <c r="AN11" s="41"/>
      <c r="AP11" s="355">
        <f t="shared" si="11"/>
        <v>-11</v>
      </c>
      <c r="AQ11" s="42"/>
    </row>
    <row r="12" spans="2:52" s="355" customFormat="1" ht="102.75" customHeight="1" x14ac:dyDescent="0.3">
      <c r="B12" s="468"/>
      <c r="C12" s="24">
        <f>+C11+1</f>
        <v>4</v>
      </c>
      <c r="D12" s="43" t="s">
        <v>38</v>
      </c>
      <c r="E12" s="26" t="s">
        <v>36</v>
      </c>
      <c r="F12" s="25">
        <v>8</v>
      </c>
      <c r="G12" s="125">
        <v>246</v>
      </c>
      <c r="H12" s="125">
        <f t="shared" si="0"/>
        <v>97.233201581027672</v>
      </c>
      <c r="I12" s="123" t="s">
        <v>85</v>
      </c>
      <c r="J12" s="123" t="s">
        <v>86</v>
      </c>
      <c r="K12" s="123" t="s">
        <v>87</v>
      </c>
      <c r="L12" s="123"/>
      <c r="M12" s="129"/>
      <c r="N12" s="123" t="s">
        <v>74</v>
      </c>
      <c r="O12" s="123"/>
      <c r="P12" s="123" t="s">
        <v>231</v>
      </c>
      <c r="Q12" s="123" t="s">
        <v>91</v>
      </c>
      <c r="R12" s="123" t="s">
        <v>89</v>
      </c>
      <c r="S12" s="125">
        <f t="shared" si="1"/>
        <v>5</v>
      </c>
      <c r="T12" s="348">
        <f t="shared" si="2"/>
        <v>528</v>
      </c>
      <c r="U12" s="28">
        <f>+H53</f>
        <v>253</v>
      </c>
      <c r="V12" s="29">
        <f t="shared" si="3"/>
        <v>31.625</v>
      </c>
      <c r="W12" s="30">
        <f t="shared" si="4"/>
        <v>0.47916666666666669</v>
      </c>
      <c r="X12" s="31">
        <f>+K53</f>
        <v>343.29</v>
      </c>
      <c r="Y12" s="44">
        <f t="shared" si="5"/>
        <v>42.911250000000003</v>
      </c>
      <c r="Z12" s="47">
        <f t="shared" si="6"/>
        <v>0.65017045454545463</v>
      </c>
      <c r="AA12" s="48">
        <f t="shared" si="7"/>
        <v>23.958333333333336</v>
      </c>
      <c r="AB12" s="49">
        <f t="shared" si="8"/>
        <v>35.401781250000006</v>
      </c>
      <c r="AC12" s="139">
        <f t="shared" si="9"/>
        <v>59.360114583333342</v>
      </c>
      <c r="AD12" s="161" t="str">
        <f t="shared" si="10"/>
        <v xml:space="preserve"> 사유?→</v>
      </c>
      <c r="AE12" s="160" t="s">
        <v>265</v>
      </c>
      <c r="AF12" s="37"/>
      <c r="AG12" s="38"/>
      <c r="AI12" s="39"/>
      <c r="AJ12" s="40"/>
      <c r="AL12" s="41"/>
      <c r="AM12" s="41"/>
      <c r="AN12" s="41"/>
      <c r="AP12" s="355">
        <f t="shared" si="11"/>
        <v>-8</v>
      </c>
      <c r="AQ12" s="42"/>
    </row>
    <row r="13" spans="2:52" s="355" customFormat="1" ht="36" customHeight="1" x14ac:dyDescent="0.3">
      <c r="B13" s="422" t="s">
        <v>39</v>
      </c>
      <c r="C13" s="423"/>
      <c r="D13" s="423"/>
      <c r="E13" s="424"/>
      <c r="F13" s="43">
        <f>SUM(F7:F12)</f>
        <v>61.33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>COUNTA(I13:M13)+COUNTA(N13:R13)/2</f>
        <v>0</v>
      </c>
      <c r="T13" s="52">
        <f>SUM(T7:T12)</f>
        <v>4047.7799999999997</v>
      </c>
      <c r="U13" s="53">
        <f>SUM(U7:U12)</f>
        <v>2114</v>
      </c>
      <c r="V13" s="54">
        <f>U13/F13</f>
        <v>34.469264633947496</v>
      </c>
      <c r="W13" s="45">
        <f t="shared" si="4"/>
        <v>0.52226158536284095</v>
      </c>
      <c r="X13" s="55">
        <f>SUM(X7:X12)</f>
        <v>2991.91</v>
      </c>
      <c r="Y13" s="44">
        <f>X13/F13</f>
        <v>48.783792597423769</v>
      </c>
      <c r="Z13" s="47">
        <f t="shared" si="6"/>
        <v>0.73914837268823896</v>
      </c>
      <c r="AA13" s="56">
        <f>U13/T13*AA4</f>
        <v>26.113079268142048</v>
      </c>
      <c r="AB13" s="57">
        <f>X13/T13*AB4</f>
        <v>40.246628892874611</v>
      </c>
      <c r="AC13" s="140">
        <f t="shared" si="9"/>
        <v>66.359708161016655</v>
      </c>
      <c r="AD13" s="162" t="str">
        <f t="shared" si="10"/>
        <v xml:space="preserve"> 사유?→</v>
      </c>
      <c r="AE13" s="43"/>
      <c r="AF13" s="37">
        <f>AG13-F13</f>
        <v>-61.33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10.221666666666666</v>
      </c>
      <c r="G14" s="352"/>
      <c r="H14" s="352"/>
      <c r="I14" s="352"/>
      <c r="J14" s="352"/>
      <c r="K14" s="352"/>
      <c r="L14" s="352"/>
      <c r="M14" s="352"/>
      <c r="N14" s="352"/>
      <c r="O14" s="352"/>
      <c r="P14" s="352"/>
      <c r="Q14" s="352"/>
      <c r="R14" s="352"/>
      <c r="S14" s="352"/>
      <c r="T14" s="352"/>
      <c r="U14" s="61">
        <f>V14*F14</f>
        <v>352.33333333333331</v>
      </c>
      <c r="V14" s="62">
        <f>U13/F13</f>
        <v>34.469264633947496</v>
      </c>
      <c r="W14" s="63">
        <f>IFERROR(U14/#REF!,0)</f>
        <v>0</v>
      </c>
      <c r="X14" s="64">
        <f>X13/F13*F14</f>
        <v>498.65166666666659</v>
      </c>
      <c r="Y14" s="62">
        <f>IF(F14=0,"휴무",X14/F14)</f>
        <v>48.783792597423769</v>
      </c>
      <c r="Z14" s="65">
        <f>IFERROR(X14/#REF!,0)</f>
        <v>0</v>
      </c>
      <c r="AA14" s="60">
        <f>AVERAGE(AA7:AA12)</f>
        <v>26.128962023528672</v>
      </c>
      <c r="AB14" s="60">
        <f>AVERAGE(AB7:AB12)</f>
        <v>40.008749179394421</v>
      </c>
      <c r="AC14" s="141">
        <f>AA14+AB14</f>
        <v>66.1377112029231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355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330" t="s">
        <v>44</v>
      </c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349" t="s">
        <v>68</v>
      </c>
      <c r="J22" s="18" t="s">
        <v>69</v>
      </c>
      <c r="K22" s="18" t="s">
        <v>71</v>
      </c>
      <c r="L22" s="18" t="s">
        <v>72</v>
      </c>
      <c r="M22" s="18" t="s">
        <v>75</v>
      </c>
      <c r="N22" s="18" t="s">
        <v>75</v>
      </c>
      <c r="O22" s="18" t="s">
        <v>75</v>
      </c>
      <c r="P22" s="18" t="s">
        <v>230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-61.25</v>
      </c>
    </row>
    <row r="23" spans="2:43" s="355" customFormat="1" ht="99" customHeight="1" thickTop="1" x14ac:dyDescent="0.3">
      <c r="B23" s="420">
        <v>6</v>
      </c>
      <c r="C23" s="24">
        <f t="shared" ref="C23:C28" si="12">+C7</f>
        <v>29</v>
      </c>
      <c r="D23" s="25" t="s">
        <v>7</v>
      </c>
      <c r="E23" s="26" t="s">
        <v>28</v>
      </c>
      <c r="F23" s="25">
        <f>11-1.75</f>
        <v>9.25</v>
      </c>
      <c r="G23" s="128">
        <v>364</v>
      </c>
      <c r="H23" s="128">
        <f t="shared" ref="H23:H28" si="13">(G23/U23)*100</f>
        <v>85.046728971962608</v>
      </c>
      <c r="I23" s="123" t="s">
        <v>78</v>
      </c>
      <c r="J23" s="123" t="s">
        <v>88</v>
      </c>
      <c r="K23" s="123" t="s">
        <v>84</v>
      </c>
      <c r="L23" s="123"/>
      <c r="M23" s="129" t="s">
        <v>90</v>
      </c>
      <c r="N23" s="123" t="s">
        <v>74</v>
      </c>
      <c r="O23" s="123" t="s">
        <v>169</v>
      </c>
      <c r="P23" s="123" t="s">
        <v>92</v>
      </c>
      <c r="Q23" s="123" t="s">
        <v>91</v>
      </c>
      <c r="R23" s="123" t="s">
        <v>89</v>
      </c>
      <c r="S23" s="124">
        <f t="shared" ref="S23:S28" si="14">COUNTA(I23:L23)+COUNTA(M23:R23)/2</f>
        <v>6</v>
      </c>
      <c r="T23" s="27">
        <f t="shared" ref="T23:T28" si="15">F23*$D$4*$U$4</f>
        <v>610.5</v>
      </c>
      <c r="U23" s="28">
        <f>+H58</f>
        <v>428</v>
      </c>
      <c r="V23" s="29">
        <f t="shared" ref="V23:V28" si="16">IF(F23=0,"휴무",U23/F23)</f>
        <v>46.270270270270274</v>
      </c>
      <c r="W23" s="30">
        <f t="shared" ref="W23:W29" si="17">IFERROR(U23/T23,0)</f>
        <v>0.70106470106470109</v>
      </c>
      <c r="X23" s="31">
        <f>+K58</f>
        <v>311.22000000000003</v>
      </c>
      <c r="Y23" s="29">
        <f t="shared" ref="Y23:Y28" si="18">IF(F23=0,"휴무",X23/F23)</f>
        <v>33.645405405405405</v>
      </c>
      <c r="Z23" s="32">
        <f t="shared" ref="Z23:Z29" si="19">IFERROR(X23/T23,0)</f>
        <v>0.50977886977886977</v>
      </c>
      <c r="AA23" s="33">
        <f t="shared" ref="AA23:AA28" si="20">IF(F23=0,"휴무",U23/T23*$AA$4)</f>
        <v>35.053235053235056</v>
      </c>
      <c r="AB23" s="34">
        <f t="shared" ref="AB23:AB28" si="21">IF(F23=0,"휴무",X23/T23*$AB$4)</f>
        <v>27.757459459459461</v>
      </c>
      <c r="AC23" s="365">
        <f t="shared" ref="AC23:AC29" si="22">IF(F23=0,"휴무",AA23+AB23)</f>
        <v>62.810694512694518</v>
      </c>
      <c r="AD23" s="159" t="str">
        <f t="shared" ref="AD23:AD29" si="23">IF(F23=0,"휴무",IF(AC23&gt;=100,"좋아요",IF(AC23&gt;=90,"90~99",IF(AC23&gt;=80,"80~89"," 사유?→"))))</f>
        <v xml:space="preserve"> 사유?→</v>
      </c>
      <c r="AE23" s="160" t="s">
        <v>258</v>
      </c>
      <c r="AF23" s="37">
        <f>AG23-F23</f>
        <v>-9.25</v>
      </c>
      <c r="AG23" s="38">
        <f>AN23</f>
        <v>0</v>
      </c>
      <c r="AH23" s="355" t="s">
        <v>29</v>
      </c>
      <c r="AI23" s="39"/>
      <c r="AJ23" s="40">
        <f>IFERROR(Z23/W23*1000,"")</f>
        <v>727.14953271028037</v>
      </c>
      <c r="AK23" s="39"/>
      <c r="AL23" s="41"/>
      <c r="AM23" s="41"/>
      <c r="AN23" s="41"/>
      <c r="AP23" s="355">
        <f t="shared" ref="AP23:AP28" si="24">AO23-F23</f>
        <v>-9.25</v>
      </c>
      <c r="AQ23" s="42"/>
    </row>
    <row r="24" spans="2:43" s="355" customFormat="1" ht="99.75" customHeight="1" x14ac:dyDescent="0.3">
      <c r="B24" s="468"/>
      <c r="C24" s="24">
        <f t="shared" si="12"/>
        <v>30</v>
      </c>
      <c r="D24" s="43" t="s">
        <v>30</v>
      </c>
      <c r="E24" s="26" t="s">
        <v>28</v>
      </c>
      <c r="F24" s="25">
        <v>11</v>
      </c>
      <c r="G24" s="125">
        <v>515</v>
      </c>
      <c r="H24" s="125">
        <f t="shared" si="13"/>
        <v>99.038461538461547</v>
      </c>
      <c r="I24" s="123" t="s">
        <v>78</v>
      </c>
      <c r="J24" s="123" t="s">
        <v>88</v>
      </c>
      <c r="K24" s="123" t="s">
        <v>84</v>
      </c>
      <c r="L24" s="123"/>
      <c r="M24" s="129" t="s">
        <v>90</v>
      </c>
      <c r="N24" s="123" t="s">
        <v>74</v>
      </c>
      <c r="O24" s="364" t="s">
        <v>169</v>
      </c>
      <c r="P24" s="123" t="s">
        <v>92</v>
      </c>
      <c r="Q24" s="123" t="s">
        <v>91</v>
      </c>
      <c r="R24" s="123" t="s">
        <v>89</v>
      </c>
      <c r="S24" s="124">
        <f t="shared" si="14"/>
        <v>6</v>
      </c>
      <c r="T24" s="27">
        <f t="shared" si="15"/>
        <v>726</v>
      </c>
      <c r="U24" s="28">
        <f>+H61</f>
        <v>520</v>
      </c>
      <c r="V24" s="44">
        <f t="shared" si="16"/>
        <v>47.272727272727273</v>
      </c>
      <c r="W24" s="45">
        <f t="shared" si="17"/>
        <v>0.71625344352617082</v>
      </c>
      <c r="X24" s="46">
        <f>+K61</f>
        <v>470.54</v>
      </c>
      <c r="Y24" s="29">
        <f t="shared" si="18"/>
        <v>42.776363636363641</v>
      </c>
      <c r="Z24" s="47">
        <f t="shared" si="19"/>
        <v>0.64812672176308539</v>
      </c>
      <c r="AA24" s="48">
        <f t="shared" si="20"/>
        <v>35.812672176308538</v>
      </c>
      <c r="AB24" s="49">
        <f t="shared" si="21"/>
        <v>35.290500000000002</v>
      </c>
      <c r="AC24" s="366">
        <f t="shared" si="22"/>
        <v>71.103172176308533</v>
      </c>
      <c r="AD24" s="195" t="str">
        <f t="shared" si="23"/>
        <v xml:space="preserve"> 사유?→</v>
      </c>
      <c r="AE24" s="160" t="s">
        <v>269</v>
      </c>
      <c r="AF24" s="37">
        <f>AG24-F24</f>
        <v>-11</v>
      </c>
      <c r="AG24" s="38">
        <f>AN24</f>
        <v>0</v>
      </c>
      <c r="AH24" s="355" t="s">
        <v>34</v>
      </c>
      <c r="AI24" s="39"/>
      <c r="AJ24" s="40">
        <f>IFERROR(Z24/W24*1000,"")</f>
        <v>904.88461538461536</v>
      </c>
      <c r="AK24" s="39"/>
      <c r="AL24" s="41"/>
      <c r="AM24" s="41"/>
      <c r="AN24" s="41"/>
      <c r="AP24" s="355">
        <f t="shared" si="24"/>
        <v>-11</v>
      </c>
      <c r="AQ24" s="42"/>
    </row>
    <row r="25" spans="2:43" s="355" customFormat="1" ht="97.5" customHeight="1" x14ac:dyDescent="0.3">
      <c r="B25" s="421">
        <v>7</v>
      </c>
      <c r="C25" s="24">
        <f t="shared" si="12"/>
        <v>1</v>
      </c>
      <c r="D25" s="43" t="s">
        <v>32</v>
      </c>
      <c r="E25" s="26" t="s">
        <v>28</v>
      </c>
      <c r="F25" s="25">
        <v>11</v>
      </c>
      <c r="G25" s="124">
        <v>468</v>
      </c>
      <c r="H25" s="124">
        <f t="shared" si="13"/>
        <v>97.297297297297305</v>
      </c>
      <c r="I25" s="123" t="s">
        <v>78</v>
      </c>
      <c r="J25" s="123" t="s">
        <v>88</v>
      </c>
      <c r="K25" s="123" t="s">
        <v>84</v>
      </c>
      <c r="L25" s="123"/>
      <c r="M25" s="129" t="s">
        <v>90</v>
      </c>
      <c r="N25" s="123" t="s">
        <v>74</v>
      </c>
      <c r="O25" s="123" t="s">
        <v>169</v>
      </c>
      <c r="P25" s="123" t="s">
        <v>92</v>
      </c>
      <c r="Q25" s="123" t="s">
        <v>91</v>
      </c>
      <c r="R25" s="123" t="s">
        <v>89</v>
      </c>
      <c r="S25" s="124">
        <f t="shared" si="14"/>
        <v>6</v>
      </c>
      <c r="T25" s="27">
        <f t="shared" si="15"/>
        <v>726</v>
      </c>
      <c r="U25" s="28">
        <f>+H64</f>
        <v>481</v>
      </c>
      <c r="V25" s="44">
        <f t="shared" si="16"/>
        <v>43.727272727272727</v>
      </c>
      <c r="W25" s="45">
        <f t="shared" si="17"/>
        <v>0.66253443526170797</v>
      </c>
      <c r="X25" s="46">
        <f>+K64</f>
        <v>344.44</v>
      </c>
      <c r="Y25" s="29">
        <f t="shared" si="18"/>
        <v>31.312727272727273</v>
      </c>
      <c r="Z25" s="47">
        <f t="shared" si="19"/>
        <v>0.474435261707989</v>
      </c>
      <c r="AA25" s="48">
        <f t="shared" si="20"/>
        <v>33.126721763085399</v>
      </c>
      <c r="AB25" s="49">
        <f t="shared" si="21"/>
        <v>25.833000000000002</v>
      </c>
      <c r="AC25" s="366">
        <f t="shared" si="22"/>
        <v>58.959721763085398</v>
      </c>
      <c r="AD25" s="161" t="str">
        <f t="shared" si="23"/>
        <v xml:space="preserve"> 사유?→</v>
      </c>
      <c r="AE25" s="160" t="s">
        <v>261</v>
      </c>
      <c r="AF25" s="37">
        <f>AG25-F25</f>
        <v>-11</v>
      </c>
      <c r="AG25" s="38">
        <f>AN25</f>
        <v>0</v>
      </c>
      <c r="AH25" s="355" t="s">
        <v>36</v>
      </c>
      <c r="AI25" s="39"/>
      <c r="AJ25" s="40">
        <f>IFERROR(Z25/W25*1000,"")</f>
        <v>716.09147609147612</v>
      </c>
      <c r="AK25" s="39"/>
      <c r="AL25" s="41"/>
      <c r="AM25" s="41"/>
      <c r="AN25" s="41"/>
      <c r="AP25" s="355">
        <f t="shared" si="24"/>
        <v>-11</v>
      </c>
      <c r="AQ25" s="42"/>
    </row>
    <row r="26" spans="2:43" s="355" customFormat="1" ht="115.5" customHeight="1" x14ac:dyDescent="0.3">
      <c r="B26" s="421"/>
      <c r="C26" s="24">
        <f t="shared" si="12"/>
        <v>2</v>
      </c>
      <c r="D26" s="43" t="s">
        <v>35</v>
      </c>
      <c r="E26" s="26" t="s">
        <v>28</v>
      </c>
      <c r="F26" s="25">
        <v>11</v>
      </c>
      <c r="G26" s="124">
        <v>341</v>
      </c>
      <c r="H26" s="124">
        <f t="shared" si="13"/>
        <v>93.424657534246577</v>
      </c>
      <c r="I26" s="123" t="s">
        <v>78</v>
      </c>
      <c r="J26" s="123" t="s">
        <v>88</v>
      </c>
      <c r="K26" s="123" t="s">
        <v>84</v>
      </c>
      <c r="L26" s="123"/>
      <c r="M26" s="129" t="s">
        <v>90</v>
      </c>
      <c r="N26" s="123" t="s">
        <v>74</v>
      </c>
      <c r="O26" s="123" t="s">
        <v>169</v>
      </c>
      <c r="P26" s="123" t="s">
        <v>92</v>
      </c>
      <c r="Q26" s="123" t="s">
        <v>91</v>
      </c>
      <c r="R26" s="123" t="s">
        <v>89</v>
      </c>
      <c r="S26" s="124">
        <f t="shared" si="14"/>
        <v>6</v>
      </c>
      <c r="T26" s="27">
        <f t="shared" si="15"/>
        <v>726</v>
      </c>
      <c r="U26" s="28">
        <f>+H67</f>
        <v>365</v>
      </c>
      <c r="V26" s="44">
        <f t="shared" si="16"/>
        <v>33.18181818181818</v>
      </c>
      <c r="W26" s="45">
        <f t="shared" si="17"/>
        <v>0.50275482093663915</v>
      </c>
      <c r="X26" s="46">
        <f>+K67</f>
        <v>475.81</v>
      </c>
      <c r="Y26" s="44">
        <f t="shared" si="18"/>
        <v>43.255454545454548</v>
      </c>
      <c r="Z26" s="47">
        <f t="shared" si="19"/>
        <v>0.65538567493112942</v>
      </c>
      <c r="AA26" s="48">
        <f t="shared" si="20"/>
        <v>25.137741046831959</v>
      </c>
      <c r="AB26" s="49">
        <f t="shared" si="21"/>
        <v>35.685749999999999</v>
      </c>
      <c r="AC26" s="366">
        <f t="shared" si="22"/>
        <v>60.823491046831961</v>
      </c>
      <c r="AD26" s="161" t="str">
        <f t="shared" si="23"/>
        <v xml:space="preserve"> 사유?→</v>
      </c>
      <c r="AE26" s="160" t="s">
        <v>266</v>
      </c>
      <c r="AF26" s="37">
        <f>AG26-F26</f>
        <v>-11</v>
      </c>
      <c r="AG26" s="38">
        <f>AN26</f>
        <v>0</v>
      </c>
      <c r="AH26" s="355" t="s">
        <v>33</v>
      </c>
      <c r="AI26" s="39"/>
      <c r="AJ26" s="40">
        <f>IFERROR(Z26/W26*1000,"")</f>
        <v>1303.58904109589</v>
      </c>
      <c r="AK26" s="39"/>
      <c r="AL26" s="41"/>
      <c r="AM26" s="41"/>
      <c r="AN26" s="41"/>
      <c r="AP26" s="355">
        <f t="shared" si="24"/>
        <v>-11</v>
      </c>
      <c r="AQ26" s="42"/>
    </row>
    <row r="27" spans="2:43" s="355" customFormat="1" ht="104.25" customHeight="1" x14ac:dyDescent="0.3">
      <c r="B27" s="421"/>
      <c r="C27" s="24">
        <f t="shared" si="12"/>
        <v>3</v>
      </c>
      <c r="D27" s="43" t="s">
        <v>37</v>
      </c>
      <c r="E27" s="26" t="s">
        <v>28</v>
      </c>
      <c r="F27" s="25">
        <v>11</v>
      </c>
      <c r="G27" s="125">
        <v>459</v>
      </c>
      <c r="H27" s="130">
        <f t="shared" si="13"/>
        <v>96.631578947368425</v>
      </c>
      <c r="I27" s="123" t="s">
        <v>78</v>
      </c>
      <c r="J27" s="123" t="s">
        <v>88</v>
      </c>
      <c r="K27" s="123" t="s">
        <v>84</v>
      </c>
      <c r="L27" s="123"/>
      <c r="M27" s="129" t="s">
        <v>90</v>
      </c>
      <c r="N27" s="123" t="s">
        <v>74</v>
      </c>
      <c r="O27" s="123" t="s">
        <v>169</v>
      </c>
      <c r="P27" s="123" t="s">
        <v>92</v>
      </c>
      <c r="Q27" s="123" t="s">
        <v>91</v>
      </c>
      <c r="R27" s="123" t="s">
        <v>89</v>
      </c>
      <c r="S27" s="125">
        <f t="shared" si="14"/>
        <v>6</v>
      </c>
      <c r="T27" s="27">
        <f t="shared" si="15"/>
        <v>726</v>
      </c>
      <c r="U27" s="28">
        <f>+H70</f>
        <v>475</v>
      </c>
      <c r="V27" s="44">
        <f t="shared" si="16"/>
        <v>43.18181818181818</v>
      </c>
      <c r="W27" s="45">
        <f t="shared" si="17"/>
        <v>0.65426997245179064</v>
      </c>
      <c r="X27" s="46">
        <f>+K70</f>
        <v>447.34</v>
      </c>
      <c r="Y27" s="44">
        <f t="shared" si="18"/>
        <v>40.667272727272724</v>
      </c>
      <c r="Z27" s="47">
        <f t="shared" si="19"/>
        <v>0.61617079889807158</v>
      </c>
      <c r="AA27" s="48">
        <f t="shared" si="20"/>
        <v>32.713498622589533</v>
      </c>
      <c r="AB27" s="49">
        <f t="shared" si="21"/>
        <v>33.5505</v>
      </c>
      <c r="AC27" s="366">
        <f t="shared" si="22"/>
        <v>66.263998622589526</v>
      </c>
      <c r="AD27" s="161" t="str">
        <f t="shared" si="23"/>
        <v xml:space="preserve"> 사유?→</v>
      </c>
      <c r="AE27" s="160" t="s">
        <v>267</v>
      </c>
      <c r="AF27" s="37">
        <f>AG27-F27</f>
        <v>-11</v>
      </c>
      <c r="AG27" s="38">
        <f>AN27</f>
        <v>0</v>
      </c>
      <c r="AH27" s="355" t="s">
        <v>46</v>
      </c>
      <c r="AI27" s="39"/>
      <c r="AJ27" s="40">
        <f>IFERROR(Z27/W27*1000,"")</f>
        <v>941.76842105263142</v>
      </c>
      <c r="AL27" s="41"/>
      <c r="AM27" s="41"/>
      <c r="AN27" s="41"/>
      <c r="AP27" s="355">
        <f t="shared" si="24"/>
        <v>-11</v>
      </c>
      <c r="AQ27" s="42"/>
    </row>
    <row r="28" spans="2:43" s="355" customFormat="1" ht="104.25" customHeight="1" x14ac:dyDescent="0.3">
      <c r="B28" s="468"/>
      <c r="C28" s="24">
        <f t="shared" si="12"/>
        <v>4</v>
      </c>
      <c r="D28" s="43" t="s">
        <v>47</v>
      </c>
      <c r="E28" s="26" t="s">
        <v>36</v>
      </c>
      <c r="F28" s="25">
        <v>8</v>
      </c>
      <c r="G28" s="124">
        <v>322</v>
      </c>
      <c r="H28" s="124">
        <f t="shared" si="13"/>
        <v>87.978142076502735</v>
      </c>
      <c r="I28" s="123" t="s">
        <v>78</v>
      </c>
      <c r="J28" s="123" t="s">
        <v>88</v>
      </c>
      <c r="K28" s="123" t="s">
        <v>84</v>
      </c>
      <c r="L28" s="123"/>
      <c r="M28" s="129"/>
      <c r="N28" s="123" t="s">
        <v>74</v>
      </c>
      <c r="O28" s="123"/>
      <c r="P28" s="123" t="s">
        <v>92</v>
      </c>
      <c r="Q28" s="123" t="s">
        <v>91</v>
      </c>
      <c r="R28" s="123" t="s">
        <v>89</v>
      </c>
      <c r="S28" s="124">
        <f t="shared" si="14"/>
        <v>5</v>
      </c>
      <c r="T28" s="348">
        <f t="shared" si="15"/>
        <v>528</v>
      </c>
      <c r="U28" s="28">
        <f>+H73</f>
        <v>366</v>
      </c>
      <c r="V28" s="29">
        <f t="shared" si="16"/>
        <v>45.75</v>
      </c>
      <c r="W28" s="30">
        <f t="shared" si="17"/>
        <v>0.69318181818181823</v>
      </c>
      <c r="X28" s="31">
        <f>+K73</f>
        <v>329.12</v>
      </c>
      <c r="Y28" s="44">
        <f t="shared" si="18"/>
        <v>41.14</v>
      </c>
      <c r="Z28" s="47">
        <f t="shared" si="19"/>
        <v>0.62333333333333329</v>
      </c>
      <c r="AA28" s="48">
        <f t="shared" si="20"/>
        <v>34.659090909090914</v>
      </c>
      <c r="AB28" s="49">
        <f t="shared" si="21"/>
        <v>33.9405</v>
      </c>
      <c r="AC28" s="366">
        <f t="shared" si="22"/>
        <v>68.599590909090921</v>
      </c>
      <c r="AD28" s="161" t="str">
        <f t="shared" si="23"/>
        <v xml:space="preserve"> 사유?→</v>
      </c>
      <c r="AE28" s="160" t="s">
        <v>268</v>
      </c>
      <c r="AF28" s="37"/>
      <c r="AG28" s="38"/>
      <c r="AI28" s="39"/>
      <c r="AJ28" s="40"/>
      <c r="AL28" s="41"/>
      <c r="AM28" s="41"/>
      <c r="AN28" s="41"/>
      <c r="AP28" s="355">
        <f t="shared" si="24"/>
        <v>-8</v>
      </c>
      <c r="AQ28" s="42"/>
    </row>
    <row r="29" spans="2:43" s="355" customFormat="1" ht="36" customHeight="1" x14ac:dyDescent="0.3">
      <c r="B29" s="422" t="s">
        <v>39</v>
      </c>
      <c r="C29" s="423"/>
      <c r="D29" s="423"/>
      <c r="E29" s="424"/>
      <c r="F29" s="43">
        <f>SUM(F23:F28)</f>
        <v>61.25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4042.5</v>
      </c>
      <c r="U29" s="53">
        <f>SUM(U23:U28)</f>
        <v>2635</v>
      </c>
      <c r="V29" s="54">
        <f>U29/F29</f>
        <v>43.020408163265309</v>
      </c>
      <c r="W29" s="45">
        <f t="shared" si="17"/>
        <v>0.65182436611008043</v>
      </c>
      <c r="X29" s="55">
        <f>SUM(X23:X28)</f>
        <v>2378.4699999999998</v>
      </c>
      <c r="Y29" s="44">
        <f>X29/F29</f>
        <v>38.832163265306122</v>
      </c>
      <c r="Z29" s="47">
        <f t="shared" si="19"/>
        <v>0.58836611008039574</v>
      </c>
      <c r="AA29" s="56">
        <f>U29/T29*AA20</f>
        <v>32.591218305504022</v>
      </c>
      <c r="AB29" s="57">
        <f>X29/T29*AB20</f>
        <v>32.036534693877549</v>
      </c>
      <c r="AC29" s="140">
        <f t="shared" si="22"/>
        <v>64.62775299938157</v>
      </c>
      <c r="AD29" s="162" t="str">
        <f t="shared" si="23"/>
        <v xml:space="preserve"> 사유?→</v>
      </c>
      <c r="AE29" s="43"/>
      <c r="AF29" s="37">
        <f>AG29-F29</f>
        <v>-61.25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10.208333333333334</v>
      </c>
      <c r="G30" s="352"/>
      <c r="H30" s="352"/>
      <c r="I30" s="352"/>
      <c r="J30" s="352"/>
      <c r="K30" s="352"/>
      <c r="L30" s="352"/>
      <c r="M30" s="352"/>
      <c r="N30" s="352"/>
      <c r="O30" s="352"/>
      <c r="P30" s="352"/>
      <c r="Q30" s="352"/>
      <c r="R30" s="352"/>
      <c r="S30" s="352"/>
      <c r="T30" s="352"/>
      <c r="U30" s="61">
        <f>V30*F30</f>
        <v>439.16666666666674</v>
      </c>
      <c r="V30" s="62">
        <f>U29/F29</f>
        <v>43.020408163265309</v>
      </c>
      <c r="W30" s="63">
        <f>IFERROR(U30/#REF!,0)</f>
        <v>0</v>
      </c>
      <c r="X30" s="64">
        <f>X29/F29*F30</f>
        <v>396.41166666666669</v>
      </c>
      <c r="Y30" s="62">
        <f>IF(F30=0,"휴무",X30/F30)</f>
        <v>38.832163265306122</v>
      </c>
      <c r="Z30" s="65">
        <f>IFERROR(X30/#REF!,0)</f>
        <v>0</v>
      </c>
      <c r="AA30" s="60">
        <f>AVERAGE(AA23:AA28)</f>
        <v>32.750493261856896</v>
      </c>
      <c r="AB30" s="60">
        <f>AVERAGE(AB23:AB28)</f>
        <v>32.009618243243239</v>
      </c>
      <c r="AC30" s="141">
        <f>AA30+AB30</f>
        <v>64.760111505100127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355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29</v>
      </c>
      <c r="F36" s="455" t="s">
        <v>7</v>
      </c>
      <c r="G36" s="82" t="s">
        <v>48</v>
      </c>
      <c r="H36" s="83">
        <f>354-23</f>
        <v>331</v>
      </c>
      <c r="I36" s="84"/>
      <c r="J36" s="85"/>
      <c r="K36" s="86">
        <f>409.23-38.03</f>
        <v>371.20000000000005</v>
      </c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>
        <v>23</v>
      </c>
      <c r="I37" s="84"/>
      <c r="J37" s="85"/>
      <c r="K37" s="86">
        <v>38.03</v>
      </c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377</v>
      </c>
      <c r="I38" s="88"/>
      <c r="J38" s="89"/>
      <c r="K38" s="90">
        <f>+K36+K37*2</f>
        <v>447.26000000000005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30</v>
      </c>
      <c r="F39" s="455" t="s">
        <v>52</v>
      </c>
      <c r="G39" s="82" t="s">
        <v>48</v>
      </c>
      <c r="H39" s="83">
        <v>333</v>
      </c>
      <c r="I39" s="84"/>
      <c r="J39" s="85"/>
      <c r="K39" s="86">
        <v>452.18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333</v>
      </c>
      <c r="I41" s="88"/>
      <c r="J41" s="89"/>
      <c r="K41" s="90">
        <f>+K39+K40*2</f>
        <v>452.18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1</v>
      </c>
      <c r="F42" s="455" t="s">
        <v>53</v>
      </c>
      <c r="G42" s="82" t="s">
        <v>48</v>
      </c>
      <c r="H42" s="83">
        <v>379</v>
      </c>
      <c r="I42" s="84"/>
      <c r="J42" s="85"/>
      <c r="K42" s="86">
        <v>538.55999999999995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379</v>
      </c>
      <c r="I44" s="88"/>
      <c r="J44" s="89"/>
      <c r="K44" s="90">
        <f>+K42+K43*2</f>
        <v>538.55999999999995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2</v>
      </c>
      <c r="F45" s="455" t="s">
        <v>55</v>
      </c>
      <c r="G45" s="82" t="s">
        <v>48</v>
      </c>
      <c r="H45" s="83">
        <f>328-79</f>
        <v>249</v>
      </c>
      <c r="I45" s="84"/>
      <c r="J45" s="85"/>
      <c r="K45" s="86">
        <f>427.09-129.75</f>
        <v>297.33999999999997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>
        <v>79</v>
      </c>
      <c r="I46" s="84"/>
      <c r="J46" s="85"/>
      <c r="K46" s="86">
        <v>129.75</v>
      </c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407</v>
      </c>
      <c r="I47" s="88"/>
      <c r="J47" s="89"/>
      <c r="K47" s="90">
        <f>+K45+K46*2</f>
        <v>556.83999999999992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3</v>
      </c>
      <c r="F48" s="455" t="s">
        <v>56</v>
      </c>
      <c r="G48" s="82" t="s">
        <v>48</v>
      </c>
      <c r="H48" s="83">
        <v>115</v>
      </c>
      <c r="I48" s="84"/>
      <c r="J48" s="85"/>
      <c r="K48" s="86">
        <v>122.6</v>
      </c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>
        <v>125</v>
      </c>
      <c r="I49" s="84"/>
      <c r="J49" s="85"/>
      <c r="K49" s="86">
        <v>265.58999999999997</v>
      </c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365</v>
      </c>
      <c r="I50" s="88"/>
      <c r="J50" s="89"/>
      <c r="K50" s="90">
        <f>+K48+K49*2</f>
        <v>653.78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4</v>
      </c>
      <c r="F51" s="455" t="s">
        <v>38</v>
      </c>
      <c r="G51" s="82" t="s">
        <v>48</v>
      </c>
      <c r="H51" s="83">
        <v>253</v>
      </c>
      <c r="I51" s="84"/>
      <c r="J51" s="85"/>
      <c r="K51" s="86">
        <v>343.29</v>
      </c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253</v>
      </c>
      <c r="I53" s="88"/>
      <c r="J53" s="89"/>
      <c r="K53" s="90">
        <f>+K51+K52*2</f>
        <v>343.29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29</v>
      </c>
      <c r="F56" s="455" t="s">
        <v>7</v>
      </c>
      <c r="G56" s="82" t="s">
        <v>48</v>
      </c>
      <c r="H56" s="83">
        <f>368-60</f>
        <v>308</v>
      </c>
      <c r="I56" s="84"/>
      <c r="J56" s="85"/>
      <c r="K56" s="86">
        <f>218.53-92.69</f>
        <v>125.84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>
        <v>60</v>
      </c>
      <c r="I57" s="84"/>
      <c r="J57" s="85"/>
      <c r="K57" s="86">
        <v>92.69</v>
      </c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428</v>
      </c>
      <c r="I58" s="88"/>
      <c r="J58" s="89"/>
      <c r="K58" s="90">
        <f>+K56+K57*2</f>
        <v>311.22000000000003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30</v>
      </c>
      <c r="F59" s="455" t="s">
        <v>52</v>
      </c>
      <c r="G59" s="82" t="s">
        <v>48</v>
      </c>
      <c r="H59" s="83">
        <f>517-3</f>
        <v>514</v>
      </c>
      <c r="I59" s="84"/>
      <c r="J59" s="85"/>
      <c r="K59" s="86">
        <f>466.64-3.9</f>
        <v>462.74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>
        <v>3</v>
      </c>
      <c r="I60" s="84"/>
      <c r="J60" s="85"/>
      <c r="K60" s="86">
        <v>3.9</v>
      </c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520</v>
      </c>
      <c r="I61" s="88"/>
      <c r="J61" s="89"/>
      <c r="K61" s="90">
        <f>+K59+K60*2</f>
        <v>470.54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1</v>
      </c>
      <c r="F62" s="455" t="s">
        <v>53</v>
      </c>
      <c r="G62" s="82" t="s">
        <v>48</v>
      </c>
      <c r="H62" s="83">
        <f>468-13</f>
        <v>455</v>
      </c>
      <c r="I62" s="84"/>
      <c r="J62" s="85"/>
      <c r="K62" s="86">
        <f>338.74-5.7</f>
        <v>333.04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>
        <v>13</v>
      </c>
      <c r="I63" s="84"/>
      <c r="J63" s="85"/>
      <c r="K63" s="86">
        <v>5.7</v>
      </c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481</v>
      </c>
      <c r="I64" s="88"/>
      <c r="J64" s="89"/>
      <c r="K64" s="90">
        <f>+K62+K63*2</f>
        <v>344.44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2</v>
      </c>
      <c r="F65" s="455" t="s">
        <v>55</v>
      </c>
      <c r="G65" s="82" t="s">
        <v>48</v>
      </c>
      <c r="H65" s="83">
        <f>343-22</f>
        <v>321</v>
      </c>
      <c r="I65" s="84"/>
      <c r="J65" s="85"/>
      <c r="K65" s="86">
        <f>440.59-35.22</f>
        <v>405.37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>
        <v>22</v>
      </c>
      <c r="I66" s="84"/>
      <c r="J66" s="85"/>
      <c r="K66" s="86">
        <v>35.22</v>
      </c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365</v>
      </c>
      <c r="I67" s="88"/>
      <c r="J67" s="89"/>
      <c r="K67" s="90">
        <f>+K65+K66*2</f>
        <v>475.81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3</v>
      </c>
      <c r="F68" s="455" t="s">
        <v>56</v>
      </c>
      <c r="G68" s="82" t="s">
        <v>48</v>
      </c>
      <c r="H68" s="83">
        <f>463-12</f>
        <v>451</v>
      </c>
      <c r="I68" s="84"/>
      <c r="J68" s="85"/>
      <c r="K68" s="86">
        <f>419.62-4.35-23.37</f>
        <v>391.9</v>
      </c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>
        <v>12</v>
      </c>
      <c r="I69" s="84"/>
      <c r="J69" s="85"/>
      <c r="K69" s="86">
        <f>4.35+23.37</f>
        <v>27.72</v>
      </c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475</v>
      </c>
      <c r="I70" s="88"/>
      <c r="J70" s="89"/>
      <c r="K70" s="90">
        <f>+K68+K69*2</f>
        <v>447.34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4</v>
      </c>
      <c r="F71" s="455" t="s">
        <v>38</v>
      </c>
      <c r="G71" s="82" t="s">
        <v>48</v>
      </c>
      <c r="H71" s="83">
        <f>330-36</f>
        <v>294</v>
      </c>
      <c r="I71" s="84"/>
      <c r="J71" s="85"/>
      <c r="K71" s="86">
        <f>307.86-21.26</f>
        <v>286.60000000000002</v>
      </c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>
        <v>36</v>
      </c>
      <c r="I72" s="84"/>
      <c r="J72" s="85"/>
      <c r="K72" s="86">
        <v>21.26</v>
      </c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366</v>
      </c>
      <c r="I73" s="88"/>
      <c r="J73" s="89"/>
      <c r="K73" s="90">
        <f>+K71+K72*2</f>
        <v>329.12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349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5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6">IF(F80=0,"휴무",AA80+AB80)</f>
        <v>#REF!</v>
      </c>
      <c r="AD80" s="103" t="e">
        <f t="shared" ref="AD80:AD85" si="27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355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355"/>
      <c r="AP80" s="355">
        <f>AO80-F80</f>
        <v>-10</v>
      </c>
    </row>
    <row r="81" spans="2:42" ht="98.25" customHeight="1" x14ac:dyDescent="0.3">
      <c r="B81" s="459"/>
      <c r="C81" s="92">
        <v>20</v>
      </c>
      <c r="D81" s="354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5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6"/>
        <v>#REF!</v>
      </c>
      <c r="AD81" s="108" t="e">
        <f t="shared" si="27"/>
        <v>#REF!</v>
      </c>
      <c r="AE81" s="109"/>
      <c r="AF81" s="37">
        <f>AG81-F81</f>
        <v>-10</v>
      </c>
      <c r="AG81" s="38">
        <f>AN81</f>
        <v>0</v>
      </c>
      <c r="AH81" s="355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355"/>
      <c r="AP81" s="355">
        <f>AO81-F81</f>
        <v>-10</v>
      </c>
    </row>
    <row r="82" spans="2:42" ht="98.25" customHeight="1" x14ac:dyDescent="0.3">
      <c r="B82" s="459"/>
      <c r="C82" s="92">
        <v>21</v>
      </c>
      <c r="D82" s="354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5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6"/>
        <v>#REF!</v>
      </c>
      <c r="AD82" s="108" t="e">
        <f t="shared" si="27"/>
        <v>#REF!</v>
      </c>
      <c r="AE82" s="109"/>
      <c r="AF82" s="37">
        <f>AG82-F82</f>
        <v>-10</v>
      </c>
      <c r="AG82" s="38">
        <f>AN82</f>
        <v>0</v>
      </c>
      <c r="AH82" s="355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355"/>
      <c r="AP82" s="355">
        <f>AO82-F82</f>
        <v>-10</v>
      </c>
    </row>
    <row r="83" spans="2:42" ht="98.25" customHeight="1" x14ac:dyDescent="0.3">
      <c r="B83" s="459"/>
      <c r="C83" s="92">
        <v>22</v>
      </c>
      <c r="D83" s="354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5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6"/>
        <v>#REF!</v>
      </c>
      <c r="AD83" s="110" t="e">
        <f t="shared" si="27"/>
        <v>#REF!</v>
      </c>
      <c r="AE83" s="104"/>
      <c r="AF83" s="37">
        <f>AG83-F83</f>
        <v>-10</v>
      </c>
      <c r="AG83" s="38">
        <f>AN83</f>
        <v>0</v>
      </c>
      <c r="AH83" s="355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355"/>
      <c r="AP83" s="355">
        <f>AO83-F83</f>
        <v>-10</v>
      </c>
    </row>
    <row r="84" spans="2:42" ht="98.25" customHeight="1" x14ac:dyDescent="0.3">
      <c r="B84" s="459"/>
      <c r="C84" s="92">
        <v>23</v>
      </c>
      <c r="D84" s="354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5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6"/>
        <v>#REF!</v>
      </c>
      <c r="AD84" s="110" t="e">
        <f t="shared" si="27"/>
        <v>#REF!</v>
      </c>
      <c r="AE84" s="104"/>
      <c r="AF84" s="37">
        <f>AG84-F84</f>
        <v>-10</v>
      </c>
      <c r="AG84" s="38">
        <f>AN84</f>
        <v>0</v>
      </c>
      <c r="AH84" s="355" t="s">
        <v>46</v>
      </c>
      <c r="AI84" s="39"/>
      <c r="AJ84" s="40" t="str">
        <f>IFERROR(Z84/W84*1000,"")</f>
        <v/>
      </c>
      <c r="AK84" s="355"/>
      <c r="AL84" s="41"/>
      <c r="AM84" s="41"/>
      <c r="AN84" s="41"/>
      <c r="AO84" s="355"/>
      <c r="AP84" s="355">
        <f>AO84-F84</f>
        <v>-10</v>
      </c>
    </row>
    <row r="85" spans="2:42" ht="98.25" customHeight="1" x14ac:dyDescent="0.3">
      <c r="B85" s="459"/>
      <c r="C85" s="92">
        <v>25</v>
      </c>
      <c r="D85" s="354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352"/>
      <c r="H85" s="352"/>
      <c r="I85" s="352"/>
      <c r="J85" s="352"/>
      <c r="K85" s="352"/>
      <c r="L85" s="352"/>
      <c r="M85" s="352"/>
      <c r="N85" s="352"/>
      <c r="O85" s="352"/>
      <c r="P85" s="352"/>
      <c r="Q85" s="352"/>
      <c r="R85" s="352"/>
      <c r="S85" s="352"/>
      <c r="T85" s="352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5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6"/>
        <v>휴무</v>
      </c>
      <c r="AD85" s="110" t="str">
        <f t="shared" si="27"/>
        <v>휴무</v>
      </c>
      <c r="AE85" s="104"/>
      <c r="AF85" s="37"/>
      <c r="AG85" s="38"/>
      <c r="AH85" s="355"/>
      <c r="AI85" s="39"/>
      <c r="AJ85" s="40"/>
      <c r="AK85" s="355"/>
      <c r="AL85" s="41"/>
      <c r="AM85" s="41"/>
      <c r="AN85" s="41"/>
      <c r="AO85" s="355"/>
      <c r="AP85" s="355"/>
    </row>
    <row r="86" spans="2:42" ht="36" customHeight="1" x14ac:dyDescent="0.3">
      <c r="B86" s="460" t="s">
        <v>39</v>
      </c>
      <c r="C86" s="461"/>
      <c r="D86" s="461"/>
      <c r="E86" s="462"/>
      <c r="F86" s="354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354"/>
      <c r="AB86" s="351"/>
      <c r="AC86" s="114"/>
      <c r="AD86" s="115"/>
      <c r="AE86" s="353"/>
      <c r="AF86" s="37">
        <f>AG86-F86</f>
        <v>-50</v>
      </c>
      <c r="AG86" s="38">
        <f>SUM(AG80:AG85)</f>
        <v>0</v>
      </c>
      <c r="AH86" s="355"/>
      <c r="AI86" s="355"/>
      <c r="AJ86" s="40"/>
      <c r="AK86" s="355"/>
      <c r="AL86" s="59"/>
      <c r="AM86" s="59"/>
      <c r="AN86" s="59"/>
      <c r="AO86" s="355"/>
      <c r="AP86" s="355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352"/>
      <c r="H87" s="352"/>
      <c r="I87" s="352"/>
      <c r="J87" s="352"/>
      <c r="K87" s="352"/>
      <c r="L87" s="352"/>
      <c r="M87" s="352"/>
      <c r="N87" s="352"/>
      <c r="O87" s="352"/>
      <c r="P87" s="352"/>
      <c r="Q87" s="352"/>
      <c r="R87" s="352"/>
      <c r="S87" s="352"/>
      <c r="T87" s="352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355"/>
      <c r="AE88" s="355"/>
      <c r="AF88" s="355"/>
      <c r="AG88" s="355"/>
      <c r="AH88" s="355"/>
      <c r="AI88" s="355"/>
      <c r="AJ88" s="355"/>
      <c r="AK88" s="355"/>
      <c r="AL88" s="59"/>
      <c r="AM88" s="59"/>
      <c r="AN88" s="59"/>
      <c r="AO88" s="355"/>
      <c r="AP88" s="355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354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354" t="s">
        <v>63</v>
      </c>
      <c r="D117" s="466" t="s">
        <v>12</v>
      </c>
      <c r="E117" s="466"/>
      <c r="F117" s="354" t="s">
        <v>64</v>
      </c>
      <c r="G117" s="354"/>
      <c r="H117" s="354"/>
      <c r="I117" s="354"/>
      <c r="J117" s="354"/>
      <c r="K117" s="354"/>
      <c r="L117" s="354"/>
      <c r="M117" s="354"/>
      <c r="N117" s="354"/>
      <c r="O117" s="354"/>
      <c r="P117" s="354"/>
      <c r="Q117" s="354"/>
      <c r="R117" s="354"/>
      <c r="S117" s="354"/>
      <c r="T117" s="354"/>
      <c r="U117" s="354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354"/>
      <c r="G118" s="354"/>
      <c r="H118" s="354"/>
      <c r="I118" s="354"/>
      <c r="J118" s="354"/>
      <c r="K118" s="354"/>
      <c r="L118" s="354"/>
      <c r="M118" s="354"/>
      <c r="N118" s="354"/>
      <c r="O118" s="354"/>
      <c r="P118" s="354"/>
      <c r="Q118" s="354"/>
      <c r="R118" s="354"/>
      <c r="S118" s="354"/>
      <c r="T118" s="354"/>
      <c r="U118" s="354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354"/>
      <c r="G119" s="354"/>
      <c r="H119" s="354"/>
      <c r="I119" s="354"/>
      <c r="J119" s="354"/>
      <c r="K119" s="354"/>
      <c r="L119" s="354"/>
      <c r="M119" s="354"/>
      <c r="N119" s="354"/>
      <c r="O119" s="354"/>
      <c r="P119" s="354"/>
      <c r="Q119" s="354"/>
      <c r="R119" s="354"/>
      <c r="S119" s="354"/>
      <c r="T119" s="354"/>
      <c r="U119" s="354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354"/>
      <c r="G120" s="354"/>
      <c r="H120" s="354"/>
      <c r="I120" s="354"/>
      <c r="J120" s="354"/>
      <c r="K120" s="354"/>
      <c r="L120" s="354"/>
      <c r="M120" s="354"/>
      <c r="N120" s="354"/>
      <c r="O120" s="354"/>
      <c r="P120" s="354"/>
      <c r="Q120" s="354"/>
      <c r="R120" s="354"/>
      <c r="S120" s="354"/>
      <c r="T120" s="354"/>
      <c r="U120" s="354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354"/>
      <c r="G121" s="354"/>
      <c r="H121" s="354"/>
      <c r="I121" s="354"/>
      <c r="J121" s="354"/>
      <c r="K121" s="354"/>
      <c r="L121" s="354"/>
      <c r="M121" s="354"/>
      <c r="N121" s="354"/>
      <c r="O121" s="354"/>
      <c r="P121" s="354"/>
      <c r="Q121" s="354"/>
      <c r="R121" s="354"/>
      <c r="S121" s="354"/>
      <c r="T121" s="354"/>
      <c r="U121" s="354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354"/>
      <c r="G122" s="354"/>
      <c r="H122" s="354"/>
      <c r="I122" s="354"/>
      <c r="J122" s="354"/>
      <c r="K122" s="354"/>
      <c r="L122" s="354"/>
      <c r="M122" s="354"/>
      <c r="N122" s="354"/>
      <c r="O122" s="354"/>
      <c r="P122" s="354"/>
      <c r="Q122" s="354"/>
      <c r="R122" s="354"/>
      <c r="S122" s="354"/>
      <c r="T122" s="354"/>
      <c r="U122" s="354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354"/>
      <c r="G123" s="354"/>
      <c r="H123" s="354"/>
      <c r="I123" s="354"/>
      <c r="J123" s="354"/>
      <c r="K123" s="354"/>
      <c r="L123" s="354"/>
      <c r="M123" s="354"/>
      <c r="N123" s="354"/>
      <c r="O123" s="354"/>
      <c r="P123" s="354"/>
      <c r="Q123" s="354"/>
      <c r="R123" s="354"/>
      <c r="S123" s="354"/>
      <c r="T123" s="354"/>
      <c r="U123" s="354"/>
      <c r="V123" s="117"/>
      <c r="W123" s="118"/>
      <c r="X123" s="116"/>
      <c r="Y123" s="117"/>
      <c r="Z123" s="116"/>
      <c r="AA123" s="116"/>
    </row>
    <row r="124" spans="3:27" x14ac:dyDescent="0.3">
      <c r="C124" s="354"/>
      <c r="D124" s="460"/>
      <c r="E124" s="462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4"/>
      <c r="Q124" s="354"/>
      <c r="R124" s="354"/>
      <c r="S124" s="354"/>
      <c r="T124" s="354"/>
      <c r="U124" s="354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354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354" t="s">
        <v>63</v>
      </c>
      <c r="D127" s="466" t="s">
        <v>12</v>
      </c>
      <c r="E127" s="466"/>
      <c r="F127" s="354" t="s">
        <v>64</v>
      </c>
      <c r="G127" s="354"/>
      <c r="H127" s="354"/>
      <c r="I127" s="354"/>
      <c r="J127" s="354"/>
      <c r="K127" s="354"/>
      <c r="L127" s="354"/>
      <c r="M127" s="354"/>
      <c r="N127" s="354"/>
      <c r="O127" s="354"/>
      <c r="P127" s="354"/>
      <c r="Q127" s="354"/>
      <c r="R127" s="354"/>
      <c r="S127" s="354"/>
      <c r="T127" s="354"/>
      <c r="U127" s="354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354"/>
      <c r="G128" s="354"/>
      <c r="H128" s="354"/>
      <c r="I128" s="354"/>
      <c r="J128" s="354"/>
      <c r="K128" s="354"/>
      <c r="L128" s="354"/>
      <c r="M128" s="354"/>
      <c r="N128" s="354"/>
      <c r="O128" s="354"/>
      <c r="P128" s="354"/>
      <c r="Q128" s="354"/>
      <c r="R128" s="354"/>
      <c r="S128" s="354"/>
      <c r="T128" s="354"/>
      <c r="U128" s="354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354"/>
      <c r="G129" s="354"/>
      <c r="H129" s="354"/>
      <c r="I129" s="354"/>
      <c r="J129" s="354"/>
      <c r="K129" s="354"/>
      <c r="L129" s="354"/>
      <c r="M129" s="354"/>
      <c r="N129" s="354"/>
      <c r="O129" s="354"/>
      <c r="P129" s="354"/>
      <c r="Q129" s="354"/>
      <c r="R129" s="354"/>
      <c r="S129" s="354"/>
      <c r="T129" s="354"/>
      <c r="U129" s="354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4"/>
      <c r="Q130" s="354"/>
      <c r="R130" s="354"/>
      <c r="S130" s="354"/>
      <c r="T130" s="354"/>
      <c r="U130" s="354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354"/>
      <c r="G131" s="354"/>
      <c r="H131" s="354"/>
      <c r="I131" s="354"/>
      <c r="J131" s="354"/>
      <c r="K131" s="354"/>
      <c r="L131" s="354"/>
      <c r="M131" s="354"/>
      <c r="N131" s="354"/>
      <c r="O131" s="354"/>
      <c r="P131" s="354"/>
      <c r="Q131" s="354"/>
      <c r="R131" s="354"/>
      <c r="S131" s="354"/>
      <c r="T131" s="354"/>
      <c r="U131" s="354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354"/>
      <c r="G132" s="354"/>
      <c r="H132" s="354"/>
      <c r="I132" s="354"/>
      <c r="J132" s="354"/>
      <c r="K132" s="354"/>
      <c r="L132" s="354"/>
      <c r="M132" s="354"/>
      <c r="N132" s="354"/>
      <c r="O132" s="354"/>
      <c r="P132" s="354"/>
      <c r="Q132" s="354"/>
      <c r="R132" s="354"/>
      <c r="S132" s="354"/>
      <c r="T132" s="354"/>
      <c r="U132" s="354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354"/>
      <c r="G133" s="354"/>
      <c r="H133" s="354"/>
      <c r="I133" s="354"/>
      <c r="J133" s="354"/>
      <c r="K133" s="354"/>
      <c r="L133" s="354"/>
      <c r="M133" s="354"/>
      <c r="N133" s="354"/>
      <c r="O133" s="354"/>
      <c r="P133" s="354"/>
      <c r="Q133" s="354"/>
      <c r="R133" s="354"/>
      <c r="S133" s="354"/>
      <c r="T133" s="354"/>
      <c r="U133" s="354"/>
      <c r="V133" s="117"/>
      <c r="W133" s="118"/>
      <c r="X133" s="116"/>
      <c r="Y133" s="117"/>
      <c r="Z133" s="116"/>
      <c r="AA133" s="116"/>
    </row>
    <row r="134" spans="3:27" x14ac:dyDescent="0.3">
      <c r="C134" s="354"/>
      <c r="D134" s="460"/>
      <c r="E134" s="462"/>
      <c r="F134" s="354"/>
      <c r="G134" s="354"/>
      <c r="H134" s="354"/>
      <c r="I134" s="354"/>
      <c r="J134" s="354"/>
      <c r="K134" s="354"/>
      <c r="L134" s="354"/>
      <c r="M134" s="354"/>
      <c r="N134" s="354"/>
      <c r="O134" s="354"/>
      <c r="P134" s="354"/>
      <c r="Q134" s="354"/>
      <c r="R134" s="354"/>
      <c r="S134" s="354"/>
      <c r="T134" s="354"/>
      <c r="U134" s="354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354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354" t="s">
        <v>63</v>
      </c>
      <c r="D137" s="466" t="s">
        <v>12</v>
      </c>
      <c r="E137" s="466"/>
      <c r="F137" s="354" t="s">
        <v>64</v>
      </c>
      <c r="G137" s="354"/>
      <c r="H137" s="354"/>
      <c r="I137" s="354"/>
      <c r="J137" s="354"/>
      <c r="K137" s="354"/>
      <c r="L137" s="354"/>
      <c r="M137" s="354"/>
      <c r="N137" s="354"/>
      <c r="O137" s="354"/>
      <c r="P137" s="354"/>
      <c r="Q137" s="354"/>
      <c r="R137" s="354"/>
      <c r="S137" s="354"/>
      <c r="T137" s="354"/>
      <c r="U137" s="354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354"/>
      <c r="G138" s="354"/>
      <c r="H138" s="354"/>
      <c r="I138" s="354"/>
      <c r="J138" s="354"/>
      <c r="K138" s="354"/>
      <c r="L138" s="354"/>
      <c r="M138" s="354"/>
      <c r="N138" s="354"/>
      <c r="O138" s="354"/>
      <c r="P138" s="354"/>
      <c r="Q138" s="354"/>
      <c r="R138" s="354"/>
      <c r="S138" s="354"/>
      <c r="T138" s="354"/>
      <c r="U138" s="354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354"/>
      <c r="G139" s="354"/>
      <c r="H139" s="354"/>
      <c r="I139" s="354"/>
      <c r="J139" s="354"/>
      <c r="K139" s="354"/>
      <c r="L139" s="354"/>
      <c r="M139" s="354"/>
      <c r="N139" s="354"/>
      <c r="O139" s="354"/>
      <c r="P139" s="354"/>
      <c r="Q139" s="354"/>
      <c r="R139" s="354"/>
      <c r="S139" s="354"/>
      <c r="T139" s="354"/>
      <c r="U139" s="354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4"/>
      <c r="Q140" s="354"/>
      <c r="R140" s="354"/>
      <c r="S140" s="354"/>
      <c r="T140" s="354"/>
      <c r="U140" s="354"/>
    </row>
    <row r="141" spans="3:27" x14ac:dyDescent="0.3">
      <c r="C141" s="119">
        <v>45078</v>
      </c>
      <c r="D141" s="466"/>
      <c r="E141" s="466"/>
      <c r="F141" s="354"/>
      <c r="G141" s="354"/>
      <c r="H141" s="354"/>
      <c r="I141" s="354"/>
      <c r="J141" s="354"/>
      <c r="K141" s="354"/>
      <c r="L141" s="354"/>
      <c r="M141" s="354"/>
      <c r="N141" s="354"/>
      <c r="O141" s="354"/>
      <c r="P141" s="354"/>
      <c r="Q141" s="354"/>
      <c r="R141" s="354"/>
      <c r="S141" s="354"/>
      <c r="T141" s="354"/>
      <c r="U141" s="354"/>
    </row>
    <row r="142" spans="3:27" x14ac:dyDescent="0.3">
      <c r="C142" s="119">
        <v>45079</v>
      </c>
      <c r="D142" s="466"/>
      <c r="E142" s="466"/>
      <c r="F142" s="354"/>
      <c r="G142" s="354"/>
      <c r="H142" s="354"/>
      <c r="I142" s="354"/>
      <c r="J142" s="354"/>
      <c r="K142" s="354"/>
      <c r="L142" s="354"/>
      <c r="M142" s="354"/>
      <c r="N142" s="354"/>
      <c r="O142" s="354"/>
      <c r="P142" s="354"/>
      <c r="Q142" s="354"/>
      <c r="R142" s="354"/>
      <c r="S142" s="354"/>
      <c r="T142" s="354"/>
      <c r="U142" s="354"/>
    </row>
    <row r="143" spans="3:27" x14ac:dyDescent="0.3">
      <c r="C143" s="119">
        <v>45080</v>
      </c>
      <c r="D143" s="466"/>
      <c r="E143" s="466"/>
      <c r="F143" s="354"/>
      <c r="G143" s="354"/>
      <c r="H143" s="354"/>
      <c r="I143" s="354"/>
      <c r="J143" s="354"/>
      <c r="K143" s="354"/>
      <c r="L143" s="354"/>
      <c r="M143" s="354"/>
      <c r="N143" s="354"/>
      <c r="O143" s="354"/>
      <c r="P143" s="354"/>
      <c r="Q143" s="354"/>
      <c r="R143" s="354"/>
      <c r="S143" s="354"/>
      <c r="T143" s="354"/>
      <c r="U143" s="354"/>
    </row>
    <row r="144" spans="3:27" x14ac:dyDescent="0.3">
      <c r="C144" s="354"/>
      <c r="D144" s="460"/>
      <c r="E144" s="462"/>
      <c r="F144" s="354"/>
      <c r="G144" s="354"/>
      <c r="H144" s="354"/>
      <c r="I144" s="354"/>
      <c r="J144" s="354"/>
      <c r="K144" s="354"/>
      <c r="L144" s="354"/>
      <c r="M144" s="354"/>
      <c r="N144" s="354"/>
      <c r="O144" s="354"/>
      <c r="P144" s="354"/>
      <c r="Q144" s="354"/>
      <c r="R144" s="354"/>
      <c r="S144" s="354"/>
      <c r="T144" s="354"/>
      <c r="U144" s="354"/>
    </row>
  </sheetData>
  <mergeCells count="113">
    <mergeCell ref="AE5:AE6"/>
    <mergeCell ref="B13:E13"/>
    <mergeCell ref="B2:AE2"/>
    <mergeCell ref="B5:C6"/>
    <mergeCell ref="D5:D6"/>
    <mergeCell ref="E5:E6"/>
    <mergeCell ref="F5:F6"/>
    <mergeCell ref="G5:G6"/>
    <mergeCell ref="H5:H6"/>
    <mergeCell ref="I5:S5"/>
    <mergeCell ref="T5:T6"/>
    <mergeCell ref="U5:W5"/>
    <mergeCell ref="B14:E14"/>
    <mergeCell ref="B21:B22"/>
    <mergeCell ref="C21:C22"/>
    <mergeCell ref="D21:D22"/>
    <mergeCell ref="E21:E22"/>
    <mergeCell ref="F21:F22"/>
    <mergeCell ref="X5:Z5"/>
    <mergeCell ref="AC5:AC6"/>
    <mergeCell ref="AD5:AD6"/>
    <mergeCell ref="AA21:AA22"/>
    <mergeCell ref="AB21:AB22"/>
    <mergeCell ref="AC21:AC22"/>
    <mergeCell ref="AD21:AD22"/>
    <mergeCell ref="AE21:AE22"/>
    <mergeCell ref="G21:G22"/>
    <mergeCell ref="H21:H22"/>
    <mergeCell ref="I21:S21"/>
    <mergeCell ref="T21:T22"/>
    <mergeCell ref="U21:W21"/>
    <mergeCell ref="X21:Z21"/>
    <mergeCell ref="E42:E44"/>
    <mergeCell ref="F42:F44"/>
    <mergeCell ref="E45:E47"/>
    <mergeCell ref="F45:F47"/>
    <mergeCell ref="E48:E50"/>
    <mergeCell ref="F48:F50"/>
    <mergeCell ref="B29:E29"/>
    <mergeCell ref="B30:E30"/>
    <mergeCell ref="E36:E38"/>
    <mergeCell ref="F36:F38"/>
    <mergeCell ref="E39:E41"/>
    <mergeCell ref="F39:F41"/>
    <mergeCell ref="E62:E64"/>
    <mergeCell ref="F62:F64"/>
    <mergeCell ref="E65:E67"/>
    <mergeCell ref="F65:F67"/>
    <mergeCell ref="E68:E70"/>
    <mergeCell ref="F68:F70"/>
    <mergeCell ref="E51:E53"/>
    <mergeCell ref="F51:F53"/>
    <mergeCell ref="E56:E58"/>
    <mergeCell ref="F56:F58"/>
    <mergeCell ref="E59:E61"/>
    <mergeCell ref="F59:F61"/>
    <mergeCell ref="B80:B85"/>
    <mergeCell ref="B86:E86"/>
    <mergeCell ref="B87:E87"/>
    <mergeCell ref="E71:E73"/>
    <mergeCell ref="F71:F73"/>
    <mergeCell ref="B76:AE76"/>
    <mergeCell ref="B78:B79"/>
    <mergeCell ref="C78:C79"/>
    <mergeCell ref="D78:D79"/>
    <mergeCell ref="E78:E79"/>
    <mergeCell ref="F78:F79"/>
    <mergeCell ref="U78:W78"/>
    <mergeCell ref="X78:Z78"/>
    <mergeCell ref="E92:E94"/>
    <mergeCell ref="F92:F94"/>
    <mergeCell ref="E95:E97"/>
    <mergeCell ref="F95:F97"/>
    <mergeCell ref="E98:E100"/>
    <mergeCell ref="F98:F100"/>
    <mergeCell ref="AC78:AC79"/>
    <mergeCell ref="AD78:AD79"/>
    <mergeCell ref="AE78:AE79"/>
    <mergeCell ref="D117:E117"/>
    <mergeCell ref="D118:E118"/>
    <mergeCell ref="D119:E119"/>
    <mergeCell ref="D120:E120"/>
    <mergeCell ref="D121:E121"/>
    <mergeCell ref="E101:E103"/>
    <mergeCell ref="F101:F103"/>
    <mergeCell ref="E104:E106"/>
    <mergeCell ref="F104:F106"/>
    <mergeCell ref="E107:E109"/>
    <mergeCell ref="F107:F109"/>
    <mergeCell ref="D144:E144"/>
    <mergeCell ref="B7:B8"/>
    <mergeCell ref="B9:B12"/>
    <mergeCell ref="B23:B24"/>
    <mergeCell ref="B25:B28"/>
    <mergeCell ref="D138:E138"/>
    <mergeCell ref="D139:E139"/>
    <mergeCell ref="D140:E140"/>
    <mergeCell ref="D141:E141"/>
    <mergeCell ref="D142:E142"/>
    <mergeCell ref="D143:E143"/>
    <mergeCell ref="D130:E130"/>
    <mergeCell ref="D131:E131"/>
    <mergeCell ref="D132:E132"/>
    <mergeCell ref="D133:E133"/>
    <mergeCell ref="D134:E134"/>
    <mergeCell ref="D137:E137"/>
    <mergeCell ref="D122:E122"/>
    <mergeCell ref="D123:E123"/>
    <mergeCell ref="D124:E124"/>
    <mergeCell ref="D127:E127"/>
    <mergeCell ref="D128:E128"/>
    <mergeCell ref="D129:E129"/>
    <mergeCell ref="C114:U114"/>
  </mergeCells>
  <phoneticPr fontId="4" type="noConversion"/>
  <dataValidations count="3">
    <dataValidation type="list" allowBlank="1" showInputMessage="1" showErrorMessage="1" sqref="E7:E12 E23:E28">
      <formula1>$U$7:$U$12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">
      <formula1>$AH$7:$AH$12</formula1>
    </dataValidation>
  </dataValidations>
  <pageMargins left="0.62992125984251968" right="0.62992125984251968" top="0.94488188976377963" bottom="0.55118110236220474" header="0.31496062992125984" footer="0.31496062992125984"/>
  <pageSetup paperSize="9" scale="28" orientation="landscape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80" zoomScaleNormal="80" workbookViewId="0">
      <pane xSplit="4" ySplit="6" topLeftCell="M15" activePane="bottomRight" state="frozen"/>
      <selection pane="topRight" activeCell="D1" sqref="D1"/>
      <selection pane="bottomLeft" activeCell="A6" sqref="A6"/>
      <selection pane="bottomRight" sqref="A1:AR32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56.375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11.75" hidden="1" customWidth="1"/>
    <col min="44" max="44" width="3.25" customWidth="1"/>
  </cols>
  <sheetData>
    <row r="2" spans="2:52" ht="20.25" x14ac:dyDescent="0.3">
      <c r="B2" s="425" t="s">
        <v>250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342" t="s">
        <v>1</v>
      </c>
      <c r="AY2" s="342" t="s">
        <v>2</v>
      </c>
      <c r="AZ2" s="3" t="s">
        <v>3</v>
      </c>
    </row>
    <row r="3" spans="2:52" ht="45" customHeight="1" x14ac:dyDescent="0.3">
      <c r="B3" s="330" t="s">
        <v>4</v>
      </c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341" t="s">
        <v>68</v>
      </c>
      <c r="J6" s="18" t="s">
        <v>69</v>
      </c>
      <c r="K6" s="18" t="s">
        <v>71</v>
      </c>
      <c r="L6" s="18" t="s">
        <v>72</v>
      </c>
      <c r="M6" s="18" t="s">
        <v>75</v>
      </c>
      <c r="N6" s="18" t="s">
        <v>75</v>
      </c>
      <c r="O6" s="18" t="s">
        <v>75</v>
      </c>
      <c r="P6" s="18" t="s">
        <v>230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341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-61</v>
      </c>
    </row>
    <row r="7" spans="2:52" s="347" customFormat="1" ht="99" customHeight="1" thickTop="1" x14ac:dyDescent="0.3">
      <c r="B7" s="420">
        <v>6</v>
      </c>
      <c r="C7" s="24">
        <v>22</v>
      </c>
      <c r="D7" s="25" t="s">
        <v>7</v>
      </c>
      <c r="E7" s="26" t="s">
        <v>28</v>
      </c>
      <c r="F7" s="25">
        <v>11</v>
      </c>
      <c r="G7" s="128">
        <v>543</v>
      </c>
      <c r="H7" s="128">
        <f t="shared" ref="H7:H12" si="0">(G7/U7)*100</f>
        <v>93.620689655172413</v>
      </c>
      <c r="I7" s="123" t="s">
        <v>85</v>
      </c>
      <c r="J7" s="123" t="s">
        <v>86</v>
      </c>
      <c r="K7" s="123" t="s">
        <v>87</v>
      </c>
      <c r="L7" s="123"/>
      <c r="M7" s="129" t="s">
        <v>90</v>
      </c>
      <c r="N7" s="123" t="s">
        <v>74</v>
      </c>
      <c r="O7" s="123" t="s">
        <v>169</v>
      </c>
      <c r="P7" s="123" t="s">
        <v>231</v>
      </c>
      <c r="Q7" s="123" t="s">
        <v>91</v>
      </c>
      <c r="R7" s="123" t="s">
        <v>89</v>
      </c>
      <c r="S7" s="125">
        <f t="shared" ref="S7:S12" si="1">COUNTA(I7:L7)+COUNTA(M7:R7)/2</f>
        <v>6</v>
      </c>
      <c r="T7" s="27">
        <f t="shared" ref="T7:T12" si="2">F7*$D$4*$U$4</f>
        <v>726</v>
      </c>
      <c r="U7" s="28">
        <f>+H38</f>
        <v>580</v>
      </c>
      <c r="V7" s="29">
        <f t="shared" ref="V7:V12" si="3">IF(F7=0,"휴무",U7/F7)</f>
        <v>52.727272727272727</v>
      </c>
      <c r="W7" s="30">
        <f t="shared" ref="W7:W13" si="4">IFERROR(U7/T7,0)</f>
        <v>0.79889807162534432</v>
      </c>
      <c r="X7" s="31">
        <f>+K38</f>
        <v>491.49</v>
      </c>
      <c r="Y7" s="29">
        <f t="shared" ref="Y7:Y12" si="5">IF(F7=0,"휴무",X7/F7)</f>
        <v>44.68090909090909</v>
      </c>
      <c r="Z7" s="32">
        <f t="shared" ref="Z7:Z13" si="6">IFERROR(X7/T7,0)</f>
        <v>0.67698347107438017</v>
      </c>
      <c r="AA7" s="33">
        <f t="shared" ref="AA7:AA12" si="7">IF(F7=0,"휴무",U7/T7*$AA$4)</f>
        <v>39.944903581267219</v>
      </c>
      <c r="AB7" s="34">
        <f t="shared" ref="AB7:AB12" si="8">IF(F7=0,"휴무",X7/T7*$AB$4)</f>
        <v>36.861750000000001</v>
      </c>
      <c r="AC7" s="138">
        <f t="shared" ref="AC7:AC13" si="9">IF(F7=0,"휴무",AA7+AB7)</f>
        <v>76.806653581267227</v>
      </c>
      <c r="AD7" s="159" t="str">
        <f t="shared" ref="AD7:AD13" si="10">IF(F7=0,"휴무",IF(AC7&gt;=100,"좋아요",IF(AC7&gt;=90,"90~99",IF(AC7&gt;=80,"80~89"," 사유?→"))))</f>
        <v xml:space="preserve"> 사유?→</v>
      </c>
      <c r="AE7" s="160"/>
      <c r="AF7" s="37">
        <f>AG7-F7</f>
        <v>-11</v>
      </c>
      <c r="AG7" s="38">
        <f>AN7</f>
        <v>0</v>
      </c>
      <c r="AH7" s="347" t="s">
        <v>29</v>
      </c>
      <c r="AI7" s="39"/>
      <c r="AJ7" s="40">
        <f>IFERROR(Z7/W7*1000,"")</f>
        <v>847.39655172413802</v>
      </c>
      <c r="AK7" s="39"/>
      <c r="AL7" s="41"/>
      <c r="AM7" s="41"/>
      <c r="AN7" s="41"/>
      <c r="AP7" s="347">
        <f t="shared" ref="AP7:AP12" si="11">AO7-F7</f>
        <v>-11</v>
      </c>
      <c r="AQ7" s="42"/>
    </row>
    <row r="8" spans="2:52" s="347" customFormat="1" ht="99.75" customHeight="1" x14ac:dyDescent="0.3">
      <c r="B8" s="421"/>
      <c r="C8" s="24">
        <f>+C7+1</f>
        <v>23</v>
      </c>
      <c r="D8" s="43" t="s">
        <v>30</v>
      </c>
      <c r="E8" s="26" t="s">
        <v>28</v>
      </c>
      <c r="F8" s="25">
        <v>9</v>
      </c>
      <c r="G8" s="125">
        <v>197</v>
      </c>
      <c r="H8" s="125">
        <f t="shared" si="0"/>
        <v>56.936416184971094</v>
      </c>
      <c r="I8" s="123" t="s">
        <v>85</v>
      </c>
      <c r="J8" s="123" t="s">
        <v>86</v>
      </c>
      <c r="K8" s="123" t="s">
        <v>87</v>
      </c>
      <c r="L8" s="123"/>
      <c r="M8" s="129" t="s">
        <v>90</v>
      </c>
      <c r="N8" s="123" t="s">
        <v>74</v>
      </c>
      <c r="O8" s="123" t="s">
        <v>169</v>
      </c>
      <c r="P8" s="123" t="s">
        <v>231</v>
      </c>
      <c r="Q8" s="123" t="s">
        <v>91</v>
      </c>
      <c r="R8" s="123" t="s">
        <v>89</v>
      </c>
      <c r="S8" s="125">
        <f t="shared" si="1"/>
        <v>6</v>
      </c>
      <c r="T8" s="27">
        <f t="shared" si="2"/>
        <v>594</v>
      </c>
      <c r="U8" s="28">
        <f>+H41</f>
        <v>346</v>
      </c>
      <c r="V8" s="44">
        <f t="shared" si="3"/>
        <v>38.444444444444443</v>
      </c>
      <c r="W8" s="45">
        <f t="shared" si="4"/>
        <v>0.5824915824915825</v>
      </c>
      <c r="X8" s="46">
        <f>+K41</f>
        <v>704</v>
      </c>
      <c r="Y8" s="29">
        <f t="shared" si="5"/>
        <v>78.222222222222229</v>
      </c>
      <c r="Z8" s="47">
        <f t="shared" si="6"/>
        <v>1.1851851851851851</v>
      </c>
      <c r="AA8" s="48">
        <f t="shared" si="7"/>
        <v>29.124579124579125</v>
      </c>
      <c r="AB8" s="49">
        <f t="shared" si="8"/>
        <v>64.533333333333331</v>
      </c>
      <c r="AC8" s="139">
        <f t="shared" si="9"/>
        <v>93.65791245791246</v>
      </c>
      <c r="AD8" s="50" t="str">
        <f t="shared" si="10"/>
        <v>90~99</v>
      </c>
      <c r="AE8" s="36" t="s">
        <v>254</v>
      </c>
      <c r="AF8" s="37">
        <f>AG8-F8</f>
        <v>-9</v>
      </c>
      <c r="AG8" s="38">
        <f>AN8</f>
        <v>0</v>
      </c>
      <c r="AH8" s="347" t="s">
        <v>31</v>
      </c>
      <c r="AI8" s="39"/>
      <c r="AJ8" s="40">
        <f>IFERROR(Z8/W8*1000,"")</f>
        <v>2034.6820809248554</v>
      </c>
      <c r="AK8" s="39"/>
      <c r="AL8" s="41"/>
      <c r="AM8" s="41"/>
      <c r="AN8" s="41"/>
      <c r="AP8" s="347">
        <f t="shared" si="11"/>
        <v>-9</v>
      </c>
      <c r="AQ8" s="42"/>
    </row>
    <row r="9" spans="2:52" s="347" customFormat="1" ht="97.5" customHeight="1" x14ac:dyDescent="0.3">
      <c r="B9" s="421"/>
      <c r="C9" s="24">
        <f>+C8+1</f>
        <v>24</v>
      </c>
      <c r="D9" s="43" t="s">
        <v>32</v>
      </c>
      <c r="E9" s="26" t="s">
        <v>28</v>
      </c>
      <c r="F9" s="25">
        <v>11</v>
      </c>
      <c r="G9" s="125">
        <v>217</v>
      </c>
      <c r="H9" s="125">
        <f t="shared" si="0"/>
        <v>49.77064220183486</v>
      </c>
      <c r="I9" s="123" t="s">
        <v>85</v>
      </c>
      <c r="J9" s="123" t="s">
        <v>86</v>
      </c>
      <c r="K9" s="123" t="s">
        <v>87</v>
      </c>
      <c r="L9" s="123"/>
      <c r="M9" s="129" t="s">
        <v>90</v>
      </c>
      <c r="N9" s="123" t="s">
        <v>74</v>
      </c>
      <c r="O9" s="123" t="s">
        <v>169</v>
      </c>
      <c r="P9" s="123" t="s">
        <v>231</v>
      </c>
      <c r="Q9" s="123" t="s">
        <v>91</v>
      </c>
      <c r="R9" s="123" t="s">
        <v>89</v>
      </c>
      <c r="S9" s="125">
        <f t="shared" si="1"/>
        <v>6</v>
      </c>
      <c r="T9" s="27">
        <f t="shared" si="2"/>
        <v>726</v>
      </c>
      <c r="U9" s="51">
        <f>+H44</f>
        <v>436</v>
      </c>
      <c r="V9" s="44">
        <f t="shared" si="3"/>
        <v>39.636363636363633</v>
      </c>
      <c r="W9" s="45">
        <f t="shared" si="4"/>
        <v>0.60055096418732778</v>
      </c>
      <c r="X9" s="46">
        <f>+K44</f>
        <v>722.92</v>
      </c>
      <c r="Y9" s="44">
        <f t="shared" si="5"/>
        <v>65.72</v>
      </c>
      <c r="Z9" s="47">
        <f t="shared" si="6"/>
        <v>0.99575757575757573</v>
      </c>
      <c r="AA9" s="48">
        <f t="shared" si="7"/>
        <v>30.02754820936639</v>
      </c>
      <c r="AB9" s="49">
        <f t="shared" si="8"/>
        <v>54.219000000000001</v>
      </c>
      <c r="AC9" s="139">
        <f t="shared" si="9"/>
        <v>84.246548209366395</v>
      </c>
      <c r="AD9" s="50" t="str">
        <f t="shared" si="10"/>
        <v>80~89</v>
      </c>
      <c r="AE9" s="36"/>
      <c r="AF9" s="37">
        <f>AG9-F9</f>
        <v>-11</v>
      </c>
      <c r="AG9" s="38">
        <f>AN9</f>
        <v>0</v>
      </c>
      <c r="AH9" s="347" t="s">
        <v>34</v>
      </c>
      <c r="AI9" s="39"/>
      <c r="AJ9" s="40">
        <f>IFERROR(Z9/W9*1000,"")</f>
        <v>1658.0733944954129</v>
      </c>
      <c r="AK9" s="39"/>
      <c r="AL9" s="41"/>
      <c r="AM9" s="41"/>
      <c r="AN9" s="41"/>
      <c r="AP9" s="347">
        <f t="shared" si="11"/>
        <v>-11</v>
      </c>
      <c r="AQ9" s="42"/>
    </row>
    <row r="10" spans="2:52" s="347" customFormat="1" ht="95.25" customHeight="1" x14ac:dyDescent="0.3">
      <c r="B10" s="421"/>
      <c r="C10" s="24">
        <f>+C9+1</f>
        <v>25</v>
      </c>
      <c r="D10" s="43" t="s">
        <v>35</v>
      </c>
      <c r="E10" s="26" t="s">
        <v>28</v>
      </c>
      <c r="F10" s="25">
        <v>11</v>
      </c>
      <c r="G10" s="125">
        <v>308</v>
      </c>
      <c r="H10" s="125">
        <f t="shared" si="0"/>
        <v>62.601626016260155</v>
      </c>
      <c r="I10" s="123" t="s">
        <v>85</v>
      </c>
      <c r="J10" s="123" t="s">
        <v>86</v>
      </c>
      <c r="K10" s="123" t="s">
        <v>87</v>
      </c>
      <c r="L10" s="123"/>
      <c r="M10" s="129" t="s">
        <v>90</v>
      </c>
      <c r="N10" s="123" t="s">
        <v>74</v>
      </c>
      <c r="O10" s="123" t="s">
        <v>169</v>
      </c>
      <c r="P10" s="123" t="s">
        <v>231</v>
      </c>
      <c r="Q10" s="123" t="s">
        <v>91</v>
      </c>
      <c r="R10" s="123" t="s">
        <v>89</v>
      </c>
      <c r="S10" s="125">
        <f t="shared" si="1"/>
        <v>6</v>
      </c>
      <c r="T10" s="27">
        <f t="shared" si="2"/>
        <v>726</v>
      </c>
      <c r="U10" s="28">
        <f>+H47</f>
        <v>492</v>
      </c>
      <c r="V10" s="44">
        <f t="shared" si="3"/>
        <v>44.727272727272727</v>
      </c>
      <c r="W10" s="45">
        <f t="shared" si="4"/>
        <v>0.6776859504132231</v>
      </c>
      <c r="X10" s="46">
        <f>+K47</f>
        <v>645.6</v>
      </c>
      <c r="Y10" s="29">
        <f t="shared" si="5"/>
        <v>58.690909090909095</v>
      </c>
      <c r="Z10" s="47">
        <f t="shared" si="6"/>
        <v>0.88925619834710745</v>
      </c>
      <c r="AA10" s="48">
        <f t="shared" si="7"/>
        <v>33.884297520661157</v>
      </c>
      <c r="AB10" s="49">
        <f t="shared" si="8"/>
        <v>48.42</v>
      </c>
      <c r="AC10" s="139">
        <f t="shared" si="9"/>
        <v>82.304297520661152</v>
      </c>
      <c r="AD10" s="50" t="str">
        <f t="shared" si="10"/>
        <v>80~89</v>
      </c>
      <c r="AE10" s="36"/>
      <c r="AF10" s="37">
        <f>AG10-F10</f>
        <v>-11</v>
      </c>
      <c r="AG10" s="38">
        <f>AN10</f>
        <v>0</v>
      </c>
      <c r="AH10" s="347" t="s">
        <v>36</v>
      </c>
      <c r="AI10" s="39"/>
      <c r="AJ10" s="40">
        <f>IFERROR(Z10/W10*1000,"")</f>
        <v>1312.1951219512196</v>
      </c>
      <c r="AK10" s="39"/>
      <c r="AL10" s="41"/>
      <c r="AM10" s="41"/>
      <c r="AN10" s="41"/>
      <c r="AP10" s="347">
        <f t="shared" si="11"/>
        <v>-11</v>
      </c>
      <c r="AQ10" s="42"/>
    </row>
    <row r="11" spans="2:52" s="347" customFormat="1" ht="102.75" customHeight="1" x14ac:dyDescent="0.3">
      <c r="B11" s="421"/>
      <c r="C11" s="24">
        <f>+C10+1</f>
        <v>26</v>
      </c>
      <c r="D11" s="43" t="s">
        <v>37</v>
      </c>
      <c r="E11" s="26" t="s">
        <v>28</v>
      </c>
      <c r="F11" s="25">
        <v>11</v>
      </c>
      <c r="G11" s="125">
        <v>396</v>
      </c>
      <c r="H11" s="125">
        <f t="shared" si="0"/>
        <v>81.147540983606561</v>
      </c>
      <c r="I11" s="123" t="s">
        <v>85</v>
      </c>
      <c r="J11" s="123" t="s">
        <v>86</v>
      </c>
      <c r="K11" s="123" t="s">
        <v>87</v>
      </c>
      <c r="L11" s="123"/>
      <c r="M11" s="129" t="s">
        <v>90</v>
      </c>
      <c r="N11" s="123" t="s">
        <v>74</v>
      </c>
      <c r="O11" s="123" t="s">
        <v>169</v>
      </c>
      <c r="P11" s="123" t="s">
        <v>231</v>
      </c>
      <c r="Q11" s="123" t="s">
        <v>91</v>
      </c>
      <c r="R11" s="123" t="s">
        <v>89</v>
      </c>
      <c r="S11" s="125">
        <f t="shared" si="1"/>
        <v>6</v>
      </c>
      <c r="T11" s="27">
        <f t="shared" si="2"/>
        <v>726</v>
      </c>
      <c r="U11" s="28">
        <f>+H50</f>
        <v>488</v>
      </c>
      <c r="V11" s="44">
        <f t="shared" si="3"/>
        <v>44.363636363636367</v>
      </c>
      <c r="W11" s="45">
        <f t="shared" si="4"/>
        <v>0.67217630853994492</v>
      </c>
      <c r="X11" s="46">
        <f>+K50</f>
        <v>517.79999999999995</v>
      </c>
      <c r="Y11" s="44">
        <f t="shared" si="5"/>
        <v>47.072727272727271</v>
      </c>
      <c r="Z11" s="47">
        <f t="shared" si="6"/>
        <v>0.71322314049586766</v>
      </c>
      <c r="AA11" s="48">
        <f t="shared" si="7"/>
        <v>33.608815426997246</v>
      </c>
      <c r="AB11" s="49">
        <f t="shared" si="8"/>
        <v>38.834999999999994</v>
      </c>
      <c r="AC11" s="139">
        <f t="shared" si="9"/>
        <v>72.443815426997247</v>
      </c>
      <c r="AD11" s="161" t="str">
        <f t="shared" si="10"/>
        <v xml:space="preserve"> 사유?→</v>
      </c>
      <c r="AE11" s="160" t="s">
        <v>253</v>
      </c>
      <c r="AF11" s="37">
        <f>AG11-F11</f>
        <v>-11</v>
      </c>
      <c r="AG11" s="38">
        <f>AN11</f>
        <v>0</v>
      </c>
      <c r="AH11" s="347" t="s">
        <v>33</v>
      </c>
      <c r="AI11" s="39"/>
      <c r="AJ11" s="40">
        <f>IFERROR(Z11/W11*1000,"")</f>
        <v>1061.0655737704917</v>
      </c>
      <c r="AL11" s="41"/>
      <c r="AM11" s="41"/>
      <c r="AN11" s="41"/>
      <c r="AP11" s="347">
        <f t="shared" si="11"/>
        <v>-11</v>
      </c>
      <c r="AQ11" s="42"/>
    </row>
    <row r="12" spans="2:52" s="347" customFormat="1" ht="102.75" customHeight="1" x14ac:dyDescent="0.3">
      <c r="B12" s="421"/>
      <c r="C12" s="24">
        <f>+C11+1</f>
        <v>27</v>
      </c>
      <c r="D12" s="43" t="s">
        <v>38</v>
      </c>
      <c r="E12" s="26" t="s">
        <v>36</v>
      </c>
      <c r="F12" s="25">
        <v>8</v>
      </c>
      <c r="G12" s="125">
        <v>345</v>
      </c>
      <c r="H12" s="125">
        <f t="shared" si="0"/>
        <v>99.423631123919307</v>
      </c>
      <c r="I12" s="123" t="s">
        <v>85</v>
      </c>
      <c r="J12" s="123" t="s">
        <v>86</v>
      </c>
      <c r="K12" s="123" t="s">
        <v>87</v>
      </c>
      <c r="L12" s="123"/>
      <c r="M12" s="129"/>
      <c r="N12" s="123" t="s">
        <v>74</v>
      </c>
      <c r="O12" s="123" t="s">
        <v>169</v>
      </c>
      <c r="P12" s="123" t="s">
        <v>231</v>
      </c>
      <c r="Q12" s="123" t="s">
        <v>91</v>
      </c>
      <c r="R12" s="123" t="s">
        <v>89</v>
      </c>
      <c r="S12" s="125">
        <f t="shared" si="1"/>
        <v>5.5</v>
      </c>
      <c r="T12" s="340">
        <f t="shared" si="2"/>
        <v>528</v>
      </c>
      <c r="U12" s="28">
        <f>+H53</f>
        <v>347</v>
      </c>
      <c r="V12" s="29">
        <f t="shared" si="3"/>
        <v>43.375</v>
      </c>
      <c r="W12" s="30">
        <f t="shared" si="4"/>
        <v>0.65719696969696972</v>
      </c>
      <c r="X12" s="31">
        <f>+K53</f>
        <v>263.57</v>
      </c>
      <c r="Y12" s="44">
        <f t="shared" si="5"/>
        <v>32.946249999999999</v>
      </c>
      <c r="Z12" s="47">
        <f t="shared" si="6"/>
        <v>0.49918560606060602</v>
      </c>
      <c r="AA12" s="48">
        <f t="shared" si="7"/>
        <v>32.859848484848484</v>
      </c>
      <c r="AB12" s="49">
        <f t="shared" si="8"/>
        <v>27.180656249999998</v>
      </c>
      <c r="AC12" s="139">
        <f t="shared" si="9"/>
        <v>60.040504734848483</v>
      </c>
      <c r="AD12" s="161" t="str">
        <f t="shared" si="10"/>
        <v xml:space="preserve"> 사유?→</v>
      </c>
      <c r="AE12" s="160" t="s">
        <v>255</v>
      </c>
      <c r="AF12" s="37"/>
      <c r="AG12" s="38"/>
      <c r="AI12" s="39"/>
      <c r="AJ12" s="40"/>
      <c r="AL12" s="41"/>
      <c r="AM12" s="41"/>
      <c r="AN12" s="41"/>
      <c r="AP12" s="347">
        <f t="shared" si="11"/>
        <v>-8</v>
      </c>
      <c r="AQ12" s="42"/>
    </row>
    <row r="13" spans="2:52" s="347" customFormat="1" ht="36" customHeight="1" x14ac:dyDescent="0.3">
      <c r="B13" s="422" t="s">
        <v>39</v>
      </c>
      <c r="C13" s="423"/>
      <c r="D13" s="423"/>
      <c r="E13" s="424"/>
      <c r="F13" s="43">
        <f>SUM(F7:F12)</f>
        <v>61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>COUNTA(I13:M13)+COUNTA(N13:R13)/2</f>
        <v>0</v>
      </c>
      <c r="T13" s="52">
        <f>SUM(T7:T12)</f>
        <v>4026</v>
      </c>
      <c r="U13" s="53">
        <f>SUM(U7:U12)</f>
        <v>2689</v>
      </c>
      <c r="V13" s="54">
        <f>U13/F13</f>
        <v>44.081967213114751</v>
      </c>
      <c r="W13" s="45">
        <f t="shared" si="4"/>
        <v>0.66790859413810233</v>
      </c>
      <c r="X13" s="55">
        <f>SUM(X7:X12)</f>
        <v>3345.3799999999997</v>
      </c>
      <c r="Y13" s="44">
        <f>X13/F13</f>
        <v>54.842295081967208</v>
      </c>
      <c r="Z13" s="47">
        <f t="shared" si="6"/>
        <v>0.83094386487829097</v>
      </c>
      <c r="AA13" s="56">
        <f>U13/T13*AA4</f>
        <v>33.395429706905119</v>
      </c>
      <c r="AB13" s="57">
        <f>X13/T13*AB4</f>
        <v>45.244893442622946</v>
      </c>
      <c r="AC13" s="140">
        <f t="shared" si="9"/>
        <v>78.640323149528058</v>
      </c>
      <c r="AD13" s="162" t="str">
        <f t="shared" si="10"/>
        <v xml:space="preserve"> 사유?→</v>
      </c>
      <c r="AE13" s="43"/>
      <c r="AF13" s="37">
        <f>AG13-F13</f>
        <v>-61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10.166666666666666</v>
      </c>
      <c r="G14" s="344"/>
      <c r="H14" s="344"/>
      <c r="I14" s="344"/>
      <c r="J14" s="344"/>
      <c r="K14" s="344"/>
      <c r="L14" s="344"/>
      <c r="M14" s="344"/>
      <c r="N14" s="344"/>
      <c r="O14" s="344"/>
      <c r="P14" s="344"/>
      <c r="Q14" s="344"/>
      <c r="R14" s="344"/>
      <c r="S14" s="344"/>
      <c r="T14" s="344"/>
      <c r="U14" s="61">
        <f>V14*F14</f>
        <v>448.16666666666663</v>
      </c>
      <c r="V14" s="62">
        <f>U13/F13</f>
        <v>44.081967213114751</v>
      </c>
      <c r="W14" s="63">
        <f>IFERROR(U14/#REF!,0)</f>
        <v>0</v>
      </c>
      <c r="X14" s="64">
        <f>X13/F13*F14</f>
        <v>557.56333333333328</v>
      </c>
      <c r="Y14" s="62">
        <f>IF(F14=0,"휴무",X14/F14)</f>
        <v>54.842295081967208</v>
      </c>
      <c r="Z14" s="65">
        <f>IFERROR(X14/#REF!,0)</f>
        <v>0</v>
      </c>
      <c r="AA14" s="60">
        <f>AVERAGE(AA7:AA12)</f>
        <v>33.241665391286602</v>
      </c>
      <c r="AB14" s="60">
        <f>AVERAGE(AB7:AB12)</f>
        <v>45.008289930555556</v>
      </c>
      <c r="AC14" s="141">
        <f>AA14+AB14</f>
        <v>78.249955321842151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347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330" t="s">
        <v>44</v>
      </c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341" t="s">
        <v>68</v>
      </c>
      <c r="J22" s="18" t="s">
        <v>69</v>
      </c>
      <c r="K22" s="18" t="s">
        <v>71</v>
      </c>
      <c r="L22" s="18" t="s">
        <v>72</v>
      </c>
      <c r="M22" s="18" t="s">
        <v>75</v>
      </c>
      <c r="N22" s="18" t="s">
        <v>75</v>
      </c>
      <c r="O22" s="18" t="s">
        <v>75</v>
      </c>
      <c r="P22" s="18" t="s">
        <v>230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-61.83</v>
      </c>
    </row>
    <row r="23" spans="2:43" s="347" customFormat="1" ht="99" customHeight="1" thickTop="1" x14ac:dyDescent="0.3">
      <c r="B23" s="420">
        <f>+B7</f>
        <v>6</v>
      </c>
      <c r="C23" s="24">
        <f t="shared" ref="C23:C28" si="12">+C7</f>
        <v>22</v>
      </c>
      <c r="D23" s="25" t="s">
        <v>7</v>
      </c>
      <c r="E23" s="26" t="s">
        <v>28</v>
      </c>
      <c r="F23" s="25">
        <v>9.83</v>
      </c>
      <c r="G23" s="128">
        <v>415</v>
      </c>
      <c r="H23" s="128">
        <f t="shared" ref="H23:H28" si="13">(G23/U23)*100</f>
        <v>84.867075664621666</v>
      </c>
      <c r="I23" s="123" t="s">
        <v>78</v>
      </c>
      <c r="J23" s="123" t="s">
        <v>88</v>
      </c>
      <c r="K23" s="123" t="s">
        <v>99</v>
      </c>
      <c r="L23" s="123"/>
      <c r="M23" s="129" t="s">
        <v>90</v>
      </c>
      <c r="N23" s="123" t="s">
        <v>74</v>
      </c>
      <c r="O23" s="123" t="s">
        <v>169</v>
      </c>
      <c r="P23" s="123" t="s">
        <v>92</v>
      </c>
      <c r="Q23" s="123" t="s">
        <v>91</v>
      </c>
      <c r="R23" s="123" t="s">
        <v>89</v>
      </c>
      <c r="S23" s="124">
        <f t="shared" ref="S23:S28" si="14">COUNTA(I23:L23)+COUNTA(M23:R23)/2</f>
        <v>6</v>
      </c>
      <c r="T23" s="27">
        <f t="shared" ref="T23:T28" si="15">F23*$D$4*$U$4</f>
        <v>648.78</v>
      </c>
      <c r="U23" s="28">
        <f>+H58</f>
        <v>489</v>
      </c>
      <c r="V23" s="29">
        <f t="shared" ref="V23:V28" si="16">IF(F23=0,"휴무",U23/F23)</f>
        <v>49.745676500508644</v>
      </c>
      <c r="W23" s="30">
        <f t="shared" ref="W23:W29" si="17">IFERROR(U23/T23,0)</f>
        <v>0.75372237121982799</v>
      </c>
      <c r="X23" s="31">
        <f>+K58</f>
        <v>426.17000000000007</v>
      </c>
      <c r="Y23" s="29">
        <f t="shared" ref="Y23:Y28" si="18">IF(F23=0,"휴무",X23/F23)</f>
        <v>43.354018311291973</v>
      </c>
      <c r="Z23" s="32">
        <f t="shared" ref="Z23:Z29" si="19">IFERROR(X23/T23,0)</f>
        <v>0.65687906532260565</v>
      </c>
      <c r="AA23" s="33">
        <f t="shared" ref="AA23:AA28" si="20">IF(F23=0,"휴무",U23/T23*$AA$4)</f>
        <v>37.686118560991403</v>
      </c>
      <c r="AB23" s="34">
        <f t="shared" ref="AB23:AB28" si="21">IF(F23=0,"휴무",X23/T23*$AB$4)</f>
        <v>35.767065106815878</v>
      </c>
      <c r="AC23" s="138">
        <f t="shared" ref="AC23:AC29" si="22">IF(F23=0,"휴무",AA23+AB23)</f>
        <v>73.453183667807281</v>
      </c>
      <c r="AD23" s="159" t="str">
        <f t="shared" ref="AD23:AD29" si="23">IF(F23=0,"휴무",IF(AC23&gt;=100,"좋아요",IF(AC23&gt;=90,"90~99",IF(AC23&gt;=80,"80~89"," 사유?→"))))</f>
        <v xml:space="preserve"> 사유?→</v>
      </c>
      <c r="AE23" s="160" t="s">
        <v>251</v>
      </c>
      <c r="AF23" s="37">
        <f>AG23-F23</f>
        <v>-9.83</v>
      </c>
      <c r="AG23" s="38">
        <f>AN23</f>
        <v>0</v>
      </c>
      <c r="AH23" s="347" t="s">
        <v>29</v>
      </c>
      <c r="AI23" s="39"/>
      <c r="AJ23" s="40">
        <f>IFERROR(Z23/W23*1000,"")</f>
        <v>871.51329243353803</v>
      </c>
      <c r="AK23" s="39"/>
      <c r="AL23" s="41"/>
      <c r="AM23" s="41"/>
      <c r="AN23" s="41"/>
      <c r="AP23" s="347">
        <f t="shared" ref="AP23:AP28" si="24">AO23-F23</f>
        <v>-9.83</v>
      </c>
      <c r="AQ23" s="42"/>
    </row>
    <row r="24" spans="2:43" s="347" customFormat="1" ht="99.75" customHeight="1" x14ac:dyDescent="0.3">
      <c r="B24" s="421"/>
      <c r="C24" s="24">
        <f t="shared" si="12"/>
        <v>23</v>
      </c>
      <c r="D24" s="43" t="s">
        <v>30</v>
      </c>
      <c r="E24" s="26" t="s">
        <v>28</v>
      </c>
      <c r="F24" s="25">
        <v>11</v>
      </c>
      <c r="G24" s="125">
        <v>683</v>
      </c>
      <c r="H24" s="125">
        <f t="shared" si="13"/>
        <v>99.708029197080293</v>
      </c>
      <c r="I24" s="123" t="s">
        <v>78</v>
      </c>
      <c r="J24" s="123" t="s">
        <v>88</v>
      </c>
      <c r="K24" s="123" t="s">
        <v>84</v>
      </c>
      <c r="L24" s="123"/>
      <c r="M24" s="129" t="s">
        <v>90</v>
      </c>
      <c r="N24" s="123" t="s">
        <v>74</v>
      </c>
      <c r="O24" s="123" t="s">
        <v>169</v>
      </c>
      <c r="P24" s="123" t="s">
        <v>92</v>
      </c>
      <c r="Q24" s="123" t="s">
        <v>91</v>
      </c>
      <c r="R24" s="123" t="s">
        <v>89</v>
      </c>
      <c r="S24" s="124">
        <f t="shared" si="14"/>
        <v>6</v>
      </c>
      <c r="T24" s="27">
        <f t="shared" si="15"/>
        <v>726</v>
      </c>
      <c r="U24" s="28">
        <f>+H61</f>
        <v>685</v>
      </c>
      <c r="V24" s="44">
        <f t="shared" si="16"/>
        <v>62.272727272727273</v>
      </c>
      <c r="W24" s="45">
        <f t="shared" si="17"/>
        <v>0.94352617079889811</v>
      </c>
      <c r="X24" s="46">
        <f>+K61</f>
        <v>557.27</v>
      </c>
      <c r="Y24" s="29">
        <f t="shared" si="18"/>
        <v>50.660909090909087</v>
      </c>
      <c r="Z24" s="47">
        <f t="shared" si="19"/>
        <v>0.76758953168044075</v>
      </c>
      <c r="AA24" s="48">
        <f t="shared" si="20"/>
        <v>47.176308539944905</v>
      </c>
      <c r="AB24" s="49">
        <f t="shared" si="21"/>
        <v>41.795250000000003</v>
      </c>
      <c r="AC24" s="139">
        <f t="shared" si="22"/>
        <v>88.971558539944908</v>
      </c>
      <c r="AD24" s="80" t="str">
        <f t="shared" si="23"/>
        <v>80~89</v>
      </c>
      <c r="AE24" s="36"/>
      <c r="AF24" s="37">
        <f>AG24-F24</f>
        <v>-11</v>
      </c>
      <c r="AG24" s="38">
        <f>AN24</f>
        <v>0</v>
      </c>
      <c r="AH24" s="347" t="s">
        <v>34</v>
      </c>
      <c r="AI24" s="39"/>
      <c r="AJ24" s="40">
        <f>IFERROR(Z24/W24*1000,"")</f>
        <v>813.53284671532845</v>
      </c>
      <c r="AK24" s="39"/>
      <c r="AL24" s="41"/>
      <c r="AM24" s="41"/>
      <c r="AN24" s="41"/>
      <c r="AP24" s="347">
        <f t="shared" si="24"/>
        <v>-11</v>
      </c>
      <c r="AQ24" s="42"/>
    </row>
    <row r="25" spans="2:43" s="347" customFormat="1" ht="97.5" customHeight="1" x14ac:dyDescent="0.3">
      <c r="B25" s="421"/>
      <c r="C25" s="24">
        <f t="shared" si="12"/>
        <v>24</v>
      </c>
      <c r="D25" s="43" t="s">
        <v>32</v>
      </c>
      <c r="E25" s="26" t="s">
        <v>28</v>
      </c>
      <c r="F25" s="25">
        <v>11</v>
      </c>
      <c r="G25" s="124">
        <v>465</v>
      </c>
      <c r="H25" s="124">
        <f t="shared" si="13"/>
        <v>98.101265822784811</v>
      </c>
      <c r="I25" s="123" t="s">
        <v>78</v>
      </c>
      <c r="J25" s="123" t="s">
        <v>88</v>
      </c>
      <c r="K25" s="123" t="s">
        <v>99</v>
      </c>
      <c r="L25" s="123"/>
      <c r="M25" s="129" t="s">
        <v>90</v>
      </c>
      <c r="N25" s="123" t="s">
        <v>74</v>
      </c>
      <c r="O25" s="123" t="s">
        <v>169</v>
      </c>
      <c r="P25" s="123" t="s">
        <v>92</v>
      </c>
      <c r="Q25" s="123" t="s">
        <v>91</v>
      </c>
      <c r="R25" s="123" t="s">
        <v>89</v>
      </c>
      <c r="S25" s="124">
        <f t="shared" si="14"/>
        <v>6</v>
      </c>
      <c r="T25" s="27">
        <f t="shared" si="15"/>
        <v>726</v>
      </c>
      <c r="U25" s="28">
        <f>+H64</f>
        <v>474</v>
      </c>
      <c r="V25" s="44">
        <f t="shared" si="16"/>
        <v>43.090909090909093</v>
      </c>
      <c r="W25" s="45">
        <f t="shared" si="17"/>
        <v>0.65289256198347112</v>
      </c>
      <c r="X25" s="46">
        <f>+K64</f>
        <v>541.50999999999988</v>
      </c>
      <c r="Y25" s="29">
        <f t="shared" si="18"/>
        <v>49.22818181818181</v>
      </c>
      <c r="Z25" s="47">
        <f t="shared" si="19"/>
        <v>0.7458815426997244</v>
      </c>
      <c r="AA25" s="48">
        <f t="shared" si="20"/>
        <v>32.644628099173559</v>
      </c>
      <c r="AB25" s="49">
        <f t="shared" si="21"/>
        <v>40.613249999999994</v>
      </c>
      <c r="AC25" s="139">
        <f t="shared" si="22"/>
        <v>73.257878099173553</v>
      </c>
      <c r="AD25" s="161" t="str">
        <f t="shared" si="23"/>
        <v xml:space="preserve"> 사유?→</v>
      </c>
      <c r="AE25" s="160" t="s">
        <v>256</v>
      </c>
      <c r="AF25" s="37">
        <f>AG25-F25</f>
        <v>-11</v>
      </c>
      <c r="AG25" s="38">
        <f>AN25</f>
        <v>0</v>
      </c>
      <c r="AH25" s="347" t="s">
        <v>36</v>
      </c>
      <c r="AI25" s="39"/>
      <c r="AJ25" s="40">
        <f>IFERROR(Z25/W25*1000,"")</f>
        <v>1142.4261603375526</v>
      </c>
      <c r="AK25" s="39"/>
      <c r="AL25" s="41"/>
      <c r="AM25" s="41"/>
      <c r="AN25" s="41"/>
      <c r="AP25" s="347">
        <f t="shared" si="24"/>
        <v>-11</v>
      </c>
      <c r="AQ25" s="42"/>
    </row>
    <row r="26" spans="2:43" s="347" customFormat="1" ht="115.5" customHeight="1" x14ac:dyDescent="0.3">
      <c r="B26" s="421"/>
      <c r="C26" s="24">
        <f t="shared" si="12"/>
        <v>25</v>
      </c>
      <c r="D26" s="43" t="s">
        <v>35</v>
      </c>
      <c r="E26" s="26" t="s">
        <v>28</v>
      </c>
      <c r="F26" s="25">
        <v>11</v>
      </c>
      <c r="G26" s="124">
        <v>457</v>
      </c>
      <c r="H26" s="124">
        <f t="shared" si="13"/>
        <v>99.132321041214752</v>
      </c>
      <c r="I26" s="123" t="s">
        <v>78</v>
      </c>
      <c r="J26" s="123" t="s">
        <v>88</v>
      </c>
      <c r="K26" s="123" t="s">
        <v>99</v>
      </c>
      <c r="L26" s="123"/>
      <c r="M26" s="129" t="s">
        <v>90</v>
      </c>
      <c r="N26" s="123" t="s">
        <v>74</v>
      </c>
      <c r="O26" s="123" t="s">
        <v>169</v>
      </c>
      <c r="P26" s="123" t="s">
        <v>92</v>
      </c>
      <c r="Q26" s="123" t="s">
        <v>91</v>
      </c>
      <c r="R26" s="123" t="s">
        <v>89</v>
      </c>
      <c r="S26" s="124">
        <f t="shared" si="14"/>
        <v>6</v>
      </c>
      <c r="T26" s="27">
        <f t="shared" si="15"/>
        <v>726</v>
      </c>
      <c r="U26" s="28">
        <f>+H67</f>
        <v>461</v>
      </c>
      <c r="V26" s="44">
        <f t="shared" si="16"/>
        <v>41.909090909090907</v>
      </c>
      <c r="W26" s="45">
        <f t="shared" si="17"/>
        <v>0.63498622589531684</v>
      </c>
      <c r="X26" s="46">
        <f>+K67</f>
        <v>540.38</v>
      </c>
      <c r="Y26" s="44">
        <f t="shared" si="18"/>
        <v>49.125454545454545</v>
      </c>
      <c r="Z26" s="47">
        <f t="shared" si="19"/>
        <v>0.74432506887052341</v>
      </c>
      <c r="AA26" s="48">
        <f t="shared" si="20"/>
        <v>31.749311294765842</v>
      </c>
      <c r="AB26" s="49">
        <f t="shared" si="21"/>
        <v>40.528500000000001</v>
      </c>
      <c r="AC26" s="139">
        <f t="shared" si="22"/>
        <v>72.27781129476584</v>
      </c>
      <c r="AD26" s="161" t="str">
        <f t="shared" si="23"/>
        <v xml:space="preserve"> 사유?→</v>
      </c>
      <c r="AE26" s="160" t="s">
        <v>252</v>
      </c>
      <c r="AF26" s="37">
        <f>AG26-F26</f>
        <v>-11</v>
      </c>
      <c r="AG26" s="38">
        <f>AN26</f>
        <v>0</v>
      </c>
      <c r="AH26" s="347" t="s">
        <v>33</v>
      </c>
      <c r="AI26" s="39"/>
      <c r="AJ26" s="40">
        <f>IFERROR(Z26/W26*1000,"")</f>
        <v>1172.1908893709328</v>
      </c>
      <c r="AK26" s="39"/>
      <c r="AL26" s="41"/>
      <c r="AM26" s="41"/>
      <c r="AN26" s="41"/>
      <c r="AP26" s="347">
        <f t="shared" si="24"/>
        <v>-11</v>
      </c>
      <c r="AQ26" s="42"/>
    </row>
    <row r="27" spans="2:43" s="347" customFormat="1" ht="104.25" customHeight="1" x14ac:dyDescent="0.3">
      <c r="B27" s="421"/>
      <c r="C27" s="24">
        <f t="shared" si="12"/>
        <v>26</v>
      </c>
      <c r="D27" s="43" t="s">
        <v>37</v>
      </c>
      <c r="E27" s="26" t="s">
        <v>28</v>
      </c>
      <c r="F27" s="25">
        <v>11</v>
      </c>
      <c r="G27" s="125">
        <v>593</v>
      </c>
      <c r="H27" s="130">
        <f t="shared" si="13"/>
        <v>95.337620578778143</v>
      </c>
      <c r="I27" s="123" t="s">
        <v>78</v>
      </c>
      <c r="J27" s="123" t="s">
        <v>88</v>
      </c>
      <c r="K27" s="123" t="s">
        <v>99</v>
      </c>
      <c r="L27" s="123"/>
      <c r="M27" s="129" t="s">
        <v>90</v>
      </c>
      <c r="N27" s="123" t="s">
        <v>74</v>
      </c>
      <c r="O27" s="123" t="s">
        <v>169</v>
      </c>
      <c r="P27" s="123" t="s">
        <v>92</v>
      </c>
      <c r="Q27" s="123" t="s">
        <v>91</v>
      </c>
      <c r="R27" s="123" t="s">
        <v>89</v>
      </c>
      <c r="S27" s="125">
        <f t="shared" si="14"/>
        <v>6</v>
      </c>
      <c r="T27" s="27">
        <f t="shared" si="15"/>
        <v>726</v>
      </c>
      <c r="U27" s="28">
        <f>+H70</f>
        <v>622</v>
      </c>
      <c r="V27" s="44">
        <f t="shared" si="16"/>
        <v>56.545454545454547</v>
      </c>
      <c r="W27" s="45">
        <f t="shared" si="17"/>
        <v>0.85674931129476584</v>
      </c>
      <c r="X27" s="46">
        <f>+K70</f>
        <v>575.23</v>
      </c>
      <c r="Y27" s="44">
        <f t="shared" si="18"/>
        <v>52.293636363636367</v>
      </c>
      <c r="Z27" s="47">
        <f t="shared" si="19"/>
        <v>0.79232782369146004</v>
      </c>
      <c r="AA27" s="48">
        <f t="shared" si="20"/>
        <v>42.837465564738295</v>
      </c>
      <c r="AB27" s="49">
        <f t="shared" si="21"/>
        <v>43.142250000000004</v>
      </c>
      <c r="AC27" s="139">
        <f t="shared" si="22"/>
        <v>85.979715564738299</v>
      </c>
      <c r="AD27" s="50" t="str">
        <f t="shared" si="23"/>
        <v>80~89</v>
      </c>
      <c r="AE27" s="36"/>
      <c r="AF27" s="37">
        <f>AG27-F27</f>
        <v>-11</v>
      </c>
      <c r="AG27" s="38">
        <f>AN27</f>
        <v>0</v>
      </c>
      <c r="AH27" s="347" t="s">
        <v>46</v>
      </c>
      <c r="AI27" s="39"/>
      <c r="AJ27" s="40">
        <f>IFERROR(Z27/W27*1000,"")</f>
        <v>924.80707395498393</v>
      </c>
      <c r="AL27" s="41"/>
      <c r="AM27" s="41"/>
      <c r="AN27" s="41"/>
      <c r="AP27" s="347">
        <f t="shared" si="24"/>
        <v>-11</v>
      </c>
      <c r="AQ27" s="42"/>
    </row>
    <row r="28" spans="2:43" s="347" customFormat="1" ht="104.25" customHeight="1" x14ac:dyDescent="0.3">
      <c r="B28" s="421"/>
      <c r="C28" s="24">
        <f t="shared" si="12"/>
        <v>27</v>
      </c>
      <c r="D28" s="43" t="s">
        <v>47</v>
      </c>
      <c r="E28" s="26" t="s">
        <v>36</v>
      </c>
      <c r="F28" s="25">
        <v>8</v>
      </c>
      <c r="G28" s="124">
        <v>488</v>
      </c>
      <c r="H28" s="124">
        <f t="shared" si="13"/>
        <v>95.686274509803923</v>
      </c>
      <c r="I28" s="123" t="s">
        <v>78</v>
      </c>
      <c r="J28" s="123" t="s">
        <v>88</v>
      </c>
      <c r="K28" s="123" t="s">
        <v>84</v>
      </c>
      <c r="L28" s="123"/>
      <c r="M28" s="129"/>
      <c r="N28" s="123" t="s">
        <v>74</v>
      </c>
      <c r="O28" s="123"/>
      <c r="P28" s="123" t="s">
        <v>92</v>
      </c>
      <c r="Q28" s="123" t="s">
        <v>91</v>
      </c>
      <c r="R28" s="123" t="s">
        <v>89</v>
      </c>
      <c r="S28" s="124">
        <f t="shared" si="14"/>
        <v>5</v>
      </c>
      <c r="T28" s="340">
        <f t="shared" si="15"/>
        <v>528</v>
      </c>
      <c r="U28" s="28">
        <f>+H73</f>
        <v>510</v>
      </c>
      <c r="V28" s="29">
        <f t="shared" si="16"/>
        <v>63.75</v>
      </c>
      <c r="W28" s="30">
        <f t="shared" si="17"/>
        <v>0.96590909090909094</v>
      </c>
      <c r="X28" s="31">
        <f>+K73</f>
        <v>451.52</v>
      </c>
      <c r="Y28" s="44">
        <f t="shared" si="18"/>
        <v>56.44</v>
      </c>
      <c r="Z28" s="47">
        <f t="shared" si="19"/>
        <v>0.85515151515151511</v>
      </c>
      <c r="AA28" s="48">
        <f t="shared" si="20"/>
        <v>48.295454545454547</v>
      </c>
      <c r="AB28" s="49">
        <f t="shared" si="21"/>
        <v>46.563000000000002</v>
      </c>
      <c r="AC28" s="139">
        <f t="shared" si="22"/>
        <v>94.858454545454549</v>
      </c>
      <c r="AD28" s="50" t="str">
        <f t="shared" si="23"/>
        <v>90~99</v>
      </c>
      <c r="AE28" s="36"/>
      <c r="AF28" s="37"/>
      <c r="AG28" s="38"/>
      <c r="AI28" s="39"/>
      <c r="AJ28" s="40"/>
      <c r="AL28" s="41"/>
      <c r="AM28" s="41"/>
      <c r="AN28" s="41"/>
      <c r="AP28" s="347">
        <f t="shared" si="24"/>
        <v>-8</v>
      </c>
      <c r="AQ28" s="42"/>
    </row>
    <row r="29" spans="2:43" s="347" customFormat="1" ht="36" customHeight="1" x14ac:dyDescent="0.3">
      <c r="B29" s="422" t="s">
        <v>39</v>
      </c>
      <c r="C29" s="423"/>
      <c r="D29" s="423"/>
      <c r="E29" s="424"/>
      <c r="F29" s="43">
        <f>SUM(F23:F28)</f>
        <v>61.83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4080.7799999999997</v>
      </c>
      <c r="U29" s="53">
        <f>SUM(U23:U28)</f>
        <v>3241</v>
      </c>
      <c r="V29" s="54">
        <f>U29/F29</f>
        <v>52.417920103509623</v>
      </c>
      <c r="W29" s="45">
        <f t="shared" si="17"/>
        <v>0.79421091065923677</v>
      </c>
      <c r="X29" s="55">
        <f>SUM(X23:X28)</f>
        <v>3092.08</v>
      </c>
      <c r="Y29" s="44">
        <f>X29/F29</f>
        <v>50.009380559598902</v>
      </c>
      <c r="Z29" s="47">
        <f t="shared" si="19"/>
        <v>0.75771788726665001</v>
      </c>
      <c r="AA29" s="56">
        <f>U29/T29*AA20</f>
        <v>39.710545532961838</v>
      </c>
      <c r="AB29" s="57">
        <f>X29/T29*AB20</f>
        <v>41.257738961669098</v>
      </c>
      <c r="AC29" s="140">
        <f t="shared" si="22"/>
        <v>80.968284494630936</v>
      </c>
      <c r="AD29" s="58" t="str">
        <f t="shared" si="23"/>
        <v>80~89</v>
      </c>
      <c r="AE29" s="43"/>
      <c r="AF29" s="37">
        <f>AG29-F29</f>
        <v>-61.83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10.305</v>
      </c>
      <c r="G30" s="344"/>
      <c r="H30" s="344"/>
      <c r="I30" s="344"/>
      <c r="J30" s="344"/>
      <c r="K30" s="344"/>
      <c r="L30" s="344"/>
      <c r="M30" s="344"/>
      <c r="N30" s="344"/>
      <c r="O30" s="344"/>
      <c r="P30" s="344"/>
      <c r="Q30" s="344"/>
      <c r="R30" s="344"/>
      <c r="S30" s="344"/>
      <c r="T30" s="344"/>
      <c r="U30" s="61">
        <f>V30*F30</f>
        <v>540.16666666666663</v>
      </c>
      <c r="V30" s="62">
        <f>U29/F29</f>
        <v>52.417920103509623</v>
      </c>
      <c r="W30" s="63">
        <f>IFERROR(U30/#REF!,0)</f>
        <v>0</v>
      </c>
      <c r="X30" s="64">
        <f>X29/F29*F30</f>
        <v>515.34666666666669</v>
      </c>
      <c r="Y30" s="62">
        <f>IF(F30=0,"휴무",X30/F30)</f>
        <v>50.009380559598902</v>
      </c>
      <c r="Z30" s="65">
        <f>IFERROR(X30/#REF!,0)</f>
        <v>0</v>
      </c>
      <c r="AA30" s="60">
        <f>AVERAGE(AA23:AA28)</f>
        <v>40.064881100844758</v>
      </c>
      <c r="AB30" s="60">
        <f>AVERAGE(AB23:AB28)</f>
        <v>41.401552517802649</v>
      </c>
      <c r="AC30" s="141">
        <f>AA30+AB30</f>
        <v>81.466433618647415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347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22</v>
      </c>
      <c r="F36" s="455" t="s">
        <v>7</v>
      </c>
      <c r="G36" s="82" t="s">
        <v>48</v>
      </c>
      <c r="H36" s="83">
        <v>580</v>
      </c>
      <c r="I36" s="84"/>
      <c r="J36" s="85"/>
      <c r="K36" s="86">
        <v>491.49</v>
      </c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580</v>
      </c>
      <c r="I38" s="88"/>
      <c r="J38" s="89"/>
      <c r="K38" s="90">
        <f>+K36+K37*2</f>
        <v>491.49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23</v>
      </c>
      <c r="F39" s="455" t="s">
        <v>52</v>
      </c>
      <c r="G39" s="82" t="s">
        <v>48</v>
      </c>
      <c r="H39" s="83">
        <v>60</v>
      </c>
      <c r="I39" s="84"/>
      <c r="J39" s="85"/>
      <c r="K39" s="86">
        <v>45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>
        <v>143</v>
      </c>
      <c r="I40" s="84"/>
      <c r="J40" s="85"/>
      <c r="K40" s="86">
        <v>329.5</v>
      </c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346</v>
      </c>
      <c r="I41" s="88"/>
      <c r="J41" s="89"/>
      <c r="K41" s="90">
        <f>+K39+K40*2</f>
        <v>704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24</v>
      </c>
      <c r="F42" s="455" t="s">
        <v>53</v>
      </c>
      <c r="G42" s="82" t="s">
        <v>48</v>
      </c>
      <c r="H42" s="83"/>
      <c r="I42" s="84"/>
      <c r="J42" s="85"/>
      <c r="K42" s="86"/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>
        <v>218</v>
      </c>
      <c r="I43" s="84"/>
      <c r="J43" s="85"/>
      <c r="K43" s="86">
        <v>361.46</v>
      </c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436</v>
      </c>
      <c r="I44" s="88"/>
      <c r="J44" s="89"/>
      <c r="K44" s="90">
        <f>+K42+K43*2</f>
        <v>722.92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25</v>
      </c>
      <c r="F45" s="455" t="s">
        <v>55</v>
      </c>
      <c r="G45" s="82" t="s">
        <v>48</v>
      </c>
      <c r="H45" s="83">
        <v>128</v>
      </c>
      <c r="I45" s="84"/>
      <c r="J45" s="85"/>
      <c r="K45" s="86">
        <v>124.98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>
        <v>182</v>
      </c>
      <c r="I46" s="84"/>
      <c r="J46" s="85"/>
      <c r="K46" s="86">
        <v>260.31</v>
      </c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492</v>
      </c>
      <c r="I47" s="88"/>
      <c r="J47" s="89"/>
      <c r="K47" s="90">
        <f>+K45+K46*2</f>
        <v>645.6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26</v>
      </c>
      <c r="F48" s="455" t="s">
        <v>56</v>
      </c>
      <c r="G48" s="82" t="s">
        <v>48</v>
      </c>
      <c r="H48" s="83">
        <v>308</v>
      </c>
      <c r="I48" s="84"/>
      <c r="J48" s="85"/>
      <c r="K48" s="86">
        <v>261.89999999999998</v>
      </c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>
        <v>90</v>
      </c>
      <c r="I49" s="84"/>
      <c r="J49" s="85"/>
      <c r="K49" s="86">
        <v>127.95</v>
      </c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488</v>
      </c>
      <c r="I50" s="88"/>
      <c r="J50" s="89"/>
      <c r="K50" s="90">
        <f>+K48+K49*2</f>
        <v>517.79999999999995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27</v>
      </c>
      <c r="F51" s="455" t="s">
        <v>38</v>
      </c>
      <c r="G51" s="82" t="s">
        <v>48</v>
      </c>
      <c r="H51" s="83">
        <v>347</v>
      </c>
      <c r="I51" s="84"/>
      <c r="J51" s="85"/>
      <c r="K51" s="86">
        <v>263.57</v>
      </c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347</v>
      </c>
      <c r="I53" s="88"/>
      <c r="J53" s="89"/>
      <c r="K53" s="90">
        <f>+K51+K52*2</f>
        <v>263.57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22</v>
      </c>
      <c r="F56" s="455" t="s">
        <v>7</v>
      </c>
      <c r="G56" s="82" t="s">
        <v>48</v>
      </c>
      <c r="H56" s="83">
        <v>429</v>
      </c>
      <c r="I56" s="84"/>
      <c r="J56" s="85"/>
      <c r="K56" s="86">
        <f>391.47-34.7</f>
        <v>356.77000000000004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>
        <v>30</v>
      </c>
      <c r="I57" s="84"/>
      <c r="J57" s="85"/>
      <c r="K57" s="86">
        <v>34.700000000000003</v>
      </c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489</v>
      </c>
      <c r="I58" s="88"/>
      <c r="J58" s="89"/>
      <c r="K58" s="90">
        <f>+K56+K57*2</f>
        <v>426.17000000000007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23</v>
      </c>
      <c r="F59" s="455" t="s">
        <v>52</v>
      </c>
      <c r="G59" s="82" t="s">
        <v>48</v>
      </c>
      <c r="H59" s="83">
        <v>681</v>
      </c>
      <c r="I59" s="84"/>
      <c r="J59" s="85"/>
      <c r="K59" s="86">
        <f>555.07-2.2</f>
        <v>552.87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>
        <v>2</v>
      </c>
      <c r="I60" s="84"/>
      <c r="J60" s="85"/>
      <c r="K60" s="86">
        <v>2.2000000000000002</v>
      </c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685</v>
      </c>
      <c r="I61" s="88"/>
      <c r="J61" s="89"/>
      <c r="K61" s="90">
        <f>+K59+K60*2</f>
        <v>557.27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24</v>
      </c>
      <c r="F62" s="455" t="s">
        <v>53</v>
      </c>
      <c r="G62" s="82" t="s">
        <v>48</v>
      </c>
      <c r="H62" s="83">
        <v>472</v>
      </c>
      <c r="I62" s="84"/>
      <c r="J62" s="85"/>
      <c r="K62" s="86">
        <f>539.81-1.7</f>
        <v>538.1099999999999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>
        <v>1</v>
      </c>
      <c r="I63" s="84"/>
      <c r="J63" s="85"/>
      <c r="K63" s="86">
        <v>1.7</v>
      </c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474</v>
      </c>
      <c r="I64" s="88"/>
      <c r="J64" s="89"/>
      <c r="K64" s="90">
        <f>+K62+K63*2</f>
        <v>541.50999999999988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25</v>
      </c>
      <c r="F65" s="455" t="s">
        <v>55</v>
      </c>
      <c r="G65" s="82" t="s">
        <v>48</v>
      </c>
      <c r="H65" s="83">
        <v>461</v>
      </c>
      <c r="I65" s="84"/>
      <c r="J65" s="85"/>
      <c r="K65" s="86">
        <v>540.38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/>
      <c r="I66" s="84"/>
      <c r="J66" s="85"/>
      <c r="K66" s="86"/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461</v>
      </c>
      <c r="I67" s="88"/>
      <c r="J67" s="89"/>
      <c r="K67" s="90">
        <f>+K65+K66*2</f>
        <v>540.38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26</v>
      </c>
      <c r="F68" s="455" t="s">
        <v>56</v>
      </c>
      <c r="G68" s="82" t="s">
        <v>48</v>
      </c>
      <c r="H68" s="83">
        <f>603-19</f>
        <v>584</v>
      </c>
      <c r="I68" s="84"/>
      <c r="J68" s="85"/>
      <c r="K68" s="86">
        <f>528.42-46.81</f>
        <v>481.60999999999996</v>
      </c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>
        <v>19</v>
      </c>
      <c r="I69" s="84"/>
      <c r="J69" s="85"/>
      <c r="K69" s="86">
        <v>46.81</v>
      </c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622</v>
      </c>
      <c r="I70" s="88"/>
      <c r="J70" s="89"/>
      <c r="K70" s="90">
        <f>+K68+K69*2</f>
        <v>575.23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27</v>
      </c>
      <c r="F71" s="455" t="s">
        <v>38</v>
      </c>
      <c r="G71" s="82" t="s">
        <v>48</v>
      </c>
      <c r="H71" s="83">
        <f>489-21</f>
        <v>468</v>
      </c>
      <c r="I71" s="84"/>
      <c r="J71" s="85"/>
      <c r="K71" s="86">
        <f>414.14-37.38</f>
        <v>376.76</v>
      </c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>
        <v>21</v>
      </c>
      <c r="I72" s="84"/>
      <c r="J72" s="85"/>
      <c r="K72" s="86">
        <v>37.380000000000003</v>
      </c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510</v>
      </c>
      <c r="I73" s="88"/>
      <c r="J73" s="89"/>
      <c r="K73" s="90">
        <f>+K71+K72*2</f>
        <v>451.52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341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5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6">IF(F80=0,"휴무",AA80+AB80)</f>
        <v>#REF!</v>
      </c>
      <c r="AD80" s="103" t="e">
        <f t="shared" ref="AD80:AD85" si="27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347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347"/>
      <c r="AP80" s="347">
        <f>AO80-F80</f>
        <v>-10</v>
      </c>
    </row>
    <row r="81" spans="2:42" ht="98.25" customHeight="1" x14ac:dyDescent="0.3">
      <c r="B81" s="459"/>
      <c r="C81" s="92">
        <v>20</v>
      </c>
      <c r="D81" s="346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5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6"/>
        <v>#REF!</v>
      </c>
      <c r="AD81" s="108" t="e">
        <f t="shared" si="27"/>
        <v>#REF!</v>
      </c>
      <c r="AE81" s="109"/>
      <c r="AF81" s="37">
        <f>AG81-F81</f>
        <v>-10</v>
      </c>
      <c r="AG81" s="38">
        <f>AN81</f>
        <v>0</v>
      </c>
      <c r="AH81" s="347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347"/>
      <c r="AP81" s="347">
        <f>AO81-F81</f>
        <v>-10</v>
      </c>
    </row>
    <row r="82" spans="2:42" ht="98.25" customHeight="1" x14ac:dyDescent="0.3">
      <c r="B82" s="459"/>
      <c r="C82" s="92">
        <v>21</v>
      </c>
      <c r="D82" s="346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5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6"/>
        <v>#REF!</v>
      </c>
      <c r="AD82" s="108" t="e">
        <f t="shared" si="27"/>
        <v>#REF!</v>
      </c>
      <c r="AE82" s="109"/>
      <c r="AF82" s="37">
        <f>AG82-F82</f>
        <v>-10</v>
      </c>
      <c r="AG82" s="38">
        <f>AN82</f>
        <v>0</v>
      </c>
      <c r="AH82" s="347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347"/>
      <c r="AP82" s="347">
        <f>AO82-F82</f>
        <v>-10</v>
      </c>
    </row>
    <row r="83" spans="2:42" ht="98.25" customHeight="1" x14ac:dyDescent="0.3">
      <c r="B83" s="459"/>
      <c r="C83" s="92">
        <v>22</v>
      </c>
      <c r="D83" s="346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5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6"/>
        <v>#REF!</v>
      </c>
      <c r="AD83" s="110" t="e">
        <f t="shared" si="27"/>
        <v>#REF!</v>
      </c>
      <c r="AE83" s="104"/>
      <c r="AF83" s="37">
        <f>AG83-F83</f>
        <v>-10</v>
      </c>
      <c r="AG83" s="38">
        <f>AN83</f>
        <v>0</v>
      </c>
      <c r="AH83" s="347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347"/>
      <c r="AP83" s="347">
        <f>AO83-F83</f>
        <v>-10</v>
      </c>
    </row>
    <row r="84" spans="2:42" ht="98.25" customHeight="1" x14ac:dyDescent="0.3">
      <c r="B84" s="459"/>
      <c r="C84" s="92">
        <v>23</v>
      </c>
      <c r="D84" s="346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5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6"/>
        <v>#REF!</v>
      </c>
      <c r="AD84" s="110" t="e">
        <f t="shared" si="27"/>
        <v>#REF!</v>
      </c>
      <c r="AE84" s="104"/>
      <c r="AF84" s="37">
        <f>AG84-F84</f>
        <v>-10</v>
      </c>
      <c r="AG84" s="38">
        <f>AN84</f>
        <v>0</v>
      </c>
      <c r="AH84" s="347" t="s">
        <v>46</v>
      </c>
      <c r="AI84" s="39"/>
      <c r="AJ84" s="40" t="str">
        <f>IFERROR(Z84/W84*1000,"")</f>
        <v/>
      </c>
      <c r="AK84" s="347"/>
      <c r="AL84" s="41"/>
      <c r="AM84" s="41"/>
      <c r="AN84" s="41"/>
      <c r="AO84" s="347"/>
      <c r="AP84" s="347">
        <f>AO84-F84</f>
        <v>-10</v>
      </c>
    </row>
    <row r="85" spans="2:42" ht="98.25" customHeight="1" x14ac:dyDescent="0.3">
      <c r="B85" s="459"/>
      <c r="C85" s="92">
        <v>25</v>
      </c>
      <c r="D85" s="346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344"/>
      <c r="H85" s="344"/>
      <c r="I85" s="344"/>
      <c r="J85" s="344"/>
      <c r="K85" s="344"/>
      <c r="L85" s="344"/>
      <c r="M85" s="344"/>
      <c r="N85" s="344"/>
      <c r="O85" s="344"/>
      <c r="P85" s="344"/>
      <c r="Q85" s="344"/>
      <c r="R85" s="344"/>
      <c r="S85" s="344"/>
      <c r="T85" s="344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5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6"/>
        <v>휴무</v>
      </c>
      <c r="AD85" s="110" t="str">
        <f t="shared" si="27"/>
        <v>휴무</v>
      </c>
      <c r="AE85" s="104"/>
      <c r="AF85" s="37"/>
      <c r="AG85" s="38"/>
      <c r="AH85" s="347"/>
      <c r="AI85" s="39"/>
      <c r="AJ85" s="40"/>
      <c r="AK85" s="347"/>
      <c r="AL85" s="41"/>
      <c r="AM85" s="41"/>
      <c r="AN85" s="41"/>
      <c r="AO85" s="347"/>
      <c r="AP85" s="347"/>
    </row>
    <row r="86" spans="2:42" ht="36" customHeight="1" x14ac:dyDescent="0.3">
      <c r="B86" s="460" t="s">
        <v>39</v>
      </c>
      <c r="C86" s="461"/>
      <c r="D86" s="461"/>
      <c r="E86" s="462"/>
      <c r="F86" s="346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346"/>
      <c r="AB86" s="343"/>
      <c r="AC86" s="114"/>
      <c r="AD86" s="115"/>
      <c r="AE86" s="345"/>
      <c r="AF86" s="37">
        <f>AG86-F86</f>
        <v>-50</v>
      </c>
      <c r="AG86" s="38">
        <f>SUM(AG80:AG85)</f>
        <v>0</v>
      </c>
      <c r="AH86" s="347"/>
      <c r="AI86" s="347"/>
      <c r="AJ86" s="40"/>
      <c r="AK86" s="347"/>
      <c r="AL86" s="59"/>
      <c r="AM86" s="59"/>
      <c r="AN86" s="59"/>
      <c r="AO86" s="347"/>
      <c r="AP86" s="347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344"/>
      <c r="H87" s="344"/>
      <c r="I87" s="344"/>
      <c r="J87" s="344"/>
      <c r="K87" s="344"/>
      <c r="L87" s="344"/>
      <c r="M87" s="344"/>
      <c r="N87" s="344"/>
      <c r="O87" s="344"/>
      <c r="P87" s="344"/>
      <c r="Q87" s="344"/>
      <c r="R87" s="344"/>
      <c r="S87" s="344"/>
      <c r="T87" s="344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347"/>
      <c r="AE88" s="347"/>
      <c r="AF88" s="347"/>
      <c r="AG88" s="347"/>
      <c r="AH88" s="347"/>
      <c r="AI88" s="347"/>
      <c r="AJ88" s="347"/>
      <c r="AK88" s="347"/>
      <c r="AL88" s="59"/>
      <c r="AM88" s="59"/>
      <c r="AN88" s="59"/>
      <c r="AO88" s="347"/>
      <c r="AP88" s="347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346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346" t="s">
        <v>63</v>
      </c>
      <c r="D117" s="466" t="s">
        <v>12</v>
      </c>
      <c r="E117" s="466"/>
      <c r="F117" s="346" t="s">
        <v>64</v>
      </c>
      <c r="G117" s="346"/>
      <c r="H117" s="346"/>
      <c r="I117" s="346"/>
      <c r="J117" s="346"/>
      <c r="K117" s="346"/>
      <c r="L117" s="346"/>
      <c r="M117" s="346"/>
      <c r="N117" s="346"/>
      <c r="O117" s="346"/>
      <c r="P117" s="346"/>
      <c r="Q117" s="346"/>
      <c r="R117" s="346"/>
      <c r="S117" s="346"/>
      <c r="T117" s="346"/>
      <c r="U117" s="346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346"/>
      <c r="G118" s="346"/>
      <c r="H118" s="346"/>
      <c r="I118" s="346"/>
      <c r="J118" s="346"/>
      <c r="K118" s="346"/>
      <c r="L118" s="346"/>
      <c r="M118" s="346"/>
      <c r="N118" s="346"/>
      <c r="O118" s="346"/>
      <c r="P118" s="346"/>
      <c r="Q118" s="346"/>
      <c r="R118" s="346"/>
      <c r="S118" s="346"/>
      <c r="T118" s="346"/>
      <c r="U118" s="346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346"/>
      <c r="G119" s="346"/>
      <c r="H119" s="346"/>
      <c r="I119" s="346"/>
      <c r="J119" s="346"/>
      <c r="K119" s="346"/>
      <c r="L119" s="346"/>
      <c r="M119" s="346"/>
      <c r="N119" s="346"/>
      <c r="O119" s="346"/>
      <c r="P119" s="346"/>
      <c r="Q119" s="346"/>
      <c r="R119" s="346"/>
      <c r="S119" s="346"/>
      <c r="T119" s="346"/>
      <c r="U119" s="346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346"/>
      <c r="G120" s="346"/>
      <c r="H120" s="346"/>
      <c r="I120" s="346"/>
      <c r="J120" s="346"/>
      <c r="K120" s="346"/>
      <c r="L120" s="346"/>
      <c r="M120" s="346"/>
      <c r="N120" s="346"/>
      <c r="O120" s="346"/>
      <c r="P120" s="346"/>
      <c r="Q120" s="346"/>
      <c r="R120" s="346"/>
      <c r="S120" s="346"/>
      <c r="T120" s="346"/>
      <c r="U120" s="346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346"/>
      <c r="G121" s="346"/>
      <c r="H121" s="346"/>
      <c r="I121" s="346"/>
      <c r="J121" s="346"/>
      <c r="K121" s="346"/>
      <c r="L121" s="346"/>
      <c r="M121" s="346"/>
      <c r="N121" s="346"/>
      <c r="O121" s="346"/>
      <c r="P121" s="346"/>
      <c r="Q121" s="346"/>
      <c r="R121" s="346"/>
      <c r="S121" s="346"/>
      <c r="T121" s="346"/>
      <c r="U121" s="346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346"/>
      <c r="G122" s="346"/>
      <c r="H122" s="346"/>
      <c r="I122" s="346"/>
      <c r="J122" s="346"/>
      <c r="K122" s="346"/>
      <c r="L122" s="346"/>
      <c r="M122" s="346"/>
      <c r="N122" s="346"/>
      <c r="O122" s="346"/>
      <c r="P122" s="346"/>
      <c r="Q122" s="346"/>
      <c r="R122" s="346"/>
      <c r="S122" s="346"/>
      <c r="T122" s="346"/>
      <c r="U122" s="346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346"/>
      <c r="G123" s="346"/>
      <c r="H123" s="346"/>
      <c r="I123" s="346"/>
      <c r="J123" s="346"/>
      <c r="K123" s="346"/>
      <c r="L123" s="346"/>
      <c r="M123" s="346"/>
      <c r="N123" s="346"/>
      <c r="O123" s="346"/>
      <c r="P123" s="346"/>
      <c r="Q123" s="346"/>
      <c r="R123" s="346"/>
      <c r="S123" s="346"/>
      <c r="T123" s="346"/>
      <c r="U123" s="346"/>
      <c r="V123" s="117"/>
      <c r="W123" s="118"/>
      <c r="X123" s="116"/>
      <c r="Y123" s="117"/>
      <c r="Z123" s="116"/>
      <c r="AA123" s="116"/>
    </row>
    <row r="124" spans="3:27" x14ac:dyDescent="0.3">
      <c r="C124" s="346"/>
      <c r="D124" s="460"/>
      <c r="E124" s="462"/>
      <c r="F124" s="346"/>
      <c r="G124" s="346"/>
      <c r="H124" s="346"/>
      <c r="I124" s="346"/>
      <c r="J124" s="346"/>
      <c r="K124" s="346"/>
      <c r="L124" s="346"/>
      <c r="M124" s="346"/>
      <c r="N124" s="346"/>
      <c r="O124" s="346"/>
      <c r="P124" s="346"/>
      <c r="Q124" s="346"/>
      <c r="R124" s="346"/>
      <c r="S124" s="346"/>
      <c r="T124" s="346"/>
      <c r="U124" s="346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346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346" t="s">
        <v>63</v>
      </c>
      <c r="D127" s="466" t="s">
        <v>12</v>
      </c>
      <c r="E127" s="466"/>
      <c r="F127" s="346" t="s">
        <v>64</v>
      </c>
      <c r="G127" s="346"/>
      <c r="H127" s="346"/>
      <c r="I127" s="346"/>
      <c r="J127" s="346"/>
      <c r="K127" s="346"/>
      <c r="L127" s="346"/>
      <c r="M127" s="346"/>
      <c r="N127" s="346"/>
      <c r="O127" s="346"/>
      <c r="P127" s="346"/>
      <c r="Q127" s="346"/>
      <c r="R127" s="346"/>
      <c r="S127" s="346"/>
      <c r="T127" s="346"/>
      <c r="U127" s="346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346"/>
      <c r="G128" s="346"/>
      <c r="H128" s="346"/>
      <c r="I128" s="346"/>
      <c r="J128" s="346"/>
      <c r="K128" s="346"/>
      <c r="L128" s="346"/>
      <c r="M128" s="346"/>
      <c r="N128" s="346"/>
      <c r="O128" s="346"/>
      <c r="P128" s="346"/>
      <c r="Q128" s="346"/>
      <c r="R128" s="346"/>
      <c r="S128" s="346"/>
      <c r="T128" s="346"/>
      <c r="U128" s="346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346"/>
      <c r="G129" s="346"/>
      <c r="H129" s="346"/>
      <c r="I129" s="346"/>
      <c r="J129" s="346"/>
      <c r="K129" s="346"/>
      <c r="L129" s="346"/>
      <c r="M129" s="346"/>
      <c r="N129" s="346"/>
      <c r="O129" s="346"/>
      <c r="P129" s="346"/>
      <c r="Q129" s="346"/>
      <c r="R129" s="346"/>
      <c r="S129" s="346"/>
      <c r="T129" s="346"/>
      <c r="U129" s="346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346"/>
      <c r="G130" s="346"/>
      <c r="H130" s="346"/>
      <c r="I130" s="346"/>
      <c r="J130" s="346"/>
      <c r="K130" s="346"/>
      <c r="L130" s="346"/>
      <c r="M130" s="346"/>
      <c r="N130" s="346"/>
      <c r="O130" s="346"/>
      <c r="P130" s="346"/>
      <c r="Q130" s="346"/>
      <c r="R130" s="346"/>
      <c r="S130" s="346"/>
      <c r="T130" s="346"/>
      <c r="U130" s="346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346"/>
      <c r="G131" s="346"/>
      <c r="H131" s="346"/>
      <c r="I131" s="346"/>
      <c r="J131" s="346"/>
      <c r="K131" s="346"/>
      <c r="L131" s="346"/>
      <c r="M131" s="346"/>
      <c r="N131" s="346"/>
      <c r="O131" s="346"/>
      <c r="P131" s="346"/>
      <c r="Q131" s="346"/>
      <c r="R131" s="346"/>
      <c r="S131" s="346"/>
      <c r="T131" s="346"/>
      <c r="U131" s="346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346"/>
      <c r="G132" s="346"/>
      <c r="H132" s="346"/>
      <c r="I132" s="346"/>
      <c r="J132" s="346"/>
      <c r="K132" s="346"/>
      <c r="L132" s="346"/>
      <c r="M132" s="346"/>
      <c r="N132" s="346"/>
      <c r="O132" s="346"/>
      <c r="P132" s="346"/>
      <c r="Q132" s="346"/>
      <c r="R132" s="346"/>
      <c r="S132" s="346"/>
      <c r="T132" s="346"/>
      <c r="U132" s="346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346"/>
      <c r="G133" s="346"/>
      <c r="H133" s="346"/>
      <c r="I133" s="346"/>
      <c r="J133" s="346"/>
      <c r="K133" s="346"/>
      <c r="L133" s="346"/>
      <c r="M133" s="346"/>
      <c r="N133" s="346"/>
      <c r="O133" s="346"/>
      <c r="P133" s="346"/>
      <c r="Q133" s="346"/>
      <c r="R133" s="346"/>
      <c r="S133" s="346"/>
      <c r="T133" s="346"/>
      <c r="U133" s="346"/>
      <c r="V133" s="117"/>
      <c r="W133" s="118"/>
      <c r="X133" s="116"/>
      <c r="Y133" s="117"/>
      <c r="Z133" s="116"/>
      <c r="AA133" s="116"/>
    </row>
    <row r="134" spans="3:27" x14ac:dyDescent="0.3">
      <c r="C134" s="346"/>
      <c r="D134" s="460"/>
      <c r="E134" s="462"/>
      <c r="F134" s="346"/>
      <c r="G134" s="346"/>
      <c r="H134" s="346"/>
      <c r="I134" s="346"/>
      <c r="J134" s="346"/>
      <c r="K134" s="346"/>
      <c r="L134" s="346"/>
      <c r="M134" s="346"/>
      <c r="N134" s="346"/>
      <c r="O134" s="346"/>
      <c r="P134" s="346"/>
      <c r="Q134" s="346"/>
      <c r="R134" s="346"/>
      <c r="S134" s="346"/>
      <c r="T134" s="346"/>
      <c r="U134" s="346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346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346" t="s">
        <v>63</v>
      </c>
      <c r="D137" s="466" t="s">
        <v>12</v>
      </c>
      <c r="E137" s="466"/>
      <c r="F137" s="346" t="s">
        <v>64</v>
      </c>
      <c r="G137" s="346"/>
      <c r="H137" s="346"/>
      <c r="I137" s="346"/>
      <c r="J137" s="346"/>
      <c r="K137" s="346"/>
      <c r="L137" s="346"/>
      <c r="M137" s="346"/>
      <c r="N137" s="346"/>
      <c r="O137" s="346"/>
      <c r="P137" s="346"/>
      <c r="Q137" s="346"/>
      <c r="R137" s="346"/>
      <c r="S137" s="346"/>
      <c r="T137" s="346"/>
      <c r="U137" s="346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346"/>
      <c r="G138" s="346"/>
      <c r="H138" s="346"/>
      <c r="I138" s="346"/>
      <c r="J138" s="346"/>
      <c r="K138" s="346"/>
      <c r="L138" s="346"/>
      <c r="M138" s="346"/>
      <c r="N138" s="346"/>
      <c r="O138" s="346"/>
      <c r="P138" s="346"/>
      <c r="Q138" s="346"/>
      <c r="R138" s="346"/>
      <c r="S138" s="346"/>
      <c r="T138" s="346"/>
      <c r="U138" s="346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346"/>
      <c r="G139" s="346"/>
      <c r="H139" s="346"/>
      <c r="I139" s="346"/>
      <c r="J139" s="346"/>
      <c r="K139" s="346"/>
      <c r="L139" s="346"/>
      <c r="M139" s="346"/>
      <c r="N139" s="346"/>
      <c r="O139" s="346"/>
      <c r="P139" s="346"/>
      <c r="Q139" s="346"/>
      <c r="R139" s="346"/>
      <c r="S139" s="346"/>
      <c r="T139" s="346"/>
      <c r="U139" s="346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346"/>
      <c r="G140" s="346"/>
      <c r="H140" s="346"/>
      <c r="I140" s="346"/>
      <c r="J140" s="346"/>
      <c r="K140" s="346"/>
      <c r="L140" s="346"/>
      <c r="M140" s="346"/>
      <c r="N140" s="346"/>
      <c r="O140" s="346"/>
      <c r="P140" s="346"/>
      <c r="Q140" s="346"/>
      <c r="R140" s="346"/>
      <c r="S140" s="346"/>
      <c r="T140" s="346"/>
      <c r="U140" s="346"/>
    </row>
    <row r="141" spans="3:27" x14ac:dyDescent="0.3">
      <c r="C141" s="119">
        <v>45078</v>
      </c>
      <c r="D141" s="466"/>
      <c r="E141" s="466"/>
      <c r="F141" s="346"/>
      <c r="G141" s="346"/>
      <c r="H141" s="346"/>
      <c r="I141" s="346"/>
      <c r="J141" s="346"/>
      <c r="K141" s="346"/>
      <c r="L141" s="346"/>
      <c r="M141" s="346"/>
      <c r="N141" s="346"/>
      <c r="O141" s="346"/>
      <c r="P141" s="346"/>
      <c r="Q141" s="346"/>
      <c r="R141" s="346"/>
      <c r="S141" s="346"/>
      <c r="T141" s="346"/>
      <c r="U141" s="346"/>
    </row>
    <row r="142" spans="3:27" x14ac:dyDescent="0.3">
      <c r="C142" s="119">
        <v>45079</v>
      </c>
      <c r="D142" s="466"/>
      <c r="E142" s="466"/>
      <c r="F142" s="346"/>
      <c r="G142" s="346"/>
      <c r="H142" s="346"/>
      <c r="I142" s="346"/>
      <c r="J142" s="346"/>
      <c r="K142" s="346"/>
      <c r="L142" s="346"/>
      <c r="M142" s="346"/>
      <c r="N142" s="346"/>
      <c r="O142" s="346"/>
      <c r="P142" s="346"/>
      <c r="Q142" s="346"/>
      <c r="R142" s="346"/>
      <c r="S142" s="346"/>
      <c r="T142" s="346"/>
      <c r="U142" s="346"/>
    </row>
    <row r="143" spans="3:27" x14ac:dyDescent="0.3">
      <c r="C143" s="119">
        <v>45080</v>
      </c>
      <c r="D143" s="466"/>
      <c r="E143" s="466"/>
      <c r="F143" s="346"/>
      <c r="G143" s="346"/>
      <c r="H143" s="346"/>
      <c r="I143" s="346"/>
      <c r="J143" s="346"/>
      <c r="K143" s="346"/>
      <c r="L143" s="346"/>
      <c r="M143" s="346"/>
      <c r="N143" s="346"/>
      <c r="O143" s="346"/>
      <c r="P143" s="346"/>
      <c r="Q143" s="346"/>
      <c r="R143" s="346"/>
      <c r="S143" s="346"/>
      <c r="T143" s="346"/>
      <c r="U143" s="346"/>
    </row>
    <row r="144" spans="3:27" x14ac:dyDescent="0.3">
      <c r="C144" s="346"/>
      <c r="D144" s="460"/>
      <c r="E144" s="462"/>
      <c r="F144" s="346"/>
      <c r="G144" s="346"/>
      <c r="H144" s="346"/>
      <c r="I144" s="346"/>
      <c r="J144" s="346"/>
      <c r="K144" s="346"/>
      <c r="L144" s="346"/>
      <c r="M144" s="346"/>
      <c r="N144" s="346"/>
      <c r="O144" s="346"/>
      <c r="P144" s="346"/>
      <c r="Q144" s="346"/>
      <c r="R144" s="346"/>
      <c r="S144" s="346"/>
      <c r="T144" s="346"/>
      <c r="U144" s="346"/>
    </row>
  </sheetData>
  <mergeCells count="111">
    <mergeCell ref="AE5:AE6"/>
    <mergeCell ref="B7:B12"/>
    <mergeCell ref="B13:E13"/>
    <mergeCell ref="B2:AE2"/>
    <mergeCell ref="B5:C6"/>
    <mergeCell ref="D5:D6"/>
    <mergeCell ref="E5:E6"/>
    <mergeCell ref="F5:F6"/>
    <mergeCell ref="G5:G6"/>
    <mergeCell ref="H5:H6"/>
    <mergeCell ref="I5:S5"/>
    <mergeCell ref="T5:T6"/>
    <mergeCell ref="U5:W5"/>
    <mergeCell ref="B14:E14"/>
    <mergeCell ref="B21:B22"/>
    <mergeCell ref="C21:C22"/>
    <mergeCell ref="D21:D22"/>
    <mergeCell ref="E21:E22"/>
    <mergeCell ref="F21:F22"/>
    <mergeCell ref="X5:Z5"/>
    <mergeCell ref="AC5:AC6"/>
    <mergeCell ref="AD5:AD6"/>
    <mergeCell ref="AA21:AA22"/>
    <mergeCell ref="AB21:AB22"/>
    <mergeCell ref="AC21:AC22"/>
    <mergeCell ref="AD21:AD22"/>
    <mergeCell ref="AE21:AE22"/>
    <mergeCell ref="B23:B28"/>
    <mergeCell ref="G21:G22"/>
    <mergeCell ref="H21:H22"/>
    <mergeCell ref="I21:S21"/>
    <mergeCell ref="T21:T22"/>
    <mergeCell ref="U21:W21"/>
    <mergeCell ref="X21:Z21"/>
    <mergeCell ref="E42:E44"/>
    <mergeCell ref="F42:F44"/>
    <mergeCell ref="E45:E47"/>
    <mergeCell ref="F45:F47"/>
    <mergeCell ref="E48:E50"/>
    <mergeCell ref="F48:F50"/>
    <mergeCell ref="B29:E29"/>
    <mergeCell ref="B30:E30"/>
    <mergeCell ref="E36:E38"/>
    <mergeCell ref="F36:F38"/>
    <mergeCell ref="E39:E41"/>
    <mergeCell ref="F39:F41"/>
    <mergeCell ref="E62:E64"/>
    <mergeCell ref="F62:F64"/>
    <mergeCell ref="E65:E67"/>
    <mergeCell ref="F65:F67"/>
    <mergeCell ref="E68:E70"/>
    <mergeCell ref="F68:F70"/>
    <mergeCell ref="E51:E53"/>
    <mergeCell ref="F51:F53"/>
    <mergeCell ref="E56:E58"/>
    <mergeCell ref="F56:F58"/>
    <mergeCell ref="E59:E61"/>
    <mergeCell ref="F59:F61"/>
    <mergeCell ref="AC78:AC79"/>
    <mergeCell ref="AD78:AD79"/>
    <mergeCell ref="AE78:AE79"/>
    <mergeCell ref="B80:B85"/>
    <mergeCell ref="B86:E86"/>
    <mergeCell ref="B87:E87"/>
    <mergeCell ref="E71:E73"/>
    <mergeCell ref="F71:F73"/>
    <mergeCell ref="B76:AE76"/>
    <mergeCell ref="B78:B79"/>
    <mergeCell ref="C78:C79"/>
    <mergeCell ref="D78:D79"/>
    <mergeCell ref="E78:E79"/>
    <mergeCell ref="F78:F79"/>
    <mergeCell ref="U78:W78"/>
    <mergeCell ref="X78:Z78"/>
    <mergeCell ref="E101:E103"/>
    <mergeCell ref="F101:F103"/>
    <mergeCell ref="E104:E106"/>
    <mergeCell ref="F104:F106"/>
    <mergeCell ref="E107:E109"/>
    <mergeCell ref="F107:F109"/>
    <mergeCell ref="E92:E94"/>
    <mergeCell ref="F92:F94"/>
    <mergeCell ref="E95:E97"/>
    <mergeCell ref="F95:F97"/>
    <mergeCell ref="E98:E100"/>
    <mergeCell ref="F98:F100"/>
    <mergeCell ref="D122:E122"/>
    <mergeCell ref="D123:E123"/>
    <mergeCell ref="D124:E124"/>
    <mergeCell ref="D127:E127"/>
    <mergeCell ref="D128:E128"/>
    <mergeCell ref="D129:E129"/>
    <mergeCell ref="C114:U114"/>
    <mergeCell ref="D117:E117"/>
    <mergeCell ref="D118:E118"/>
    <mergeCell ref="D119:E119"/>
    <mergeCell ref="D120:E120"/>
    <mergeCell ref="D121:E121"/>
    <mergeCell ref="D144:E144"/>
    <mergeCell ref="D138:E138"/>
    <mergeCell ref="D139:E139"/>
    <mergeCell ref="D140:E140"/>
    <mergeCell ref="D141:E141"/>
    <mergeCell ref="D142:E142"/>
    <mergeCell ref="D143:E143"/>
    <mergeCell ref="D130:E130"/>
    <mergeCell ref="D131:E131"/>
    <mergeCell ref="D132:E132"/>
    <mergeCell ref="D133:E133"/>
    <mergeCell ref="D134:E134"/>
    <mergeCell ref="D137:E137"/>
  </mergeCells>
  <phoneticPr fontId="4" type="noConversion"/>
  <dataValidations count="3">
    <dataValidation type="list" allowBlank="1" showInputMessage="1" showErrorMessage="1" sqref="E7:E12 E23:E28">
      <formula1>$U$7:$U$12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">
      <formula1>$AH$7:$AH$12</formula1>
    </dataValidation>
  </dataValidations>
  <pageMargins left="0.62992125984251968" right="0.62992125984251968" top="0.94488188976377963" bottom="0.55118110236220474" header="0.31496062992125984" footer="0.31496062992125984"/>
  <pageSetup paperSize="9" scale="28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80" zoomScaleNormal="80" workbookViewId="0">
      <pane xSplit="4" ySplit="6" topLeftCell="E25" activePane="bottomRight" state="frozen"/>
      <selection pane="topRight" activeCell="D1" sqref="D1"/>
      <selection pane="bottomLeft" activeCell="A6" sqref="A6"/>
      <selection pane="bottomRight" activeCell="H40" sqref="H40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64.75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3.125" customWidth="1"/>
    <col min="44" max="44" width="3.25" customWidth="1"/>
  </cols>
  <sheetData>
    <row r="2" spans="2:52" ht="20.25" x14ac:dyDescent="0.3">
      <c r="B2" s="425" t="s">
        <v>239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336" t="s">
        <v>1</v>
      </c>
      <c r="AY2" s="336" t="s">
        <v>2</v>
      </c>
      <c r="AZ2" s="3" t="s">
        <v>3</v>
      </c>
    </row>
    <row r="3" spans="2:52" ht="45" customHeight="1" x14ac:dyDescent="0.3">
      <c r="B3" s="330" t="s">
        <v>4</v>
      </c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337" t="s">
        <v>68</v>
      </c>
      <c r="J6" s="18" t="s">
        <v>69</v>
      </c>
      <c r="K6" s="18" t="s">
        <v>71</v>
      </c>
      <c r="L6" s="18" t="s">
        <v>72</v>
      </c>
      <c r="M6" s="18" t="s">
        <v>75</v>
      </c>
      <c r="N6" s="18" t="s">
        <v>75</v>
      </c>
      <c r="O6" s="18" t="s">
        <v>75</v>
      </c>
      <c r="P6" s="18" t="s">
        <v>230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337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-62.67</v>
      </c>
    </row>
    <row r="7" spans="2:52" s="334" customFormat="1" ht="99" customHeight="1" thickTop="1" x14ac:dyDescent="0.3">
      <c r="B7" s="420">
        <v>6</v>
      </c>
      <c r="C7" s="24">
        <v>15</v>
      </c>
      <c r="D7" s="25" t="s">
        <v>7</v>
      </c>
      <c r="E7" s="26" t="s">
        <v>28</v>
      </c>
      <c r="F7" s="25">
        <v>11</v>
      </c>
      <c r="G7" s="128">
        <v>387</v>
      </c>
      <c r="H7" s="128">
        <f t="shared" ref="H7:H12" si="0">(G7/U7)*100</f>
        <v>89.170506912442391</v>
      </c>
      <c r="I7" s="123" t="s">
        <v>85</v>
      </c>
      <c r="J7" s="123" t="s">
        <v>86</v>
      </c>
      <c r="K7" s="123" t="s">
        <v>87</v>
      </c>
      <c r="L7" s="123"/>
      <c r="M7" s="129" t="s">
        <v>90</v>
      </c>
      <c r="N7" s="123" t="s">
        <v>74</v>
      </c>
      <c r="O7" s="123" t="s">
        <v>169</v>
      </c>
      <c r="P7" s="123" t="s">
        <v>231</v>
      </c>
      <c r="Q7" s="123" t="s">
        <v>91</v>
      </c>
      <c r="R7" s="123" t="s">
        <v>89</v>
      </c>
      <c r="S7" s="125">
        <f t="shared" ref="S7:S12" si="1">COUNTA(I7:L7)+COUNTA(M7:R7)/2</f>
        <v>6</v>
      </c>
      <c r="T7" s="27">
        <f t="shared" ref="T7:T12" si="2">F7*$D$4*$U$4</f>
        <v>726</v>
      </c>
      <c r="U7" s="28">
        <f>+H38</f>
        <v>434</v>
      </c>
      <c r="V7" s="29">
        <f t="shared" ref="V7:V12" si="3">IF(F7=0,"휴무",U7/F7)</f>
        <v>39.454545454545453</v>
      </c>
      <c r="W7" s="30">
        <f t="shared" ref="W7:W13" si="4">IFERROR(U7/T7,0)</f>
        <v>0.59779614325068875</v>
      </c>
      <c r="X7" s="31">
        <f>+K38</f>
        <v>463.53999999999996</v>
      </c>
      <c r="Y7" s="29">
        <f t="shared" ref="Y7:Y12" si="5">IF(F7=0,"휴무",X7/F7)</f>
        <v>42.139999999999993</v>
      </c>
      <c r="Z7" s="32">
        <f t="shared" ref="Z7:Z13" si="6">IFERROR(X7/T7,0)</f>
        <v>0.63848484848484843</v>
      </c>
      <c r="AA7" s="33">
        <f t="shared" ref="AA7:AA12" si="7">IF(F7=0,"휴무",U7/T7*$AA$4)</f>
        <v>29.889807162534439</v>
      </c>
      <c r="AB7" s="34">
        <f t="shared" ref="AB7:AB12" si="8">IF(F7=0,"휴무",X7/T7*$AB$4)</f>
        <v>34.765499999999996</v>
      </c>
      <c r="AC7" s="138">
        <f t="shared" ref="AC7:AC13" si="9">IF(F7=0,"휴무",AA7+AB7)</f>
        <v>64.655307162534427</v>
      </c>
      <c r="AD7" s="159" t="str">
        <f t="shared" ref="AD7:AD13" si="10">IF(F7=0,"휴무",IF(AC7&gt;=100,"좋아요",IF(AC7&gt;=90,"90~99",IF(AC7&gt;=80,"80~89"," 사유?→"))))</f>
        <v xml:space="preserve"> 사유?→</v>
      </c>
      <c r="AE7" s="160" t="s">
        <v>240</v>
      </c>
      <c r="AF7" s="37">
        <f>AG7-F7</f>
        <v>-11</v>
      </c>
      <c r="AG7" s="38">
        <f>AN7</f>
        <v>0</v>
      </c>
      <c r="AH7" s="334" t="s">
        <v>29</v>
      </c>
      <c r="AI7" s="39"/>
      <c r="AJ7" s="40">
        <f>IFERROR(Z7/W7*1000,"")</f>
        <v>1068.064516129032</v>
      </c>
      <c r="AK7" s="39"/>
      <c r="AL7" s="41"/>
      <c r="AM7" s="41"/>
      <c r="AN7" s="41"/>
      <c r="AP7" s="334">
        <f t="shared" ref="AP7:AP12" si="11">AO7-F7</f>
        <v>-11</v>
      </c>
      <c r="AQ7" s="42"/>
    </row>
    <row r="8" spans="2:52" s="334" customFormat="1" ht="99.75" customHeight="1" x14ac:dyDescent="0.3">
      <c r="B8" s="421"/>
      <c r="C8" s="24">
        <f>+C7+1</f>
        <v>16</v>
      </c>
      <c r="D8" s="43" t="s">
        <v>30</v>
      </c>
      <c r="E8" s="26" t="s">
        <v>28</v>
      </c>
      <c r="F8" s="25">
        <v>11</v>
      </c>
      <c r="G8" s="125">
        <v>500</v>
      </c>
      <c r="H8" s="125">
        <f t="shared" si="0"/>
        <v>98.039215686274503</v>
      </c>
      <c r="I8" s="123" t="s">
        <v>85</v>
      </c>
      <c r="J8" s="123" t="s">
        <v>86</v>
      </c>
      <c r="K8" s="123" t="s">
        <v>87</v>
      </c>
      <c r="L8" s="123"/>
      <c r="M8" s="129" t="s">
        <v>90</v>
      </c>
      <c r="N8" s="123" t="s">
        <v>74</v>
      </c>
      <c r="O8" s="123" t="s">
        <v>169</v>
      </c>
      <c r="P8" s="123" t="s">
        <v>231</v>
      </c>
      <c r="Q8" s="123" t="s">
        <v>91</v>
      </c>
      <c r="R8" s="123" t="s">
        <v>89</v>
      </c>
      <c r="S8" s="125">
        <f t="shared" si="1"/>
        <v>6</v>
      </c>
      <c r="T8" s="27">
        <f t="shared" si="2"/>
        <v>726</v>
      </c>
      <c r="U8" s="28">
        <f>+H41</f>
        <v>510</v>
      </c>
      <c r="V8" s="44">
        <f t="shared" si="3"/>
        <v>46.363636363636367</v>
      </c>
      <c r="W8" s="45">
        <f t="shared" si="4"/>
        <v>0.7024793388429752</v>
      </c>
      <c r="X8" s="46">
        <f>+K41</f>
        <v>368.06</v>
      </c>
      <c r="Y8" s="29">
        <f t="shared" si="5"/>
        <v>33.46</v>
      </c>
      <c r="Z8" s="47">
        <f t="shared" si="6"/>
        <v>0.50696969696969696</v>
      </c>
      <c r="AA8" s="48">
        <f t="shared" si="7"/>
        <v>35.123966942148762</v>
      </c>
      <c r="AB8" s="49">
        <f t="shared" si="8"/>
        <v>27.604500000000002</v>
      </c>
      <c r="AC8" s="139">
        <f t="shared" si="9"/>
        <v>62.728466942148764</v>
      </c>
      <c r="AD8" s="161" t="str">
        <f t="shared" si="10"/>
        <v xml:space="preserve"> 사유?→</v>
      </c>
      <c r="AE8" s="160" t="s">
        <v>242</v>
      </c>
      <c r="AF8" s="37">
        <f>AG8-F8</f>
        <v>-11</v>
      </c>
      <c r="AG8" s="38">
        <f>AN8</f>
        <v>0</v>
      </c>
      <c r="AH8" s="334" t="s">
        <v>31</v>
      </c>
      <c r="AI8" s="39"/>
      <c r="AJ8" s="40">
        <f>IFERROR(Z8/W8*1000,"")</f>
        <v>721.68627450980398</v>
      </c>
      <c r="AK8" s="39"/>
      <c r="AL8" s="41"/>
      <c r="AM8" s="41"/>
      <c r="AN8" s="41"/>
      <c r="AP8" s="334">
        <f t="shared" si="11"/>
        <v>-11</v>
      </c>
      <c r="AQ8" s="42"/>
    </row>
    <row r="9" spans="2:52" s="334" customFormat="1" ht="97.5" customHeight="1" x14ac:dyDescent="0.3">
      <c r="B9" s="421"/>
      <c r="C9" s="24">
        <f>+C8+1</f>
        <v>17</v>
      </c>
      <c r="D9" s="43" t="s">
        <v>32</v>
      </c>
      <c r="E9" s="26" t="s">
        <v>28</v>
      </c>
      <c r="F9" s="25">
        <f>11-0.33</f>
        <v>10.67</v>
      </c>
      <c r="G9" s="125">
        <v>462</v>
      </c>
      <c r="H9" s="125">
        <f t="shared" si="0"/>
        <v>99.141630901287556</v>
      </c>
      <c r="I9" s="123" t="s">
        <v>85</v>
      </c>
      <c r="J9" s="123" t="s">
        <v>86</v>
      </c>
      <c r="K9" s="123" t="s">
        <v>87</v>
      </c>
      <c r="L9" s="123"/>
      <c r="M9" s="129" t="s">
        <v>90</v>
      </c>
      <c r="N9" s="123" t="s">
        <v>74</v>
      </c>
      <c r="O9" s="123" t="s">
        <v>169</v>
      </c>
      <c r="P9" s="123" t="s">
        <v>231</v>
      </c>
      <c r="Q9" s="123" t="s">
        <v>91</v>
      </c>
      <c r="R9" s="123" t="s">
        <v>89</v>
      </c>
      <c r="S9" s="125">
        <f t="shared" si="1"/>
        <v>6</v>
      </c>
      <c r="T9" s="27">
        <f t="shared" si="2"/>
        <v>704.22</v>
      </c>
      <c r="U9" s="51">
        <f>+H44</f>
        <v>466</v>
      </c>
      <c r="V9" s="44">
        <f t="shared" si="3"/>
        <v>43.673851921274604</v>
      </c>
      <c r="W9" s="45">
        <f t="shared" si="4"/>
        <v>0.66172502911022124</v>
      </c>
      <c r="X9" s="46">
        <f>+K44</f>
        <v>532.58000000000004</v>
      </c>
      <c r="Y9" s="44">
        <f t="shared" si="5"/>
        <v>49.913776944704786</v>
      </c>
      <c r="Z9" s="47">
        <f t="shared" si="6"/>
        <v>0.75626934764704212</v>
      </c>
      <c r="AA9" s="48">
        <f t="shared" si="7"/>
        <v>33.086251455511061</v>
      </c>
      <c r="AB9" s="49">
        <f t="shared" si="8"/>
        <v>41.178865979381449</v>
      </c>
      <c r="AC9" s="139">
        <f t="shared" si="9"/>
        <v>74.265117434892517</v>
      </c>
      <c r="AD9" s="161" t="str">
        <f t="shared" si="10"/>
        <v xml:space="preserve"> 사유?→</v>
      </c>
      <c r="AE9" s="160" t="s">
        <v>244</v>
      </c>
      <c r="AF9" s="37">
        <f>AG9-F9</f>
        <v>-10.67</v>
      </c>
      <c r="AG9" s="38">
        <f>AN9</f>
        <v>0</v>
      </c>
      <c r="AH9" s="334" t="s">
        <v>34</v>
      </c>
      <c r="AI9" s="39"/>
      <c r="AJ9" s="40">
        <f>IFERROR(Z9/W9*1000,"")</f>
        <v>1142.8755364806866</v>
      </c>
      <c r="AK9" s="39"/>
      <c r="AL9" s="41"/>
      <c r="AM9" s="41"/>
      <c r="AN9" s="41"/>
      <c r="AP9" s="334">
        <f t="shared" si="11"/>
        <v>-10.67</v>
      </c>
      <c r="AQ9" s="42"/>
    </row>
    <row r="10" spans="2:52" s="334" customFormat="1" ht="95.25" customHeight="1" x14ac:dyDescent="0.3">
      <c r="B10" s="421"/>
      <c r="C10" s="24">
        <f>+C9+1</f>
        <v>18</v>
      </c>
      <c r="D10" s="43" t="s">
        <v>35</v>
      </c>
      <c r="E10" s="26" t="s">
        <v>28</v>
      </c>
      <c r="F10" s="25">
        <v>11</v>
      </c>
      <c r="G10" s="125">
        <v>502</v>
      </c>
      <c r="H10" s="125">
        <f t="shared" si="0"/>
        <v>99.013806706114394</v>
      </c>
      <c r="I10" s="123" t="s">
        <v>85</v>
      </c>
      <c r="J10" s="123" t="s">
        <v>86</v>
      </c>
      <c r="K10" s="123" t="s">
        <v>87</v>
      </c>
      <c r="L10" s="123"/>
      <c r="M10" s="129" t="s">
        <v>90</v>
      </c>
      <c r="N10" s="123" t="s">
        <v>74</v>
      </c>
      <c r="O10" s="123" t="s">
        <v>169</v>
      </c>
      <c r="P10" s="123" t="s">
        <v>231</v>
      </c>
      <c r="Q10" s="123" t="s">
        <v>91</v>
      </c>
      <c r="R10" s="123" t="s">
        <v>89</v>
      </c>
      <c r="S10" s="125">
        <f t="shared" si="1"/>
        <v>6</v>
      </c>
      <c r="T10" s="27">
        <f t="shared" si="2"/>
        <v>726</v>
      </c>
      <c r="U10" s="28">
        <f>+H47</f>
        <v>507</v>
      </c>
      <c r="V10" s="44">
        <f t="shared" si="3"/>
        <v>46.090909090909093</v>
      </c>
      <c r="W10" s="45">
        <f t="shared" si="4"/>
        <v>0.69834710743801653</v>
      </c>
      <c r="X10" s="46">
        <f>+K47</f>
        <v>628.94000000000005</v>
      </c>
      <c r="Y10" s="29">
        <f t="shared" si="5"/>
        <v>57.176363636363639</v>
      </c>
      <c r="Z10" s="47">
        <f t="shared" si="6"/>
        <v>0.86630853994490364</v>
      </c>
      <c r="AA10" s="48">
        <f t="shared" si="7"/>
        <v>34.917355371900825</v>
      </c>
      <c r="AB10" s="49">
        <f t="shared" si="8"/>
        <v>47.170500000000004</v>
      </c>
      <c r="AC10" s="139">
        <f t="shared" si="9"/>
        <v>82.087855371900829</v>
      </c>
      <c r="AD10" s="50" t="str">
        <f t="shared" si="10"/>
        <v>80~89</v>
      </c>
      <c r="AE10" s="36"/>
      <c r="AF10" s="37">
        <f>AG10-F10</f>
        <v>-11</v>
      </c>
      <c r="AG10" s="38">
        <f>AN10</f>
        <v>0</v>
      </c>
      <c r="AH10" s="334" t="s">
        <v>36</v>
      </c>
      <c r="AI10" s="39"/>
      <c r="AJ10" s="40">
        <f>IFERROR(Z10/W10*1000,"")</f>
        <v>1240.5128205128206</v>
      </c>
      <c r="AK10" s="39"/>
      <c r="AL10" s="41"/>
      <c r="AM10" s="41"/>
      <c r="AN10" s="41"/>
      <c r="AP10" s="334">
        <f t="shared" si="11"/>
        <v>-11</v>
      </c>
      <c r="AQ10" s="42"/>
    </row>
    <row r="11" spans="2:52" s="334" customFormat="1" ht="102.75" customHeight="1" x14ac:dyDescent="0.3">
      <c r="B11" s="421"/>
      <c r="C11" s="24">
        <f>+C10+1</f>
        <v>19</v>
      </c>
      <c r="D11" s="43" t="s">
        <v>37</v>
      </c>
      <c r="E11" s="26" t="s">
        <v>28</v>
      </c>
      <c r="F11" s="25">
        <v>11</v>
      </c>
      <c r="G11" s="125">
        <v>327</v>
      </c>
      <c r="H11" s="125">
        <f t="shared" si="0"/>
        <v>88.617886178861795</v>
      </c>
      <c r="I11" s="123" t="s">
        <v>85</v>
      </c>
      <c r="J11" s="123" t="s">
        <v>86</v>
      </c>
      <c r="K11" s="123" t="s">
        <v>87</v>
      </c>
      <c r="L11" s="123"/>
      <c r="M11" s="129" t="s">
        <v>90</v>
      </c>
      <c r="N11" s="123" t="s">
        <v>74</v>
      </c>
      <c r="O11" s="123" t="s">
        <v>169</v>
      </c>
      <c r="P11" s="123" t="s">
        <v>231</v>
      </c>
      <c r="Q11" s="123" t="s">
        <v>91</v>
      </c>
      <c r="R11" s="123" t="s">
        <v>89</v>
      </c>
      <c r="S11" s="125">
        <f t="shared" si="1"/>
        <v>6</v>
      </c>
      <c r="T11" s="27">
        <f t="shared" si="2"/>
        <v>726</v>
      </c>
      <c r="U11" s="28">
        <f>+H50</f>
        <v>369</v>
      </c>
      <c r="V11" s="44">
        <f t="shared" si="3"/>
        <v>33.545454545454547</v>
      </c>
      <c r="W11" s="45">
        <f t="shared" si="4"/>
        <v>0.50826446280991733</v>
      </c>
      <c r="X11" s="46">
        <f>+K50</f>
        <v>426.57000000000005</v>
      </c>
      <c r="Y11" s="44">
        <f t="shared" si="5"/>
        <v>38.779090909090911</v>
      </c>
      <c r="Z11" s="47">
        <f t="shared" si="6"/>
        <v>0.58756198347107447</v>
      </c>
      <c r="AA11" s="48">
        <f t="shared" si="7"/>
        <v>25.413223140495866</v>
      </c>
      <c r="AB11" s="49">
        <f t="shared" si="8"/>
        <v>31.992750000000008</v>
      </c>
      <c r="AC11" s="139">
        <f t="shared" si="9"/>
        <v>57.405973140495874</v>
      </c>
      <c r="AD11" s="161" t="str">
        <f t="shared" si="10"/>
        <v xml:space="preserve"> 사유?→</v>
      </c>
      <c r="AE11" s="160" t="s">
        <v>245</v>
      </c>
      <c r="AF11" s="37">
        <f>AG11-F11</f>
        <v>-11</v>
      </c>
      <c r="AG11" s="38">
        <f>AN11</f>
        <v>0</v>
      </c>
      <c r="AH11" s="334" t="s">
        <v>33</v>
      </c>
      <c r="AI11" s="39"/>
      <c r="AJ11" s="40">
        <f>IFERROR(Z11/W11*1000,"")</f>
        <v>1156.0162601626018</v>
      </c>
      <c r="AL11" s="41"/>
      <c r="AM11" s="41"/>
      <c r="AN11" s="41"/>
      <c r="AP11" s="334">
        <f t="shared" si="11"/>
        <v>-11</v>
      </c>
      <c r="AQ11" s="42"/>
    </row>
    <row r="12" spans="2:52" s="334" customFormat="1" ht="102.75" customHeight="1" x14ac:dyDescent="0.3">
      <c r="B12" s="421"/>
      <c r="C12" s="24">
        <f>+C11+1</f>
        <v>20</v>
      </c>
      <c r="D12" s="43" t="s">
        <v>38</v>
      </c>
      <c r="E12" s="26" t="s">
        <v>36</v>
      </c>
      <c r="F12" s="25">
        <v>8</v>
      </c>
      <c r="G12" s="125">
        <v>381</v>
      </c>
      <c r="H12" s="125">
        <f t="shared" si="0"/>
        <v>98.961038961038966</v>
      </c>
      <c r="I12" s="123" t="s">
        <v>85</v>
      </c>
      <c r="J12" s="123" t="s">
        <v>86</v>
      </c>
      <c r="K12" s="123" t="s">
        <v>87</v>
      </c>
      <c r="L12" s="123"/>
      <c r="M12" s="129" t="s">
        <v>90</v>
      </c>
      <c r="N12" s="123" t="s">
        <v>74</v>
      </c>
      <c r="O12" s="123"/>
      <c r="P12" s="123" t="s">
        <v>231</v>
      </c>
      <c r="Q12" s="123" t="s">
        <v>91</v>
      </c>
      <c r="R12" s="123" t="s">
        <v>89</v>
      </c>
      <c r="S12" s="125">
        <f t="shared" si="1"/>
        <v>5.5</v>
      </c>
      <c r="T12" s="339">
        <f t="shared" si="2"/>
        <v>528</v>
      </c>
      <c r="U12" s="28">
        <f>+H53</f>
        <v>385</v>
      </c>
      <c r="V12" s="29">
        <f t="shared" si="3"/>
        <v>48.125</v>
      </c>
      <c r="W12" s="30">
        <f t="shared" si="4"/>
        <v>0.72916666666666663</v>
      </c>
      <c r="X12" s="31">
        <f>+K53</f>
        <v>408.22</v>
      </c>
      <c r="Y12" s="44">
        <f t="shared" si="5"/>
        <v>51.027500000000003</v>
      </c>
      <c r="Z12" s="47">
        <f t="shared" si="6"/>
        <v>0.77314393939393944</v>
      </c>
      <c r="AA12" s="48">
        <f t="shared" si="7"/>
        <v>36.458333333333329</v>
      </c>
      <c r="AB12" s="49">
        <f t="shared" si="8"/>
        <v>42.097687500000006</v>
      </c>
      <c r="AC12" s="139">
        <f t="shared" si="9"/>
        <v>78.556020833333335</v>
      </c>
      <c r="AD12" s="161" t="str">
        <f t="shared" si="10"/>
        <v xml:space="preserve"> 사유?→</v>
      </c>
      <c r="AE12" s="160" t="s">
        <v>247</v>
      </c>
      <c r="AF12" s="37"/>
      <c r="AG12" s="38"/>
      <c r="AI12" s="39"/>
      <c r="AJ12" s="40"/>
      <c r="AL12" s="41"/>
      <c r="AM12" s="41"/>
      <c r="AN12" s="41"/>
      <c r="AP12" s="334">
        <f t="shared" si="11"/>
        <v>-8</v>
      </c>
      <c r="AQ12" s="42"/>
    </row>
    <row r="13" spans="2:52" s="334" customFormat="1" ht="36" customHeight="1" x14ac:dyDescent="0.3">
      <c r="B13" s="422" t="s">
        <v>39</v>
      </c>
      <c r="C13" s="423"/>
      <c r="D13" s="423"/>
      <c r="E13" s="424"/>
      <c r="F13" s="43">
        <f>SUM(F7:F12)</f>
        <v>62.67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>COUNTA(I13:M13)+COUNTA(N13:R13)/2</f>
        <v>0</v>
      </c>
      <c r="T13" s="52">
        <f>SUM(T7:T12)</f>
        <v>4136.22</v>
      </c>
      <c r="U13" s="53">
        <f>SUM(U7:U12)</f>
        <v>2671</v>
      </c>
      <c r="V13" s="54">
        <f>U13/F13</f>
        <v>42.620073400351046</v>
      </c>
      <c r="W13" s="45">
        <f t="shared" si="4"/>
        <v>0.64575868788410673</v>
      </c>
      <c r="X13" s="55">
        <f>SUM(X7:X12)</f>
        <v>2827.91</v>
      </c>
      <c r="Y13" s="44">
        <f>X13/F13</f>
        <v>45.123823200893568</v>
      </c>
      <c r="Z13" s="47">
        <f t="shared" si="6"/>
        <v>0.68369429092262979</v>
      </c>
      <c r="AA13" s="56">
        <f>U13/T13*AA4</f>
        <v>32.287934394205337</v>
      </c>
      <c r="AB13" s="57">
        <f>X13/T13*AB4</f>
        <v>37.227154140737191</v>
      </c>
      <c r="AC13" s="140">
        <f t="shared" si="9"/>
        <v>69.515088534942521</v>
      </c>
      <c r="AD13" s="162" t="str">
        <f t="shared" si="10"/>
        <v xml:space="preserve"> 사유?→</v>
      </c>
      <c r="AE13" s="43"/>
      <c r="AF13" s="37">
        <f>AG13-F13</f>
        <v>-62.67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10.445</v>
      </c>
      <c r="G14" s="338"/>
      <c r="H14" s="338"/>
      <c r="I14" s="338"/>
      <c r="J14" s="338"/>
      <c r="K14" s="338"/>
      <c r="L14" s="338"/>
      <c r="M14" s="338"/>
      <c r="N14" s="338"/>
      <c r="O14" s="338"/>
      <c r="P14" s="338"/>
      <c r="Q14" s="338"/>
      <c r="R14" s="338"/>
      <c r="S14" s="338"/>
      <c r="T14" s="338"/>
      <c r="U14" s="61">
        <f>V14*F14</f>
        <v>445.16666666666669</v>
      </c>
      <c r="V14" s="62">
        <f>U13/F13</f>
        <v>42.620073400351046</v>
      </c>
      <c r="W14" s="63">
        <f>IFERROR(U14/#REF!,0)</f>
        <v>0</v>
      </c>
      <c r="X14" s="64">
        <f>X13/F13*F14</f>
        <v>471.31833333333333</v>
      </c>
      <c r="Y14" s="62">
        <f>IF(F14=0,"휴무",X14/F14)</f>
        <v>45.123823200893568</v>
      </c>
      <c r="Z14" s="65">
        <f>IFERROR(X14/#REF!,0)</f>
        <v>0</v>
      </c>
      <c r="AA14" s="60">
        <f>AVERAGE(AA7:AA12)</f>
        <v>32.481489567654044</v>
      </c>
      <c r="AB14" s="60">
        <f>AVERAGE(AB7:AB12)</f>
        <v>37.468300579896912</v>
      </c>
      <c r="AC14" s="141">
        <f>AA14+AB14</f>
        <v>69.949790147550956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334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330" t="s">
        <v>44</v>
      </c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337" t="s">
        <v>68</v>
      </c>
      <c r="J22" s="18" t="s">
        <v>69</v>
      </c>
      <c r="K22" s="18" t="s">
        <v>71</v>
      </c>
      <c r="L22" s="18" t="s">
        <v>72</v>
      </c>
      <c r="M22" s="18" t="s">
        <v>75</v>
      </c>
      <c r="N22" s="18" t="s">
        <v>75</v>
      </c>
      <c r="O22" s="18" t="s">
        <v>75</v>
      </c>
      <c r="P22" s="18" t="s">
        <v>230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-63</v>
      </c>
    </row>
    <row r="23" spans="2:43" s="334" customFormat="1" ht="99" customHeight="1" thickTop="1" x14ac:dyDescent="0.3">
      <c r="B23" s="420">
        <f>+B7</f>
        <v>6</v>
      </c>
      <c r="C23" s="24">
        <f t="shared" ref="C23:C28" si="12">+C7</f>
        <v>15</v>
      </c>
      <c r="D23" s="25" t="s">
        <v>7</v>
      </c>
      <c r="E23" s="26" t="s">
        <v>28</v>
      </c>
      <c r="F23" s="25">
        <v>11</v>
      </c>
      <c r="G23" s="128">
        <v>219</v>
      </c>
      <c r="H23" s="128">
        <f t="shared" ref="H23:H28" si="13">(G23/U23)*100</f>
        <v>74.744027303754265</v>
      </c>
      <c r="I23" s="123" t="s">
        <v>78</v>
      </c>
      <c r="J23" s="123" t="s">
        <v>88</v>
      </c>
      <c r="K23" s="123" t="s">
        <v>84</v>
      </c>
      <c r="L23" s="123"/>
      <c r="M23" s="129" t="s">
        <v>90</v>
      </c>
      <c r="N23" s="123" t="s">
        <v>74</v>
      </c>
      <c r="O23" s="123" t="s">
        <v>169</v>
      </c>
      <c r="P23" s="123" t="s">
        <v>92</v>
      </c>
      <c r="Q23" s="123" t="s">
        <v>91</v>
      </c>
      <c r="R23" s="123" t="s">
        <v>89</v>
      </c>
      <c r="S23" s="124">
        <f t="shared" ref="S23:S28" si="14">COUNTA(I23:L23)+COUNTA(M23:R23)/2</f>
        <v>6</v>
      </c>
      <c r="T23" s="27">
        <f t="shared" ref="T23:T28" si="15">F23*$D$4*$U$4</f>
        <v>726</v>
      </c>
      <c r="U23" s="28">
        <f>+H58</f>
        <v>293</v>
      </c>
      <c r="V23" s="29">
        <f t="shared" ref="V23:V28" si="16">IF(F23=0,"휴무",U23/F23)</f>
        <v>26.636363636363637</v>
      </c>
      <c r="W23" s="30">
        <f t="shared" ref="W23:W29" si="17">IFERROR(U23/T23,0)</f>
        <v>0.40358126721763088</v>
      </c>
      <c r="X23" s="31">
        <f>+K58</f>
        <v>548.74</v>
      </c>
      <c r="Y23" s="29">
        <f t="shared" ref="Y23:Y28" si="18">IF(F23=0,"휴무",X23/F23)</f>
        <v>49.885454545454543</v>
      </c>
      <c r="Z23" s="32">
        <f t="shared" ref="Z23:Z29" si="19">IFERROR(X23/T23,0)</f>
        <v>0.755840220385675</v>
      </c>
      <c r="AA23" s="33">
        <f t="shared" ref="AA23:AA28" si="20">IF(F23=0,"휴무",U23/T23*$AA$4)</f>
        <v>20.179063360881543</v>
      </c>
      <c r="AB23" s="34">
        <f t="shared" ref="AB23:AB28" si="21">IF(F23=0,"휴무",X23/T23*$AB$4)</f>
        <v>41.155500000000004</v>
      </c>
      <c r="AC23" s="138">
        <f t="shared" ref="AC23:AC29" si="22">IF(F23=0,"휴무",AA23+AB23)</f>
        <v>61.334563360881546</v>
      </c>
      <c r="AD23" s="159" t="str">
        <f t="shared" ref="AD23:AD29" si="23">IF(F23=0,"휴무",IF(AC23&gt;=100,"좋아요",IF(AC23&gt;=90,"90~99",IF(AC23&gt;=80,"80~89"," 사유?→"))))</f>
        <v xml:space="preserve"> 사유?→</v>
      </c>
      <c r="AE23" s="160" t="s">
        <v>241</v>
      </c>
      <c r="AF23" s="37">
        <f>AG23-F23</f>
        <v>-11</v>
      </c>
      <c r="AG23" s="38">
        <f>AN23</f>
        <v>0</v>
      </c>
      <c r="AH23" s="334" t="s">
        <v>29</v>
      </c>
      <c r="AI23" s="39"/>
      <c r="AJ23" s="40">
        <f>IFERROR(Z23/W23*1000,"")</f>
        <v>1872.8327645051195</v>
      </c>
      <c r="AK23" s="39"/>
      <c r="AL23" s="41"/>
      <c r="AM23" s="41"/>
      <c r="AN23" s="41"/>
      <c r="AP23" s="334">
        <f t="shared" ref="AP23:AP28" si="24">AO23-F23</f>
        <v>-11</v>
      </c>
      <c r="AQ23" s="42"/>
    </row>
    <row r="24" spans="2:43" s="334" customFormat="1" ht="99.75" customHeight="1" x14ac:dyDescent="0.3">
      <c r="B24" s="421"/>
      <c r="C24" s="24">
        <f t="shared" si="12"/>
        <v>16</v>
      </c>
      <c r="D24" s="43" t="s">
        <v>30</v>
      </c>
      <c r="E24" s="26" t="s">
        <v>28</v>
      </c>
      <c r="F24" s="25">
        <v>11</v>
      </c>
      <c r="G24" s="125">
        <v>274</v>
      </c>
      <c r="H24" s="125">
        <f t="shared" si="13"/>
        <v>80.116959064327489</v>
      </c>
      <c r="I24" s="123" t="s">
        <v>78</v>
      </c>
      <c r="J24" s="123" t="s">
        <v>88</v>
      </c>
      <c r="K24" s="123" t="s">
        <v>84</v>
      </c>
      <c r="L24" s="123"/>
      <c r="M24" s="129" t="s">
        <v>90</v>
      </c>
      <c r="N24" s="123" t="s">
        <v>74</v>
      </c>
      <c r="O24" s="123" t="s">
        <v>169</v>
      </c>
      <c r="P24" s="123" t="s">
        <v>92</v>
      </c>
      <c r="Q24" s="123" t="s">
        <v>91</v>
      </c>
      <c r="R24" s="123" t="s">
        <v>89</v>
      </c>
      <c r="S24" s="124">
        <f t="shared" si="14"/>
        <v>6</v>
      </c>
      <c r="T24" s="27">
        <f t="shared" si="15"/>
        <v>726</v>
      </c>
      <c r="U24" s="28">
        <f>+H61</f>
        <v>342</v>
      </c>
      <c r="V24" s="44">
        <f t="shared" si="16"/>
        <v>31.09090909090909</v>
      </c>
      <c r="W24" s="45">
        <f t="shared" si="17"/>
        <v>0.47107438016528924</v>
      </c>
      <c r="X24" s="46">
        <f>+K61</f>
        <v>534.54999999999995</v>
      </c>
      <c r="Y24" s="29">
        <f t="shared" si="18"/>
        <v>48.595454545454544</v>
      </c>
      <c r="Z24" s="47">
        <f t="shared" si="19"/>
        <v>0.73629476584022036</v>
      </c>
      <c r="AA24" s="48">
        <f t="shared" si="20"/>
        <v>23.553719008264462</v>
      </c>
      <c r="AB24" s="49">
        <f t="shared" si="21"/>
        <v>40.091250000000002</v>
      </c>
      <c r="AC24" s="139">
        <f t="shared" si="22"/>
        <v>63.644969008264468</v>
      </c>
      <c r="AD24" s="195" t="str">
        <f t="shared" si="23"/>
        <v xml:space="preserve"> 사유?→</v>
      </c>
      <c r="AE24" s="160" t="s">
        <v>243</v>
      </c>
      <c r="AF24" s="37">
        <f>AG24-F24</f>
        <v>-11</v>
      </c>
      <c r="AG24" s="38">
        <f>AN24</f>
        <v>0</v>
      </c>
      <c r="AH24" s="334" t="s">
        <v>34</v>
      </c>
      <c r="AI24" s="39"/>
      <c r="AJ24" s="40">
        <f>IFERROR(Z24/W24*1000,"")</f>
        <v>1563.0116959064326</v>
      </c>
      <c r="AK24" s="39"/>
      <c r="AL24" s="41"/>
      <c r="AM24" s="41"/>
      <c r="AN24" s="41"/>
      <c r="AP24" s="334">
        <f t="shared" si="24"/>
        <v>-11</v>
      </c>
      <c r="AQ24" s="42"/>
    </row>
    <row r="25" spans="2:43" s="334" customFormat="1" ht="97.5" customHeight="1" x14ac:dyDescent="0.3">
      <c r="B25" s="421"/>
      <c r="C25" s="24">
        <f t="shared" si="12"/>
        <v>17</v>
      </c>
      <c r="D25" s="43" t="s">
        <v>32</v>
      </c>
      <c r="E25" s="26" t="s">
        <v>28</v>
      </c>
      <c r="F25" s="25">
        <v>11</v>
      </c>
      <c r="G25" s="124">
        <v>453</v>
      </c>
      <c r="H25" s="124">
        <f t="shared" si="13"/>
        <v>77.56849315068493</v>
      </c>
      <c r="I25" s="123" t="s">
        <v>78</v>
      </c>
      <c r="J25" s="123" t="s">
        <v>88</v>
      </c>
      <c r="K25" s="123" t="s">
        <v>84</v>
      </c>
      <c r="L25" s="123"/>
      <c r="M25" s="129" t="s">
        <v>90</v>
      </c>
      <c r="N25" s="123" t="s">
        <v>74</v>
      </c>
      <c r="O25" s="123" t="s">
        <v>169</v>
      </c>
      <c r="P25" s="123" t="s">
        <v>92</v>
      </c>
      <c r="Q25" s="123" t="s">
        <v>91</v>
      </c>
      <c r="R25" s="123" t="s">
        <v>89</v>
      </c>
      <c r="S25" s="124">
        <f t="shared" si="14"/>
        <v>6</v>
      </c>
      <c r="T25" s="27">
        <f t="shared" si="15"/>
        <v>726</v>
      </c>
      <c r="U25" s="28">
        <f>+H64</f>
        <v>584</v>
      </c>
      <c r="V25" s="44">
        <f t="shared" si="16"/>
        <v>53.090909090909093</v>
      </c>
      <c r="W25" s="45">
        <f t="shared" si="17"/>
        <v>0.80440771349862261</v>
      </c>
      <c r="X25" s="46">
        <f>+K64</f>
        <v>548.58000000000004</v>
      </c>
      <c r="Y25" s="29">
        <f t="shared" si="18"/>
        <v>49.870909090909095</v>
      </c>
      <c r="Z25" s="47">
        <f t="shared" si="19"/>
        <v>0.7556198347107439</v>
      </c>
      <c r="AA25" s="48">
        <f t="shared" si="20"/>
        <v>40.22038567493113</v>
      </c>
      <c r="AB25" s="49">
        <f t="shared" si="21"/>
        <v>41.14350000000001</v>
      </c>
      <c r="AC25" s="139">
        <f t="shared" si="22"/>
        <v>81.36388567493114</v>
      </c>
      <c r="AD25" s="50" t="str">
        <f t="shared" si="23"/>
        <v>80~89</v>
      </c>
      <c r="AE25" s="36"/>
      <c r="AF25" s="37">
        <f>AG25-F25</f>
        <v>-11</v>
      </c>
      <c r="AG25" s="38">
        <f>AN25</f>
        <v>0</v>
      </c>
      <c r="AH25" s="334" t="s">
        <v>36</v>
      </c>
      <c r="AI25" s="39"/>
      <c r="AJ25" s="40">
        <f>IFERROR(Z25/W25*1000,"")</f>
        <v>939.3493150684933</v>
      </c>
      <c r="AK25" s="39"/>
      <c r="AL25" s="41"/>
      <c r="AM25" s="41"/>
      <c r="AN25" s="41"/>
      <c r="AP25" s="334">
        <f t="shared" si="24"/>
        <v>-11</v>
      </c>
      <c r="AQ25" s="42"/>
    </row>
    <row r="26" spans="2:43" s="334" customFormat="1" ht="115.5" customHeight="1" x14ac:dyDescent="0.3">
      <c r="B26" s="421"/>
      <c r="C26" s="24">
        <f t="shared" si="12"/>
        <v>18</v>
      </c>
      <c r="D26" s="43" t="s">
        <v>35</v>
      </c>
      <c r="E26" s="26" t="s">
        <v>28</v>
      </c>
      <c r="F26" s="25">
        <v>11</v>
      </c>
      <c r="G26" s="124">
        <v>591</v>
      </c>
      <c r="H26" s="124">
        <f t="shared" si="13"/>
        <v>97.685950413223139</v>
      </c>
      <c r="I26" s="123" t="s">
        <v>78</v>
      </c>
      <c r="J26" s="123" t="s">
        <v>88</v>
      </c>
      <c r="K26" s="123" t="s">
        <v>84</v>
      </c>
      <c r="L26" s="123"/>
      <c r="M26" s="129" t="s">
        <v>90</v>
      </c>
      <c r="N26" s="123" t="s">
        <v>74</v>
      </c>
      <c r="O26" s="123" t="s">
        <v>169</v>
      </c>
      <c r="P26" s="123" t="s">
        <v>92</v>
      </c>
      <c r="Q26" s="123" t="s">
        <v>91</v>
      </c>
      <c r="R26" s="123" t="s">
        <v>89</v>
      </c>
      <c r="S26" s="124">
        <f t="shared" si="14"/>
        <v>6</v>
      </c>
      <c r="T26" s="27">
        <f t="shared" si="15"/>
        <v>726</v>
      </c>
      <c r="U26" s="28">
        <f>+H67</f>
        <v>605</v>
      </c>
      <c r="V26" s="44">
        <f t="shared" si="16"/>
        <v>55</v>
      </c>
      <c r="W26" s="45">
        <f t="shared" si="17"/>
        <v>0.83333333333333337</v>
      </c>
      <c r="X26" s="46">
        <f>+K67</f>
        <v>505.85</v>
      </c>
      <c r="Y26" s="44">
        <f t="shared" si="18"/>
        <v>45.986363636363642</v>
      </c>
      <c r="Z26" s="47">
        <f t="shared" si="19"/>
        <v>0.69676308539944909</v>
      </c>
      <c r="AA26" s="48">
        <f t="shared" si="20"/>
        <v>41.666666666666671</v>
      </c>
      <c r="AB26" s="49">
        <f t="shared" si="21"/>
        <v>37.938750000000006</v>
      </c>
      <c r="AC26" s="139">
        <f t="shared" si="22"/>
        <v>79.605416666666684</v>
      </c>
      <c r="AD26" s="50" t="s">
        <v>249</v>
      </c>
      <c r="AE26" s="36"/>
      <c r="AF26" s="37">
        <f>AG26-F26</f>
        <v>-11</v>
      </c>
      <c r="AG26" s="38">
        <f>AN26</f>
        <v>0</v>
      </c>
      <c r="AH26" s="334" t="s">
        <v>33</v>
      </c>
      <c r="AI26" s="39"/>
      <c r="AJ26" s="40">
        <f>IFERROR(Z26/W26*1000,"")</f>
        <v>836.11570247933889</v>
      </c>
      <c r="AK26" s="39"/>
      <c r="AL26" s="41"/>
      <c r="AM26" s="41"/>
      <c r="AN26" s="41"/>
      <c r="AP26" s="334">
        <f t="shared" si="24"/>
        <v>-11</v>
      </c>
      <c r="AQ26" s="42"/>
    </row>
    <row r="27" spans="2:43" s="334" customFormat="1" ht="104.25" customHeight="1" x14ac:dyDescent="0.3">
      <c r="B27" s="421"/>
      <c r="C27" s="24">
        <f t="shared" si="12"/>
        <v>19</v>
      </c>
      <c r="D27" s="43" t="s">
        <v>37</v>
      </c>
      <c r="E27" s="26" t="s">
        <v>28</v>
      </c>
      <c r="F27" s="25">
        <v>11</v>
      </c>
      <c r="G27" s="125">
        <v>431</v>
      </c>
      <c r="H27" s="130">
        <f t="shared" si="13"/>
        <v>96.420581655480987</v>
      </c>
      <c r="I27" s="123" t="s">
        <v>78</v>
      </c>
      <c r="J27" s="123" t="s">
        <v>88</v>
      </c>
      <c r="K27" s="123" t="s">
        <v>84</v>
      </c>
      <c r="L27" s="123"/>
      <c r="M27" s="129" t="s">
        <v>90</v>
      </c>
      <c r="N27" s="123" t="s">
        <v>74</v>
      </c>
      <c r="O27" s="123" t="s">
        <v>169</v>
      </c>
      <c r="P27" s="123" t="s">
        <v>92</v>
      </c>
      <c r="Q27" s="123" t="s">
        <v>91</v>
      </c>
      <c r="R27" s="123" t="s">
        <v>89</v>
      </c>
      <c r="S27" s="125">
        <f t="shared" si="14"/>
        <v>6</v>
      </c>
      <c r="T27" s="27">
        <f t="shared" si="15"/>
        <v>726</v>
      </c>
      <c r="U27" s="28">
        <f>+H70</f>
        <v>447</v>
      </c>
      <c r="V27" s="44">
        <f t="shared" si="16"/>
        <v>40.636363636363633</v>
      </c>
      <c r="W27" s="45">
        <f t="shared" si="17"/>
        <v>0.61570247933884292</v>
      </c>
      <c r="X27" s="46">
        <f>+K70</f>
        <v>528.24</v>
      </c>
      <c r="Y27" s="44">
        <f t="shared" si="18"/>
        <v>48.021818181818183</v>
      </c>
      <c r="Z27" s="47">
        <f t="shared" si="19"/>
        <v>0.727603305785124</v>
      </c>
      <c r="AA27" s="48">
        <f t="shared" si="20"/>
        <v>30.785123966942145</v>
      </c>
      <c r="AB27" s="49">
        <f t="shared" si="21"/>
        <v>39.618000000000002</v>
      </c>
      <c r="AC27" s="139">
        <f t="shared" si="22"/>
        <v>70.403123966942147</v>
      </c>
      <c r="AD27" s="161" t="str">
        <f t="shared" si="23"/>
        <v xml:space="preserve"> 사유?→</v>
      </c>
      <c r="AE27" s="160" t="s">
        <v>246</v>
      </c>
      <c r="AF27" s="37">
        <f>AG27-F27</f>
        <v>-11</v>
      </c>
      <c r="AG27" s="38">
        <f>AN27</f>
        <v>0</v>
      </c>
      <c r="AH27" s="334" t="s">
        <v>46</v>
      </c>
      <c r="AI27" s="39"/>
      <c r="AJ27" s="40">
        <f>IFERROR(Z27/W27*1000,"")</f>
        <v>1181.7449664429532</v>
      </c>
      <c r="AL27" s="41"/>
      <c r="AM27" s="41"/>
      <c r="AN27" s="41"/>
      <c r="AP27" s="334">
        <f t="shared" si="24"/>
        <v>-11</v>
      </c>
      <c r="AQ27" s="42"/>
    </row>
    <row r="28" spans="2:43" s="334" customFormat="1" ht="104.25" customHeight="1" x14ac:dyDescent="0.3">
      <c r="B28" s="421"/>
      <c r="C28" s="24">
        <f t="shared" si="12"/>
        <v>20</v>
      </c>
      <c r="D28" s="43" t="s">
        <v>47</v>
      </c>
      <c r="E28" s="26" t="s">
        <v>36</v>
      </c>
      <c r="F28" s="25">
        <v>8</v>
      </c>
      <c r="G28" s="124">
        <v>302</v>
      </c>
      <c r="H28" s="124">
        <f t="shared" si="13"/>
        <v>93.498452012383908</v>
      </c>
      <c r="I28" s="123" t="s">
        <v>78</v>
      </c>
      <c r="J28" s="123" t="s">
        <v>88</v>
      </c>
      <c r="K28" s="123" t="s">
        <v>99</v>
      </c>
      <c r="L28" s="123"/>
      <c r="M28" s="129" t="s">
        <v>90</v>
      </c>
      <c r="N28" s="123" t="s">
        <v>74</v>
      </c>
      <c r="O28" s="123"/>
      <c r="P28" s="123" t="s">
        <v>92</v>
      </c>
      <c r="Q28" s="123" t="s">
        <v>91</v>
      </c>
      <c r="R28" s="123" t="s">
        <v>89</v>
      </c>
      <c r="S28" s="124">
        <f t="shared" si="14"/>
        <v>5.5</v>
      </c>
      <c r="T28" s="339">
        <f t="shared" si="15"/>
        <v>528</v>
      </c>
      <c r="U28" s="28">
        <f>+H73</f>
        <v>323</v>
      </c>
      <c r="V28" s="29">
        <f t="shared" si="16"/>
        <v>40.375</v>
      </c>
      <c r="W28" s="30">
        <f t="shared" si="17"/>
        <v>0.6117424242424242</v>
      </c>
      <c r="X28" s="31">
        <f>+K73</f>
        <v>367.98</v>
      </c>
      <c r="Y28" s="44">
        <f t="shared" si="18"/>
        <v>45.997500000000002</v>
      </c>
      <c r="Z28" s="47">
        <f t="shared" si="19"/>
        <v>0.69693181818181826</v>
      </c>
      <c r="AA28" s="48">
        <f t="shared" si="20"/>
        <v>30.587121212121211</v>
      </c>
      <c r="AB28" s="49">
        <f t="shared" si="21"/>
        <v>37.947937500000009</v>
      </c>
      <c r="AC28" s="139">
        <f t="shared" si="22"/>
        <v>68.535058712121213</v>
      </c>
      <c r="AD28" s="161" t="str">
        <f t="shared" si="23"/>
        <v xml:space="preserve"> 사유?→</v>
      </c>
      <c r="AE28" s="160" t="s">
        <v>248</v>
      </c>
      <c r="AF28" s="37"/>
      <c r="AG28" s="38"/>
      <c r="AI28" s="39"/>
      <c r="AJ28" s="40"/>
      <c r="AL28" s="41"/>
      <c r="AM28" s="41"/>
      <c r="AN28" s="41"/>
      <c r="AP28" s="334">
        <f t="shared" si="24"/>
        <v>-8</v>
      </c>
      <c r="AQ28" s="42"/>
    </row>
    <row r="29" spans="2:43" s="334" customFormat="1" ht="36" customHeight="1" x14ac:dyDescent="0.3">
      <c r="B29" s="422" t="s">
        <v>39</v>
      </c>
      <c r="C29" s="423"/>
      <c r="D29" s="423"/>
      <c r="E29" s="424"/>
      <c r="F29" s="43">
        <f>SUM(F23:F28)</f>
        <v>63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4158</v>
      </c>
      <c r="U29" s="53">
        <f>SUM(U23:U28)</f>
        <v>2594</v>
      </c>
      <c r="V29" s="54">
        <f>U29/F29</f>
        <v>41.174603174603178</v>
      </c>
      <c r="W29" s="45">
        <f t="shared" si="17"/>
        <v>0.62385762385762389</v>
      </c>
      <c r="X29" s="55">
        <f>SUM(X23:X28)</f>
        <v>3033.94</v>
      </c>
      <c r="Y29" s="44">
        <f>X29/F29</f>
        <v>48.157777777777781</v>
      </c>
      <c r="Z29" s="47">
        <f t="shared" si="19"/>
        <v>0.72966329966329968</v>
      </c>
      <c r="AA29" s="56">
        <f>U29/T29*AA20</f>
        <v>31.192881192881195</v>
      </c>
      <c r="AB29" s="57">
        <f>X29/T29*AB20</f>
        <v>39.730166666666669</v>
      </c>
      <c r="AC29" s="140">
        <f t="shared" si="22"/>
        <v>70.923047859547864</v>
      </c>
      <c r="AD29" s="162" t="str">
        <f t="shared" si="23"/>
        <v xml:space="preserve"> 사유?→</v>
      </c>
      <c r="AE29" s="43"/>
      <c r="AF29" s="37">
        <f>AG29-F29</f>
        <v>-63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10.5</v>
      </c>
      <c r="G30" s="338"/>
      <c r="H30" s="338"/>
      <c r="I30" s="338"/>
      <c r="J30" s="338"/>
      <c r="K30" s="338"/>
      <c r="L30" s="338"/>
      <c r="M30" s="338"/>
      <c r="N30" s="338"/>
      <c r="O30" s="338"/>
      <c r="P30" s="338"/>
      <c r="Q30" s="338"/>
      <c r="R30" s="338"/>
      <c r="S30" s="338"/>
      <c r="T30" s="338"/>
      <c r="U30" s="61">
        <f>V30*F30</f>
        <v>432.33333333333337</v>
      </c>
      <c r="V30" s="62">
        <f>U29/F29</f>
        <v>41.174603174603178</v>
      </c>
      <c r="W30" s="63">
        <f>IFERROR(U30/#REF!,0)</f>
        <v>0</v>
      </c>
      <c r="X30" s="64">
        <f>X29/F29*F30</f>
        <v>505.65666666666669</v>
      </c>
      <c r="Y30" s="62">
        <f>IF(F30=0,"휴무",X30/F30)</f>
        <v>48.157777777777781</v>
      </c>
      <c r="Z30" s="65">
        <f>IFERROR(X30/#REF!,0)</f>
        <v>0</v>
      </c>
      <c r="AA30" s="60">
        <f>AVERAGE(AA23:AA28)</f>
        <v>31.165346648301195</v>
      </c>
      <c r="AB30" s="60">
        <f>AVERAGE(AB23:AB28)</f>
        <v>39.649156250000004</v>
      </c>
      <c r="AC30" s="141">
        <f>AA30+AB30</f>
        <v>70.8145028983012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334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15</v>
      </c>
      <c r="F36" s="455" t="s">
        <v>7</v>
      </c>
      <c r="G36" s="82" t="s">
        <v>48</v>
      </c>
      <c r="H36" s="83">
        <f>409-25</f>
        <v>384</v>
      </c>
      <c r="I36" s="84"/>
      <c r="J36" s="85"/>
      <c r="K36" s="86">
        <f>409.24-54.3</f>
        <v>354.94</v>
      </c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>
        <v>25</v>
      </c>
      <c r="I37" s="84"/>
      <c r="J37" s="85"/>
      <c r="K37" s="86">
        <v>54.3</v>
      </c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434</v>
      </c>
      <c r="I38" s="88"/>
      <c r="J38" s="89"/>
      <c r="K38" s="90">
        <f>+K36+K37*2</f>
        <v>463.53999999999996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16</v>
      </c>
      <c r="F39" s="455" t="s">
        <v>52</v>
      </c>
      <c r="G39" s="82" t="s">
        <v>48</v>
      </c>
      <c r="H39" s="83">
        <v>504</v>
      </c>
      <c r="I39" s="84"/>
      <c r="J39" s="85"/>
      <c r="K39" s="86">
        <f>361.94-6.12</f>
        <v>355.82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>
        <v>3</v>
      </c>
      <c r="I40" s="84"/>
      <c r="J40" s="85"/>
      <c r="K40" s="86">
        <v>6.12</v>
      </c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510</v>
      </c>
      <c r="I41" s="88"/>
      <c r="J41" s="89"/>
      <c r="K41" s="90">
        <f>+K39+K40*2</f>
        <v>368.06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17</v>
      </c>
      <c r="F42" s="455" t="s">
        <v>53</v>
      </c>
      <c r="G42" s="82" t="s">
        <v>48</v>
      </c>
      <c r="H42" s="83">
        <v>466</v>
      </c>
      <c r="I42" s="84"/>
      <c r="J42" s="85"/>
      <c r="K42" s="86">
        <v>532.58000000000004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466</v>
      </c>
      <c r="I44" s="88"/>
      <c r="J44" s="89"/>
      <c r="K44" s="90">
        <f>+K42+K43*2</f>
        <v>532.58000000000004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18</v>
      </c>
      <c r="F45" s="455" t="s">
        <v>55</v>
      </c>
      <c r="G45" s="82" t="s">
        <v>48</v>
      </c>
      <c r="H45" s="83">
        <v>507</v>
      </c>
      <c r="I45" s="84"/>
      <c r="J45" s="85"/>
      <c r="K45" s="86">
        <v>628.94000000000005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507</v>
      </c>
      <c r="I47" s="88"/>
      <c r="J47" s="89"/>
      <c r="K47" s="90">
        <f>+K45+K46*2</f>
        <v>628.94000000000005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19</v>
      </c>
      <c r="F48" s="455" t="s">
        <v>56</v>
      </c>
      <c r="G48" s="82" t="s">
        <v>48</v>
      </c>
      <c r="H48" s="83">
        <f>338-31</f>
        <v>307</v>
      </c>
      <c r="I48" s="84"/>
      <c r="J48" s="85"/>
      <c r="K48" s="86">
        <f>379.18-47.39</f>
        <v>331.79</v>
      </c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>
        <v>31</v>
      </c>
      <c r="I49" s="84"/>
      <c r="J49" s="85"/>
      <c r="K49" s="86">
        <v>47.39</v>
      </c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369</v>
      </c>
      <c r="I50" s="88"/>
      <c r="J50" s="89"/>
      <c r="K50" s="90">
        <f>+K48+K49*2</f>
        <v>426.57000000000005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20</v>
      </c>
      <c r="F51" s="455" t="s">
        <v>38</v>
      </c>
      <c r="G51" s="82" t="s">
        <v>48</v>
      </c>
      <c r="H51" s="83">
        <v>385</v>
      </c>
      <c r="I51" s="84"/>
      <c r="J51" s="85"/>
      <c r="K51" s="86">
        <v>408.22</v>
      </c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385</v>
      </c>
      <c r="I53" s="88"/>
      <c r="J53" s="89"/>
      <c r="K53" s="90">
        <f>+K51+K52*2</f>
        <v>408.22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15</v>
      </c>
      <c r="F56" s="455" t="s">
        <v>7</v>
      </c>
      <c r="G56" s="82" t="s">
        <v>48</v>
      </c>
      <c r="H56" s="83">
        <f>229-64</f>
        <v>165</v>
      </c>
      <c r="I56" s="84"/>
      <c r="J56" s="85"/>
      <c r="K56" s="86">
        <f>374.48-174.26</f>
        <v>200.22000000000003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>
        <v>64</v>
      </c>
      <c r="I57" s="84"/>
      <c r="J57" s="85"/>
      <c r="K57" s="86">
        <v>174.26</v>
      </c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293</v>
      </c>
      <c r="I58" s="88"/>
      <c r="J58" s="89"/>
      <c r="K58" s="90">
        <f>+K56+K57*2</f>
        <v>548.74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16</v>
      </c>
      <c r="F59" s="455" t="s">
        <v>52</v>
      </c>
      <c r="G59" s="82" t="s">
        <v>48</v>
      </c>
      <c r="H59" s="83">
        <f>287-55</f>
        <v>232</v>
      </c>
      <c r="I59" s="84"/>
      <c r="J59" s="85"/>
      <c r="K59" s="86">
        <f>426.86-107.69</f>
        <v>319.17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>
        <v>55</v>
      </c>
      <c r="I60" s="84"/>
      <c r="J60" s="85"/>
      <c r="K60" s="86">
        <v>107.69</v>
      </c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342</v>
      </c>
      <c r="I61" s="88"/>
      <c r="J61" s="89"/>
      <c r="K61" s="90">
        <f>+K59+K60*2</f>
        <v>534.54999999999995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17</v>
      </c>
      <c r="F62" s="455" t="s">
        <v>53</v>
      </c>
      <c r="G62" s="82" t="s">
        <v>48</v>
      </c>
      <c r="H62" s="83">
        <f>581-3</f>
        <v>578</v>
      </c>
      <c r="I62" s="84"/>
      <c r="J62" s="85"/>
      <c r="K62" s="86">
        <f>543.46-5.12</f>
        <v>538.34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>
        <v>3</v>
      </c>
      <c r="I63" s="84"/>
      <c r="J63" s="85"/>
      <c r="K63" s="86">
        <v>5.12</v>
      </c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584</v>
      </c>
      <c r="I64" s="88"/>
      <c r="J64" s="89"/>
      <c r="K64" s="90">
        <f>+K62+K63*2</f>
        <v>548.58000000000004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18</v>
      </c>
      <c r="F65" s="455" t="s">
        <v>55</v>
      </c>
      <c r="G65" s="82" t="s">
        <v>48</v>
      </c>
      <c r="H65" s="83">
        <f>593-12</f>
        <v>581</v>
      </c>
      <c r="I65" s="84"/>
      <c r="J65" s="85"/>
      <c r="K65" s="86">
        <f>500.45-5.4</f>
        <v>495.05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>
        <v>12</v>
      </c>
      <c r="I66" s="84"/>
      <c r="J66" s="85"/>
      <c r="K66" s="86">
        <v>5.4</v>
      </c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605</v>
      </c>
      <c r="I67" s="88"/>
      <c r="J67" s="89"/>
      <c r="K67" s="90">
        <f>+K65+K66*2</f>
        <v>505.85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19</v>
      </c>
      <c r="F68" s="455" t="s">
        <v>56</v>
      </c>
      <c r="G68" s="82" t="s">
        <v>48</v>
      </c>
      <c r="H68" s="83">
        <f>434-13</f>
        <v>421</v>
      </c>
      <c r="I68" s="84"/>
      <c r="J68" s="85"/>
      <c r="K68" s="86">
        <f>484.12-44.12</f>
        <v>440</v>
      </c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>
        <v>13</v>
      </c>
      <c r="I69" s="84"/>
      <c r="J69" s="85"/>
      <c r="K69" s="86">
        <v>44.12</v>
      </c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447</v>
      </c>
      <c r="I70" s="88"/>
      <c r="J70" s="89"/>
      <c r="K70" s="90">
        <f>+K68+K69*2</f>
        <v>528.24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20</v>
      </c>
      <c r="F71" s="455" t="s">
        <v>38</v>
      </c>
      <c r="G71" s="82" t="s">
        <v>48</v>
      </c>
      <c r="H71" s="83">
        <f>314-9</f>
        <v>305</v>
      </c>
      <c r="I71" s="84"/>
      <c r="J71" s="85"/>
      <c r="K71" s="86">
        <f>364.1-3.88</f>
        <v>360.22</v>
      </c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>
        <v>9</v>
      </c>
      <c r="I72" s="84"/>
      <c r="J72" s="85"/>
      <c r="K72" s="86">
        <v>3.88</v>
      </c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323</v>
      </c>
      <c r="I73" s="88"/>
      <c r="J73" s="89"/>
      <c r="K73" s="90">
        <f>+K71+K72*2</f>
        <v>367.98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337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5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6">IF(F80=0,"휴무",AA80+AB80)</f>
        <v>#REF!</v>
      </c>
      <c r="AD80" s="103" t="e">
        <f t="shared" ref="AD80:AD85" si="27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334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334"/>
      <c r="AP80" s="334">
        <f>AO80-F80</f>
        <v>-10</v>
      </c>
    </row>
    <row r="81" spans="2:42" ht="98.25" customHeight="1" x14ac:dyDescent="0.3">
      <c r="B81" s="459"/>
      <c r="C81" s="92">
        <v>20</v>
      </c>
      <c r="D81" s="333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5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6"/>
        <v>#REF!</v>
      </c>
      <c r="AD81" s="108" t="e">
        <f t="shared" si="27"/>
        <v>#REF!</v>
      </c>
      <c r="AE81" s="109"/>
      <c r="AF81" s="37">
        <f>AG81-F81</f>
        <v>-10</v>
      </c>
      <c r="AG81" s="38">
        <f>AN81</f>
        <v>0</v>
      </c>
      <c r="AH81" s="334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334"/>
      <c r="AP81" s="334">
        <f>AO81-F81</f>
        <v>-10</v>
      </c>
    </row>
    <row r="82" spans="2:42" ht="98.25" customHeight="1" x14ac:dyDescent="0.3">
      <c r="B82" s="459"/>
      <c r="C82" s="92">
        <v>21</v>
      </c>
      <c r="D82" s="333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5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6"/>
        <v>#REF!</v>
      </c>
      <c r="AD82" s="108" t="e">
        <f t="shared" si="27"/>
        <v>#REF!</v>
      </c>
      <c r="AE82" s="109"/>
      <c r="AF82" s="37">
        <f>AG82-F82</f>
        <v>-10</v>
      </c>
      <c r="AG82" s="38">
        <f>AN82</f>
        <v>0</v>
      </c>
      <c r="AH82" s="334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334"/>
      <c r="AP82" s="334">
        <f>AO82-F82</f>
        <v>-10</v>
      </c>
    </row>
    <row r="83" spans="2:42" ht="98.25" customHeight="1" x14ac:dyDescent="0.3">
      <c r="B83" s="459"/>
      <c r="C83" s="92">
        <v>22</v>
      </c>
      <c r="D83" s="333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5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6"/>
        <v>#REF!</v>
      </c>
      <c r="AD83" s="110" t="e">
        <f t="shared" si="27"/>
        <v>#REF!</v>
      </c>
      <c r="AE83" s="104"/>
      <c r="AF83" s="37">
        <f>AG83-F83</f>
        <v>-10</v>
      </c>
      <c r="AG83" s="38">
        <f>AN83</f>
        <v>0</v>
      </c>
      <c r="AH83" s="334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334"/>
      <c r="AP83" s="334">
        <f>AO83-F83</f>
        <v>-10</v>
      </c>
    </row>
    <row r="84" spans="2:42" ht="98.25" customHeight="1" x14ac:dyDescent="0.3">
      <c r="B84" s="459"/>
      <c r="C84" s="92">
        <v>23</v>
      </c>
      <c r="D84" s="333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5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6"/>
        <v>#REF!</v>
      </c>
      <c r="AD84" s="110" t="e">
        <f t="shared" si="27"/>
        <v>#REF!</v>
      </c>
      <c r="AE84" s="104"/>
      <c r="AF84" s="37">
        <f>AG84-F84</f>
        <v>-10</v>
      </c>
      <c r="AG84" s="38">
        <f>AN84</f>
        <v>0</v>
      </c>
      <c r="AH84" s="334" t="s">
        <v>46</v>
      </c>
      <c r="AI84" s="39"/>
      <c r="AJ84" s="40" t="str">
        <f>IFERROR(Z84/W84*1000,"")</f>
        <v/>
      </c>
      <c r="AK84" s="334"/>
      <c r="AL84" s="41"/>
      <c r="AM84" s="41"/>
      <c r="AN84" s="41"/>
      <c r="AO84" s="334"/>
      <c r="AP84" s="334">
        <f>AO84-F84</f>
        <v>-10</v>
      </c>
    </row>
    <row r="85" spans="2:42" ht="98.25" customHeight="1" x14ac:dyDescent="0.3">
      <c r="B85" s="459"/>
      <c r="C85" s="92">
        <v>25</v>
      </c>
      <c r="D85" s="333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338"/>
      <c r="H85" s="338"/>
      <c r="I85" s="338"/>
      <c r="J85" s="338"/>
      <c r="K85" s="338"/>
      <c r="L85" s="338"/>
      <c r="M85" s="338"/>
      <c r="N85" s="338"/>
      <c r="O85" s="338"/>
      <c r="P85" s="338"/>
      <c r="Q85" s="338"/>
      <c r="R85" s="338"/>
      <c r="S85" s="338"/>
      <c r="T85" s="338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5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6"/>
        <v>휴무</v>
      </c>
      <c r="AD85" s="110" t="str">
        <f t="shared" si="27"/>
        <v>휴무</v>
      </c>
      <c r="AE85" s="104"/>
      <c r="AF85" s="37"/>
      <c r="AG85" s="38"/>
      <c r="AH85" s="334"/>
      <c r="AI85" s="39"/>
      <c r="AJ85" s="40"/>
      <c r="AK85" s="334"/>
      <c r="AL85" s="41"/>
      <c r="AM85" s="41"/>
      <c r="AN85" s="41"/>
      <c r="AO85" s="334"/>
      <c r="AP85" s="334"/>
    </row>
    <row r="86" spans="2:42" ht="36" customHeight="1" x14ac:dyDescent="0.3">
      <c r="B86" s="460" t="s">
        <v>39</v>
      </c>
      <c r="C86" s="461"/>
      <c r="D86" s="461"/>
      <c r="E86" s="462"/>
      <c r="F86" s="333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333"/>
      <c r="AB86" s="332"/>
      <c r="AC86" s="114"/>
      <c r="AD86" s="115"/>
      <c r="AE86" s="335"/>
      <c r="AF86" s="37">
        <f>AG86-F86</f>
        <v>-50</v>
      </c>
      <c r="AG86" s="38">
        <f>SUM(AG80:AG85)</f>
        <v>0</v>
      </c>
      <c r="AH86" s="334"/>
      <c r="AI86" s="334"/>
      <c r="AJ86" s="40"/>
      <c r="AK86" s="334"/>
      <c r="AL86" s="59"/>
      <c r="AM86" s="59"/>
      <c r="AN86" s="59"/>
      <c r="AO86" s="334"/>
      <c r="AP86" s="334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338"/>
      <c r="H87" s="338"/>
      <c r="I87" s="338"/>
      <c r="J87" s="338"/>
      <c r="K87" s="338"/>
      <c r="L87" s="338"/>
      <c r="M87" s="338"/>
      <c r="N87" s="338"/>
      <c r="O87" s="338"/>
      <c r="P87" s="338"/>
      <c r="Q87" s="338"/>
      <c r="R87" s="338"/>
      <c r="S87" s="338"/>
      <c r="T87" s="338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334"/>
      <c r="AE88" s="334"/>
      <c r="AF88" s="334"/>
      <c r="AG88" s="334"/>
      <c r="AH88" s="334"/>
      <c r="AI88" s="334"/>
      <c r="AJ88" s="334"/>
      <c r="AK88" s="334"/>
      <c r="AL88" s="59"/>
      <c r="AM88" s="59"/>
      <c r="AN88" s="59"/>
      <c r="AO88" s="334"/>
      <c r="AP88" s="334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333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333" t="s">
        <v>63</v>
      </c>
      <c r="D117" s="466" t="s">
        <v>12</v>
      </c>
      <c r="E117" s="466"/>
      <c r="F117" s="333" t="s">
        <v>64</v>
      </c>
      <c r="G117" s="333"/>
      <c r="H117" s="333"/>
      <c r="I117" s="333"/>
      <c r="J117" s="333"/>
      <c r="K117" s="333"/>
      <c r="L117" s="333"/>
      <c r="M117" s="333"/>
      <c r="N117" s="333"/>
      <c r="O117" s="333"/>
      <c r="P117" s="333"/>
      <c r="Q117" s="333"/>
      <c r="R117" s="333"/>
      <c r="S117" s="333"/>
      <c r="T117" s="333"/>
      <c r="U117" s="333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333"/>
      <c r="G118" s="333"/>
      <c r="H118" s="333"/>
      <c r="I118" s="333"/>
      <c r="J118" s="333"/>
      <c r="K118" s="333"/>
      <c r="L118" s="333"/>
      <c r="M118" s="333"/>
      <c r="N118" s="333"/>
      <c r="O118" s="333"/>
      <c r="P118" s="333"/>
      <c r="Q118" s="333"/>
      <c r="R118" s="333"/>
      <c r="S118" s="333"/>
      <c r="T118" s="333"/>
      <c r="U118" s="333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333"/>
      <c r="G119" s="333"/>
      <c r="H119" s="333"/>
      <c r="I119" s="333"/>
      <c r="J119" s="333"/>
      <c r="K119" s="333"/>
      <c r="L119" s="333"/>
      <c r="M119" s="333"/>
      <c r="N119" s="333"/>
      <c r="O119" s="333"/>
      <c r="P119" s="333"/>
      <c r="Q119" s="333"/>
      <c r="R119" s="333"/>
      <c r="S119" s="333"/>
      <c r="T119" s="333"/>
      <c r="U119" s="333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333"/>
      <c r="G120" s="333"/>
      <c r="H120" s="333"/>
      <c r="I120" s="333"/>
      <c r="J120" s="333"/>
      <c r="K120" s="333"/>
      <c r="L120" s="333"/>
      <c r="M120" s="333"/>
      <c r="N120" s="333"/>
      <c r="O120" s="333"/>
      <c r="P120" s="333"/>
      <c r="Q120" s="333"/>
      <c r="R120" s="333"/>
      <c r="S120" s="333"/>
      <c r="T120" s="333"/>
      <c r="U120" s="333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333"/>
      <c r="G122" s="333"/>
      <c r="H122" s="333"/>
      <c r="I122" s="333"/>
      <c r="J122" s="333"/>
      <c r="K122" s="333"/>
      <c r="L122" s="333"/>
      <c r="M122" s="333"/>
      <c r="N122" s="333"/>
      <c r="O122" s="333"/>
      <c r="P122" s="333"/>
      <c r="Q122" s="333"/>
      <c r="R122" s="333"/>
      <c r="S122" s="333"/>
      <c r="T122" s="333"/>
      <c r="U122" s="333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333"/>
      <c r="G123" s="333"/>
      <c r="H123" s="333"/>
      <c r="I123" s="333"/>
      <c r="J123" s="333"/>
      <c r="K123" s="333"/>
      <c r="L123" s="333"/>
      <c r="M123" s="333"/>
      <c r="N123" s="333"/>
      <c r="O123" s="333"/>
      <c r="P123" s="333"/>
      <c r="Q123" s="333"/>
      <c r="R123" s="333"/>
      <c r="S123" s="333"/>
      <c r="T123" s="333"/>
      <c r="U123" s="333"/>
      <c r="V123" s="117"/>
      <c r="W123" s="118"/>
      <c r="X123" s="116"/>
      <c r="Y123" s="117"/>
      <c r="Z123" s="116"/>
      <c r="AA123" s="116"/>
    </row>
    <row r="124" spans="3:27" x14ac:dyDescent="0.3">
      <c r="C124" s="333"/>
      <c r="D124" s="460"/>
      <c r="E124" s="462"/>
      <c r="F124" s="333"/>
      <c r="G124" s="333"/>
      <c r="H124" s="333"/>
      <c r="I124" s="333"/>
      <c r="J124" s="333"/>
      <c r="K124" s="333"/>
      <c r="L124" s="333"/>
      <c r="M124" s="333"/>
      <c r="N124" s="333"/>
      <c r="O124" s="333"/>
      <c r="P124" s="333"/>
      <c r="Q124" s="333"/>
      <c r="R124" s="333"/>
      <c r="S124" s="333"/>
      <c r="T124" s="333"/>
      <c r="U124" s="333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333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333" t="s">
        <v>63</v>
      </c>
      <c r="D127" s="466" t="s">
        <v>12</v>
      </c>
      <c r="E127" s="466"/>
      <c r="F127" s="333" t="s">
        <v>64</v>
      </c>
      <c r="G127" s="333"/>
      <c r="H127" s="333"/>
      <c r="I127" s="333"/>
      <c r="J127" s="333"/>
      <c r="K127" s="333"/>
      <c r="L127" s="333"/>
      <c r="M127" s="333"/>
      <c r="N127" s="333"/>
      <c r="O127" s="333"/>
      <c r="P127" s="333"/>
      <c r="Q127" s="333"/>
      <c r="R127" s="333"/>
      <c r="S127" s="333"/>
      <c r="T127" s="333"/>
      <c r="U127" s="333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333"/>
      <c r="G128" s="333"/>
      <c r="H128" s="333"/>
      <c r="I128" s="333"/>
      <c r="J128" s="333"/>
      <c r="K128" s="333"/>
      <c r="L128" s="333"/>
      <c r="M128" s="333"/>
      <c r="N128" s="333"/>
      <c r="O128" s="333"/>
      <c r="P128" s="333"/>
      <c r="Q128" s="333"/>
      <c r="R128" s="333"/>
      <c r="S128" s="333"/>
      <c r="T128" s="333"/>
      <c r="U128" s="333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333"/>
      <c r="G129" s="333"/>
      <c r="H129" s="333"/>
      <c r="I129" s="333"/>
      <c r="J129" s="333"/>
      <c r="K129" s="333"/>
      <c r="L129" s="333"/>
      <c r="M129" s="333"/>
      <c r="N129" s="333"/>
      <c r="O129" s="333"/>
      <c r="P129" s="333"/>
      <c r="Q129" s="333"/>
      <c r="R129" s="333"/>
      <c r="S129" s="333"/>
      <c r="T129" s="333"/>
      <c r="U129" s="333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333"/>
      <c r="G130" s="333"/>
      <c r="H130" s="333"/>
      <c r="I130" s="333"/>
      <c r="J130" s="333"/>
      <c r="K130" s="333"/>
      <c r="L130" s="333"/>
      <c r="M130" s="333"/>
      <c r="N130" s="333"/>
      <c r="O130" s="333"/>
      <c r="P130" s="333"/>
      <c r="Q130" s="333"/>
      <c r="R130" s="333"/>
      <c r="S130" s="333"/>
      <c r="T130" s="333"/>
      <c r="U130" s="333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333"/>
      <c r="G131" s="333"/>
      <c r="H131" s="333"/>
      <c r="I131" s="333"/>
      <c r="J131" s="333"/>
      <c r="K131" s="333"/>
      <c r="L131" s="333"/>
      <c r="M131" s="333"/>
      <c r="N131" s="333"/>
      <c r="O131" s="333"/>
      <c r="P131" s="333"/>
      <c r="Q131" s="333"/>
      <c r="R131" s="333"/>
      <c r="S131" s="333"/>
      <c r="T131" s="333"/>
      <c r="U131" s="333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333"/>
      <c r="G132" s="333"/>
      <c r="H132" s="333"/>
      <c r="I132" s="333"/>
      <c r="J132" s="333"/>
      <c r="K132" s="333"/>
      <c r="L132" s="333"/>
      <c r="M132" s="333"/>
      <c r="N132" s="333"/>
      <c r="O132" s="333"/>
      <c r="P132" s="333"/>
      <c r="Q132" s="333"/>
      <c r="R132" s="333"/>
      <c r="S132" s="333"/>
      <c r="T132" s="333"/>
      <c r="U132" s="333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333"/>
      <c r="G133" s="333"/>
      <c r="H133" s="333"/>
      <c r="I133" s="333"/>
      <c r="J133" s="333"/>
      <c r="K133" s="333"/>
      <c r="L133" s="333"/>
      <c r="M133" s="333"/>
      <c r="N133" s="333"/>
      <c r="O133" s="333"/>
      <c r="P133" s="333"/>
      <c r="Q133" s="333"/>
      <c r="R133" s="333"/>
      <c r="S133" s="333"/>
      <c r="T133" s="333"/>
      <c r="U133" s="333"/>
      <c r="V133" s="117"/>
      <c r="W133" s="118"/>
      <c r="X133" s="116"/>
      <c r="Y133" s="117"/>
      <c r="Z133" s="116"/>
      <c r="AA133" s="116"/>
    </row>
    <row r="134" spans="3:27" x14ac:dyDescent="0.3">
      <c r="C134" s="333"/>
      <c r="D134" s="460"/>
      <c r="E134" s="462"/>
      <c r="F134" s="333"/>
      <c r="G134" s="333"/>
      <c r="H134" s="333"/>
      <c r="I134" s="333"/>
      <c r="J134" s="333"/>
      <c r="K134" s="333"/>
      <c r="L134" s="333"/>
      <c r="M134" s="333"/>
      <c r="N134" s="333"/>
      <c r="O134" s="333"/>
      <c r="P134" s="333"/>
      <c r="Q134" s="333"/>
      <c r="R134" s="333"/>
      <c r="S134" s="333"/>
      <c r="T134" s="333"/>
      <c r="U134" s="333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333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333" t="s">
        <v>63</v>
      </c>
      <c r="D137" s="466" t="s">
        <v>12</v>
      </c>
      <c r="E137" s="466"/>
      <c r="F137" s="333" t="s">
        <v>64</v>
      </c>
      <c r="G137" s="333"/>
      <c r="H137" s="333"/>
      <c r="I137" s="333"/>
      <c r="J137" s="333"/>
      <c r="K137" s="333"/>
      <c r="L137" s="333"/>
      <c r="M137" s="333"/>
      <c r="N137" s="333"/>
      <c r="O137" s="333"/>
      <c r="P137" s="333"/>
      <c r="Q137" s="333"/>
      <c r="R137" s="333"/>
      <c r="S137" s="333"/>
      <c r="T137" s="333"/>
      <c r="U137" s="333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333"/>
      <c r="G138" s="333"/>
      <c r="H138" s="333"/>
      <c r="I138" s="333"/>
      <c r="J138" s="333"/>
      <c r="K138" s="333"/>
      <c r="L138" s="333"/>
      <c r="M138" s="333"/>
      <c r="N138" s="333"/>
      <c r="O138" s="333"/>
      <c r="P138" s="333"/>
      <c r="Q138" s="333"/>
      <c r="R138" s="333"/>
      <c r="S138" s="333"/>
      <c r="T138" s="333"/>
      <c r="U138" s="333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333"/>
      <c r="G139" s="333"/>
      <c r="H139" s="333"/>
      <c r="I139" s="333"/>
      <c r="J139" s="333"/>
      <c r="K139" s="333"/>
      <c r="L139" s="333"/>
      <c r="M139" s="333"/>
      <c r="N139" s="333"/>
      <c r="O139" s="333"/>
      <c r="P139" s="333"/>
      <c r="Q139" s="333"/>
      <c r="R139" s="333"/>
      <c r="S139" s="333"/>
      <c r="T139" s="333"/>
      <c r="U139" s="333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333"/>
      <c r="G140" s="333"/>
      <c r="H140" s="333"/>
      <c r="I140" s="333"/>
      <c r="J140" s="333"/>
      <c r="K140" s="333"/>
      <c r="L140" s="333"/>
      <c r="M140" s="333"/>
      <c r="N140" s="333"/>
      <c r="O140" s="333"/>
      <c r="P140" s="333"/>
      <c r="Q140" s="333"/>
      <c r="R140" s="333"/>
      <c r="S140" s="333"/>
      <c r="T140" s="333"/>
      <c r="U140" s="333"/>
    </row>
    <row r="141" spans="3:27" x14ac:dyDescent="0.3">
      <c r="C141" s="119">
        <v>45078</v>
      </c>
      <c r="D141" s="466"/>
      <c r="E141" s="466"/>
      <c r="F141" s="333"/>
      <c r="G141" s="333"/>
      <c r="H141" s="333"/>
      <c r="I141" s="333"/>
      <c r="J141" s="333"/>
      <c r="K141" s="333"/>
      <c r="L141" s="333"/>
      <c r="M141" s="333"/>
      <c r="N141" s="333"/>
      <c r="O141" s="333"/>
      <c r="P141" s="333"/>
      <c r="Q141" s="333"/>
      <c r="R141" s="333"/>
      <c r="S141" s="333"/>
      <c r="T141" s="333"/>
      <c r="U141" s="333"/>
    </row>
    <row r="142" spans="3:27" x14ac:dyDescent="0.3">
      <c r="C142" s="119">
        <v>45079</v>
      </c>
      <c r="D142" s="466"/>
      <c r="E142" s="466"/>
      <c r="F142" s="333"/>
      <c r="G142" s="333"/>
      <c r="H142" s="333"/>
      <c r="I142" s="333"/>
      <c r="J142" s="333"/>
      <c r="K142" s="333"/>
      <c r="L142" s="333"/>
      <c r="M142" s="333"/>
      <c r="N142" s="333"/>
      <c r="O142" s="333"/>
      <c r="P142" s="333"/>
      <c r="Q142" s="333"/>
      <c r="R142" s="333"/>
      <c r="S142" s="333"/>
      <c r="T142" s="333"/>
      <c r="U142" s="333"/>
    </row>
    <row r="143" spans="3:27" x14ac:dyDescent="0.3">
      <c r="C143" s="119">
        <v>45080</v>
      </c>
      <c r="D143" s="466"/>
      <c r="E143" s="466"/>
      <c r="F143" s="333"/>
      <c r="G143" s="333"/>
      <c r="H143" s="333"/>
      <c r="I143" s="333"/>
      <c r="J143" s="333"/>
      <c r="K143" s="333"/>
      <c r="L143" s="333"/>
      <c r="M143" s="333"/>
      <c r="N143" s="333"/>
      <c r="O143" s="333"/>
      <c r="P143" s="333"/>
      <c r="Q143" s="333"/>
      <c r="R143" s="333"/>
      <c r="S143" s="333"/>
      <c r="T143" s="333"/>
      <c r="U143" s="333"/>
    </row>
    <row r="144" spans="3:27" x14ac:dyDescent="0.3">
      <c r="C144" s="333"/>
      <c r="D144" s="460"/>
      <c r="E144" s="462"/>
      <c r="F144" s="333"/>
      <c r="G144" s="333"/>
      <c r="H144" s="333"/>
      <c r="I144" s="333"/>
      <c r="J144" s="333"/>
      <c r="K144" s="333"/>
      <c r="L144" s="333"/>
      <c r="M144" s="333"/>
      <c r="N144" s="333"/>
      <c r="O144" s="333"/>
      <c r="P144" s="333"/>
      <c r="Q144" s="333"/>
      <c r="R144" s="333"/>
      <c r="S144" s="333"/>
      <c r="T144" s="333"/>
      <c r="U144" s="333"/>
    </row>
  </sheetData>
  <mergeCells count="111">
    <mergeCell ref="D144:E144"/>
    <mergeCell ref="D138:E138"/>
    <mergeCell ref="D139:E139"/>
    <mergeCell ref="D140:E140"/>
    <mergeCell ref="D141:E141"/>
    <mergeCell ref="D142:E142"/>
    <mergeCell ref="D143:E143"/>
    <mergeCell ref="D130:E130"/>
    <mergeCell ref="D131:E131"/>
    <mergeCell ref="D132:E132"/>
    <mergeCell ref="D133:E133"/>
    <mergeCell ref="D134:E134"/>
    <mergeCell ref="D137:E137"/>
    <mergeCell ref="D122:E122"/>
    <mergeCell ref="D123:E123"/>
    <mergeCell ref="D124:E124"/>
    <mergeCell ref="D127:E127"/>
    <mergeCell ref="D128:E128"/>
    <mergeCell ref="D129:E129"/>
    <mergeCell ref="C114:U114"/>
    <mergeCell ref="D117:E117"/>
    <mergeCell ref="D118:E118"/>
    <mergeCell ref="D119:E119"/>
    <mergeCell ref="D120:E120"/>
    <mergeCell ref="D121:E121"/>
    <mergeCell ref="E101:E103"/>
    <mergeCell ref="F101:F103"/>
    <mergeCell ref="E104:E106"/>
    <mergeCell ref="F104:F106"/>
    <mergeCell ref="E107:E109"/>
    <mergeCell ref="F107:F109"/>
    <mergeCell ref="E92:E94"/>
    <mergeCell ref="F92:F94"/>
    <mergeCell ref="E95:E97"/>
    <mergeCell ref="F95:F97"/>
    <mergeCell ref="E98:E100"/>
    <mergeCell ref="F98:F100"/>
    <mergeCell ref="AC78:AC79"/>
    <mergeCell ref="AD78:AD79"/>
    <mergeCell ref="AE78:AE79"/>
    <mergeCell ref="B80:B85"/>
    <mergeCell ref="B86:E86"/>
    <mergeCell ref="B87:E87"/>
    <mergeCell ref="E71:E73"/>
    <mergeCell ref="F71:F73"/>
    <mergeCell ref="B76:AE76"/>
    <mergeCell ref="B78:B79"/>
    <mergeCell ref="C78:C79"/>
    <mergeCell ref="D78:D79"/>
    <mergeCell ref="E78:E79"/>
    <mergeCell ref="F78:F79"/>
    <mergeCell ref="U78:W78"/>
    <mergeCell ref="X78:Z78"/>
    <mergeCell ref="E62:E64"/>
    <mergeCell ref="F62:F64"/>
    <mergeCell ref="E65:E67"/>
    <mergeCell ref="F65:F67"/>
    <mergeCell ref="E68:E70"/>
    <mergeCell ref="F68:F70"/>
    <mergeCell ref="E51:E53"/>
    <mergeCell ref="F51:F53"/>
    <mergeCell ref="E56:E58"/>
    <mergeCell ref="F56:F58"/>
    <mergeCell ref="E59:E61"/>
    <mergeCell ref="F59:F61"/>
    <mergeCell ref="E45:E47"/>
    <mergeCell ref="F45:F47"/>
    <mergeCell ref="E48:E50"/>
    <mergeCell ref="F48:F50"/>
    <mergeCell ref="B29:E29"/>
    <mergeCell ref="B30:E30"/>
    <mergeCell ref="E36:E38"/>
    <mergeCell ref="F36:F38"/>
    <mergeCell ref="E39:E41"/>
    <mergeCell ref="F39:F41"/>
    <mergeCell ref="AE21:AE22"/>
    <mergeCell ref="B23:B28"/>
    <mergeCell ref="G21:G22"/>
    <mergeCell ref="H21:H22"/>
    <mergeCell ref="I21:S21"/>
    <mergeCell ref="T21:T22"/>
    <mergeCell ref="U21:W21"/>
    <mergeCell ref="X21:Z21"/>
    <mergeCell ref="E42:E44"/>
    <mergeCell ref="F42:F44"/>
    <mergeCell ref="B14:E14"/>
    <mergeCell ref="B21:B22"/>
    <mergeCell ref="C21:C22"/>
    <mergeCell ref="D21:D22"/>
    <mergeCell ref="E21:E22"/>
    <mergeCell ref="F21:F22"/>
    <mergeCell ref="X5:Z5"/>
    <mergeCell ref="AC5:AC6"/>
    <mergeCell ref="AD5:AD6"/>
    <mergeCell ref="AA21:AA22"/>
    <mergeCell ref="AB21:AB22"/>
    <mergeCell ref="AC21:AC22"/>
    <mergeCell ref="AD21:AD22"/>
    <mergeCell ref="AE5:AE6"/>
    <mergeCell ref="B7:B12"/>
    <mergeCell ref="B13:E13"/>
    <mergeCell ref="B2:AE2"/>
    <mergeCell ref="B5:C6"/>
    <mergeCell ref="D5:D6"/>
    <mergeCell ref="E5:E6"/>
    <mergeCell ref="F5:F6"/>
    <mergeCell ref="G5:G6"/>
    <mergeCell ref="H5:H6"/>
    <mergeCell ref="I5:S5"/>
    <mergeCell ref="T5:T6"/>
    <mergeCell ref="U5:W5"/>
  </mergeCells>
  <phoneticPr fontId="4" type="noConversion"/>
  <dataValidations count="3">
    <dataValidation type="list" allowBlank="1" showInputMessage="1" showErrorMessage="1" sqref="E7:E12 E23:E28">
      <formula1>$U$7:$U$12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">
      <formula1>$AH$7:$AH$12</formula1>
    </dataValidation>
  </dataValidations>
  <pageMargins left="0.62992125984251968" right="0.62992125984251968" top="0.94488188976377963" bottom="0.55118110236220474" header="0.31496062992125984" footer="0.31496062992125984"/>
  <pageSetup paperSize="9" scale="28" orientation="landscape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80" zoomScaleNormal="80" workbookViewId="0">
      <pane xSplit="4" ySplit="6" topLeftCell="E28" activePane="bottomRight" state="frozen"/>
      <selection pane="topRight" activeCell="D1" sqref="D1"/>
      <selection pane="bottomLeft" activeCell="A6" sqref="A6"/>
      <selection pane="bottomRight" activeCell="AD26" sqref="AD26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64.875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11.75" hidden="1" customWidth="1"/>
    <col min="44" max="44" width="3.25" customWidth="1"/>
  </cols>
  <sheetData>
    <row r="2" spans="2:52" ht="20.25" x14ac:dyDescent="0.3">
      <c r="B2" s="425" t="s">
        <v>238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324" t="s">
        <v>1</v>
      </c>
      <c r="AY2" s="324" t="s">
        <v>2</v>
      </c>
      <c r="AZ2" s="3" t="s">
        <v>3</v>
      </c>
    </row>
    <row r="3" spans="2:52" ht="45" customHeight="1" x14ac:dyDescent="0.3">
      <c r="B3" s="330" t="s">
        <v>4</v>
      </c>
      <c r="C3" s="331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322" t="s">
        <v>68</v>
      </c>
      <c r="J6" s="18" t="s">
        <v>69</v>
      </c>
      <c r="K6" s="18" t="s">
        <v>71</v>
      </c>
      <c r="L6" s="18" t="s">
        <v>72</v>
      </c>
      <c r="M6" s="18" t="s">
        <v>75</v>
      </c>
      <c r="N6" s="18" t="s">
        <v>75</v>
      </c>
      <c r="O6" s="18" t="s">
        <v>75</v>
      </c>
      <c r="P6" s="18" t="s">
        <v>230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322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-46</v>
      </c>
    </row>
    <row r="7" spans="2:52" s="328" customFormat="1" ht="99" customHeight="1" thickTop="1" x14ac:dyDescent="0.3">
      <c r="B7" s="420">
        <v>6</v>
      </c>
      <c r="C7" s="24">
        <v>8</v>
      </c>
      <c r="D7" s="25" t="s">
        <v>7</v>
      </c>
      <c r="E7" s="26" t="s">
        <v>29</v>
      </c>
      <c r="F7" s="25">
        <v>8</v>
      </c>
      <c r="G7" s="128">
        <v>0</v>
      </c>
      <c r="H7" s="128">
        <f>(G7/U7)*100</f>
        <v>0</v>
      </c>
      <c r="I7" s="123" t="s">
        <v>85</v>
      </c>
      <c r="J7" s="123" t="s">
        <v>86</v>
      </c>
      <c r="K7" s="123" t="s">
        <v>87</v>
      </c>
      <c r="L7" s="123"/>
      <c r="M7" s="129" t="s">
        <v>90</v>
      </c>
      <c r="N7" s="123" t="s">
        <v>74</v>
      </c>
      <c r="O7" s="123" t="s">
        <v>169</v>
      </c>
      <c r="P7" s="123" t="s">
        <v>231</v>
      </c>
      <c r="Q7" s="123" t="s">
        <v>91</v>
      </c>
      <c r="R7" s="123" t="s">
        <v>89</v>
      </c>
      <c r="S7" s="125">
        <f t="shared" ref="S7:S12" si="0">COUNTA(I7:L7)+COUNTA(M7:R7)/2</f>
        <v>6</v>
      </c>
      <c r="T7" s="27">
        <f t="shared" ref="T7:T12" si="1">F7*$D$4*$U$4</f>
        <v>528</v>
      </c>
      <c r="U7" s="28">
        <f>+H38</f>
        <v>491</v>
      </c>
      <c r="V7" s="29">
        <f t="shared" ref="V7:V12" si="2">IF(F7=0,"휴무",U7/F7)</f>
        <v>61.375</v>
      </c>
      <c r="W7" s="30">
        <f t="shared" ref="W7:W13" si="3">IFERROR(U7/T7,0)</f>
        <v>0.92992424242424243</v>
      </c>
      <c r="X7" s="31">
        <f>+K38</f>
        <v>803.13000000000011</v>
      </c>
      <c r="Y7" s="29">
        <f t="shared" ref="Y7:Y12" si="4">IF(F7=0,"휴무",X7/F7)</f>
        <v>100.39125000000001</v>
      </c>
      <c r="Z7" s="32">
        <f t="shared" ref="Z7:Z13" si="5">IFERROR(X7/T7,0)</f>
        <v>1.5210795454545456</v>
      </c>
      <c r="AA7" s="33">
        <f t="shared" ref="AA7:AA12" si="6">IF(F7=0,"휴무",U7/T7*$AA$4)</f>
        <v>46.496212121212125</v>
      </c>
      <c r="AB7" s="34">
        <f t="shared" ref="AB7:AB12" si="7">IF(F7=0,"휴무",X7/T7*$AB$4)</f>
        <v>82.822781250000006</v>
      </c>
      <c r="AC7" s="138">
        <f t="shared" ref="AC7:AC13" si="8">IF(F7=0,"휴무",AA7+AB7)</f>
        <v>129.31899337121212</v>
      </c>
      <c r="AD7" s="35" t="str">
        <f t="shared" ref="AD7:AD13" si="9">IF(F7=0,"휴무",IF(AC7&gt;=100,"좋아요",IF(AC7&gt;=90,"90~99",IF(AC7&gt;=80,"80~89"," 사유?→"))))</f>
        <v>좋아요</v>
      </c>
      <c r="AE7" s="36"/>
      <c r="AF7" s="37">
        <f>AG7-F7</f>
        <v>-8</v>
      </c>
      <c r="AG7" s="38">
        <f>AN7</f>
        <v>0</v>
      </c>
      <c r="AH7" s="328" t="s">
        <v>29</v>
      </c>
      <c r="AI7" s="39"/>
      <c r="AJ7" s="40">
        <f>IFERROR(Z7/W7*1000,"")</f>
        <v>1635.7026476578415</v>
      </c>
      <c r="AK7" s="39"/>
      <c r="AL7" s="41"/>
      <c r="AM7" s="41"/>
      <c r="AN7" s="41"/>
      <c r="AP7" s="328">
        <f t="shared" ref="AP7:AP12" si="10">AO7-F7</f>
        <v>-8</v>
      </c>
      <c r="AQ7" s="42"/>
    </row>
    <row r="8" spans="2:52" s="328" customFormat="1" ht="99.75" customHeight="1" x14ac:dyDescent="0.3">
      <c r="B8" s="421"/>
      <c r="C8" s="24">
        <f>+C7+1</f>
        <v>9</v>
      </c>
      <c r="D8" s="43" t="s">
        <v>30</v>
      </c>
      <c r="E8" s="26" t="s">
        <v>29</v>
      </c>
      <c r="F8" s="25">
        <v>8</v>
      </c>
      <c r="G8" s="125">
        <v>0</v>
      </c>
      <c r="H8" s="125">
        <f>(G8/U8)*100</f>
        <v>0</v>
      </c>
      <c r="I8" s="123" t="s">
        <v>85</v>
      </c>
      <c r="J8" s="123" t="s">
        <v>86</v>
      </c>
      <c r="K8" s="123" t="s">
        <v>87</v>
      </c>
      <c r="L8" s="123"/>
      <c r="M8" s="129" t="s">
        <v>90</v>
      </c>
      <c r="N8" s="123" t="s">
        <v>74</v>
      </c>
      <c r="O8" s="123" t="s">
        <v>169</v>
      </c>
      <c r="P8" s="123" t="s">
        <v>231</v>
      </c>
      <c r="Q8" s="123" t="s">
        <v>91</v>
      </c>
      <c r="R8" s="123" t="s">
        <v>89</v>
      </c>
      <c r="S8" s="125">
        <f t="shared" si="0"/>
        <v>6</v>
      </c>
      <c r="T8" s="27">
        <f t="shared" si="1"/>
        <v>528</v>
      </c>
      <c r="U8" s="28">
        <f>+H41</f>
        <v>348</v>
      </c>
      <c r="V8" s="44">
        <f t="shared" si="2"/>
        <v>43.5</v>
      </c>
      <c r="W8" s="45">
        <f t="shared" si="3"/>
        <v>0.65909090909090906</v>
      </c>
      <c r="X8" s="46">
        <f>+K41</f>
        <v>553.40000000000009</v>
      </c>
      <c r="Y8" s="29">
        <f t="shared" si="4"/>
        <v>69.175000000000011</v>
      </c>
      <c r="Z8" s="47">
        <f t="shared" si="5"/>
        <v>1.0481060606060608</v>
      </c>
      <c r="AA8" s="48">
        <f t="shared" si="6"/>
        <v>32.954545454545453</v>
      </c>
      <c r="AB8" s="49">
        <f t="shared" si="7"/>
        <v>57.069375000000015</v>
      </c>
      <c r="AC8" s="139">
        <f t="shared" si="8"/>
        <v>90.023920454545475</v>
      </c>
      <c r="AD8" s="50" t="str">
        <f t="shared" si="9"/>
        <v>90~99</v>
      </c>
      <c r="AE8" s="36"/>
      <c r="AF8" s="37">
        <f>AG8-F8</f>
        <v>-8</v>
      </c>
      <c r="AG8" s="38">
        <f>AN8</f>
        <v>0</v>
      </c>
      <c r="AH8" s="328" t="s">
        <v>31</v>
      </c>
      <c r="AI8" s="39"/>
      <c r="AJ8" s="40">
        <f>IFERROR(Z8/W8*1000,"")</f>
        <v>1590.2298850574716</v>
      </c>
      <c r="AK8" s="39"/>
      <c r="AL8" s="41"/>
      <c r="AM8" s="41"/>
      <c r="AN8" s="41"/>
      <c r="AP8" s="328">
        <f t="shared" si="10"/>
        <v>-8</v>
      </c>
      <c r="AQ8" s="42"/>
    </row>
    <row r="9" spans="2:52" s="328" customFormat="1" ht="97.5" customHeight="1" x14ac:dyDescent="0.3">
      <c r="B9" s="421"/>
      <c r="C9" s="24">
        <f>+C8+1</f>
        <v>10</v>
      </c>
      <c r="D9" s="43" t="s">
        <v>32</v>
      </c>
      <c r="E9" s="26" t="s">
        <v>29</v>
      </c>
      <c r="F9" s="25">
        <v>8</v>
      </c>
      <c r="G9" s="125">
        <v>1</v>
      </c>
      <c r="H9" s="125">
        <f>(G9/U9)*100</f>
        <v>0.38759689922480622</v>
      </c>
      <c r="I9" s="123" t="s">
        <v>85</v>
      </c>
      <c r="J9" s="123" t="s">
        <v>86</v>
      </c>
      <c r="K9" s="123" t="s">
        <v>87</v>
      </c>
      <c r="L9" s="123"/>
      <c r="M9" s="129" t="s">
        <v>90</v>
      </c>
      <c r="N9" s="123" t="s">
        <v>74</v>
      </c>
      <c r="O9" s="123" t="s">
        <v>169</v>
      </c>
      <c r="P9" s="123" t="s">
        <v>231</v>
      </c>
      <c r="Q9" s="123" t="s">
        <v>91</v>
      </c>
      <c r="R9" s="123" t="s">
        <v>89</v>
      </c>
      <c r="S9" s="125">
        <f t="shared" si="0"/>
        <v>6</v>
      </c>
      <c r="T9" s="27">
        <f t="shared" si="1"/>
        <v>528</v>
      </c>
      <c r="U9" s="51">
        <f>+H44</f>
        <v>258</v>
      </c>
      <c r="V9" s="44">
        <f t="shared" si="2"/>
        <v>32.25</v>
      </c>
      <c r="W9" s="45">
        <f t="shared" si="3"/>
        <v>0.48863636363636365</v>
      </c>
      <c r="X9" s="46">
        <f>+K44</f>
        <v>341.09000000000003</v>
      </c>
      <c r="Y9" s="44">
        <f t="shared" si="4"/>
        <v>42.636250000000004</v>
      </c>
      <c r="Z9" s="47">
        <f t="shared" si="5"/>
        <v>0.64600378787878798</v>
      </c>
      <c r="AA9" s="48">
        <f t="shared" si="6"/>
        <v>24.431818181818183</v>
      </c>
      <c r="AB9" s="49">
        <f t="shared" si="7"/>
        <v>35.174906250000006</v>
      </c>
      <c r="AC9" s="139">
        <f t="shared" si="8"/>
        <v>59.606724431818193</v>
      </c>
      <c r="AD9" s="161" t="str">
        <f t="shared" si="9"/>
        <v xml:space="preserve"> 사유?→</v>
      </c>
      <c r="AE9" s="160" t="s">
        <v>232</v>
      </c>
      <c r="AF9" s="37">
        <f>AG9-F9</f>
        <v>-8</v>
      </c>
      <c r="AG9" s="38">
        <f>AN9</f>
        <v>0</v>
      </c>
      <c r="AH9" s="328" t="s">
        <v>34</v>
      </c>
      <c r="AI9" s="39"/>
      <c r="AJ9" s="40">
        <f>IFERROR(Z9/W9*1000,"")</f>
        <v>1322.0542635658917</v>
      </c>
      <c r="AK9" s="39"/>
      <c r="AL9" s="41"/>
      <c r="AM9" s="41"/>
      <c r="AN9" s="41"/>
      <c r="AP9" s="328">
        <f t="shared" si="10"/>
        <v>-8</v>
      </c>
      <c r="AQ9" s="42"/>
    </row>
    <row r="10" spans="2:52" s="328" customFormat="1" ht="95.25" customHeight="1" x14ac:dyDescent="0.3">
      <c r="B10" s="421"/>
      <c r="C10" s="24">
        <f>+C9+1</f>
        <v>11</v>
      </c>
      <c r="D10" s="43" t="s">
        <v>35</v>
      </c>
      <c r="E10" s="26" t="s">
        <v>28</v>
      </c>
      <c r="F10" s="25">
        <v>11</v>
      </c>
      <c r="G10" s="125">
        <v>27</v>
      </c>
      <c r="H10" s="125">
        <f>(G10/U10)*100</f>
        <v>5.7324840764331215</v>
      </c>
      <c r="I10" s="123" t="s">
        <v>85</v>
      </c>
      <c r="J10" s="123" t="s">
        <v>86</v>
      </c>
      <c r="K10" s="123" t="s">
        <v>87</v>
      </c>
      <c r="L10" s="123"/>
      <c r="M10" s="129" t="s">
        <v>90</v>
      </c>
      <c r="N10" s="123" t="s">
        <v>74</v>
      </c>
      <c r="O10" s="123" t="s">
        <v>169</v>
      </c>
      <c r="P10" s="123" t="s">
        <v>231</v>
      </c>
      <c r="Q10" s="123" t="s">
        <v>91</v>
      </c>
      <c r="R10" s="123" t="s">
        <v>89</v>
      </c>
      <c r="S10" s="125">
        <f t="shared" si="0"/>
        <v>6</v>
      </c>
      <c r="T10" s="27">
        <f t="shared" si="1"/>
        <v>726</v>
      </c>
      <c r="U10" s="28">
        <f>+H47</f>
        <v>471</v>
      </c>
      <c r="V10" s="44">
        <f t="shared" si="2"/>
        <v>42.81818181818182</v>
      </c>
      <c r="W10" s="45">
        <f t="shared" si="3"/>
        <v>0.64876033057851235</v>
      </c>
      <c r="X10" s="46">
        <f>+K47</f>
        <v>538.20000000000005</v>
      </c>
      <c r="Y10" s="29">
        <f t="shared" si="4"/>
        <v>48.927272727272729</v>
      </c>
      <c r="Z10" s="47">
        <f t="shared" si="5"/>
        <v>0.74132231404958682</v>
      </c>
      <c r="AA10" s="48">
        <f t="shared" si="6"/>
        <v>32.438016528925615</v>
      </c>
      <c r="AB10" s="49">
        <f t="shared" si="7"/>
        <v>40.365000000000002</v>
      </c>
      <c r="AC10" s="139">
        <f t="shared" si="8"/>
        <v>72.80301652892561</v>
      </c>
      <c r="AD10" s="161" t="str">
        <f t="shared" si="9"/>
        <v xml:space="preserve"> 사유?→</v>
      </c>
      <c r="AE10" s="160" t="s">
        <v>233</v>
      </c>
      <c r="AF10" s="37">
        <f>AG10-F10</f>
        <v>-11</v>
      </c>
      <c r="AG10" s="38">
        <f>AN10</f>
        <v>0</v>
      </c>
      <c r="AH10" s="328" t="s">
        <v>36</v>
      </c>
      <c r="AI10" s="39"/>
      <c r="AJ10" s="40">
        <f>IFERROR(Z10/W10*1000,"")</f>
        <v>1142.6751592356691</v>
      </c>
      <c r="AK10" s="39"/>
      <c r="AL10" s="41"/>
      <c r="AM10" s="41"/>
      <c r="AN10" s="41"/>
      <c r="AP10" s="328">
        <f t="shared" si="10"/>
        <v>-11</v>
      </c>
      <c r="AQ10" s="42"/>
    </row>
    <row r="11" spans="2:52" s="328" customFormat="1" ht="102.75" customHeight="1" x14ac:dyDescent="0.3">
      <c r="B11" s="421"/>
      <c r="C11" s="24">
        <f>+C10+1</f>
        <v>12</v>
      </c>
      <c r="D11" s="43" t="s">
        <v>37</v>
      </c>
      <c r="E11" s="26" t="s">
        <v>28</v>
      </c>
      <c r="F11" s="25">
        <v>11</v>
      </c>
      <c r="G11" s="125">
        <v>42</v>
      </c>
      <c r="H11" s="125">
        <f>(G11/U11)*100</f>
        <v>12.574850299401197</v>
      </c>
      <c r="I11" s="123" t="s">
        <v>85</v>
      </c>
      <c r="J11" s="123" t="s">
        <v>86</v>
      </c>
      <c r="K11" s="123" t="s">
        <v>87</v>
      </c>
      <c r="L11" s="123"/>
      <c r="M11" s="129"/>
      <c r="N11" s="123" t="s">
        <v>74</v>
      </c>
      <c r="O11" s="123" t="s">
        <v>169</v>
      </c>
      <c r="P11" s="123" t="s">
        <v>231</v>
      </c>
      <c r="Q11" s="123" t="s">
        <v>91</v>
      </c>
      <c r="R11" s="123" t="s">
        <v>89</v>
      </c>
      <c r="S11" s="125">
        <f t="shared" si="0"/>
        <v>5.5</v>
      </c>
      <c r="T11" s="27">
        <f t="shared" si="1"/>
        <v>726</v>
      </c>
      <c r="U11" s="28">
        <f>+H50</f>
        <v>334</v>
      </c>
      <c r="V11" s="44">
        <f t="shared" si="2"/>
        <v>30.363636363636363</v>
      </c>
      <c r="W11" s="45">
        <f t="shared" si="3"/>
        <v>0.46005509641873277</v>
      </c>
      <c r="X11" s="46">
        <f>+K50</f>
        <v>416.32</v>
      </c>
      <c r="Y11" s="44">
        <f t="shared" si="4"/>
        <v>37.847272727272724</v>
      </c>
      <c r="Z11" s="47">
        <f t="shared" si="5"/>
        <v>0.57344352617079886</v>
      </c>
      <c r="AA11" s="48">
        <f t="shared" si="6"/>
        <v>23.002754820936637</v>
      </c>
      <c r="AB11" s="49">
        <f t="shared" si="7"/>
        <v>31.224</v>
      </c>
      <c r="AC11" s="139">
        <f t="shared" si="8"/>
        <v>54.226754820936634</v>
      </c>
      <c r="AD11" s="161" t="str">
        <f t="shared" si="9"/>
        <v xml:space="preserve"> 사유?→</v>
      </c>
      <c r="AE11" s="160" t="s">
        <v>234</v>
      </c>
      <c r="AF11" s="37">
        <f>AG11-F11</f>
        <v>-11</v>
      </c>
      <c r="AG11" s="38">
        <f>AN11</f>
        <v>0</v>
      </c>
      <c r="AH11" s="328" t="s">
        <v>33</v>
      </c>
      <c r="AI11" s="39"/>
      <c r="AJ11" s="40">
        <f>IFERROR(Z11/W11*1000,"")</f>
        <v>1246.4670658682635</v>
      </c>
      <c r="AL11" s="41"/>
      <c r="AM11" s="41"/>
      <c r="AN11" s="41"/>
      <c r="AP11" s="328">
        <f t="shared" si="10"/>
        <v>-11</v>
      </c>
      <c r="AQ11" s="42"/>
    </row>
    <row r="12" spans="2:52" s="328" customFormat="1" ht="102.75" customHeight="1" x14ac:dyDescent="0.3">
      <c r="B12" s="421"/>
      <c r="C12" s="24">
        <f>+C11+1</f>
        <v>13</v>
      </c>
      <c r="D12" s="43" t="s">
        <v>38</v>
      </c>
      <c r="E12" s="26" t="s">
        <v>33</v>
      </c>
      <c r="F12" s="25">
        <v>0</v>
      </c>
      <c r="G12" s="125"/>
      <c r="H12" s="125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5">
        <f t="shared" si="0"/>
        <v>0</v>
      </c>
      <c r="T12" s="323">
        <f t="shared" si="1"/>
        <v>0</v>
      </c>
      <c r="U12" s="28">
        <f>+H53</f>
        <v>0</v>
      </c>
      <c r="V12" s="29" t="str">
        <f t="shared" si="2"/>
        <v>휴무</v>
      </c>
      <c r="W12" s="30">
        <f t="shared" si="3"/>
        <v>0</v>
      </c>
      <c r="X12" s="31">
        <f>+K53</f>
        <v>0</v>
      </c>
      <c r="Y12" s="44" t="str">
        <f t="shared" si="4"/>
        <v>휴무</v>
      </c>
      <c r="Z12" s="47">
        <f t="shared" si="5"/>
        <v>0</v>
      </c>
      <c r="AA12" s="48" t="str">
        <f t="shared" si="6"/>
        <v>휴무</v>
      </c>
      <c r="AB12" s="49" t="str">
        <f t="shared" si="7"/>
        <v>휴무</v>
      </c>
      <c r="AC12" s="139" t="str">
        <f t="shared" si="8"/>
        <v>휴무</v>
      </c>
      <c r="AD12" s="50" t="str">
        <f t="shared" si="9"/>
        <v>휴무</v>
      </c>
      <c r="AE12" s="36"/>
      <c r="AF12" s="37"/>
      <c r="AG12" s="38"/>
      <c r="AI12" s="39"/>
      <c r="AJ12" s="40"/>
      <c r="AL12" s="41"/>
      <c r="AM12" s="41"/>
      <c r="AN12" s="41"/>
      <c r="AP12" s="328">
        <f t="shared" si="10"/>
        <v>0</v>
      </c>
      <c r="AQ12" s="42"/>
    </row>
    <row r="13" spans="2:52" s="328" customFormat="1" ht="36" customHeight="1" x14ac:dyDescent="0.3">
      <c r="B13" s="422" t="s">
        <v>39</v>
      </c>
      <c r="C13" s="423"/>
      <c r="D13" s="423"/>
      <c r="E13" s="424"/>
      <c r="F13" s="43">
        <f>SUM(F7:F12)</f>
        <v>46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>COUNTA(I13:M13)+COUNTA(N13:R13)/2</f>
        <v>0</v>
      </c>
      <c r="T13" s="52">
        <f>SUM(T7:T12)</f>
        <v>3036</v>
      </c>
      <c r="U13" s="53">
        <f>SUM(U7:U12)</f>
        <v>1902</v>
      </c>
      <c r="V13" s="54">
        <f>U13/F13</f>
        <v>41.347826086956523</v>
      </c>
      <c r="W13" s="45">
        <f t="shared" si="3"/>
        <v>0.62648221343873522</v>
      </c>
      <c r="X13" s="55">
        <f>SUM(X7:X12)</f>
        <v>2652.1400000000008</v>
      </c>
      <c r="Y13" s="44">
        <f>X13/F13</f>
        <v>57.655217391304362</v>
      </c>
      <c r="Z13" s="47">
        <f t="shared" si="5"/>
        <v>0.87356389986824801</v>
      </c>
      <c r="AA13" s="56">
        <f>U13/T13*AA4</f>
        <v>31.324110671936761</v>
      </c>
      <c r="AB13" s="57">
        <f>X13/T13*AB4</f>
        <v>47.565554347826108</v>
      </c>
      <c r="AC13" s="140">
        <f t="shared" si="8"/>
        <v>78.889665019762873</v>
      </c>
      <c r="AD13" s="162" t="str">
        <f t="shared" si="9"/>
        <v xml:space="preserve"> 사유?→</v>
      </c>
      <c r="AE13" s="43"/>
      <c r="AF13" s="37">
        <f>AG13-F13</f>
        <v>-46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7.666666666666667</v>
      </c>
      <c r="G14" s="326"/>
      <c r="H14" s="326"/>
      <c r="I14" s="326"/>
      <c r="J14" s="326"/>
      <c r="K14" s="326"/>
      <c r="L14" s="326"/>
      <c r="M14" s="326"/>
      <c r="N14" s="326"/>
      <c r="O14" s="326"/>
      <c r="P14" s="326"/>
      <c r="Q14" s="326"/>
      <c r="R14" s="326"/>
      <c r="S14" s="326"/>
      <c r="T14" s="326"/>
      <c r="U14" s="61">
        <f>V14*F14</f>
        <v>317</v>
      </c>
      <c r="V14" s="62">
        <f>U13/F13</f>
        <v>41.347826086956523</v>
      </c>
      <c r="W14" s="63">
        <f>IFERROR(U14/#REF!,0)</f>
        <v>0</v>
      </c>
      <c r="X14" s="64">
        <f>X13/F13*F14</f>
        <v>442.02333333333348</v>
      </c>
      <c r="Y14" s="62">
        <f>IF(F14=0,"휴무",X14/F14)</f>
        <v>57.655217391304362</v>
      </c>
      <c r="Z14" s="65">
        <f>IFERROR(X14/#REF!,0)</f>
        <v>0</v>
      </c>
      <c r="AA14" s="60">
        <f>AVERAGE(AA7:AA12)</f>
        <v>31.864669421487605</v>
      </c>
      <c r="AB14" s="60">
        <f>AVERAGE(AB7:AB12)</f>
        <v>49.331212500000007</v>
      </c>
      <c r="AC14" s="141">
        <f>AA14+AB14</f>
        <v>81.195881921487612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328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330" t="s">
        <v>44</v>
      </c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  <c r="AA19" s="331"/>
      <c r="AB19" s="331"/>
      <c r="AC19" s="331"/>
      <c r="AD19" s="331"/>
      <c r="AE19" s="331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322" t="s">
        <v>68</v>
      </c>
      <c r="J22" s="18" t="s">
        <v>69</v>
      </c>
      <c r="K22" s="18" t="s">
        <v>71</v>
      </c>
      <c r="L22" s="18" t="s">
        <v>72</v>
      </c>
      <c r="M22" s="18" t="s">
        <v>75</v>
      </c>
      <c r="N22" s="18" t="s">
        <v>75</v>
      </c>
      <c r="O22" s="18" t="s">
        <v>75</v>
      </c>
      <c r="P22" s="18" t="s">
        <v>230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-52.84</v>
      </c>
    </row>
    <row r="23" spans="2:43" s="328" customFormat="1" ht="99" customHeight="1" thickTop="1" x14ac:dyDescent="0.3">
      <c r="B23" s="420">
        <f>+B7</f>
        <v>6</v>
      </c>
      <c r="C23" s="24">
        <f t="shared" ref="C23:C28" si="11">+C7</f>
        <v>8</v>
      </c>
      <c r="D23" s="25" t="s">
        <v>7</v>
      </c>
      <c r="E23" s="26" t="s">
        <v>29</v>
      </c>
      <c r="F23" s="25">
        <v>8</v>
      </c>
      <c r="G23" s="128">
        <v>107</v>
      </c>
      <c r="H23" s="128">
        <f t="shared" ref="H23:H28" si="12">(G23/U23)*100</f>
        <v>26.485148514851488</v>
      </c>
      <c r="I23" s="123" t="s">
        <v>78</v>
      </c>
      <c r="J23" s="123" t="s">
        <v>88</v>
      </c>
      <c r="K23" s="123" t="s">
        <v>84</v>
      </c>
      <c r="L23" s="123"/>
      <c r="M23" s="129" t="s">
        <v>90</v>
      </c>
      <c r="N23" s="123" t="s">
        <v>74</v>
      </c>
      <c r="O23" s="123" t="s">
        <v>169</v>
      </c>
      <c r="P23" s="123" t="s">
        <v>92</v>
      </c>
      <c r="Q23" s="123" t="s">
        <v>91</v>
      </c>
      <c r="R23" s="123" t="s">
        <v>89</v>
      </c>
      <c r="S23" s="124">
        <f t="shared" ref="S23:S28" si="13">COUNTA(I23:L23)+COUNTA(M23:R23)/2</f>
        <v>6</v>
      </c>
      <c r="T23" s="27">
        <f t="shared" ref="T23:T28" si="14">F23*$D$4*$U$4</f>
        <v>528</v>
      </c>
      <c r="U23" s="28">
        <f>+H58</f>
        <v>404</v>
      </c>
      <c r="V23" s="29">
        <f t="shared" ref="V23:V28" si="15">IF(F23=0,"휴무",U23/F23)</f>
        <v>50.5</v>
      </c>
      <c r="W23" s="30">
        <f t="shared" ref="W23:W29" si="16">IFERROR(U23/T23,0)</f>
        <v>0.76515151515151514</v>
      </c>
      <c r="X23" s="31">
        <f>+K58</f>
        <v>449.07</v>
      </c>
      <c r="Y23" s="29">
        <f t="shared" ref="Y23:Y28" si="17">IF(F23=0,"휴무",X23/F23)</f>
        <v>56.133749999999999</v>
      </c>
      <c r="Z23" s="32">
        <f t="shared" ref="Z23:Z29" si="18">IFERROR(X23/T23,0)</f>
        <v>0.85051136363636359</v>
      </c>
      <c r="AA23" s="33">
        <f t="shared" ref="AA23:AA28" si="19">IF(F23=0,"휴무",U23/T23*$AA$4)</f>
        <v>38.257575757575758</v>
      </c>
      <c r="AB23" s="34">
        <f t="shared" ref="AB23:AB28" si="20">IF(F23=0,"휴무",X23/T23*$AB$4)</f>
        <v>46.310343750000001</v>
      </c>
      <c r="AC23" s="138">
        <f t="shared" ref="AC23:AC29" si="21">IF(F23=0,"휴무",AA23+AB23)</f>
        <v>84.567919507575766</v>
      </c>
      <c r="AD23" s="35" t="str">
        <f t="shared" ref="AD23:AD29" si="22">IF(F23=0,"휴무",IF(AC23&gt;=100,"좋아요",IF(AC23&gt;=90,"90~99",IF(AC23&gt;=80,"80~89"," 사유?→"))))</f>
        <v>80~89</v>
      </c>
      <c r="AE23" s="36"/>
      <c r="AF23" s="37">
        <f>AG23-F23</f>
        <v>-8</v>
      </c>
      <c r="AG23" s="38">
        <f>AN23</f>
        <v>0</v>
      </c>
      <c r="AH23" s="328" t="s">
        <v>29</v>
      </c>
      <c r="AI23" s="39"/>
      <c r="AJ23" s="40">
        <f>IFERROR(Z23/W23*1000,"")</f>
        <v>1111.5594059405939</v>
      </c>
      <c r="AK23" s="39"/>
      <c r="AL23" s="41"/>
      <c r="AM23" s="41"/>
      <c r="AN23" s="41"/>
      <c r="AP23" s="328">
        <f t="shared" ref="AP23:AP28" si="23">AO23-F23</f>
        <v>-8</v>
      </c>
      <c r="AQ23" s="42"/>
    </row>
    <row r="24" spans="2:43" s="328" customFormat="1" ht="99.75" customHeight="1" x14ac:dyDescent="0.3">
      <c r="B24" s="421"/>
      <c r="C24" s="24">
        <f t="shared" si="11"/>
        <v>9</v>
      </c>
      <c r="D24" s="43" t="s">
        <v>30</v>
      </c>
      <c r="E24" s="26" t="s">
        <v>29</v>
      </c>
      <c r="F24" s="25">
        <v>8</v>
      </c>
      <c r="G24" s="125">
        <v>33</v>
      </c>
      <c r="H24" s="125">
        <f t="shared" si="12"/>
        <v>8.009708737864079</v>
      </c>
      <c r="I24" s="123" t="s">
        <v>78</v>
      </c>
      <c r="J24" s="123" t="s">
        <v>88</v>
      </c>
      <c r="K24" s="123" t="s">
        <v>84</v>
      </c>
      <c r="L24" s="123"/>
      <c r="M24" s="129" t="s">
        <v>90</v>
      </c>
      <c r="N24" s="123" t="s">
        <v>74</v>
      </c>
      <c r="O24" s="123" t="s">
        <v>169</v>
      </c>
      <c r="P24" s="123" t="s">
        <v>92</v>
      </c>
      <c r="Q24" s="123" t="s">
        <v>91</v>
      </c>
      <c r="R24" s="123" t="s">
        <v>89</v>
      </c>
      <c r="S24" s="124">
        <f t="shared" si="13"/>
        <v>6</v>
      </c>
      <c r="T24" s="27">
        <f t="shared" si="14"/>
        <v>528</v>
      </c>
      <c r="U24" s="28">
        <f>+H61</f>
        <v>412</v>
      </c>
      <c r="V24" s="44">
        <f t="shared" si="15"/>
        <v>51.5</v>
      </c>
      <c r="W24" s="45">
        <f t="shared" si="16"/>
        <v>0.78030303030303028</v>
      </c>
      <c r="X24" s="46">
        <f>+K61</f>
        <v>342.04</v>
      </c>
      <c r="Y24" s="29">
        <f t="shared" si="17"/>
        <v>42.755000000000003</v>
      </c>
      <c r="Z24" s="47">
        <f t="shared" si="18"/>
        <v>0.64780303030303032</v>
      </c>
      <c r="AA24" s="48">
        <f t="shared" si="19"/>
        <v>39.015151515151516</v>
      </c>
      <c r="AB24" s="49">
        <f t="shared" si="20"/>
        <v>35.272875000000006</v>
      </c>
      <c r="AC24" s="139">
        <f t="shared" si="21"/>
        <v>74.288026515151529</v>
      </c>
      <c r="AD24" s="195" t="str">
        <f t="shared" si="22"/>
        <v xml:space="preserve"> 사유?→</v>
      </c>
      <c r="AE24" s="160" t="s">
        <v>235</v>
      </c>
      <c r="AF24" s="37">
        <f>AG24-F24</f>
        <v>-8</v>
      </c>
      <c r="AG24" s="38">
        <f>AN24</f>
        <v>0</v>
      </c>
      <c r="AH24" s="328" t="s">
        <v>34</v>
      </c>
      <c r="AI24" s="39"/>
      <c r="AJ24" s="40">
        <f>IFERROR(Z24/W24*1000,"")</f>
        <v>830.19417475728164</v>
      </c>
      <c r="AK24" s="39"/>
      <c r="AL24" s="41"/>
      <c r="AM24" s="41"/>
      <c r="AN24" s="41"/>
      <c r="AP24" s="328">
        <f t="shared" si="23"/>
        <v>-8</v>
      </c>
      <c r="AQ24" s="42"/>
    </row>
    <row r="25" spans="2:43" s="328" customFormat="1" ht="97.5" customHeight="1" x14ac:dyDescent="0.3">
      <c r="B25" s="421"/>
      <c r="C25" s="24">
        <f t="shared" si="11"/>
        <v>10</v>
      </c>
      <c r="D25" s="43" t="s">
        <v>32</v>
      </c>
      <c r="E25" s="26" t="s">
        <v>29</v>
      </c>
      <c r="F25" s="25">
        <v>8</v>
      </c>
      <c r="G25" s="124">
        <v>0</v>
      </c>
      <c r="H25" s="124">
        <f t="shared" si="12"/>
        <v>0</v>
      </c>
      <c r="I25" s="123" t="s">
        <v>78</v>
      </c>
      <c r="J25" s="123" t="s">
        <v>88</v>
      </c>
      <c r="K25" s="123" t="s">
        <v>84</v>
      </c>
      <c r="L25" s="123"/>
      <c r="M25" s="129" t="s">
        <v>90</v>
      </c>
      <c r="N25" s="123" t="s">
        <v>74</v>
      </c>
      <c r="O25" s="123" t="s">
        <v>169</v>
      </c>
      <c r="P25" s="123" t="s">
        <v>92</v>
      </c>
      <c r="Q25" s="123" t="s">
        <v>91</v>
      </c>
      <c r="R25" s="123" t="s">
        <v>89</v>
      </c>
      <c r="S25" s="124">
        <f t="shared" si="13"/>
        <v>6</v>
      </c>
      <c r="T25" s="27">
        <f t="shared" si="14"/>
        <v>528</v>
      </c>
      <c r="U25" s="28">
        <f>+H64</f>
        <v>296</v>
      </c>
      <c r="V25" s="44">
        <f t="shared" si="15"/>
        <v>37</v>
      </c>
      <c r="W25" s="45">
        <f t="shared" si="16"/>
        <v>0.56060606060606055</v>
      </c>
      <c r="X25" s="46">
        <f>+K64</f>
        <v>324.89</v>
      </c>
      <c r="Y25" s="29">
        <f t="shared" si="17"/>
        <v>40.611249999999998</v>
      </c>
      <c r="Z25" s="47">
        <f t="shared" si="18"/>
        <v>0.61532196969696962</v>
      </c>
      <c r="AA25" s="48">
        <f t="shared" si="19"/>
        <v>28.030303030303028</v>
      </c>
      <c r="AB25" s="49">
        <f t="shared" si="20"/>
        <v>33.504281249999998</v>
      </c>
      <c r="AC25" s="139">
        <f t="shared" si="21"/>
        <v>61.534584280303022</v>
      </c>
      <c r="AD25" s="161" t="str">
        <f t="shared" si="22"/>
        <v xml:space="preserve"> 사유?→</v>
      </c>
      <c r="AE25" s="160" t="s">
        <v>236</v>
      </c>
      <c r="AF25" s="37">
        <f>AG25-F25</f>
        <v>-8</v>
      </c>
      <c r="AG25" s="38">
        <f>AN25</f>
        <v>0</v>
      </c>
      <c r="AH25" s="328" t="s">
        <v>36</v>
      </c>
      <c r="AI25" s="39"/>
      <c r="AJ25" s="40">
        <f>IFERROR(Z25/W25*1000,"")</f>
        <v>1097.6013513513515</v>
      </c>
      <c r="AK25" s="39"/>
      <c r="AL25" s="41"/>
      <c r="AM25" s="41"/>
      <c r="AN25" s="41"/>
      <c r="AP25" s="328">
        <f t="shared" si="23"/>
        <v>-8</v>
      </c>
      <c r="AQ25" s="42"/>
    </row>
    <row r="26" spans="2:43" s="328" customFormat="1" ht="115.5" customHeight="1" x14ac:dyDescent="0.3">
      <c r="B26" s="421"/>
      <c r="C26" s="24">
        <f t="shared" si="11"/>
        <v>11</v>
      </c>
      <c r="D26" s="43" t="s">
        <v>35</v>
      </c>
      <c r="E26" s="26" t="s">
        <v>28</v>
      </c>
      <c r="F26" s="25">
        <v>11</v>
      </c>
      <c r="G26" s="124">
        <v>16</v>
      </c>
      <c r="H26" s="124">
        <f t="shared" si="12"/>
        <v>2.8368794326241136</v>
      </c>
      <c r="I26" s="123" t="s">
        <v>78</v>
      </c>
      <c r="J26" s="123" t="s">
        <v>88</v>
      </c>
      <c r="K26" s="123" t="s">
        <v>84</v>
      </c>
      <c r="L26" s="123"/>
      <c r="M26" s="129" t="s">
        <v>90</v>
      </c>
      <c r="N26" s="123" t="s">
        <v>74</v>
      </c>
      <c r="O26" s="123" t="s">
        <v>169</v>
      </c>
      <c r="P26" s="123" t="s">
        <v>92</v>
      </c>
      <c r="Q26" s="123" t="s">
        <v>91</v>
      </c>
      <c r="R26" s="123" t="s">
        <v>89</v>
      </c>
      <c r="S26" s="124">
        <f t="shared" si="13"/>
        <v>6</v>
      </c>
      <c r="T26" s="27">
        <f t="shared" si="14"/>
        <v>726</v>
      </c>
      <c r="U26" s="28">
        <f>+H67</f>
        <v>564</v>
      </c>
      <c r="V26" s="44">
        <f t="shared" si="15"/>
        <v>51.272727272727273</v>
      </c>
      <c r="W26" s="45">
        <f t="shared" si="16"/>
        <v>0.77685950413223137</v>
      </c>
      <c r="X26" s="46">
        <f>+K67</f>
        <v>560.48</v>
      </c>
      <c r="Y26" s="44">
        <f t="shared" si="17"/>
        <v>50.952727272727273</v>
      </c>
      <c r="Z26" s="47">
        <f t="shared" si="18"/>
        <v>0.7720110192837466</v>
      </c>
      <c r="AA26" s="48">
        <f t="shared" si="19"/>
        <v>38.84297520661157</v>
      </c>
      <c r="AB26" s="49">
        <f t="shared" si="20"/>
        <v>42.036000000000001</v>
      </c>
      <c r="AC26" s="139">
        <f t="shared" si="21"/>
        <v>80.878975206611571</v>
      </c>
      <c r="AD26" s="50" t="str">
        <f t="shared" si="22"/>
        <v>80~89</v>
      </c>
      <c r="AE26" s="36"/>
      <c r="AF26" s="37">
        <f>AG26-F26</f>
        <v>-11</v>
      </c>
      <c r="AG26" s="38">
        <f>AN26</f>
        <v>0</v>
      </c>
      <c r="AH26" s="328" t="s">
        <v>33</v>
      </c>
      <c r="AI26" s="39"/>
      <c r="AJ26" s="40">
        <f>IFERROR(Z26/W26*1000,"")</f>
        <v>993.75886524822715</v>
      </c>
      <c r="AK26" s="39"/>
      <c r="AL26" s="41"/>
      <c r="AM26" s="41"/>
      <c r="AN26" s="41"/>
      <c r="AP26" s="328">
        <f t="shared" si="23"/>
        <v>-11</v>
      </c>
      <c r="AQ26" s="42"/>
    </row>
    <row r="27" spans="2:43" s="328" customFormat="1" ht="104.25" customHeight="1" x14ac:dyDescent="0.3">
      <c r="B27" s="421"/>
      <c r="C27" s="24">
        <f t="shared" si="11"/>
        <v>12</v>
      </c>
      <c r="D27" s="43" t="s">
        <v>37</v>
      </c>
      <c r="E27" s="26" t="s">
        <v>28</v>
      </c>
      <c r="F27" s="25">
        <f>11-1.16</f>
        <v>9.84</v>
      </c>
      <c r="G27" s="125">
        <v>193</v>
      </c>
      <c r="H27" s="130">
        <f t="shared" si="12"/>
        <v>44.779582366589324</v>
      </c>
      <c r="I27" s="123" t="s">
        <v>78</v>
      </c>
      <c r="J27" s="123" t="s">
        <v>88</v>
      </c>
      <c r="K27" s="123" t="s">
        <v>84</v>
      </c>
      <c r="L27" s="123"/>
      <c r="M27" s="129"/>
      <c r="N27" s="123" t="s">
        <v>74</v>
      </c>
      <c r="O27" s="123" t="s">
        <v>169</v>
      </c>
      <c r="P27" s="123" t="s">
        <v>92</v>
      </c>
      <c r="Q27" s="123" t="s">
        <v>91</v>
      </c>
      <c r="R27" s="123" t="s">
        <v>89</v>
      </c>
      <c r="S27" s="125">
        <f t="shared" si="13"/>
        <v>5.5</v>
      </c>
      <c r="T27" s="27">
        <f t="shared" si="14"/>
        <v>649.44000000000005</v>
      </c>
      <c r="U27" s="28">
        <f>+H70</f>
        <v>431</v>
      </c>
      <c r="V27" s="44">
        <f t="shared" si="15"/>
        <v>43.800813008130085</v>
      </c>
      <c r="W27" s="45">
        <f t="shared" si="16"/>
        <v>0.66364868194136484</v>
      </c>
      <c r="X27" s="46">
        <f>+K70</f>
        <v>546.97</v>
      </c>
      <c r="Y27" s="44">
        <f t="shared" si="17"/>
        <v>55.586382113821145</v>
      </c>
      <c r="Z27" s="47">
        <f t="shared" si="18"/>
        <v>0.84221791081547182</v>
      </c>
      <c r="AA27" s="48">
        <f t="shared" si="19"/>
        <v>33.182434097068239</v>
      </c>
      <c r="AB27" s="49">
        <f t="shared" si="20"/>
        <v>45.85876524390244</v>
      </c>
      <c r="AC27" s="139">
        <f t="shared" si="21"/>
        <v>79.041199340970678</v>
      </c>
      <c r="AD27" s="161" t="str">
        <f t="shared" si="22"/>
        <v xml:space="preserve"> 사유?→</v>
      </c>
      <c r="AE27" s="160" t="s">
        <v>237</v>
      </c>
      <c r="AF27" s="37">
        <f>AG27-F27</f>
        <v>-9.84</v>
      </c>
      <c r="AG27" s="38">
        <f>AN27</f>
        <v>0</v>
      </c>
      <c r="AH27" s="328" t="s">
        <v>46</v>
      </c>
      <c r="AI27" s="39"/>
      <c r="AJ27" s="40">
        <f>IFERROR(Z27/W27*1000,"")</f>
        <v>1269.0719257540604</v>
      </c>
      <c r="AL27" s="41"/>
      <c r="AM27" s="41"/>
      <c r="AN27" s="41"/>
      <c r="AP27" s="328">
        <f t="shared" si="23"/>
        <v>-9.84</v>
      </c>
      <c r="AQ27" s="42"/>
    </row>
    <row r="28" spans="2:43" s="328" customFormat="1" ht="104.25" customHeight="1" x14ac:dyDescent="0.3">
      <c r="B28" s="421"/>
      <c r="C28" s="24">
        <f t="shared" si="11"/>
        <v>13</v>
      </c>
      <c r="D28" s="43" t="s">
        <v>47</v>
      </c>
      <c r="E28" s="26" t="s">
        <v>36</v>
      </c>
      <c r="F28" s="25">
        <v>8</v>
      </c>
      <c r="G28" s="124">
        <v>48</v>
      </c>
      <c r="H28" s="124">
        <f t="shared" si="12"/>
        <v>9.7165991902834001</v>
      </c>
      <c r="I28" s="123" t="s">
        <v>78</v>
      </c>
      <c r="J28" s="123" t="s">
        <v>88</v>
      </c>
      <c r="K28" s="123" t="s">
        <v>84</v>
      </c>
      <c r="L28" s="123"/>
      <c r="M28" s="129"/>
      <c r="N28" s="123"/>
      <c r="O28" s="123"/>
      <c r="P28" s="123" t="s">
        <v>92</v>
      </c>
      <c r="Q28" s="123" t="s">
        <v>91</v>
      </c>
      <c r="R28" s="123" t="s">
        <v>89</v>
      </c>
      <c r="S28" s="124">
        <f t="shared" si="13"/>
        <v>4.5</v>
      </c>
      <c r="T28" s="323">
        <f t="shared" si="14"/>
        <v>528</v>
      </c>
      <c r="U28" s="28">
        <f>+H73</f>
        <v>494</v>
      </c>
      <c r="V28" s="29">
        <f t="shared" si="15"/>
        <v>61.75</v>
      </c>
      <c r="W28" s="30">
        <f t="shared" si="16"/>
        <v>0.93560606060606055</v>
      </c>
      <c r="X28" s="31">
        <f>+K73</f>
        <v>341.69</v>
      </c>
      <c r="Y28" s="44">
        <f t="shared" si="17"/>
        <v>42.71125</v>
      </c>
      <c r="Z28" s="47">
        <f t="shared" si="18"/>
        <v>0.64714015151515147</v>
      </c>
      <c r="AA28" s="48">
        <f t="shared" si="19"/>
        <v>46.780303030303031</v>
      </c>
      <c r="AB28" s="49">
        <f t="shared" si="20"/>
        <v>35.23678125</v>
      </c>
      <c r="AC28" s="139">
        <f t="shared" si="21"/>
        <v>82.017084280303038</v>
      </c>
      <c r="AD28" s="50" t="str">
        <f t="shared" si="22"/>
        <v>80~89</v>
      </c>
      <c r="AE28" s="36"/>
      <c r="AF28" s="37"/>
      <c r="AG28" s="38"/>
      <c r="AI28" s="39"/>
      <c r="AJ28" s="40"/>
      <c r="AL28" s="41"/>
      <c r="AM28" s="41"/>
      <c r="AN28" s="41"/>
      <c r="AP28" s="328">
        <f t="shared" si="23"/>
        <v>-8</v>
      </c>
      <c r="AQ28" s="42"/>
    </row>
    <row r="29" spans="2:43" s="328" customFormat="1" ht="36" customHeight="1" x14ac:dyDescent="0.3">
      <c r="B29" s="422" t="s">
        <v>39</v>
      </c>
      <c r="C29" s="423"/>
      <c r="D29" s="423"/>
      <c r="E29" s="424"/>
      <c r="F29" s="43">
        <f>SUM(F23:F28)</f>
        <v>52.84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3487.44</v>
      </c>
      <c r="U29" s="53">
        <f>SUM(U23:U28)</f>
        <v>2601</v>
      </c>
      <c r="V29" s="54">
        <f>U29/F29</f>
        <v>49.224072672218014</v>
      </c>
      <c r="W29" s="45">
        <f t="shared" si="16"/>
        <v>0.74581928291239419</v>
      </c>
      <c r="X29" s="55">
        <f>SUM(X23:X28)</f>
        <v>2565.14</v>
      </c>
      <c r="Y29" s="44">
        <f>X29/F29</f>
        <v>48.545420136260404</v>
      </c>
      <c r="Z29" s="47">
        <f t="shared" si="18"/>
        <v>0.73553666873121826</v>
      </c>
      <c r="AA29" s="56">
        <f>U29/T29*AA20</f>
        <v>37.290964145619711</v>
      </c>
      <c r="AB29" s="57">
        <f>X29/T29*AB20</f>
        <v>40.049971612414836</v>
      </c>
      <c r="AC29" s="140">
        <f t="shared" si="21"/>
        <v>77.340935758034547</v>
      </c>
      <c r="AD29" s="162" t="str">
        <f t="shared" si="22"/>
        <v xml:space="preserve"> 사유?→</v>
      </c>
      <c r="AE29" s="43"/>
      <c r="AF29" s="37">
        <f>AG29-F29</f>
        <v>-52.84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8.8066666666666666</v>
      </c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61">
        <f>V30*F30</f>
        <v>433.5</v>
      </c>
      <c r="V30" s="62">
        <f>U29/F29</f>
        <v>49.224072672218014</v>
      </c>
      <c r="W30" s="63">
        <f>IFERROR(U30/#REF!,0)</f>
        <v>0</v>
      </c>
      <c r="X30" s="64">
        <f>X29/F29*F30</f>
        <v>427.52333333333331</v>
      </c>
      <c r="Y30" s="62">
        <f>IF(F30=0,"휴무",X30/F30)</f>
        <v>48.545420136260404</v>
      </c>
      <c r="Z30" s="65">
        <f>IFERROR(X30/#REF!,0)</f>
        <v>0</v>
      </c>
      <c r="AA30" s="60">
        <f>AVERAGE(AA23:AA28)</f>
        <v>37.351457106168859</v>
      </c>
      <c r="AB30" s="60">
        <f>AVERAGE(AB23:AB28)</f>
        <v>39.703174415650409</v>
      </c>
      <c r="AC30" s="141">
        <f>AA30+AB30</f>
        <v>77.05463152181926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328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8</v>
      </c>
      <c r="F36" s="455" t="s">
        <v>7</v>
      </c>
      <c r="G36" s="82" t="s">
        <v>48</v>
      </c>
      <c r="H36" s="83">
        <f>277-214</f>
        <v>63</v>
      </c>
      <c r="I36" s="84"/>
      <c r="J36" s="85"/>
      <c r="K36" s="86">
        <v>78.81</v>
      </c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>
        <v>214</v>
      </c>
      <c r="I37" s="84"/>
      <c r="J37" s="85"/>
      <c r="K37" s="86">
        <v>362.16</v>
      </c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491</v>
      </c>
      <c r="I38" s="88"/>
      <c r="J38" s="89"/>
      <c r="K38" s="90">
        <f>+K36+K37*2</f>
        <v>803.13000000000011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9</v>
      </c>
      <c r="F39" s="455" t="s">
        <v>52</v>
      </c>
      <c r="G39" s="82" t="s">
        <v>48</v>
      </c>
      <c r="H39" s="83">
        <f>286-62</f>
        <v>224</v>
      </c>
      <c r="I39" s="84"/>
      <c r="J39" s="85"/>
      <c r="K39" s="86">
        <v>68.319999999999993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>
        <v>62</v>
      </c>
      <c r="I40" s="84"/>
      <c r="J40" s="85"/>
      <c r="K40" s="86">
        <f>310.86-68.32</f>
        <v>242.54000000000002</v>
      </c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348</v>
      </c>
      <c r="I41" s="88"/>
      <c r="J41" s="89"/>
      <c r="K41" s="90">
        <f>+K39+K40*2</f>
        <v>553.40000000000009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10</v>
      </c>
      <c r="F42" s="455" t="s">
        <v>53</v>
      </c>
      <c r="G42" s="82" t="s">
        <v>48</v>
      </c>
      <c r="H42" s="83">
        <f>210-48</f>
        <v>162</v>
      </c>
      <c r="I42" s="84"/>
      <c r="J42" s="85"/>
      <c r="K42" s="86">
        <f>271.62-69.47</f>
        <v>202.15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>
        <v>48</v>
      </c>
      <c r="I43" s="84"/>
      <c r="J43" s="85"/>
      <c r="K43" s="86">
        <v>69.47</v>
      </c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258</v>
      </c>
      <c r="I44" s="88"/>
      <c r="J44" s="89"/>
      <c r="K44" s="90">
        <f>+K42+K43*2</f>
        <v>341.09000000000003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11</v>
      </c>
      <c r="F45" s="455" t="s">
        <v>55</v>
      </c>
      <c r="G45" s="82" t="s">
        <v>48</v>
      </c>
      <c r="H45" s="83">
        <v>471</v>
      </c>
      <c r="I45" s="84"/>
      <c r="J45" s="85"/>
      <c r="K45" s="86">
        <v>538.20000000000005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471</v>
      </c>
      <c r="I47" s="88"/>
      <c r="J47" s="89"/>
      <c r="K47" s="90">
        <f>+K45+K46*2</f>
        <v>538.20000000000005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12</v>
      </c>
      <c r="F48" s="455" t="s">
        <v>56</v>
      </c>
      <c r="G48" s="82" t="s">
        <v>48</v>
      </c>
      <c r="H48" s="83">
        <v>334</v>
      </c>
      <c r="I48" s="84"/>
      <c r="J48" s="85"/>
      <c r="K48" s="86">
        <v>416.32</v>
      </c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334</v>
      </c>
      <c r="I50" s="88"/>
      <c r="J50" s="89"/>
      <c r="K50" s="90">
        <f>+K48+K49*2</f>
        <v>416.32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13</v>
      </c>
      <c r="F51" s="455" t="s">
        <v>38</v>
      </c>
      <c r="G51" s="82" t="s">
        <v>48</v>
      </c>
      <c r="H51" s="83"/>
      <c r="I51" s="84"/>
      <c r="J51" s="85"/>
      <c r="K51" s="86"/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0</v>
      </c>
      <c r="I53" s="88"/>
      <c r="J53" s="89"/>
      <c r="K53" s="90">
        <f>+K51+K52*2</f>
        <v>0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8</v>
      </c>
      <c r="F56" s="455" t="s">
        <v>7</v>
      </c>
      <c r="G56" s="82" t="s">
        <v>48</v>
      </c>
      <c r="H56" s="83">
        <f>373-31</f>
        <v>342</v>
      </c>
      <c r="I56" s="84"/>
      <c r="J56" s="85"/>
      <c r="K56" s="86">
        <f>407.58-41.49</f>
        <v>366.09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>
        <v>31</v>
      </c>
      <c r="I57" s="84"/>
      <c r="J57" s="85"/>
      <c r="K57" s="86">
        <v>41.49</v>
      </c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404</v>
      </c>
      <c r="I58" s="88"/>
      <c r="J58" s="89"/>
      <c r="K58" s="90">
        <f>+K56+K57*2</f>
        <v>449.07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9</v>
      </c>
      <c r="F59" s="455" t="s">
        <v>52</v>
      </c>
      <c r="G59" s="82" t="s">
        <v>48</v>
      </c>
      <c r="H59" s="83">
        <v>412</v>
      </c>
      <c r="I59" s="84"/>
      <c r="J59" s="85"/>
      <c r="K59" s="86">
        <v>342.04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/>
      <c r="I60" s="84"/>
      <c r="J60" s="85"/>
      <c r="K60" s="86"/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412</v>
      </c>
      <c r="I61" s="88"/>
      <c r="J61" s="89"/>
      <c r="K61" s="90">
        <f>+K59+K60*2</f>
        <v>342.04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10</v>
      </c>
      <c r="F62" s="455" t="s">
        <v>53</v>
      </c>
      <c r="G62" s="82" t="s">
        <v>48</v>
      </c>
      <c r="H62" s="83">
        <f>280-17-1</f>
        <v>262</v>
      </c>
      <c r="I62" s="84"/>
      <c r="J62" s="85"/>
      <c r="K62" s="86">
        <f>317.71-8.84-1.66</f>
        <v>307.20999999999998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>
        <v>17</v>
      </c>
      <c r="I63" s="84"/>
      <c r="J63" s="85"/>
      <c r="K63" s="86">
        <v>8.84</v>
      </c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296</v>
      </c>
      <c r="I64" s="88"/>
      <c r="J64" s="89"/>
      <c r="K64" s="90">
        <f>+K62+K63*2</f>
        <v>324.89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11</v>
      </c>
      <c r="F65" s="455" t="s">
        <v>55</v>
      </c>
      <c r="G65" s="82" t="s">
        <v>48</v>
      </c>
      <c r="H65" s="83">
        <v>560</v>
      </c>
      <c r="I65" s="84"/>
      <c r="J65" s="85"/>
      <c r="K65" s="86">
        <f>559.67-0.81</f>
        <v>558.86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>
        <v>2</v>
      </c>
      <c r="I66" s="84"/>
      <c r="J66" s="85"/>
      <c r="K66" s="86">
        <v>0.81</v>
      </c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564</v>
      </c>
      <c r="I67" s="88"/>
      <c r="J67" s="89"/>
      <c r="K67" s="90">
        <f>+K65+K66*2</f>
        <v>560.48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12</v>
      </c>
      <c r="F68" s="455" t="s">
        <v>56</v>
      </c>
      <c r="G68" s="82" t="s">
        <v>48</v>
      </c>
      <c r="H68" s="83">
        <f>330-101</f>
        <v>229</v>
      </c>
      <c r="I68" s="84"/>
      <c r="J68" s="85"/>
      <c r="K68" s="86">
        <f>391.78-155.19</f>
        <v>236.58999999999997</v>
      </c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>
        <v>101</v>
      </c>
      <c r="I69" s="84"/>
      <c r="J69" s="85"/>
      <c r="K69" s="86">
        <v>155.19</v>
      </c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431</v>
      </c>
      <c r="I70" s="88"/>
      <c r="J70" s="89"/>
      <c r="K70" s="90">
        <f>+K68+K69*2</f>
        <v>546.97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13</v>
      </c>
      <c r="F71" s="455" t="s">
        <v>38</v>
      </c>
      <c r="G71" s="82" t="s">
        <v>48</v>
      </c>
      <c r="H71" s="83">
        <v>494</v>
      </c>
      <c r="I71" s="84"/>
      <c r="J71" s="85"/>
      <c r="K71" s="86">
        <v>341.69</v>
      </c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494</v>
      </c>
      <c r="I73" s="88"/>
      <c r="J73" s="89"/>
      <c r="K73" s="90">
        <f>+K71+K72*2</f>
        <v>341.69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322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4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5">IF(F80=0,"휴무",AA80+AB80)</f>
        <v>#REF!</v>
      </c>
      <c r="AD80" s="103" t="e">
        <f t="shared" ref="AD80:AD85" si="26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328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328"/>
      <c r="AP80" s="328">
        <f>AO80-F80</f>
        <v>-10</v>
      </c>
    </row>
    <row r="81" spans="2:42" ht="98.25" customHeight="1" x14ac:dyDescent="0.3">
      <c r="B81" s="459"/>
      <c r="C81" s="92">
        <v>20</v>
      </c>
      <c r="D81" s="329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4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5"/>
        <v>#REF!</v>
      </c>
      <c r="AD81" s="108" t="e">
        <f t="shared" si="26"/>
        <v>#REF!</v>
      </c>
      <c r="AE81" s="109"/>
      <c r="AF81" s="37">
        <f>AG81-F81</f>
        <v>-10</v>
      </c>
      <c r="AG81" s="38">
        <f>AN81</f>
        <v>0</v>
      </c>
      <c r="AH81" s="328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328"/>
      <c r="AP81" s="328">
        <f>AO81-F81</f>
        <v>-10</v>
      </c>
    </row>
    <row r="82" spans="2:42" ht="98.25" customHeight="1" x14ac:dyDescent="0.3">
      <c r="B82" s="459"/>
      <c r="C82" s="92">
        <v>21</v>
      </c>
      <c r="D82" s="329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4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5"/>
        <v>#REF!</v>
      </c>
      <c r="AD82" s="108" t="e">
        <f t="shared" si="26"/>
        <v>#REF!</v>
      </c>
      <c r="AE82" s="109"/>
      <c r="AF82" s="37">
        <f>AG82-F82</f>
        <v>-10</v>
      </c>
      <c r="AG82" s="38">
        <f>AN82</f>
        <v>0</v>
      </c>
      <c r="AH82" s="328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328"/>
      <c r="AP82" s="328">
        <f>AO82-F82</f>
        <v>-10</v>
      </c>
    </row>
    <row r="83" spans="2:42" ht="98.25" customHeight="1" x14ac:dyDescent="0.3">
      <c r="B83" s="459"/>
      <c r="C83" s="92">
        <v>22</v>
      </c>
      <c r="D83" s="329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4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5"/>
        <v>#REF!</v>
      </c>
      <c r="AD83" s="110" t="e">
        <f t="shared" si="26"/>
        <v>#REF!</v>
      </c>
      <c r="AE83" s="104"/>
      <c r="AF83" s="37">
        <f>AG83-F83</f>
        <v>-10</v>
      </c>
      <c r="AG83" s="38">
        <f>AN83</f>
        <v>0</v>
      </c>
      <c r="AH83" s="328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328"/>
      <c r="AP83" s="328">
        <f>AO83-F83</f>
        <v>-10</v>
      </c>
    </row>
    <row r="84" spans="2:42" ht="98.25" customHeight="1" x14ac:dyDescent="0.3">
      <c r="B84" s="459"/>
      <c r="C84" s="92">
        <v>23</v>
      </c>
      <c r="D84" s="329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4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5"/>
        <v>#REF!</v>
      </c>
      <c r="AD84" s="110" t="e">
        <f t="shared" si="26"/>
        <v>#REF!</v>
      </c>
      <c r="AE84" s="104"/>
      <c r="AF84" s="37">
        <f>AG84-F84</f>
        <v>-10</v>
      </c>
      <c r="AG84" s="38">
        <f>AN84</f>
        <v>0</v>
      </c>
      <c r="AH84" s="328" t="s">
        <v>46</v>
      </c>
      <c r="AI84" s="39"/>
      <c r="AJ84" s="40" t="str">
        <f>IFERROR(Z84/W84*1000,"")</f>
        <v/>
      </c>
      <c r="AK84" s="328"/>
      <c r="AL84" s="41"/>
      <c r="AM84" s="41"/>
      <c r="AN84" s="41"/>
      <c r="AO84" s="328"/>
      <c r="AP84" s="328">
        <f>AO84-F84</f>
        <v>-10</v>
      </c>
    </row>
    <row r="85" spans="2:42" ht="98.25" customHeight="1" x14ac:dyDescent="0.3">
      <c r="B85" s="459"/>
      <c r="C85" s="92">
        <v>25</v>
      </c>
      <c r="D85" s="329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326"/>
      <c r="H85" s="326"/>
      <c r="I85" s="326"/>
      <c r="J85" s="326"/>
      <c r="K85" s="326"/>
      <c r="L85" s="326"/>
      <c r="M85" s="326"/>
      <c r="N85" s="326"/>
      <c r="O85" s="326"/>
      <c r="P85" s="326"/>
      <c r="Q85" s="326"/>
      <c r="R85" s="326"/>
      <c r="S85" s="326"/>
      <c r="T85" s="326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4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5"/>
        <v>휴무</v>
      </c>
      <c r="AD85" s="110" t="str">
        <f t="shared" si="26"/>
        <v>휴무</v>
      </c>
      <c r="AE85" s="104"/>
      <c r="AF85" s="37"/>
      <c r="AG85" s="38"/>
      <c r="AH85" s="328"/>
      <c r="AI85" s="39"/>
      <c r="AJ85" s="40"/>
      <c r="AK85" s="328"/>
      <c r="AL85" s="41"/>
      <c r="AM85" s="41"/>
      <c r="AN85" s="41"/>
      <c r="AO85" s="328"/>
      <c r="AP85" s="328"/>
    </row>
    <row r="86" spans="2:42" ht="36" customHeight="1" x14ac:dyDescent="0.3">
      <c r="B86" s="460" t="s">
        <v>39</v>
      </c>
      <c r="C86" s="461"/>
      <c r="D86" s="461"/>
      <c r="E86" s="462"/>
      <c r="F86" s="329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329"/>
      <c r="AB86" s="325"/>
      <c r="AC86" s="114"/>
      <c r="AD86" s="115"/>
      <c r="AE86" s="327"/>
      <c r="AF86" s="37">
        <f>AG86-F86</f>
        <v>-50</v>
      </c>
      <c r="AG86" s="38">
        <f>SUM(AG80:AG85)</f>
        <v>0</v>
      </c>
      <c r="AH86" s="328"/>
      <c r="AI86" s="328"/>
      <c r="AJ86" s="40"/>
      <c r="AK86" s="328"/>
      <c r="AL86" s="59"/>
      <c r="AM86" s="59"/>
      <c r="AN86" s="59"/>
      <c r="AO86" s="328"/>
      <c r="AP86" s="328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326"/>
      <c r="H87" s="326"/>
      <c r="I87" s="326"/>
      <c r="J87" s="326"/>
      <c r="K87" s="326"/>
      <c r="L87" s="326"/>
      <c r="M87" s="326"/>
      <c r="N87" s="326"/>
      <c r="O87" s="326"/>
      <c r="P87" s="326"/>
      <c r="Q87" s="326"/>
      <c r="R87" s="326"/>
      <c r="S87" s="326"/>
      <c r="T87" s="326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328"/>
      <c r="AE88" s="328"/>
      <c r="AF88" s="328"/>
      <c r="AG88" s="328"/>
      <c r="AH88" s="328"/>
      <c r="AI88" s="328"/>
      <c r="AJ88" s="328"/>
      <c r="AK88" s="328"/>
      <c r="AL88" s="59"/>
      <c r="AM88" s="59"/>
      <c r="AN88" s="59"/>
      <c r="AO88" s="328"/>
      <c r="AP88" s="328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329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329" t="s">
        <v>63</v>
      </c>
      <c r="D117" s="466" t="s">
        <v>12</v>
      </c>
      <c r="E117" s="466"/>
      <c r="F117" s="329" t="s">
        <v>64</v>
      </c>
      <c r="G117" s="329"/>
      <c r="H117" s="329"/>
      <c r="I117" s="329"/>
      <c r="J117" s="329"/>
      <c r="K117" s="329"/>
      <c r="L117" s="329"/>
      <c r="M117" s="329"/>
      <c r="N117" s="329"/>
      <c r="O117" s="329"/>
      <c r="P117" s="329"/>
      <c r="Q117" s="329"/>
      <c r="R117" s="329"/>
      <c r="S117" s="329"/>
      <c r="T117" s="329"/>
      <c r="U117" s="329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329"/>
      <c r="G118" s="329"/>
      <c r="H118" s="329"/>
      <c r="I118" s="329"/>
      <c r="J118" s="329"/>
      <c r="K118" s="329"/>
      <c r="L118" s="329"/>
      <c r="M118" s="329"/>
      <c r="N118" s="329"/>
      <c r="O118" s="329"/>
      <c r="P118" s="329"/>
      <c r="Q118" s="329"/>
      <c r="R118" s="329"/>
      <c r="S118" s="329"/>
      <c r="T118" s="329"/>
      <c r="U118" s="329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329"/>
      <c r="G119" s="329"/>
      <c r="H119" s="329"/>
      <c r="I119" s="329"/>
      <c r="J119" s="329"/>
      <c r="K119" s="329"/>
      <c r="L119" s="329"/>
      <c r="M119" s="329"/>
      <c r="N119" s="329"/>
      <c r="O119" s="329"/>
      <c r="P119" s="329"/>
      <c r="Q119" s="329"/>
      <c r="R119" s="329"/>
      <c r="S119" s="329"/>
      <c r="T119" s="329"/>
      <c r="U119" s="329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329"/>
      <c r="Q120" s="329"/>
      <c r="R120" s="329"/>
      <c r="S120" s="329"/>
      <c r="T120" s="329"/>
      <c r="U120" s="329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329"/>
      <c r="G121" s="329"/>
      <c r="H121" s="329"/>
      <c r="I121" s="329"/>
      <c r="J121" s="329"/>
      <c r="K121" s="329"/>
      <c r="L121" s="329"/>
      <c r="M121" s="329"/>
      <c r="N121" s="329"/>
      <c r="O121" s="329"/>
      <c r="P121" s="329"/>
      <c r="Q121" s="329"/>
      <c r="R121" s="329"/>
      <c r="S121" s="329"/>
      <c r="T121" s="329"/>
      <c r="U121" s="329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329"/>
      <c r="G122" s="329"/>
      <c r="H122" s="329"/>
      <c r="I122" s="329"/>
      <c r="J122" s="329"/>
      <c r="K122" s="329"/>
      <c r="L122" s="329"/>
      <c r="M122" s="329"/>
      <c r="N122" s="329"/>
      <c r="O122" s="329"/>
      <c r="P122" s="329"/>
      <c r="Q122" s="329"/>
      <c r="R122" s="329"/>
      <c r="S122" s="329"/>
      <c r="T122" s="329"/>
      <c r="U122" s="329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329"/>
      <c r="G123" s="329"/>
      <c r="H123" s="329"/>
      <c r="I123" s="329"/>
      <c r="J123" s="329"/>
      <c r="K123" s="329"/>
      <c r="L123" s="329"/>
      <c r="M123" s="329"/>
      <c r="N123" s="329"/>
      <c r="O123" s="329"/>
      <c r="P123" s="329"/>
      <c r="Q123" s="329"/>
      <c r="R123" s="329"/>
      <c r="S123" s="329"/>
      <c r="T123" s="329"/>
      <c r="U123" s="329"/>
      <c r="V123" s="117"/>
      <c r="W123" s="118"/>
      <c r="X123" s="116"/>
      <c r="Y123" s="117"/>
      <c r="Z123" s="116"/>
      <c r="AA123" s="116"/>
    </row>
    <row r="124" spans="3:27" x14ac:dyDescent="0.3">
      <c r="C124" s="329"/>
      <c r="D124" s="460"/>
      <c r="E124" s="462"/>
      <c r="F124" s="329"/>
      <c r="G124" s="329"/>
      <c r="H124" s="329"/>
      <c r="I124" s="329"/>
      <c r="J124" s="329"/>
      <c r="K124" s="329"/>
      <c r="L124" s="329"/>
      <c r="M124" s="329"/>
      <c r="N124" s="329"/>
      <c r="O124" s="329"/>
      <c r="P124" s="329"/>
      <c r="Q124" s="329"/>
      <c r="R124" s="329"/>
      <c r="S124" s="329"/>
      <c r="T124" s="329"/>
      <c r="U124" s="329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329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329" t="s">
        <v>63</v>
      </c>
      <c r="D127" s="466" t="s">
        <v>12</v>
      </c>
      <c r="E127" s="466"/>
      <c r="F127" s="329" t="s">
        <v>64</v>
      </c>
      <c r="G127" s="329"/>
      <c r="H127" s="329"/>
      <c r="I127" s="329"/>
      <c r="J127" s="329"/>
      <c r="K127" s="329"/>
      <c r="L127" s="329"/>
      <c r="M127" s="329"/>
      <c r="N127" s="329"/>
      <c r="O127" s="329"/>
      <c r="P127" s="329"/>
      <c r="Q127" s="329"/>
      <c r="R127" s="329"/>
      <c r="S127" s="329"/>
      <c r="T127" s="329"/>
      <c r="U127" s="329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329"/>
      <c r="G128" s="329"/>
      <c r="H128" s="329"/>
      <c r="I128" s="329"/>
      <c r="J128" s="329"/>
      <c r="K128" s="329"/>
      <c r="L128" s="329"/>
      <c r="M128" s="329"/>
      <c r="N128" s="329"/>
      <c r="O128" s="329"/>
      <c r="P128" s="329"/>
      <c r="Q128" s="329"/>
      <c r="R128" s="329"/>
      <c r="S128" s="329"/>
      <c r="T128" s="329"/>
      <c r="U128" s="329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329"/>
      <c r="G129" s="329"/>
      <c r="H129" s="329"/>
      <c r="I129" s="329"/>
      <c r="J129" s="329"/>
      <c r="K129" s="329"/>
      <c r="L129" s="329"/>
      <c r="M129" s="329"/>
      <c r="N129" s="329"/>
      <c r="O129" s="329"/>
      <c r="P129" s="329"/>
      <c r="Q129" s="329"/>
      <c r="R129" s="329"/>
      <c r="S129" s="329"/>
      <c r="T129" s="329"/>
      <c r="U129" s="329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329"/>
      <c r="G130" s="329"/>
      <c r="H130" s="329"/>
      <c r="I130" s="329"/>
      <c r="J130" s="329"/>
      <c r="K130" s="329"/>
      <c r="L130" s="329"/>
      <c r="M130" s="329"/>
      <c r="N130" s="329"/>
      <c r="O130" s="329"/>
      <c r="P130" s="329"/>
      <c r="Q130" s="329"/>
      <c r="R130" s="329"/>
      <c r="S130" s="329"/>
      <c r="T130" s="329"/>
      <c r="U130" s="329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329"/>
      <c r="G131" s="329"/>
      <c r="H131" s="329"/>
      <c r="I131" s="329"/>
      <c r="J131" s="329"/>
      <c r="K131" s="329"/>
      <c r="L131" s="329"/>
      <c r="M131" s="329"/>
      <c r="N131" s="329"/>
      <c r="O131" s="329"/>
      <c r="P131" s="329"/>
      <c r="Q131" s="329"/>
      <c r="R131" s="329"/>
      <c r="S131" s="329"/>
      <c r="T131" s="329"/>
      <c r="U131" s="329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329"/>
      <c r="G132" s="329"/>
      <c r="H132" s="329"/>
      <c r="I132" s="329"/>
      <c r="J132" s="329"/>
      <c r="K132" s="329"/>
      <c r="L132" s="329"/>
      <c r="M132" s="329"/>
      <c r="N132" s="329"/>
      <c r="O132" s="329"/>
      <c r="P132" s="329"/>
      <c r="Q132" s="329"/>
      <c r="R132" s="329"/>
      <c r="S132" s="329"/>
      <c r="T132" s="329"/>
      <c r="U132" s="329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329"/>
      <c r="G133" s="329"/>
      <c r="H133" s="329"/>
      <c r="I133" s="329"/>
      <c r="J133" s="329"/>
      <c r="K133" s="329"/>
      <c r="L133" s="329"/>
      <c r="M133" s="329"/>
      <c r="N133" s="329"/>
      <c r="O133" s="329"/>
      <c r="P133" s="329"/>
      <c r="Q133" s="329"/>
      <c r="R133" s="329"/>
      <c r="S133" s="329"/>
      <c r="T133" s="329"/>
      <c r="U133" s="329"/>
      <c r="V133" s="117"/>
      <c r="W133" s="118"/>
      <c r="X133" s="116"/>
      <c r="Y133" s="117"/>
      <c r="Z133" s="116"/>
      <c r="AA133" s="116"/>
    </row>
    <row r="134" spans="3:27" x14ac:dyDescent="0.3">
      <c r="C134" s="329"/>
      <c r="D134" s="460"/>
      <c r="E134" s="462"/>
      <c r="F134" s="329"/>
      <c r="G134" s="329"/>
      <c r="H134" s="329"/>
      <c r="I134" s="329"/>
      <c r="J134" s="329"/>
      <c r="K134" s="329"/>
      <c r="L134" s="329"/>
      <c r="M134" s="329"/>
      <c r="N134" s="329"/>
      <c r="O134" s="329"/>
      <c r="P134" s="329"/>
      <c r="Q134" s="329"/>
      <c r="R134" s="329"/>
      <c r="S134" s="329"/>
      <c r="T134" s="329"/>
      <c r="U134" s="329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329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329" t="s">
        <v>63</v>
      </c>
      <c r="D137" s="466" t="s">
        <v>12</v>
      </c>
      <c r="E137" s="466"/>
      <c r="F137" s="329" t="s">
        <v>64</v>
      </c>
      <c r="G137" s="329"/>
      <c r="H137" s="329"/>
      <c r="I137" s="329"/>
      <c r="J137" s="329"/>
      <c r="K137" s="329"/>
      <c r="L137" s="329"/>
      <c r="M137" s="329"/>
      <c r="N137" s="329"/>
      <c r="O137" s="329"/>
      <c r="P137" s="329"/>
      <c r="Q137" s="329"/>
      <c r="R137" s="329"/>
      <c r="S137" s="329"/>
      <c r="T137" s="329"/>
      <c r="U137" s="329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329"/>
      <c r="G138" s="329"/>
      <c r="H138" s="329"/>
      <c r="I138" s="329"/>
      <c r="J138" s="329"/>
      <c r="K138" s="329"/>
      <c r="L138" s="329"/>
      <c r="M138" s="329"/>
      <c r="N138" s="329"/>
      <c r="O138" s="329"/>
      <c r="P138" s="329"/>
      <c r="Q138" s="329"/>
      <c r="R138" s="329"/>
      <c r="S138" s="329"/>
      <c r="T138" s="329"/>
      <c r="U138" s="329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329"/>
      <c r="G139" s="329"/>
      <c r="H139" s="329"/>
      <c r="I139" s="329"/>
      <c r="J139" s="329"/>
      <c r="K139" s="329"/>
      <c r="L139" s="329"/>
      <c r="M139" s="329"/>
      <c r="N139" s="329"/>
      <c r="O139" s="329"/>
      <c r="P139" s="329"/>
      <c r="Q139" s="329"/>
      <c r="R139" s="329"/>
      <c r="S139" s="329"/>
      <c r="T139" s="329"/>
      <c r="U139" s="329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329"/>
      <c r="G140" s="329"/>
      <c r="H140" s="329"/>
      <c r="I140" s="329"/>
      <c r="J140" s="329"/>
      <c r="K140" s="329"/>
      <c r="L140" s="329"/>
      <c r="M140" s="329"/>
      <c r="N140" s="329"/>
      <c r="O140" s="329"/>
      <c r="P140" s="329"/>
      <c r="Q140" s="329"/>
      <c r="R140" s="329"/>
      <c r="S140" s="329"/>
      <c r="T140" s="329"/>
      <c r="U140" s="329"/>
    </row>
    <row r="141" spans="3:27" x14ac:dyDescent="0.3">
      <c r="C141" s="119">
        <v>45078</v>
      </c>
      <c r="D141" s="466"/>
      <c r="E141" s="466"/>
      <c r="F141" s="329"/>
      <c r="G141" s="329"/>
      <c r="H141" s="329"/>
      <c r="I141" s="329"/>
      <c r="J141" s="329"/>
      <c r="K141" s="329"/>
      <c r="L141" s="329"/>
      <c r="M141" s="329"/>
      <c r="N141" s="329"/>
      <c r="O141" s="329"/>
      <c r="P141" s="329"/>
      <c r="Q141" s="329"/>
      <c r="R141" s="329"/>
      <c r="S141" s="329"/>
      <c r="T141" s="329"/>
      <c r="U141" s="329"/>
    </row>
    <row r="142" spans="3:27" x14ac:dyDescent="0.3">
      <c r="C142" s="119">
        <v>45079</v>
      </c>
      <c r="D142" s="466"/>
      <c r="E142" s="466"/>
      <c r="F142" s="329"/>
      <c r="G142" s="329"/>
      <c r="H142" s="329"/>
      <c r="I142" s="329"/>
      <c r="J142" s="329"/>
      <c r="K142" s="329"/>
      <c r="L142" s="329"/>
      <c r="M142" s="329"/>
      <c r="N142" s="329"/>
      <c r="O142" s="329"/>
      <c r="P142" s="329"/>
      <c r="Q142" s="329"/>
      <c r="R142" s="329"/>
      <c r="S142" s="329"/>
      <c r="T142" s="329"/>
      <c r="U142" s="329"/>
    </row>
    <row r="143" spans="3:27" x14ac:dyDescent="0.3">
      <c r="C143" s="119">
        <v>45080</v>
      </c>
      <c r="D143" s="466"/>
      <c r="E143" s="466"/>
      <c r="F143" s="329"/>
      <c r="G143" s="329"/>
      <c r="H143" s="329"/>
      <c r="I143" s="329"/>
      <c r="J143" s="329"/>
      <c r="K143" s="329"/>
      <c r="L143" s="329"/>
      <c r="M143" s="329"/>
      <c r="N143" s="329"/>
      <c r="O143" s="329"/>
      <c r="P143" s="329"/>
      <c r="Q143" s="329"/>
      <c r="R143" s="329"/>
      <c r="S143" s="329"/>
      <c r="T143" s="329"/>
      <c r="U143" s="329"/>
    </row>
    <row r="144" spans="3:27" x14ac:dyDescent="0.3">
      <c r="C144" s="329"/>
      <c r="D144" s="460"/>
      <c r="E144" s="462"/>
      <c r="F144" s="329"/>
      <c r="G144" s="329"/>
      <c r="H144" s="329"/>
      <c r="I144" s="329"/>
      <c r="J144" s="329"/>
      <c r="K144" s="329"/>
      <c r="L144" s="329"/>
      <c r="M144" s="329"/>
      <c r="N144" s="329"/>
      <c r="O144" s="329"/>
      <c r="P144" s="329"/>
      <c r="Q144" s="329"/>
      <c r="R144" s="329"/>
      <c r="S144" s="329"/>
      <c r="T144" s="329"/>
      <c r="U144" s="329"/>
    </row>
  </sheetData>
  <mergeCells count="111"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E104:E106"/>
    <mergeCell ref="F104:F106"/>
    <mergeCell ref="E107:E109"/>
    <mergeCell ref="F107:F109"/>
    <mergeCell ref="C114:U114"/>
    <mergeCell ref="D117:E117"/>
    <mergeCell ref="E95:E97"/>
    <mergeCell ref="F95:F97"/>
    <mergeCell ref="E98:E100"/>
    <mergeCell ref="F98:F100"/>
    <mergeCell ref="E101:E103"/>
    <mergeCell ref="F101:F103"/>
    <mergeCell ref="AE78:AE79"/>
    <mergeCell ref="B80:B85"/>
    <mergeCell ref="B86:E86"/>
    <mergeCell ref="B87:E87"/>
    <mergeCell ref="E92:E94"/>
    <mergeCell ref="F92:F94"/>
    <mergeCell ref="B76:AE76"/>
    <mergeCell ref="B78:B79"/>
    <mergeCell ref="C78:C79"/>
    <mergeCell ref="D78:D79"/>
    <mergeCell ref="E78:E79"/>
    <mergeCell ref="F78:F79"/>
    <mergeCell ref="U78:W78"/>
    <mergeCell ref="X78:Z78"/>
    <mergeCell ref="AC78:AC79"/>
    <mergeCell ref="AD78:AD79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AC21:AC22"/>
    <mergeCell ref="AD21:AD22"/>
    <mergeCell ref="AE21:AE22"/>
    <mergeCell ref="B23:B28"/>
    <mergeCell ref="B29:E29"/>
    <mergeCell ref="B30:E30"/>
    <mergeCell ref="I21:S21"/>
    <mergeCell ref="T21:T22"/>
    <mergeCell ref="U21:W21"/>
    <mergeCell ref="X21:Z21"/>
    <mergeCell ref="AA21:AA22"/>
    <mergeCell ref="AB21:AB22"/>
    <mergeCell ref="B13:E13"/>
    <mergeCell ref="B14:E14"/>
    <mergeCell ref="B21:B22"/>
    <mergeCell ref="C21:C22"/>
    <mergeCell ref="D21:D22"/>
    <mergeCell ref="E21:E22"/>
    <mergeCell ref="F21:F22"/>
    <mergeCell ref="G21:G22"/>
    <mergeCell ref="H21:H22"/>
    <mergeCell ref="U5:W5"/>
    <mergeCell ref="X5:Z5"/>
    <mergeCell ref="AC5:AC6"/>
    <mergeCell ref="AD5:AD6"/>
    <mergeCell ref="AE5:AE6"/>
    <mergeCell ref="B7:B12"/>
    <mergeCell ref="B2:AE2"/>
    <mergeCell ref="B5:C6"/>
    <mergeCell ref="D5:D6"/>
    <mergeCell ref="E5:E6"/>
    <mergeCell ref="F5:F6"/>
    <mergeCell ref="G5:G6"/>
    <mergeCell ref="H5:H6"/>
    <mergeCell ref="I5:S5"/>
    <mergeCell ref="T5:T6"/>
  </mergeCells>
  <phoneticPr fontId="4" type="noConversion"/>
  <dataValidations count="4">
    <dataValidation type="list" allowBlank="1" showInputMessage="1" showErrorMessage="1" sqref="E26:E28 E10:E11">
      <formula1>$U$7:$U$12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 E23:E25 E7:E9">
      <formula1>$AH$7:$AH$12</formula1>
    </dataValidation>
    <dataValidation type="list" allowBlank="1" showInputMessage="1" showErrorMessage="1" sqref="E12">
      <formula1>$AF$6:$AF$11</formula1>
    </dataValidation>
  </dataValidations>
  <pageMargins left="0.62992125984251968" right="0.62992125984251968" top="0.94488188976377963" bottom="0.55118110236220474" header="0.31496062992125984" footer="0.31496062992125984"/>
  <pageSetup paperSize="9" scale="26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80" zoomScaleNormal="80" workbookViewId="0">
      <pane xSplit="4" ySplit="6" topLeftCell="E28" activePane="bottomRight" state="frozen"/>
      <selection pane="topRight" activeCell="D1" sqref="D1"/>
      <selection pane="bottomLeft" activeCell="A6" sqref="A6"/>
      <selection pane="bottomRight" activeCell="E8" sqref="E8:F8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56.375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11.75" hidden="1" customWidth="1"/>
    <col min="44" max="44" width="3.25" customWidth="1"/>
  </cols>
  <sheetData>
    <row r="2" spans="2:52" ht="20.25" x14ac:dyDescent="0.3">
      <c r="B2" s="425" t="s">
        <v>220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317" t="s">
        <v>1</v>
      </c>
      <c r="AY2" s="317" t="s">
        <v>2</v>
      </c>
      <c r="AZ2" s="3" t="s">
        <v>3</v>
      </c>
    </row>
    <row r="3" spans="2:52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E3" s="464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322" t="s">
        <v>68</v>
      </c>
      <c r="J6" s="18" t="s">
        <v>69</v>
      </c>
      <c r="K6" s="18" t="s">
        <v>71</v>
      </c>
      <c r="L6" s="18" t="s">
        <v>72</v>
      </c>
      <c r="M6" s="18" t="s">
        <v>75</v>
      </c>
      <c r="N6" s="18" t="s">
        <v>75</v>
      </c>
      <c r="O6" s="18" t="s">
        <v>75</v>
      </c>
      <c r="P6" s="18" t="s">
        <v>230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320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-54.67</v>
      </c>
    </row>
    <row r="7" spans="2:52" s="318" customFormat="1" ht="99" customHeight="1" thickTop="1" x14ac:dyDescent="0.3">
      <c r="B7" s="420">
        <v>6</v>
      </c>
      <c r="C7" s="24">
        <v>1</v>
      </c>
      <c r="D7" s="25" t="s">
        <v>7</v>
      </c>
      <c r="E7" s="26" t="s">
        <v>28</v>
      </c>
      <c r="F7" s="25">
        <f>11-1.5</f>
        <v>9.5</v>
      </c>
      <c r="G7" s="128">
        <v>314</v>
      </c>
      <c r="H7" s="128">
        <f t="shared" ref="H7:H12" si="0">(G7/U7)*100</f>
        <v>53.04054054054054</v>
      </c>
      <c r="I7" s="123" t="s">
        <v>85</v>
      </c>
      <c r="J7" s="123" t="s">
        <v>86</v>
      </c>
      <c r="K7" s="123" t="s">
        <v>87</v>
      </c>
      <c r="L7" s="123"/>
      <c r="M7" s="129" t="s">
        <v>90</v>
      </c>
      <c r="N7" s="123" t="s">
        <v>74</v>
      </c>
      <c r="O7" s="123" t="s">
        <v>169</v>
      </c>
      <c r="P7" s="123" t="s">
        <v>231</v>
      </c>
      <c r="Q7" s="123" t="s">
        <v>91</v>
      </c>
      <c r="R7" s="123" t="s">
        <v>89</v>
      </c>
      <c r="S7" s="125">
        <f t="shared" ref="S7:S12" si="1">COUNTA(I7:L7)+COUNTA(M7:R7)/2</f>
        <v>6</v>
      </c>
      <c r="T7" s="27">
        <f t="shared" ref="T7:T12" si="2">F7*$D$4*$U$4</f>
        <v>627</v>
      </c>
      <c r="U7" s="28">
        <f>+H38</f>
        <v>592</v>
      </c>
      <c r="V7" s="29">
        <f t="shared" ref="V7:V12" si="3">IF(F7=0,"휴무",U7/F7)</f>
        <v>62.315789473684212</v>
      </c>
      <c r="W7" s="30">
        <f t="shared" ref="W7:W13" si="4">IFERROR(U7/T7,0)</f>
        <v>0.94417862838915467</v>
      </c>
      <c r="X7" s="31">
        <f>+K38</f>
        <v>945.62</v>
      </c>
      <c r="Y7" s="29">
        <f t="shared" ref="Y7:Y12" si="5">IF(F7=0,"휴무",X7/F7)</f>
        <v>99.538947368421049</v>
      </c>
      <c r="Z7" s="32">
        <f t="shared" ref="Z7:Z13" si="6">IFERROR(X7/T7,0)</f>
        <v>1.5081658692185007</v>
      </c>
      <c r="AA7" s="33">
        <f t="shared" ref="AA7:AA12" si="7">IF(F7=0,"휴무",U7/T7*$AA$4)</f>
        <v>47.208931419457734</v>
      </c>
      <c r="AB7" s="34">
        <f t="shared" ref="AB7:AB12" si="8">IF(F7=0,"휴무",X7/T7*$AB$4)</f>
        <v>82.119631578947363</v>
      </c>
      <c r="AC7" s="138">
        <f t="shared" ref="AC7:AC13" si="9">IF(F7=0,"휴무",AA7+AB7)</f>
        <v>129.32856299840509</v>
      </c>
      <c r="AD7" s="35" t="str">
        <f t="shared" ref="AD7:AD13" si="10">IF(F7=0,"휴무",IF(AC7&gt;=100,"좋아요",IF(AC7&gt;=90,"90~99",IF(AC7&gt;=80,"80~89"," 사유?→"))))</f>
        <v>좋아요</v>
      </c>
      <c r="AE7" s="36" t="s">
        <v>221</v>
      </c>
      <c r="AF7" s="37">
        <f>AG7-F7</f>
        <v>-9.5</v>
      </c>
      <c r="AG7" s="38">
        <f>AN7</f>
        <v>0</v>
      </c>
      <c r="AH7" s="318" t="s">
        <v>29</v>
      </c>
      <c r="AI7" s="39"/>
      <c r="AJ7" s="40">
        <f>IFERROR(Z7/W7*1000,"")</f>
        <v>1597.331081081081</v>
      </c>
      <c r="AK7" s="39"/>
      <c r="AL7" s="41"/>
      <c r="AM7" s="41"/>
      <c r="AN7" s="41"/>
      <c r="AP7" s="318">
        <f t="shared" ref="AP7:AP12" si="11">AO7-F7</f>
        <v>-9.5</v>
      </c>
      <c r="AQ7" s="42"/>
    </row>
    <row r="8" spans="2:52" s="318" customFormat="1" ht="99.75" customHeight="1" x14ac:dyDescent="0.3">
      <c r="B8" s="421"/>
      <c r="C8" s="24">
        <f>+C7+1</f>
        <v>2</v>
      </c>
      <c r="D8" s="43" t="s">
        <v>30</v>
      </c>
      <c r="E8" s="26" t="s">
        <v>28</v>
      </c>
      <c r="F8" s="25">
        <v>11</v>
      </c>
      <c r="G8" s="125">
        <v>462</v>
      </c>
      <c r="H8" s="125">
        <f t="shared" si="0"/>
        <v>67.346938775510196</v>
      </c>
      <c r="I8" s="123" t="s">
        <v>85</v>
      </c>
      <c r="J8" s="123" t="s">
        <v>86</v>
      </c>
      <c r="K8" s="123" t="s">
        <v>87</v>
      </c>
      <c r="L8" s="123"/>
      <c r="M8" s="129" t="s">
        <v>90</v>
      </c>
      <c r="N8" s="123" t="s">
        <v>74</v>
      </c>
      <c r="O8" s="123" t="s">
        <v>169</v>
      </c>
      <c r="P8" s="123" t="s">
        <v>231</v>
      </c>
      <c r="Q8" s="123" t="s">
        <v>91</v>
      </c>
      <c r="R8" s="123" t="s">
        <v>89</v>
      </c>
      <c r="S8" s="125">
        <f t="shared" si="1"/>
        <v>6</v>
      </c>
      <c r="T8" s="27">
        <f t="shared" si="2"/>
        <v>726</v>
      </c>
      <c r="U8" s="28">
        <f>+H41</f>
        <v>686</v>
      </c>
      <c r="V8" s="44">
        <f t="shared" si="3"/>
        <v>62.363636363636367</v>
      </c>
      <c r="W8" s="45">
        <f t="shared" si="4"/>
        <v>0.94490358126721763</v>
      </c>
      <c r="X8" s="46">
        <f>+K41</f>
        <v>762</v>
      </c>
      <c r="Y8" s="29">
        <f t="shared" si="5"/>
        <v>69.272727272727266</v>
      </c>
      <c r="Z8" s="47">
        <f t="shared" si="6"/>
        <v>1.0495867768595042</v>
      </c>
      <c r="AA8" s="48">
        <f t="shared" si="7"/>
        <v>47.245179063360879</v>
      </c>
      <c r="AB8" s="49">
        <f t="shared" si="8"/>
        <v>57.150000000000006</v>
      </c>
      <c r="AC8" s="139">
        <f t="shared" si="9"/>
        <v>104.39517906336089</v>
      </c>
      <c r="AD8" s="50" t="str">
        <f t="shared" si="10"/>
        <v>좋아요</v>
      </c>
      <c r="AE8" s="36" t="s">
        <v>224</v>
      </c>
      <c r="AF8" s="37">
        <f>AG8-F8</f>
        <v>-11</v>
      </c>
      <c r="AG8" s="38">
        <f>AN8</f>
        <v>0</v>
      </c>
      <c r="AH8" s="318" t="s">
        <v>31</v>
      </c>
      <c r="AI8" s="39"/>
      <c r="AJ8" s="40">
        <f>IFERROR(Z8/W8*1000,"")</f>
        <v>1110.7871720116618</v>
      </c>
      <c r="AK8" s="39"/>
      <c r="AL8" s="41"/>
      <c r="AM8" s="41"/>
      <c r="AN8" s="41"/>
      <c r="AP8" s="318">
        <f t="shared" si="11"/>
        <v>-11</v>
      </c>
      <c r="AQ8" s="42"/>
    </row>
    <row r="9" spans="2:52" s="318" customFormat="1" ht="97.5" customHeight="1" x14ac:dyDescent="0.3">
      <c r="B9" s="421"/>
      <c r="C9" s="24">
        <f>+C8+1</f>
        <v>3</v>
      </c>
      <c r="D9" s="43" t="s">
        <v>32</v>
      </c>
      <c r="E9" s="26" t="s">
        <v>29</v>
      </c>
      <c r="F9" s="25">
        <v>8</v>
      </c>
      <c r="G9" s="125">
        <v>308</v>
      </c>
      <c r="H9" s="125">
        <f t="shared" si="0"/>
        <v>84.615384615384613</v>
      </c>
      <c r="I9" s="123" t="s">
        <v>85</v>
      </c>
      <c r="J9" s="123" t="s">
        <v>86</v>
      </c>
      <c r="K9" s="123" t="s">
        <v>87</v>
      </c>
      <c r="L9" s="123"/>
      <c r="M9" s="129" t="s">
        <v>90</v>
      </c>
      <c r="N9" s="123" t="s">
        <v>74</v>
      </c>
      <c r="O9" s="123"/>
      <c r="P9" s="123" t="s">
        <v>231</v>
      </c>
      <c r="Q9" s="123" t="s">
        <v>91</v>
      </c>
      <c r="R9" s="123" t="s">
        <v>89</v>
      </c>
      <c r="S9" s="125">
        <f t="shared" si="1"/>
        <v>5.5</v>
      </c>
      <c r="T9" s="27">
        <f t="shared" si="2"/>
        <v>528</v>
      </c>
      <c r="U9" s="51">
        <f>+H44</f>
        <v>364</v>
      </c>
      <c r="V9" s="44">
        <f t="shared" si="3"/>
        <v>45.5</v>
      </c>
      <c r="W9" s="45">
        <f t="shared" si="4"/>
        <v>0.68939393939393945</v>
      </c>
      <c r="X9" s="46">
        <f>+K44</f>
        <v>330.7</v>
      </c>
      <c r="Y9" s="44">
        <f t="shared" si="5"/>
        <v>41.337499999999999</v>
      </c>
      <c r="Z9" s="47">
        <f t="shared" si="6"/>
        <v>0.62632575757575759</v>
      </c>
      <c r="AA9" s="48">
        <f t="shared" si="7"/>
        <v>34.469696969696969</v>
      </c>
      <c r="AB9" s="49">
        <f t="shared" si="8"/>
        <v>34.103437500000005</v>
      </c>
      <c r="AC9" s="139">
        <f t="shared" si="9"/>
        <v>68.573134469696981</v>
      </c>
      <c r="AD9" s="161" t="str">
        <f t="shared" si="10"/>
        <v xml:space="preserve"> 사유?→</v>
      </c>
      <c r="AE9" s="160" t="s">
        <v>225</v>
      </c>
      <c r="AF9" s="37">
        <f>AG9-F9</f>
        <v>-8</v>
      </c>
      <c r="AG9" s="38">
        <f>AN9</f>
        <v>0</v>
      </c>
      <c r="AH9" s="318" t="s">
        <v>34</v>
      </c>
      <c r="AI9" s="39"/>
      <c r="AJ9" s="40">
        <f>IFERROR(Z9/W9*1000,"")</f>
        <v>908.5164835164835</v>
      </c>
      <c r="AK9" s="39"/>
      <c r="AL9" s="41"/>
      <c r="AM9" s="41"/>
      <c r="AN9" s="41"/>
      <c r="AP9" s="318">
        <f t="shared" si="11"/>
        <v>-8</v>
      </c>
      <c r="AQ9" s="42"/>
    </row>
    <row r="10" spans="2:52" s="318" customFormat="1" ht="95.25" customHeight="1" x14ac:dyDescent="0.3">
      <c r="B10" s="421"/>
      <c r="C10" s="24">
        <f>+C9+1</f>
        <v>4</v>
      </c>
      <c r="D10" s="43" t="s">
        <v>35</v>
      </c>
      <c r="E10" s="26" t="s">
        <v>28</v>
      </c>
      <c r="F10" s="25">
        <v>11</v>
      </c>
      <c r="G10" s="125">
        <v>505</v>
      </c>
      <c r="H10" s="125">
        <f t="shared" si="0"/>
        <v>99.409448818897644</v>
      </c>
      <c r="I10" s="123" t="s">
        <v>85</v>
      </c>
      <c r="J10" s="123" t="s">
        <v>86</v>
      </c>
      <c r="K10" s="123" t="s">
        <v>87</v>
      </c>
      <c r="L10" s="123"/>
      <c r="M10" s="129" t="s">
        <v>90</v>
      </c>
      <c r="N10" s="123" t="s">
        <v>74</v>
      </c>
      <c r="O10" s="123" t="s">
        <v>169</v>
      </c>
      <c r="P10" s="123" t="s">
        <v>231</v>
      </c>
      <c r="Q10" s="123" t="s">
        <v>91</v>
      </c>
      <c r="R10" s="123" t="s">
        <v>89</v>
      </c>
      <c r="S10" s="125">
        <f t="shared" si="1"/>
        <v>6</v>
      </c>
      <c r="T10" s="27">
        <f t="shared" si="2"/>
        <v>726</v>
      </c>
      <c r="U10" s="28">
        <f>+H47</f>
        <v>508</v>
      </c>
      <c r="V10" s="44">
        <f t="shared" si="3"/>
        <v>46.18181818181818</v>
      </c>
      <c r="W10" s="45">
        <f t="shared" si="4"/>
        <v>0.69972451790633605</v>
      </c>
      <c r="X10" s="46">
        <f>+K47</f>
        <v>487</v>
      </c>
      <c r="Y10" s="29">
        <f t="shared" si="5"/>
        <v>44.272727272727273</v>
      </c>
      <c r="Z10" s="47">
        <f t="shared" si="6"/>
        <v>0.67079889807162529</v>
      </c>
      <c r="AA10" s="48">
        <f t="shared" si="7"/>
        <v>34.986225895316799</v>
      </c>
      <c r="AB10" s="49">
        <f t="shared" si="8"/>
        <v>36.524999999999999</v>
      </c>
      <c r="AC10" s="139">
        <f t="shared" si="9"/>
        <v>71.511225895316798</v>
      </c>
      <c r="AD10" s="161" t="str">
        <f t="shared" si="10"/>
        <v xml:space="preserve"> 사유?→</v>
      </c>
      <c r="AE10" s="160" t="s">
        <v>226</v>
      </c>
      <c r="AF10" s="37">
        <f>AG10-F10</f>
        <v>-11</v>
      </c>
      <c r="AG10" s="38">
        <f>AN10</f>
        <v>0</v>
      </c>
      <c r="AH10" s="318" t="s">
        <v>36</v>
      </c>
      <c r="AI10" s="39"/>
      <c r="AJ10" s="40">
        <f>IFERROR(Z10/W10*1000,"")</f>
        <v>958.66141732283461</v>
      </c>
      <c r="AK10" s="39"/>
      <c r="AL10" s="41"/>
      <c r="AM10" s="41"/>
      <c r="AN10" s="41"/>
      <c r="AP10" s="318">
        <f t="shared" si="11"/>
        <v>-11</v>
      </c>
      <c r="AQ10" s="42"/>
    </row>
    <row r="11" spans="2:52" s="318" customFormat="1" ht="102.75" customHeight="1" x14ac:dyDescent="0.3">
      <c r="B11" s="421"/>
      <c r="C11" s="24">
        <f>+C10+1</f>
        <v>5</v>
      </c>
      <c r="D11" s="43" t="s">
        <v>37</v>
      </c>
      <c r="E11" s="26" t="s">
        <v>29</v>
      </c>
      <c r="F11" s="25">
        <v>8</v>
      </c>
      <c r="G11" s="125">
        <v>241</v>
      </c>
      <c r="H11" s="125">
        <f t="shared" si="0"/>
        <v>60.705289672544083</v>
      </c>
      <c r="I11" s="123" t="s">
        <v>85</v>
      </c>
      <c r="J11" s="123" t="s">
        <v>86</v>
      </c>
      <c r="K11" s="123" t="s">
        <v>87</v>
      </c>
      <c r="L11" s="123"/>
      <c r="M11" s="129" t="s">
        <v>90</v>
      </c>
      <c r="N11" s="123" t="s">
        <v>74</v>
      </c>
      <c r="O11" s="123" t="s">
        <v>169</v>
      </c>
      <c r="P11" s="123" t="s">
        <v>231</v>
      </c>
      <c r="Q11" s="123" t="s">
        <v>91</v>
      </c>
      <c r="R11" s="123" t="s">
        <v>89</v>
      </c>
      <c r="S11" s="125">
        <f t="shared" si="1"/>
        <v>6</v>
      </c>
      <c r="T11" s="27">
        <f t="shared" si="2"/>
        <v>528</v>
      </c>
      <c r="U11" s="28">
        <f>+H50</f>
        <v>397</v>
      </c>
      <c r="V11" s="44">
        <f t="shared" si="3"/>
        <v>49.625</v>
      </c>
      <c r="W11" s="45">
        <f t="shared" si="4"/>
        <v>0.75189393939393945</v>
      </c>
      <c r="X11" s="46">
        <f>+K50</f>
        <v>842.56999999999994</v>
      </c>
      <c r="Y11" s="44">
        <f t="shared" si="5"/>
        <v>105.32124999999999</v>
      </c>
      <c r="Z11" s="47">
        <f t="shared" si="6"/>
        <v>1.5957765151515151</v>
      </c>
      <c r="AA11" s="48">
        <f t="shared" si="7"/>
        <v>37.594696969696969</v>
      </c>
      <c r="AB11" s="49">
        <f t="shared" si="8"/>
        <v>86.890031250000007</v>
      </c>
      <c r="AC11" s="139">
        <f t="shared" si="9"/>
        <v>124.48472821969698</v>
      </c>
      <c r="AD11" s="50" t="str">
        <f t="shared" si="10"/>
        <v>좋아요</v>
      </c>
      <c r="AE11" s="36" t="s">
        <v>228</v>
      </c>
      <c r="AF11" s="37">
        <f>AG11-F11</f>
        <v>-8</v>
      </c>
      <c r="AG11" s="38">
        <f>AN11</f>
        <v>0</v>
      </c>
      <c r="AH11" s="318" t="s">
        <v>33</v>
      </c>
      <c r="AI11" s="39"/>
      <c r="AJ11" s="40">
        <f>IFERROR(Z11/W11*1000,"")</f>
        <v>2122.3425692695209</v>
      </c>
      <c r="AL11" s="41"/>
      <c r="AM11" s="41"/>
      <c r="AN11" s="41"/>
      <c r="AP11" s="318">
        <f t="shared" si="11"/>
        <v>-8</v>
      </c>
      <c r="AQ11" s="42"/>
    </row>
    <row r="12" spans="2:52" s="318" customFormat="1" ht="102.75" customHeight="1" x14ac:dyDescent="0.3">
      <c r="B12" s="421"/>
      <c r="C12" s="24">
        <f>+C11+1</f>
        <v>6</v>
      </c>
      <c r="D12" s="43" t="s">
        <v>38</v>
      </c>
      <c r="E12" s="26" t="s">
        <v>36</v>
      </c>
      <c r="F12" s="25">
        <f>8-0.83</f>
        <v>7.17</v>
      </c>
      <c r="G12" s="125">
        <v>331</v>
      </c>
      <c r="H12" s="125">
        <f t="shared" si="0"/>
        <v>65.285996055226832</v>
      </c>
      <c r="I12" s="123" t="s">
        <v>85</v>
      </c>
      <c r="J12" s="123" t="s">
        <v>86</v>
      </c>
      <c r="K12" s="123" t="s">
        <v>87</v>
      </c>
      <c r="L12" s="123"/>
      <c r="M12" s="129" t="s">
        <v>90</v>
      </c>
      <c r="N12" s="123" t="s">
        <v>74</v>
      </c>
      <c r="O12" s="123"/>
      <c r="P12" s="123" t="s">
        <v>231</v>
      </c>
      <c r="Q12" s="123" t="s">
        <v>91</v>
      </c>
      <c r="R12" s="123" t="s">
        <v>89</v>
      </c>
      <c r="S12" s="125">
        <f t="shared" si="1"/>
        <v>5.5</v>
      </c>
      <c r="T12" s="321">
        <f t="shared" si="2"/>
        <v>473.22</v>
      </c>
      <c r="U12" s="28">
        <f>+H53</f>
        <v>507</v>
      </c>
      <c r="V12" s="29">
        <f t="shared" si="3"/>
        <v>70.711297071129707</v>
      </c>
      <c r="W12" s="30">
        <f t="shared" si="4"/>
        <v>1.0713832889565107</v>
      </c>
      <c r="X12" s="31">
        <f>+K53</f>
        <v>323.07</v>
      </c>
      <c r="Y12" s="44">
        <f t="shared" si="5"/>
        <v>45.05857740585774</v>
      </c>
      <c r="Z12" s="47">
        <f t="shared" si="6"/>
        <v>0.6827057182705718</v>
      </c>
      <c r="AA12" s="48">
        <f t="shared" si="7"/>
        <v>53.569164447825536</v>
      </c>
      <c r="AB12" s="49">
        <f t="shared" si="8"/>
        <v>37.173326359832636</v>
      </c>
      <c r="AC12" s="139">
        <f t="shared" si="9"/>
        <v>90.742490807658172</v>
      </c>
      <c r="AD12" s="50" t="str">
        <f t="shared" si="10"/>
        <v>90~99</v>
      </c>
      <c r="AE12" s="36" t="s">
        <v>229</v>
      </c>
      <c r="AF12" s="37"/>
      <c r="AG12" s="38"/>
      <c r="AI12" s="39"/>
      <c r="AJ12" s="40"/>
      <c r="AL12" s="41"/>
      <c r="AM12" s="41"/>
      <c r="AN12" s="41"/>
      <c r="AP12" s="318">
        <f t="shared" si="11"/>
        <v>-7.17</v>
      </c>
      <c r="AQ12" s="42"/>
    </row>
    <row r="13" spans="2:52" s="318" customFormat="1" ht="36" customHeight="1" x14ac:dyDescent="0.3">
      <c r="B13" s="422" t="s">
        <v>39</v>
      </c>
      <c r="C13" s="423"/>
      <c r="D13" s="423"/>
      <c r="E13" s="424"/>
      <c r="F13" s="43">
        <f>SUM(F7:F12)</f>
        <v>54.67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>COUNTA(I13:M13)+COUNTA(N13:R13)/2</f>
        <v>0</v>
      </c>
      <c r="T13" s="52">
        <f>SUM(T7:T12)</f>
        <v>3608.2200000000003</v>
      </c>
      <c r="U13" s="53">
        <f>SUM(U7:U12)</f>
        <v>3054</v>
      </c>
      <c r="V13" s="54">
        <f>U13/F13</f>
        <v>55.862447411743183</v>
      </c>
      <c r="W13" s="45">
        <f t="shared" si="4"/>
        <v>0.84640071835974517</v>
      </c>
      <c r="X13" s="55">
        <f>SUM(X7:X12)</f>
        <v>3690.9599999999996</v>
      </c>
      <c r="Y13" s="44">
        <f>X13/F13</f>
        <v>67.51344430217668</v>
      </c>
      <c r="Z13" s="47">
        <f t="shared" si="6"/>
        <v>1.0229309742754042</v>
      </c>
      <c r="AA13" s="56">
        <f>U13/T13*AA4</f>
        <v>42.320035917987262</v>
      </c>
      <c r="AB13" s="57">
        <f>X13/T13*AB4</f>
        <v>55.698591549295763</v>
      </c>
      <c r="AC13" s="140">
        <f t="shared" si="9"/>
        <v>98.018627467283025</v>
      </c>
      <c r="AD13" s="58" t="str">
        <f t="shared" si="10"/>
        <v>90~99</v>
      </c>
      <c r="AE13" s="43"/>
      <c r="AF13" s="37">
        <f>AG13-F13</f>
        <v>-54.67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9.1116666666666664</v>
      </c>
      <c r="G14" s="319"/>
      <c r="H14" s="319"/>
      <c r="I14" s="319"/>
      <c r="J14" s="319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61">
        <f>V14*F14</f>
        <v>508.99999999999994</v>
      </c>
      <c r="V14" s="62">
        <f>U13/F13</f>
        <v>55.862447411743183</v>
      </c>
      <c r="W14" s="63">
        <f>IFERROR(U14/#REF!,0)</f>
        <v>0</v>
      </c>
      <c r="X14" s="64">
        <f>X13/F13*F14</f>
        <v>615.15999999999985</v>
      </c>
      <c r="Y14" s="62">
        <f>IF(F14=0,"휴무",X14/F14)</f>
        <v>67.51344430217668</v>
      </c>
      <c r="Z14" s="65">
        <f>IFERROR(X14/#REF!,0)</f>
        <v>0</v>
      </c>
      <c r="AA14" s="60">
        <f>AVERAGE(AA7:AA12)</f>
        <v>42.512315794225813</v>
      </c>
      <c r="AB14" s="60">
        <f>AVERAGE(AB7:AB12)</f>
        <v>55.660237781463337</v>
      </c>
      <c r="AC14" s="141">
        <f>AA14+AB14</f>
        <v>98.17255357568915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318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  <c r="AE19" s="464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322" t="s">
        <v>68</v>
      </c>
      <c r="J22" s="18" t="s">
        <v>69</v>
      </c>
      <c r="K22" s="18" t="s">
        <v>71</v>
      </c>
      <c r="L22" s="18" t="s">
        <v>72</v>
      </c>
      <c r="M22" s="18" t="s">
        <v>75</v>
      </c>
      <c r="N22" s="18" t="s">
        <v>75</v>
      </c>
      <c r="O22" s="18" t="s">
        <v>75</v>
      </c>
      <c r="P22" s="18" t="s">
        <v>230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-57</v>
      </c>
    </row>
    <row r="23" spans="2:43" s="318" customFormat="1" ht="99" customHeight="1" thickTop="1" x14ac:dyDescent="0.3">
      <c r="B23" s="420">
        <f>+B7</f>
        <v>6</v>
      </c>
      <c r="C23" s="24">
        <f t="shared" ref="C23:C28" si="12">+C7</f>
        <v>1</v>
      </c>
      <c r="D23" s="25" t="s">
        <v>7</v>
      </c>
      <c r="E23" s="26" t="s">
        <v>28</v>
      </c>
      <c r="F23" s="25">
        <v>11</v>
      </c>
      <c r="G23" s="128">
        <v>568</v>
      </c>
      <c r="H23" s="128">
        <f t="shared" ref="H23:H28" si="13">(G23/U23)*100</f>
        <v>99.649122807017548</v>
      </c>
      <c r="I23" s="123" t="s">
        <v>78</v>
      </c>
      <c r="J23" s="123" t="s">
        <v>88</v>
      </c>
      <c r="K23" s="123" t="s">
        <v>84</v>
      </c>
      <c r="L23" s="123"/>
      <c r="M23" s="129" t="s">
        <v>90</v>
      </c>
      <c r="N23" s="123" t="s">
        <v>74</v>
      </c>
      <c r="O23" s="123" t="s">
        <v>169</v>
      </c>
      <c r="P23" s="123" t="s">
        <v>92</v>
      </c>
      <c r="Q23" s="123" t="s">
        <v>91</v>
      </c>
      <c r="R23" s="123" t="s">
        <v>89</v>
      </c>
      <c r="S23" s="124">
        <f t="shared" ref="S23:S28" si="14">COUNTA(I23:L23)+COUNTA(M23:R23)/2</f>
        <v>6</v>
      </c>
      <c r="T23" s="27">
        <f t="shared" ref="T23:T28" si="15">F23*$D$4*$U$4</f>
        <v>726</v>
      </c>
      <c r="U23" s="28">
        <f>+H58</f>
        <v>570</v>
      </c>
      <c r="V23" s="29">
        <f t="shared" ref="V23:V28" si="16">IF(F23=0,"휴무",U23/F23)</f>
        <v>51.81818181818182</v>
      </c>
      <c r="W23" s="30">
        <f t="shared" ref="W23:W29" si="17">IFERROR(U23/T23,0)</f>
        <v>0.78512396694214881</v>
      </c>
      <c r="X23" s="31">
        <f>+K58</f>
        <v>471.6</v>
      </c>
      <c r="Y23" s="29">
        <f t="shared" ref="Y23:Y28" si="18">IF(F23=0,"휴무",X23/F23)</f>
        <v>42.872727272727275</v>
      </c>
      <c r="Z23" s="32">
        <f t="shared" ref="Z23:Z29" si="19">IFERROR(X23/T23,0)</f>
        <v>0.64958677685950417</v>
      </c>
      <c r="AA23" s="33">
        <f t="shared" ref="AA23:AA28" si="20">IF(F23=0,"휴무",U23/T23*$AA$4)</f>
        <v>39.256198347107443</v>
      </c>
      <c r="AB23" s="34">
        <f t="shared" ref="AB23:AB28" si="21">IF(F23=0,"휴무",X23/T23*$AB$4)</f>
        <v>35.370000000000005</v>
      </c>
      <c r="AC23" s="138">
        <f t="shared" ref="AC23:AC29" si="22">IF(F23=0,"휴무",AA23+AB23)</f>
        <v>74.626198347107447</v>
      </c>
      <c r="AD23" s="159" t="str">
        <f t="shared" ref="AD23:AD29" si="23">IF(F23=0,"휴무",IF(AC23&gt;=100,"좋아요",IF(AC23&gt;=90,"90~99",IF(AC23&gt;=80,"80~89"," 사유?→"))))</f>
        <v xml:space="preserve"> 사유?→</v>
      </c>
      <c r="AE23" s="160" t="s">
        <v>222</v>
      </c>
      <c r="AF23" s="37">
        <f>AG23-F23</f>
        <v>-11</v>
      </c>
      <c r="AG23" s="38">
        <f>AN23</f>
        <v>0</v>
      </c>
      <c r="AH23" s="318" t="s">
        <v>29</v>
      </c>
      <c r="AI23" s="39"/>
      <c r="AJ23" s="40">
        <f>IFERROR(Z23/W23*1000,"")</f>
        <v>827.36842105263156</v>
      </c>
      <c r="AK23" s="39"/>
      <c r="AL23" s="41"/>
      <c r="AM23" s="41"/>
      <c r="AN23" s="41"/>
      <c r="AP23" s="318">
        <f t="shared" ref="AP23:AP28" si="24">AO23-F23</f>
        <v>-11</v>
      </c>
      <c r="AQ23" s="42"/>
    </row>
    <row r="24" spans="2:43" s="318" customFormat="1" ht="99.75" customHeight="1" x14ac:dyDescent="0.3">
      <c r="B24" s="421"/>
      <c r="C24" s="24">
        <f t="shared" si="12"/>
        <v>2</v>
      </c>
      <c r="D24" s="43" t="s">
        <v>30</v>
      </c>
      <c r="E24" s="26" t="s">
        <v>28</v>
      </c>
      <c r="F24" s="25">
        <v>11</v>
      </c>
      <c r="G24" s="125">
        <v>641</v>
      </c>
      <c r="H24" s="125">
        <f t="shared" si="13"/>
        <v>95.671641791044777</v>
      </c>
      <c r="I24" s="123" t="s">
        <v>78</v>
      </c>
      <c r="J24" s="123" t="s">
        <v>88</v>
      </c>
      <c r="K24" s="123" t="s">
        <v>84</v>
      </c>
      <c r="L24" s="123"/>
      <c r="M24" s="129" t="s">
        <v>90</v>
      </c>
      <c r="N24" s="123" t="s">
        <v>74</v>
      </c>
      <c r="O24" s="123" t="s">
        <v>169</v>
      </c>
      <c r="P24" s="123" t="s">
        <v>92</v>
      </c>
      <c r="Q24" s="123" t="s">
        <v>91</v>
      </c>
      <c r="R24" s="123" t="s">
        <v>89</v>
      </c>
      <c r="S24" s="124">
        <f t="shared" si="14"/>
        <v>6</v>
      </c>
      <c r="T24" s="27">
        <f t="shared" si="15"/>
        <v>726</v>
      </c>
      <c r="U24" s="28">
        <f>+H61</f>
        <v>670</v>
      </c>
      <c r="V24" s="44">
        <f t="shared" si="16"/>
        <v>60.909090909090907</v>
      </c>
      <c r="W24" s="45">
        <f t="shared" si="17"/>
        <v>0.92286501377410468</v>
      </c>
      <c r="X24" s="46">
        <f>+K61</f>
        <v>454.76</v>
      </c>
      <c r="Y24" s="29">
        <f t="shared" si="18"/>
        <v>41.341818181818184</v>
      </c>
      <c r="Z24" s="47">
        <f t="shared" si="19"/>
        <v>0.62639118457300269</v>
      </c>
      <c r="AA24" s="48">
        <f t="shared" si="20"/>
        <v>46.143250688705237</v>
      </c>
      <c r="AB24" s="49">
        <f t="shared" si="21"/>
        <v>34.106999999999999</v>
      </c>
      <c r="AC24" s="139">
        <f t="shared" si="22"/>
        <v>80.250250688705236</v>
      </c>
      <c r="AD24" s="80" t="str">
        <f t="shared" si="23"/>
        <v>80~89</v>
      </c>
      <c r="AE24" s="36"/>
      <c r="AF24" s="37">
        <f>AG24-F24</f>
        <v>-11</v>
      </c>
      <c r="AG24" s="38">
        <f>AN24</f>
        <v>0</v>
      </c>
      <c r="AH24" s="318" t="s">
        <v>34</v>
      </c>
      <c r="AI24" s="39"/>
      <c r="AJ24" s="40">
        <f>IFERROR(Z24/W24*1000,"")</f>
        <v>678.74626865671644</v>
      </c>
      <c r="AK24" s="39"/>
      <c r="AL24" s="41"/>
      <c r="AM24" s="41"/>
      <c r="AN24" s="41"/>
      <c r="AP24" s="318">
        <f t="shared" si="24"/>
        <v>-11</v>
      </c>
      <c r="AQ24" s="42"/>
    </row>
    <row r="25" spans="2:43" s="318" customFormat="1" ht="97.5" customHeight="1" x14ac:dyDescent="0.3">
      <c r="B25" s="421"/>
      <c r="C25" s="24">
        <f t="shared" si="12"/>
        <v>3</v>
      </c>
      <c r="D25" s="43" t="s">
        <v>32</v>
      </c>
      <c r="E25" s="26" t="s">
        <v>29</v>
      </c>
      <c r="F25" s="25">
        <v>8</v>
      </c>
      <c r="G25" s="124">
        <v>462</v>
      </c>
      <c r="H25" s="124">
        <f t="shared" si="13"/>
        <v>100</v>
      </c>
      <c r="I25" s="123" t="s">
        <v>78</v>
      </c>
      <c r="J25" s="123" t="s">
        <v>88</v>
      </c>
      <c r="K25" s="123" t="s">
        <v>84</v>
      </c>
      <c r="L25" s="123"/>
      <c r="M25" s="129" t="s">
        <v>90</v>
      </c>
      <c r="N25" s="123" t="s">
        <v>74</v>
      </c>
      <c r="O25" s="123"/>
      <c r="P25" s="123" t="s">
        <v>92</v>
      </c>
      <c r="Q25" s="123" t="s">
        <v>91</v>
      </c>
      <c r="R25" s="123" t="s">
        <v>89</v>
      </c>
      <c r="S25" s="124">
        <f t="shared" si="14"/>
        <v>5.5</v>
      </c>
      <c r="T25" s="27">
        <f t="shared" si="15"/>
        <v>528</v>
      </c>
      <c r="U25" s="28">
        <f>+H64</f>
        <v>462</v>
      </c>
      <c r="V25" s="44">
        <f t="shared" si="16"/>
        <v>57.75</v>
      </c>
      <c r="W25" s="45">
        <f t="shared" si="17"/>
        <v>0.875</v>
      </c>
      <c r="X25" s="46">
        <f>+K64</f>
        <v>424.99</v>
      </c>
      <c r="Y25" s="29">
        <f t="shared" si="18"/>
        <v>53.123750000000001</v>
      </c>
      <c r="Z25" s="47">
        <f t="shared" si="19"/>
        <v>0.80490530303030305</v>
      </c>
      <c r="AA25" s="48">
        <f t="shared" si="20"/>
        <v>43.75</v>
      </c>
      <c r="AB25" s="49">
        <f t="shared" si="21"/>
        <v>43.827093750000003</v>
      </c>
      <c r="AC25" s="139">
        <f t="shared" si="22"/>
        <v>87.577093750000003</v>
      </c>
      <c r="AD25" s="50" t="str">
        <f t="shared" si="23"/>
        <v>80~89</v>
      </c>
      <c r="AE25" s="36"/>
      <c r="AF25" s="37">
        <f>AG25-F25</f>
        <v>-8</v>
      </c>
      <c r="AG25" s="38">
        <f>AN25</f>
        <v>0</v>
      </c>
      <c r="AH25" s="318" t="s">
        <v>36</v>
      </c>
      <c r="AI25" s="39"/>
      <c r="AJ25" s="40">
        <f>IFERROR(Z25/W25*1000,"")</f>
        <v>919.89177489177484</v>
      </c>
      <c r="AK25" s="39"/>
      <c r="AL25" s="41"/>
      <c r="AM25" s="41"/>
      <c r="AN25" s="41"/>
      <c r="AP25" s="318">
        <f t="shared" si="24"/>
        <v>-8</v>
      </c>
      <c r="AQ25" s="42"/>
    </row>
    <row r="26" spans="2:43" s="318" customFormat="1" ht="115.5" customHeight="1" x14ac:dyDescent="0.3">
      <c r="B26" s="421"/>
      <c r="C26" s="24">
        <f t="shared" si="12"/>
        <v>4</v>
      </c>
      <c r="D26" s="43" t="s">
        <v>35</v>
      </c>
      <c r="E26" s="26" t="s">
        <v>28</v>
      </c>
      <c r="F26" s="25">
        <v>11</v>
      </c>
      <c r="G26" s="124">
        <v>626</v>
      </c>
      <c r="H26" s="124">
        <f t="shared" si="13"/>
        <v>96.456086286594768</v>
      </c>
      <c r="I26" s="123" t="s">
        <v>78</v>
      </c>
      <c r="J26" s="123" t="s">
        <v>88</v>
      </c>
      <c r="K26" s="123" t="s">
        <v>84</v>
      </c>
      <c r="L26" s="123"/>
      <c r="M26" s="129" t="s">
        <v>90</v>
      </c>
      <c r="N26" s="123" t="s">
        <v>74</v>
      </c>
      <c r="O26" s="123" t="s">
        <v>169</v>
      </c>
      <c r="P26" s="123" t="s">
        <v>92</v>
      </c>
      <c r="Q26" s="123" t="s">
        <v>91</v>
      </c>
      <c r="R26" s="123" t="s">
        <v>89</v>
      </c>
      <c r="S26" s="124">
        <f t="shared" si="14"/>
        <v>6</v>
      </c>
      <c r="T26" s="27">
        <f t="shared" si="15"/>
        <v>726</v>
      </c>
      <c r="U26" s="28">
        <f>+H67</f>
        <v>649</v>
      </c>
      <c r="V26" s="44">
        <f t="shared" si="16"/>
        <v>59</v>
      </c>
      <c r="W26" s="45">
        <f t="shared" si="17"/>
        <v>0.89393939393939392</v>
      </c>
      <c r="X26" s="46">
        <f>+K67</f>
        <v>467.22</v>
      </c>
      <c r="Y26" s="44">
        <f t="shared" si="18"/>
        <v>42.474545454545456</v>
      </c>
      <c r="Z26" s="47">
        <f t="shared" si="19"/>
        <v>0.64355371900826452</v>
      </c>
      <c r="AA26" s="48">
        <f t="shared" si="20"/>
        <v>44.696969696969695</v>
      </c>
      <c r="AB26" s="49">
        <f t="shared" si="21"/>
        <v>35.041500000000006</v>
      </c>
      <c r="AC26" s="139">
        <f t="shared" si="22"/>
        <v>79.738469696969702</v>
      </c>
      <c r="AD26" s="50" t="s">
        <v>223</v>
      </c>
      <c r="AE26" s="36"/>
      <c r="AF26" s="37">
        <f>AG26-F26</f>
        <v>-11</v>
      </c>
      <c r="AG26" s="38">
        <f>AN26</f>
        <v>0</v>
      </c>
      <c r="AH26" s="318" t="s">
        <v>33</v>
      </c>
      <c r="AI26" s="39"/>
      <c r="AJ26" s="40">
        <f>IFERROR(Z26/W26*1000,"")</f>
        <v>719.90755007704161</v>
      </c>
      <c r="AK26" s="39"/>
      <c r="AL26" s="41"/>
      <c r="AM26" s="41"/>
      <c r="AN26" s="41"/>
      <c r="AP26" s="318">
        <f t="shared" si="24"/>
        <v>-11</v>
      </c>
      <c r="AQ26" s="42"/>
    </row>
    <row r="27" spans="2:43" s="318" customFormat="1" ht="104.25" customHeight="1" x14ac:dyDescent="0.3">
      <c r="B27" s="421"/>
      <c r="C27" s="24">
        <f t="shared" si="12"/>
        <v>5</v>
      </c>
      <c r="D27" s="43" t="s">
        <v>37</v>
      </c>
      <c r="E27" s="26" t="s">
        <v>29</v>
      </c>
      <c r="F27" s="25">
        <v>8</v>
      </c>
      <c r="G27" s="125">
        <v>78</v>
      </c>
      <c r="H27" s="130">
        <f t="shared" si="13"/>
        <v>16.993464052287582</v>
      </c>
      <c r="I27" s="123" t="s">
        <v>78</v>
      </c>
      <c r="J27" s="123" t="s">
        <v>88</v>
      </c>
      <c r="K27" s="123" t="s">
        <v>84</v>
      </c>
      <c r="L27" s="123"/>
      <c r="M27" s="129" t="s">
        <v>90</v>
      </c>
      <c r="N27" s="123" t="s">
        <v>74</v>
      </c>
      <c r="O27" s="123" t="s">
        <v>169</v>
      </c>
      <c r="P27" s="123" t="s">
        <v>92</v>
      </c>
      <c r="Q27" s="123" t="s">
        <v>91</v>
      </c>
      <c r="R27" s="123" t="s">
        <v>89</v>
      </c>
      <c r="S27" s="125">
        <f t="shared" si="14"/>
        <v>6</v>
      </c>
      <c r="T27" s="27">
        <f t="shared" si="15"/>
        <v>528</v>
      </c>
      <c r="U27" s="28">
        <f>+H70</f>
        <v>459</v>
      </c>
      <c r="V27" s="44">
        <f t="shared" si="16"/>
        <v>57.375</v>
      </c>
      <c r="W27" s="45">
        <f t="shared" si="17"/>
        <v>0.86931818181818177</v>
      </c>
      <c r="X27" s="46">
        <f>+K70</f>
        <v>480.8</v>
      </c>
      <c r="Y27" s="44">
        <f t="shared" si="18"/>
        <v>60.1</v>
      </c>
      <c r="Z27" s="47">
        <f t="shared" si="19"/>
        <v>0.91060606060606064</v>
      </c>
      <c r="AA27" s="48">
        <f t="shared" si="20"/>
        <v>43.465909090909086</v>
      </c>
      <c r="AB27" s="49">
        <f t="shared" si="21"/>
        <v>49.582500000000003</v>
      </c>
      <c r="AC27" s="139">
        <f t="shared" si="22"/>
        <v>93.04840909090909</v>
      </c>
      <c r="AD27" s="50" t="str">
        <f t="shared" si="23"/>
        <v>90~99</v>
      </c>
      <c r="AE27" s="36" t="s">
        <v>227</v>
      </c>
      <c r="AF27" s="37">
        <f>AG27-F27</f>
        <v>-8</v>
      </c>
      <c r="AG27" s="38">
        <f>AN27</f>
        <v>0</v>
      </c>
      <c r="AH27" s="318" t="s">
        <v>46</v>
      </c>
      <c r="AI27" s="39"/>
      <c r="AJ27" s="40">
        <f>IFERROR(Z27/W27*1000,"")</f>
        <v>1047.4945533769064</v>
      </c>
      <c r="AL27" s="41"/>
      <c r="AM27" s="41"/>
      <c r="AN27" s="41"/>
      <c r="AP27" s="318">
        <f t="shared" si="24"/>
        <v>-8</v>
      </c>
      <c r="AQ27" s="42"/>
    </row>
    <row r="28" spans="2:43" s="318" customFormat="1" ht="104.25" customHeight="1" x14ac:dyDescent="0.3">
      <c r="B28" s="421"/>
      <c r="C28" s="24">
        <f t="shared" si="12"/>
        <v>6</v>
      </c>
      <c r="D28" s="43" t="s">
        <v>47</v>
      </c>
      <c r="E28" s="26" t="s">
        <v>36</v>
      </c>
      <c r="F28" s="25">
        <v>8</v>
      </c>
      <c r="G28" s="124">
        <v>0</v>
      </c>
      <c r="H28" s="124">
        <f t="shared" si="13"/>
        <v>0</v>
      </c>
      <c r="I28" s="123" t="s">
        <v>78</v>
      </c>
      <c r="J28" s="123" t="s">
        <v>88</v>
      </c>
      <c r="K28" s="123" t="s">
        <v>84</v>
      </c>
      <c r="L28" s="123"/>
      <c r="M28" s="129" t="s">
        <v>90</v>
      </c>
      <c r="N28" s="123" t="s">
        <v>74</v>
      </c>
      <c r="O28" s="123"/>
      <c r="P28" s="123" t="s">
        <v>92</v>
      </c>
      <c r="Q28" s="123" t="s">
        <v>91</v>
      </c>
      <c r="R28" s="123" t="s">
        <v>89</v>
      </c>
      <c r="S28" s="124">
        <f t="shared" si="14"/>
        <v>5.5</v>
      </c>
      <c r="T28" s="321">
        <f t="shared" si="15"/>
        <v>528</v>
      </c>
      <c r="U28" s="28">
        <f>+H73</f>
        <v>503</v>
      </c>
      <c r="V28" s="29">
        <f t="shared" si="16"/>
        <v>62.875</v>
      </c>
      <c r="W28" s="30">
        <f t="shared" si="17"/>
        <v>0.95265151515151514</v>
      </c>
      <c r="X28" s="31">
        <f>+K73</f>
        <v>427.53</v>
      </c>
      <c r="Y28" s="44">
        <f t="shared" si="18"/>
        <v>53.441249999999997</v>
      </c>
      <c r="Z28" s="47">
        <f t="shared" si="19"/>
        <v>0.80971590909090907</v>
      </c>
      <c r="AA28" s="48">
        <f t="shared" si="20"/>
        <v>47.632575757575758</v>
      </c>
      <c r="AB28" s="49">
        <f t="shared" si="21"/>
        <v>44.089031249999998</v>
      </c>
      <c r="AC28" s="139">
        <f t="shared" si="22"/>
        <v>91.721607007575756</v>
      </c>
      <c r="AD28" s="245" t="str">
        <f t="shared" si="23"/>
        <v>90~99</v>
      </c>
      <c r="AE28" s="36" t="s">
        <v>227</v>
      </c>
      <c r="AF28" s="37"/>
      <c r="AG28" s="38"/>
      <c r="AI28" s="39"/>
      <c r="AJ28" s="40"/>
      <c r="AL28" s="41"/>
      <c r="AM28" s="41"/>
      <c r="AN28" s="41"/>
      <c r="AP28" s="318">
        <f t="shared" si="24"/>
        <v>-8</v>
      </c>
      <c r="AQ28" s="42"/>
    </row>
    <row r="29" spans="2:43" s="318" customFormat="1" ht="36" customHeight="1" x14ac:dyDescent="0.3">
      <c r="B29" s="422" t="s">
        <v>39</v>
      </c>
      <c r="C29" s="423"/>
      <c r="D29" s="423"/>
      <c r="E29" s="424"/>
      <c r="F29" s="43">
        <f>SUM(F23:F28)</f>
        <v>57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3762</v>
      </c>
      <c r="U29" s="53">
        <f>SUM(U23:U28)</f>
        <v>3313</v>
      </c>
      <c r="V29" s="54">
        <f>U29/F29</f>
        <v>58.122807017543863</v>
      </c>
      <c r="W29" s="45">
        <f t="shared" si="17"/>
        <v>0.88064859117490701</v>
      </c>
      <c r="X29" s="55">
        <f>SUM(X23:X28)</f>
        <v>2726.8999999999996</v>
      </c>
      <c r="Y29" s="44">
        <f>X29/F29</f>
        <v>47.840350877192975</v>
      </c>
      <c r="Z29" s="47">
        <f t="shared" si="19"/>
        <v>0.72485380116959053</v>
      </c>
      <c r="AA29" s="56">
        <f>U29/T29*AA20</f>
        <v>44.032429558745349</v>
      </c>
      <c r="AB29" s="57">
        <f>X29/T29*AB20</f>
        <v>39.468289473684209</v>
      </c>
      <c r="AC29" s="140">
        <f t="shared" si="22"/>
        <v>83.500719032429558</v>
      </c>
      <c r="AD29" s="58" t="str">
        <f t="shared" si="23"/>
        <v>80~89</v>
      </c>
      <c r="AE29" s="43"/>
      <c r="AF29" s="37">
        <f>AG29-F29</f>
        <v>-57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9.5</v>
      </c>
      <c r="G30" s="319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19"/>
      <c r="S30" s="319"/>
      <c r="T30" s="319"/>
      <c r="U30" s="61">
        <f>V30*F30</f>
        <v>552.16666666666674</v>
      </c>
      <c r="V30" s="62">
        <f>U29/F29</f>
        <v>58.122807017543863</v>
      </c>
      <c r="W30" s="63">
        <f>IFERROR(U30/#REF!,0)</f>
        <v>0</v>
      </c>
      <c r="X30" s="64">
        <f>X29/F29*F30</f>
        <v>454.48333333333323</v>
      </c>
      <c r="Y30" s="62">
        <f>IF(F30=0,"휴무",X30/F30)</f>
        <v>47.840350877192975</v>
      </c>
      <c r="Z30" s="65">
        <f>IFERROR(X30/#REF!,0)</f>
        <v>0</v>
      </c>
      <c r="AA30" s="60">
        <f>AVERAGE(AA23:AA28)</f>
        <v>44.157483930211207</v>
      </c>
      <c r="AB30" s="60">
        <f>AVERAGE(AB23:AB28)</f>
        <v>40.336187500000001</v>
      </c>
      <c r="AC30" s="141">
        <f>AA30+AB30</f>
        <v>84.493671430211208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318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1</v>
      </c>
      <c r="F36" s="455" t="s">
        <v>7</v>
      </c>
      <c r="G36" s="82" t="s">
        <v>48</v>
      </c>
      <c r="H36" s="83">
        <f>318-274</f>
        <v>44</v>
      </c>
      <c r="I36" s="84"/>
      <c r="J36" s="85"/>
      <c r="K36" s="86">
        <f>519.65-425.97</f>
        <v>93.67999999999995</v>
      </c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>
        <v>274</v>
      </c>
      <c r="I37" s="84"/>
      <c r="J37" s="85"/>
      <c r="K37" s="86">
        <v>425.97</v>
      </c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592</v>
      </c>
      <c r="I38" s="88"/>
      <c r="J38" s="89"/>
      <c r="K38" s="90">
        <f>+K36+K37*2</f>
        <v>945.62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2</v>
      </c>
      <c r="F39" s="455" t="s">
        <v>52</v>
      </c>
      <c r="G39" s="82" t="s">
        <v>48</v>
      </c>
      <c r="H39" s="83">
        <f>463-223</f>
        <v>240</v>
      </c>
      <c r="I39" s="84"/>
      <c r="J39" s="85"/>
      <c r="K39" s="86">
        <f>475.78-286.22</f>
        <v>189.55999999999995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>
        <v>223</v>
      </c>
      <c r="I40" s="84"/>
      <c r="J40" s="85"/>
      <c r="K40" s="86">
        <v>286.22000000000003</v>
      </c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686</v>
      </c>
      <c r="I41" s="88"/>
      <c r="J41" s="89"/>
      <c r="K41" s="90">
        <f>+K39+K40*2</f>
        <v>762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3</v>
      </c>
      <c r="F42" s="455" t="s">
        <v>53</v>
      </c>
      <c r="G42" s="82" t="s">
        <v>48</v>
      </c>
      <c r="H42" s="83">
        <f>310-54</f>
        <v>256</v>
      </c>
      <c r="I42" s="84"/>
      <c r="J42" s="85"/>
      <c r="K42" s="86">
        <f>280.74-49.96</f>
        <v>230.78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>
        <v>54</v>
      </c>
      <c r="I43" s="84"/>
      <c r="J43" s="85"/>
      <c r="K43" s="86">
        <v>49.96</v>
      </c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364</v>
      </c>
      <c r="I44" s="88"/>
      <c r="J44" s="89"/>
      <c r="K44" s="90">
        <f>+K42+K43*2</f>
        <v>330.7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4</v>
      </c>
      <c r="F45" s="455" t="s">
        <v>55</v>
      </c>
      <c r="G45" s="82" t="s">
        <v>48</v>
      </c>
      <c r="H45" s="83">
        <v>508</v>
      </c>
      <c r="I45" s="84"/>
      <c r="J45" s="85"/>
      <c r="K45" s="86">
        <v>487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508</v>
      </c>
      <c r="I47" s="88"/>
      <c r="J47" s="89"/>
      <c r="K47" s="90">
        <f>+K45+K46*2</f>
        <v>487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5</v>
      </c>
      <c r="F48" s="455" t="s">
        <v>56</v>
      </c>
      <c r="G48" s="82" t="s">
        <v>48</v>
      </c>
      <c r="H48" s="83">
        <f>246-151</f>
        <v>95</v>
      </c>
      <c r="I48" s="84"/>
      <c r="J48" s="85"/>
      <c r="K48" s="86">
        <f>448.28-394.29</f>
        <v>53.989999999999952</v>
      </c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>
        <v>151</v>
      </c>
      <c r="I49" s="84"/>
      <c r="J49" s="85"/>
      <c r="K49" s="86">
        <v>394.29</v>
      </c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397</v>
      </c>
      <c r="I50" s="88"/>
      <c r="J50" s="89"/>
      <c r="K50" s="90">
        <f>+K48+K49*2</f>
        <v>842.56999999999994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6</v>
      </c>
      <c r="F51" s="455" t="s">
        <v>38</v>
      </c>
      <c r="G51" s="82" t="s">
        <v>48</v>
      </c>
      <c r="H51" s="83">
        <f>331-176</f>
        <v>155</v>
      </c>
      <c r="I51" s="84"/>
      <c r="J51" s="85"/>
      <c r="K51" s="86">
        <f>206.07-117</f>
        <v>89.07</v>
      </c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>
        <v>176</v>
      </c>
      <c r="I52" s="84"/>
      <c r="J52" s="85"/>
      <c r="K52" s="86">
        <v>117</v>
      </c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507</v>
      </c>
      <c r="I53" s="88"/>
      <c r="J53" s="89"/>
      <c r="K53" s="90">
        <f>+K51+K52*2</f>
        <v>323.07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1</v>
      </c>
      <c r="F56" s="455" t="s">
        <v>7</v>
      </c>
      <c r="G56" s="82" t="s">
        <v>48</v>
      </c>
      <c r="H56" s="83">
        <v>570</v>
      </c>
      <c r="I56" s="84"/>
      <c r="J56" s="85"/>
      <c r="K56" s="86">
        <v>471.6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/>
      <c r="I57" s="84"/>
      <c r="J57" s="85"/>
      <c r="K57" s="86"/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570</v>
      </c>
      <c r="I58" s="88"/>
      <c r="J58" s="89"/>
      <c r="K58" s="90">
        <f>+K56+K57*2</f>
        <v>471.6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2</v>
      </c>
      <c r="F59" s="455" t="s">
        <v>52</v>
      </c>
      <c r="G59" s="82" t="s">
        <v>48</v>
      </c>
      <c r="H59" s="83">
        <v>670</v>
      </c>
      <c r="I59" s="84"/>
      <c r="J59" s="85"/>
      <c r="K59" s="86">
        <v>454.76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/>
      <c r="I60" s="84"/>
      <c r="J60" s="85"/>
      <c r="K60" s="86"/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670</v>
      </c>
      <c r="I61" s="88"/>
      <c r="J61" s="89"/>
      <c r="K61" s="90">
        <f>+K59+K60*2</f>
        <v>454.76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3</v>
      </c>
      <c r="F62" s="455" t="s">
        <v>53</v>
      </c>
      <c r="G62" s="82" t="s">
        <v>48</v>
      </c>
      <c r="H62" s="83">
        <v>462</v>
      </c>
      <c r="I62" s="84"/>
      <c r="J62" s="85"/>
      <c r="K62" s="86">
        <v>424.99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/>
      <c r="I63" s="84"/>
      <c r="J63" s="85"/>
      <c r="K63" s="86"/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462</v>
      </c>
      <c r="I64" s="88"/>
      <c r="J64" s="89"/>
      <c r="K64" s="90">
        <f>+K62+K63*2</f>
        <v>424.99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4</v>
      </c>
      <c r="F65" s="455" t="s">
        <v>55</v>
      </c>
      <c r="G65" s="82" t="s">
        <v>48</v>
      </c>
      <c r="H65" s="83">
        <f>628-21</f>
        <v>607</v>
      </c>
      <c r="I65" s="84"/>
      <c r="J65" s="85"/>
      <c r="K65" s="86">
        <f>453.47-13.75</f>
        <v>439.72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>
        <v>21</v>
      </c>
      <c r="I66" s="84"/>
      <c r="J66" s="85"/>
      <c r="K66" s="86">
        <v>13.75</v>
      </c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649</v>
      </c>
      <c r="I67" s="88"/>
      <c r="J67" s="89"/>
      <c r="K67" s="90">
        <f>+K65+K66*2</f>
        <v>467.22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5</v>
      </c>
      <c r="F68" s="455" t="s">
        <v>56</v>
      </c>
      <c r="G68" s="82" t="s">
        <v>48</v>
      </c>
      <c r="H68" s="83">
        <v>459</v>
      </c>
      <c r="I68" s="84"/>
      <c r="J68" s="85"/>
      <c r="K68" s="86">
        <v>480.8</v>
      </c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/>
      <c r="I69" s="84"/>
      <c r="J69" s="85"/>
      <c r="K69" s="86"/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459</v>
      </c>
      <c r="I70" s="88"/>
      <c r="J70" s="89"/>
      <c r="K70" s="90">
        <f>+K68+K69*2</f>
        <v>480.8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6</v>
      </c>
      <c r="F71" s="455" t="s">
        <v>38</v>
      </c>
      <c r="G71" s="82" t="s">
        <v>48</v>
      </c>
      <c r="H71" s="83">
        <v>503</v>
      </c>
      <c r="I71" s="84"/>
      <c r="J71" s="85"/>
      <c r="K71" s="86">
        <v>427.53</v>
      </c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503</v>
      </c>
      <c r="I73" s="88"/>
      <c r="J73" s="89"/>
      <c r="K73" s="90">
        <f>+K71+K72*2</f>
        <v>427.53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320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5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6">IF(F80=0,"휴무",AA80+AB80)</f>
        <v>#REF!</v>
      </c>
      <c r="AD80" s="103" t="e">
        <f t="shared" ref="AD80:AD85" si="27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318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318"/>
      <c r="AP80" s="318">
        <f>AO80-F80</f>
        <v>-10</v>
      </c>
    </row>
    <row r="81" spans="2:42" ht="98.25" customHeight="1" x14ac:dyDescent="0.3">
      <c r="B81" s="459"/>
      <c r="C81" s="92">
        <v>20</v>
      </c>
      <c r="D81" s="314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5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6"/>
        <v>#REF!</v>
      </c>
      <c r="AD81" s="108" t="e">
        <f t="shared" si="27"/>
        <v>#REF!</v>
      </c>
      <c r="AE81" s="109"/>
      <c r="AF81" s="37">
        <f>AG81-F81</f>
        <v>-10</v>
      </c>
      <c r="AG81" s="38">
        <f>AN81</f>
        <v>0</v>
      </c>
      <c r="AH81" s="318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318"/>
      <c r="AP81" s="318">
        <f>AO81-F81</f>
        <v>-10</v>
      </c>
    </row>
    <row r="82" spans="2:42" ht="98.25" customHeight="1" x14ac:dyDescent="0.3">
      <c r="B82" s="459"/>
      <c r="C82" s="92">
        <v>21</v>
      </c>
      <c r="D82" s="314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5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6"/>
        <v>#REF!</v>
      </c>
      <c r="AD82" s="108" t="e">
        <f t="shared" si="27"/>
        <v>#REF!</v>
      </c>
      <c r="AE82" s="109"/>
      <c r="AF82" s="37">
        <f>AG82-F82</f>
        <v>-10</v>
      </c>
      <c r="AG82" s="38">
        <f>AN82</f>
        <v>0</v>
      </c>
      <c r="AH82" s="318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318"/>
      <c r="AP82" s="318">
        <f>AO82-F82</f>
        <v>-10</v>
      </c>
    </row>
    <row r="83" spans="2:42" ht="98.25" customHeight="1" x14ac:dyDescent="0.3">
      <c r="B83" s="459"/>
      <c r="C83" s="92">
        <v>22</v>
      </c>
      <c r="D83" s="314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5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6"/>
        <v>#REF!</v>
      </c>
      <c r="AD83" s="110" t="e">
        <f t="shared" si="27"/>
        <v>#REF!</v>
      </c>
      <c r="AE83" s="104"/>
      <c r="AF83" s="37">
        <f>AG83-F83</f>
        <v>-10</v>
      </c>
      <c r="AG83" s="38">
        <f>AN83</f>
        <v>0</v>
      </c>
      <c r="AH83" s="318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318"/>
      <c r="AP83" s="318">
        <f>AO83-F83</f>
        <v>-10</v>
      </c>
    </row>
    <row r="84" spans="2:42" ht="98.25" customHeight="1" x14ac:dyDescent="0.3">
      <c r="B84" s="459"/>
      <c r="C84" s="92">
        <v>23</v>
      </c>
      <c r="D84" s="314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5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6"/>
        <v>#REF!</v>
      </c>
      <c r="AD84" s="110" t="e">
        <f t="shared" si="27"/>
        <v>#REF!</v>
      </c>
      <c r="AE84" s="104"/>
      <c r="AF84" s="37">
        <f>AG84-F84</f>
        <v>-10</v>
      </c>
      <c r="AG84" s="38">
        <f>AN84</f>
        <v>0</v>
      </c>
      <c r="AH84" s="318" t="s">
        <v>46</v>
      </c>
      <c r="AI84" s="39"/>
      <c r="AJ84" s="40" t="str">
        <f>IFERROR(Z84/W84*1000,"")</f>
        <v/>
      </c>
      <c r="AK84" s="318"/>
      <c r="AL84" s="41"/>
      <c r="AM84" s="41"/>
      <c r="AN84" s="41"/>
      <c r="AO84" s="318"/>
      <c r="AP84" s="318">
        <f>AO84-F84</f>
        <v>-10</v>
      </c>
    </row>
    <row r="85" spans="2:42" ht="98.25" customHeight="1" x14ac:dyDescent="0.3">
      <c r="B85" s="459"/>
      <c r="C85" s="92">
        <v>25</v>
      </c>
      <c r="D85" s="314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319"/>
      <c r="H85" s="319"/>
      <c r="I85" s="319"/>
      <c r="J85" s="319"/>
      <c r="K85" s="319"/>
      <c r="L85" s="319"/>
      <c r="M85" s="319"/>
      <c r="N85" s="319"/>
      <c r="O85" s="319"/>
      <c r="P85" s="319"/>
      <c r="Q85" s="319"/>
      <c r="R85" s="319"/>
      <c r="S85" s="319"/>
      <c r="T85" s="319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5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6"/>
        <v>휴무</v>
      </c>
      <c r="AD85" s="110" t="str">
        <f t="shared" si="27"/>
        <v>휴무</v>
      </c>
      <c r="AE85" s="104"/>
      <c r="AF85" s="37"/>
      <c r="AG85" s="38"/>
      <c r="AH85" s="318"/>
      <c r="AI85" s="39"/>
      <c r="AJ85" s="40"/>
      <c r="AK85" s="318"/>
      <c r="AL85" s="41"/>
      <c r="AM85" s="41"/>
      <c r="AN85" s="41"/>
      <c r="AO85" s="318"/>
      <c r="AP85" s="318"/>
    </row>
    <row r="86" spans="2:42" ht="36" customHeight="1" x14ac:dyDescent="0.3">
      <c r="B86" s="460" t="s">
        <v>39</v>
      </c>
      <c r="C86" s="461"/>
      <c r="D86" s="461"/>
      <c r="E86" s="462"/>
      <c r="F86" s="314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314"/>
      <c r="AB86" s="315"/>
      <c r="AC86" s="114"/>
      <c r="AD86" s="115"/>
      <c r="AE86" s="316"/>
      <c r="AF86" s="37">
        <f>AG86-F86</f>
        <v>-50</v>
      </c>
      <c r="AG86" s="38">
        <f>SUM(AG80:AG85)</f>
        <v>0</v>
      </c>
      <c r="AH86" s="318"/>
      <c r="AI86" s="318"/>
      <c r="AJ86" s="40"/>
      <c r="AK86" s="318"/>
      <c r="AL86" s="59"/>
      <c r="AM86" s="59"/>
      <c r="AN86" s="59"/>
      <c r="AO86" s="318"/>
      <c r="AP86" s="318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319"/>
      <c r="H87" s="319"/>
      <c r="I87" s="319"/>
      <c r="J87" s="319"/>
      <c r="K87" s="319"/>
      <c r="L87" s="319"/>
      <c r="M87" s="319"/>
      <c r="N87" s="319"/>
      <c r="O87" s="319"/>
      <c r="P87" s="319"/>
      <c r="Q87" s="319"/>
      <c r="R87" s="319"/>
      <c r="S87" s="319"/>
      <c r="T87" s="319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318"/>
      <c r="AE88" s="318"/>
      <c r="AF88" s="318"/>
      <c r="AG88" s="318"/>
      <c r="AH88" s="318"/>
      <c r="AI88" s="318"/>
      <c r="AJ88" s="318"/>
      <c r="AK88" s="318"/>
      <c r="AL88" s="59"/>
      <c r="AM88" s="59"/>
      <c r="AN88" s="59"/>
      <c r="AO88" s="318"/>
      <c r="AP88" s="318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314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314" t="s">
        <v>63</v>
      </c>
      <c r="D117" s="466" t="s">
        <v>12</v>
      </c>
      <c r="E117" s="466"/>
      <c r="F117" s="314" t="s">
        <v>64</v>
      </c>
      <c r="G117" s="314"/>
      <c r="H117" s="314"/>
      <c r="I117" s="314"/>
      <c r="J117" s="314"/>
      <c r="K117" s="314"/>
      <c r="L117" s="314"/>
      <c r="M117" s="314"/>
      <c r="N117" s="314"/>
      <c r="O117" s="314"/>
      <c r="P117" s="314"/>
      <c r="Q117" s="314"/>
      <c r="R117" s="314"/>
      <c r="S117" s="314"/>
      <c r="T117" s="314"/>
      <c r="U117" s="314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314"/>
      <c r="G118" s="314"/>
      <c r="H118" s="314"/>
      <c r="I118" s="314"/>
      <c r="J118" s="314"/>
      <c r="K118" s="314"/>
      <c r="L118" s="314"/>
      <c r="M118" s="314"/>
      <c r="N118" s="314"/>
      <c r="O118" s="314"/>
      <c r="P118" s="314"/>
      <c r="Q118" s="314"/>
      <c r="R118" s="314"/>
      <c r="S118" s="314"/>
      <c r="T118" s="314"/>
      <c r="U118" s="314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314"/>
      <c r="G119" s="314"/>
      <c r="H119" s="314"/>
      <c r="I119" s="314"/>
      <c r="J119" s="314"/>
      <c r="K119" s="314"/>
      <c r="L119" s="314"/>
      <c r="M119" s="314"/>
      <c r="N119" s="314"/>
      <c r="O119" s="314"/>
      <c r="P119" s="314"/>
      <c r="Q119" s="314"/>
      <c r="R119" s="314"/>
      <c r="S119" s="314"/>
      <c r="T119" s="314"/>
      <c r="U119" s="314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314"/>
      <c r="G121" s="314"/>
      <c r="H121" s="314"/>
      <c r="I121" s="314"/>
      <c r="J121" s="314"/>
      <c r="K121" s="314"/>
      <c r="L121" s="314"/>
      <c r="M121" s="314"/>
      <c r="N121" s="314"/>
      <c r="O121" s="314"/>
      <c r="P121" s="314"/>
      <c r="Q121" s="314"/>
      <c r="R121" s="314"/>
      <c r="S121" s="314"/>
      <c r="T121" s="314"/>
      <c r="U121" s="314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314"/>
      <c r="G122" s="314"/>
      <c r="H122" s="314"/>
      <c r="I122" s="314"/>
      <c r="J122" s="314"/>
      <c r="K122" s="314"/>
      <c r="L122" s="314"/>
      <c r="M122" s="314"/>
      <c r="N122" s="314"/>
      <c r="O122" s="314"/>
      <c r="P122" s="314"/>
      <c r="Q122" s="314"/>
      <c r="R122" s="314"/>
      <c r="S122" s="314"/>
      <c r="T122" s="314"/>
      <c r="U122" s="314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314"/>
      <c r="G123" s="314"/>
      <c r="H123" s="314"/>
      <c r="I123" s="314"/>
      <c r="J123" s="314"/>
      <c r="K123" s="314"/>
      <c r="L123" s="314"/>
      <c r="M123" s="314"/>
      <c r="N123" s="314"/>
      <c r="O123" s="314"/>
      <c r="P123" s="314"/>
      <c r="Q123" s="314"/>
      <c r="R123" s="314"/>
      <c r="S123" s="314"/>
      <c r="T123" s="314"/>
      <c r="U123" s="314"/>
      <c r="V123" s="117"/>
      <c r="W123" s="118"/>
      <c r="X123" s="116"/>
      <c r="Y123" s="117"/>
      <c r="Z123" s="116"/>
      <c r="AA123" s="116"/>
    </row>
    <row r="124" spans="3:27" x14ac:dyDescent="0.3">
      <c r="C124" s="314"/>
      <c r="D124" s="460"/>
      <c r="E124" s="462"/>
      <c r="F124" s="314"/>
      <c r="G124" s="314"/>
      <c r="H124" s="314"/>
      <c r="I124" s="314"/>
      <c r="J124" s="314"/>
      <c r="K124" s="314"/>
      <c r="L124" s="314"/>
      <c r="M124" s="314"/>
      <c r="N124" s="314"/>
      <c r="O124" s="314"/>
      <c r="P124" s="314"/>
      <c r="Q124" s="314"/>
      <c r="R124" s="314"/>
      <c r="S124" s="314"/>
      <c r="T124" s="314"/>
      <c r="U124" s="314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314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314" t="s">
        <v>63</v>
      </c>
      <c r="D127" s="466" t="s">
        <v>12</v>
      </c>
      <c r="E127" s="466"/>
      <c r="F127" s="314" t="s">
        <v>64</v>
      </c>
      <c r="G127" s="314"/>
      <c r="H127" s="314"/>
      <c r="I127" s="314"/>
      <c r="J127" s="314"/>
      <c r="K127" s="314"/>
      <c r="L127" s="314"/>
      <c r="M127" s="314"/>
      <c r="N127" s="314"/>
      <c r="O127" s="314"/>
      <c r="P127" s="314"/>
      <c r="Q127" s="314"/>
      <c r="R127" s="314"/>
      <c r="S127" s="314"/>
      <c r="T127" s="314"/>
      <c r="U127" s="314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314"/>
      <c r="G128" s="314"/>
      <c r="H128" s="314"/>
      <c r="I128" s="314"/>
      <c r="J128" s="314"/>
      <c r="K128" s="314"/>
      <c r="L128" s="314"/>
      <c r="M128" s="314"/>
      <c r="N128" s="314"/>
      <c r="O128" s="314"/>
      <c r="P128" s="314"/>
      <c r="Q128" s="314"/>
      <c r="R128" s="314"/>
      <c r="S128" s="314"/>
      <c r="T128" s="314"/>
      <c r="U128" s="314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314"/>
      <c r="G129" s="314"/>
      <c r="H129" s="314"/>
      <c r="I129" s="314"/>
      <c r="J129" s="314"/>
      <c r="K129" s="314"/>
      <c r="L129" s="314"/>
      <c r="M129" s="314"/>
      <c r="N129" s="314"/>
      <c r="O129" s="314"/>
      <c r="P129" s="314"/>
      <c r="Q129" s="314"/>
      <c r="R129" s="314"/>
      <c r="S129" s="314"/>
      <c r="T129" s="314"/>
      <c r="U129" s="314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314"/>
      <c r="G130" s="314"/>
      <c r="H130" s="314"/>
      <c r="I130" s="314"/>
      <c r="J130" s="314"/>
      <c r="K130" s="314"/>
      <c r="L130" s="314"/>
      <c r="M130" s="314"/>
      <c r="N130" s="314"/>
      <c r="O130" s="314"/>
      <c r="P130" s="314"/>
      <c r="Q130" s="314"/>
      <c r="R130" s="314"/>
      <c r="S130" s="314"/>
      <c r="T130" s="314"/>
      <c r="U130" s="314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314"/>
      <c r="G131" s="314"/>
      <c r="H131" s="314"/>
      <c r="I131" s="314"/>
      <c r="J131" s="314"/>
      <c r="K131" s="314"/>
      <c r="L131" s="314"/>
      <c r="M131" s="314"/>
      <c r="N131" s="314"/>
      <c r="O131" s="314"/>
      <c r="P131" s="314"/>
      <c r="Q131" s="314"/>
      <c r="R131" s="314"/>
      <c r="S131" s="314"/>
      <c r="T131" s="314"/>
      <c r="U131" s="314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314"/>
      <c r="G132" s="314"/>
      <c r="H132" s="314"/>
      <c r="I132" s="314"/>
      <c r="J132" s="314"/>
      <c r="K132" s="314"/>
      <c r="L132" s="314"/>
      <c r="M132" s="314"/>
      <c r="N132" s="314"/>
      <c r="O132" s="314"/>
      <c r="P132" s="314"/>
      <c r="Q132" s="314"/>
      <c r="R132" s="314"/>
      <c r="S132" s="314"/>
      <c r="T132" s="314"/>
      <c r="U132" s="314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314"/>
      <c r="G133" s="314"/>
      <c r="H133" s="314"/>
      <c r="I133" s="314"/>
      <c r="J133" s="314"/>
      <c r="K133" s="314"/>
      <c r="L133" s="314"/>
      <c r="M133" s="314"/>
      <c r="N133" s="314"/>
      <c r="O133" s="314"/>
      <c r="P133" s="314"/>
      <c r="Q133" s="314"/>
      <c r="R133" s="314"/>
      <c r="S133" s="314"/>
      <c r="T133" s="314"/>
      <c r="U133" s="314"/>
      <c r="V133" s="117"/>
      <c r="W133" s="118"/>
      <c r="X133" s="116"/>
      <c r="Y133" s="117"/>
      <c r="Z133" s="116"/>
      <c r="AA133" s="116"/>
    </row>
    <row r="134" spans="3:27" x14ac:dyDescent="0.3">
      <c r="C134" s="314"/>
      <c r="D134" s="460"/>
      <c r="E134" s="462"/>
      <c r="F134" s="314"/>
      <c r="G134" s="314"/>
      <c r="H134" s="314"/>
      <c r="I134" s="314"/>
      <c r="J134" s="314"/>
      <c r="K134" s="314"/>
      <c r="L134" s="314"/>
      <c r="M134" s="314"/>
      <c r="N134" s="314"/>
      <c r="O134" s="314"/>
      <c r="P134" s="314"/>
      <c r="Q134" s="314"/>
      <c r="R134" s="314"/>
      <c r="S134" s="314"/>
      <c r="T134" s="314"/>
      <c r="U134" s="314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314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314" t="s">
        <v>63</v>
      </c>
      <c r="D137" s="466" t="s">
        <v>12</v>
      </c>
      <c r="E137" s="466"/>
      <c r="F137" s="314" t="s">
        <v>64</v>
      </c>
      <c r="G137" s="314"/>
      <c r="H137" s="314"/>
      <c r="I137" s="314"/>
      <c r="J137" s="314"/>
      <c r="K137" s="314"/>
      <c r="L137" s="314"/>
      <c r="M137" s="314"/>
      <c r="N137" s="314"/>
      <c r="O137" s="314"/>
      <c r="P137" s="314"/>
      <c r="Q137" s="314"/>
      <c r="R137" s="314"/>
      <c r="S137" s="314"/>
      <c r="T137" s="314"/>
      <c r="U137" s="314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314"/>
      <c r="G138" s="314"/>
      <c r="H138" s="314"/>
      <c r="I138" s="314"/>
      <c r="J138" s="314"/>
      <c r="K138" s="314"/>
      <c r="L138" s="314"/>
      <c r="M138" s="314"/>
      <c r="N138" s="314"/>
      <c r="O138" s="314"/>
      <c r="P138" s="314"/>
      <c r="Q138" s="314"/>
      <c r="R138" s="314"/>
      <c r="S138" s="314"/>
      <c r="T138" s="314"/>
      <c r="U138" s="314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314"/>
      <c r="G139" s="314"/>
      <c r="H139" s="314"/>
      <c r="I139" s="314"/>
      <c r="J139" s="314"/>
      <c r="K139" s="314"/>
      <c r="L139" s="314"/>
      <c r="M139" s="314"/>
      <c r="N139" s="314"/>
      <c r="O139" s="314"/>
      <c r="P139" s="314"/>
      <c r="Q139" s="314"/>
      <c r="R139" s="314"/>
      <c r="S139" s="314"/>
      <c r="T139" s="314"/>
      <c r="U139" s="314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314"/>
      <c r="G140" s="314"/>
      <c r="H140" s="314"/>
      <c r="I140" s="314"/>
      <c r="J140" s="314"/>
      <c r="K140" s="314"/>
      <c r="L140" s="314"/>
      <c r="M140" s="314"/>
      <c r="N140" s="314"/>
      <c r="O140" s="314"/>
      <c r="P140" s="314"/>
      <c r="Q140" s="314"/>
      <c r="R140" s="314"/>
      <c r="S140" s="314"/>
      <c r="T140" s="314"/>
      <c r="U140" s="314"/>
    </row>
    <row r="141" spans="3:27" x14ac:dyDescent="0.3">
      <c r="C141" s="119">
        <v>45078</v>
      </c>
      <c r="D141" s="466"/>
      <c r="E141" s="466"/>
      <c r="F141" s="314"/>
      <c r="G141" s="314"/>
      <c r="H141" s="314"/>
      <c r="I141" s="314"/>
      <c r="J141" s="314"/>
      <c r="K141" s="314"/>
      <c r="L141" s="314"/>
      <c r="M141" s="314"/>
      <c r="N141" s="314"/>
      <c r="O141" s="314"/>
      <c r="P141" s="314"/>
      <c r="Q141" s="314"/>
      <c r="R141" s="314"/>
      <c r="S141" s="314"/>
      <c r="T141" s="314"/>
      <c r="U141" s="314"/>
    </row>
    <row r="142" spans="3:27" x14ac:dyDescent="0.3">
      <c r="C142" s="119">
        <v>45079</v>
      </c>
      <c r="D142" s="466"/>
      <c r="E142" s="466"/>
      <c r="F142" s="314"/>
      <c r="G142" s="314"/>
      <c r="H142" s="314"/>
      <c r="I142" s="314"/>
      <c r="J142" s="314"/>
      <c r="K142" s="314"/>
      <c r="L142" s="314"/>
      <c r="M142" s="314"/>
      <c r="N142" s="314"/>
      <c r="O142" s="314"/>
      <c r="P142" s="314"/>
      <c r="Q142" s="314"/>
      <c r="R142" s="314"/>
      <c r="S142" s="314"/>
      <c r="T142" s="314"/>
      <c r="U142" s="314"/>
    </row>
    <row r="143" spans="3:27" x14ac:dyDescent="0.3">
      <c r="C143" s="119">
        <v>45080</v>
      </c>
      <c r="D143" s="466"/>
      <c r="E143" s="466"/>
      <c r="F143" s="314"/>
      <c r="G143" s="314"/>
      <c r="H143" s="314"/>
      <c r="I143" s="314"/>
      <c r="J143" s="314"/>
      <c r="K143" s="314"/>
      <c r="L143" s="314"/>
      <c r="M143" s="314"/>
      <c r="N143" s="314"/>
      <c r="O143" s="314"/>
      <c r="P143" s="314"/>
      <c r="Q143" s="314"/>
      <c r="R143" s="314"/>
      <c r="S143" s="314"/>
      <c r="T143" s="314"/>
      <c r="U143" s="314"/>
    </row>
    <row r="144" spans="3:27" x14ac:dyDescent="0.3">
      <c r="C144" s="314"/>
      <c r="D144" s="460"/>
      <c r="E144" s="462"/>
      <c r="F144" s="314"/>
      <c r="G144" s="314"/>
      <c r="H144" s="314"/>
      <c r="I144" s="314"/>
      <c r="J144" s="314"/>
      <c r="K144" s="314"/>
      <c r="L144" s="314"/>
      <c r="M144" s="314"/>
      <c r="N144" s="314"/>
      <c r="O144" s="314"/>
      <c r="P144" s="314"/>
      <c r="Q144" s="314"/>
      <c r="R144" s="314"/>
      <c r="S144" s="314"/>
      <c r="T144" s="314"/>
      <c r="U144" s="314"/>
    </row>
  </sheetData>
  <mergeCells count="113">
    <mergeCell ref="U5:W5"/>
    <mergeCell ref="X5:Z5"/>
    <mergeCell ref="AC5:AC6"/>
    <mergeCell ref="AD5:AD6"/>
    <mergeCell ref="AE5:AE6"/>
    <mergeCell ref="B7:B12"/>
    <mergeCell ref="B2:AE2"/>
    <mergeCell ref="B3:AE3"/>
    <mergeCell ref="B5:C6"/>
    <mergeCell ref="D5:D6"/>
    <mergeCell ref="E5:E6"/>
    <mergeCell ref="F5:F6"/>
    <mergeCell ref="G5:G6"/>
    <mergeCell ref="H5:H6"/>
    <mergeCell ref="I5:S5"/>
    <mergeCell ref="T5:T6"/>
    <mergeCell ref="B13:E13"/>
    <mergeCell ref="B14:E14"/>
    <mergeCell ref="B19:AE19"/>
    <mergeCell ref="B21:B22"/>
    <mergeCell ref="C21:C22"/>
    <mergeCell ref="D21:D22"/>
    <mergeCell ref="E21:E22"/>
    <mergeCell ref="F21:F22"/>
    <mergeCell ref="G21:G22"/>
    <mergeCell ref="H21:H22"/>
    <mergeCell ref="AC21:AC22"/>
    <mergeCell ref="AD21:AD22"/>
    <mergeCell ref="AE21:AE22"/>
    <mergeCell ref="B23:B28"/>
    <mergeCell ref="B29:E29"/>
    <mergeCell ref="B30:E30"/>
    <mergeCell ref="I21:S21"/>
    <mergeCell ref="T21:T22"/>
    <mergeCell ref="U21:W21"/>
    <mergeCell ref="X21:Z21"/>
    <mergeCell ref="AA21:AA22"/>
    <mergeCell ref="AB21:AB22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AE78:AE79"/>
    <mergeCell ref="B80:B85"/>
    <mergeCell ref="B86:E86"/>
    <mergeCell ref="B87:E87"/>
    <mergeCell ref="E92:E94"/>
    <mergeCell ref="F92:F94"/>
    <mergeCell ref="B76:AE76"/>
    <mergeCell ref="B78:B79"/>
    <mergeCell ref="C78:C79"/>
    <mergeCell ref="D78:D79"/>
    <mergeCell ref="E78:E79"/>
    <mergeCell ref="F78:F79"/>
    <mergeCell ref="U78:W78"/>
    <mergeCell ref="X78:Z78"/>
    <mergeCell ref="AC78:AC79"/>
    <mergeCell ref="AD78:AD79"/>
    <mergeCell ref="E104:E106"/>
    <mergeCell ref="F104:F106"/>
    <mergeCell ref="E107:E109"/>
    <mergeCell ref="F107:F109"/>
    <mergeCell ref="C114:U114"/>
    <mergeCell ref="D117:E117"/>
    <mergeCell ref="E95:E97"/>
    <mergeCell ref="F95:F97"/>
    <mergeCell ref="E98:E100"/>
    <mergeCell ref="F98:F100"/>
    <mergeCell ref="E101:E103"/>
    <mergeCell ref="F101:F103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</mergeCells>
  <phoneticPr fontId="4" type="noConversion"/>
  <dataValidations count="3">
    <dataValidation type="list" allowBlank="1" showInputMessage="1" showErrorMessage="1" sqref="E7:E8 E23:E24 E12 E28 E26 E10">
      <formula1>$U$7:$U$12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 E27 E25 E9 E11">
      <formula1>$AH$7:$AH$12</formula1>
    </dataValidation>
  </dataValidations>
  <pageMargins left="0.62992125984251968" right="0.62992125984251968" top="0.94488188976377963" bottom="0.55118110236220474" header="0.31496062992125984" footer="0.31496062992125984"/>
  <pageSetup paperSize="9" scale="28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80" zoomScaleNormal="80" workbookViewId="0">
      <pane xSplit="4" ySplit="6" topLeftCell="H28" activePane="bottomRight" state="frozen"/>
      <selection pane="topRight" activeCell="D1" sqref="D1"/>
      <selection pane="bottomLeft" activeCell="A6" sqref="A6"/>
      <selection pane="bottomRight" sqref="A1:AR32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60.25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11.75" hidden="1" customWidth="1"/>
    <col min="44" max="44" width="3.25" customWidth="1"/>
  </cols>
  <sheetData>
    <row r="2" spans="2:52" ht="20.25" x14ac:dyDescent="0.3">
      <c r="B2" s="425" t="s">
        <v>214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309" t="s">
        <v>1</v>
      </c>
      <c r="AY2" s="309" t="s">
        <v>2</v>
      </c>
      <c r="AZ2" s="3" t="s">
        <v>3</v>
      </c>
    </row>
    <row r="3" spans="2:52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E3" s="464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312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75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312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-57</v>
      </c>
    </row>
    <row r="7" spans="2:52" s="310" customFormat="1" ht="99" customHeight="1" thickTop="1" x14ac:dyDescent="0.3">
      <c r="B7" s="420">
        <v>5</v>
      </c>
      <c r="C7" s="24">
        <v>25</v>
      </c>
      <c r="D7" s="25" t="s">
        <v>7</v>
      </c>
      <c r="E7" s="26" t="s">
        <v>29</v>
      </c>
      <c r="F7" s="25">
        <v>8</v>
      </c>
      <c r="G7" s="128">
        <v>445</v>
      </c>
      <c r="H7" s="128">
        <f t="shared" ref="H7:H12" si="0">(G7/U7)*100</f>
        <v>100</v>
      </c>
      <c r="I7" s="123" t="s">
        <v>85</v>
      </c>
      <c r="J7" s="123" t="s">
        <v>86</v>
      </c>
      <c r="K7" s="123" t="s">
        <v>73</v>
      </c>
      <c r="L7" s="123" t="s">
        <v>87</v>
      </c>
      <c r="M7" s="123"/>
      <c r="N7" s="129" t="s">
        <v>90</v>
      </c>
      <c r="O7" s="123" t="s">
        <v>74</v>
      </c>
      <c r="P7" s="123"/>
      <c r="Q7" s="123" t="s">
        <v>91</v>
      </c>
      <c r="R7" s="123" t="s">
        <v>89</v>
      </c>
      <c r="S7" s="125">
        <f t="shared" ref="S7:S13" si="1">COUNTA(I7:M7)+COUNTA(N7:R7)/2</f>
        <v>6</v>
      </c>
      <c r="T7" s="27">
        <f t="shared" ref="T7:T12" si="2">F7*$D$4*$U$4</f>
        <v>528</v>
      </c>
      <c r="U7" s="28">
        <f>+H38</f>
        <v>445</v>
      </c>
      <c r="V7" s="29">
        <f t="shared" ref="V7:V12" si="3">IF(F7=0,"휴무",U7/F7)</f>
        <v>55.625</v>
      </c>
      <c r="W7" s="30">
        <f t="shared" ref="W7:W13" si="4">IFERROR(U7/T7,0)</f>
        <v>0.84280303030303028</v>
      </c>
      <c r="X7" s="31">
        <f>+K38</f>
        <v>373.08</v>
      </c>
      <c r="Y7" s="29">
        <f t="shared" ref="Y7:Y12" si="5">IF(F7=0,"휴무",X7/F7)</f>
        <v>46.634999999999998</v>
      </c>
      <c r="Z7" s="32">
        <f t="shared" ref="Z7:Z13" si="6">IFERROR(X7/T7,0)</f>
        <v>0.70659090909090905</v>
      </c>
      <c r="AA7" s="33">
        <f t="shared" ref="AA7:AA12" si="7">IF(F7=0,"휴무",U7/T7*$AA$4)</f>
        <v>42.140151515151516</v>
      </c>
      <c r="AB7" s="34">
        <f t="shared" ref="AB7:AB12" si="8">IF(F7=0,"휴무",X7/T7*$AB$4)</f>
        <v>38.473875</v>
      </c>
      <c r="AC7" s="138">
        <f t="shared" ref="AC7:AC13" si="9">IF(F7=0,"휴무",AA7+AB7)</f>
        <v>80.614026515151522</v>
      </c>
      <c r="AD7" s="35" t="str">
        <f t="shared" ref="AD7:AD13" si="10">IF(F7=0,"휴무",IF(AC7&gt;=100,"좋아요",IF(AC7&gt;=90,"90~99",IF(AC7&gt;=80,"80~89"," 사유?→"))))</f>
        <v>80~89</v>
      </c>
      <c r="AE7" s="36"/>
      <c r="AF7" s="37">
        <f>AG7-F7</f>
        <v>-8</v>
      </c>
      <c r="AG7" s="38">
        <f>AN7</f>
        <v>0</v>
      </c>
      <c r="AH7" s="310" t="s">
        <v>29</v>
      </c>
      <c r="AI7" s="39"/>
      <c r="AJ7" s="40">
        <f>IFERROR(Z7/W7*1000,"")</f>
        <v>838.38202247191009</v>
      </c>
      <c r="AK7" s="39"/>
      <c r="AL7" s="41"/>
      <c r="AM7" s="41"/>
      <c r="AN7" s="41"/>
      <c r="AP7" s="310">
        <f t="shared" ref="AP7:AP12" si="11">AO7-F7</f>
        <v>-8</v>
      </c>
      <c r="AQ7" s="42"/>
    </row>
    <row r="8" spans="2:52" s="310" customFormat="1" ht="99.75" customHeight="1" x14ac:dyDescent="0.3">
      <c r="B8" s="421"/>
      <c r="C8" s="24">
        <f>+C7+1</f>
        <v>26</v>
      </c>
      <c r="D8" s="43" t="s">
        <v>30</v>
      </c>
      <c r="E8" s="26" t="s">
        <v>28</v>
      </c>
      <c r="F8" s="25">
        <v>11</v>
      </c>
      <c r="G8" s="125">
        <v>383</v>
      </c>
      <c r="H8" s="125">
        <f t="shared" si="0"/>
        <v>59.937402190923315</v>
      </c>
      <c r="I8" s="123" t="s">
        <v>85</v>
      </c>
      <c r="J8" s="123" t="s">
        <v>86</v>
      </c>
      <c r="K8" s="123" t="s">
        <v>73</v>
      </c>
      <c r="L8" s="123" t="s">
        <v>87</v>
      </c>
      <c r="M8" s="123"/>
      <c r="N8" s="129" t="s">
        <v>90</v>
      </c>
      <c r="O8" s="123" t="s">
        <v>74</v>
      </c>
      <c r="P8" s="123" t="s">
        <v>169</v>
      </c>
      <c r="Q8" s="123" t="s">
        <v>91</v>
      </c>
      <c r="R8" s="123" t="s">
        <v>89</v>
      </c>
      <c r="S8" s="125">
        <f t="shared" si="1"/>
        <v>6.5</v>
      </c>
      <c r="T8" s="27">
        <f t="shared" si="2"/>
        <v>726</v>
      </c>
      <c r="U8" s="28">
        <f>+H41</f>
        <v>639</v>
      </c>
      <c r="V8" s="44">
        <f t="shared" si="3"/>
        <v>58.090909090909093</v>
      </c>
      <c r="W8" s="45">
        <f t="shared" si="4"/>
        <v>0.8801652892561983</v>
      </c>
      <c r="X8" s="46">
        <f>+K41</f>
        <v>869.98</v>
      </c>
      <c r="Y8" s="29">
        <f t="shared" si="5"/>
        <v>79.089090909090913</v>
      </c>
      <c r="Z8" s="47">
        <f t="shared" si="6"/>
        <v>1.1983195592286502</v>
      </c>
      <c r="AA8" s="48">
        <f t="shared" si="7"/>
        <v>44.008264462809912</v>
      </c>
      <c r="AB8" s="49">
        <f t="shared" si="8"/>
        <v>65.248500000000007</v>
      </c>
      <c r="AC8" s="139">
        <f t="shared" si="9"/>
        <v>109.25676446280991</v>
      </c>
      <c r="AD8" s="50" t="str">
        <f t="shared" si="10"/>
        <v>좋아요</v>
      </c>
      <c r="AE8" s="36"/>
      <c r="AF8" s="37">
        <f>AG8-F8</f>
        <v>-11</v>
      </c>
      <c r="AG8" s="38">
        <f>AN8</f>
        <v>0</v>
      </c>
      <c r="AH8" s="310" t="s">
        <v>31</v>
      </c>
      <c r="AI8" s="39"/>
      <c r="AJ8" s="40">
        <f>IFERROR(Z8/W8*1000,"")</f>
        <v>1361.4710485133021</v>
      </c>
      <c r="AK8" s="39"/>
      <c r="AL8" s="41"/>
      <c r="AM8" s="41"/>
      <c r="AN8" s="41"/>
      <c r="AP8" s="310">
        <f t="shared" si="11"/>
        <v>-11</v>
      </c>
      <c r="AQ8" s="42"/>
    </row>
    <row r="9" spans="2:52" s="310" customFormat="1" ht="97.5" customHeight="1" x14ac:dyDescent="0.3">
      <c r="B9" s="421"/>
      <c r="C9" s="24">
        <f>+C8+1</f>
        <v>27</v>
      </c>
      <c r="D9" s="43" t="s">
        <v>32</v>
      </c>
      <c r="E9" s="26" t="s">
        <v>29</v>
      </c>
      <c r="F9" s="25">
        <v>8</v>
      </c>
      <c r="G9" s="125">
        <v>298</v>
      </c>
      <c r="H9" s="125">
        <f t="shared" si="0"/>
        <v>50.594227504244479</v>
      </c>
      <c r="I9" s="123" t="s">
        <v>85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169</v>
      </c>
      <c r="Q9" s="123" t="s">
        <v>91</v>
      </c>
      <c r="R9" s="123" t="s">
        <v>89</v>
      </c>
      <c r="S9" s="125">
        <f t="shared" si="1"/>
        <v>6.5</v>
      </c>
      <c r="T9" s="27">
        <f t="shared" si="2"/>
        <v>528</v>
      </c>
      <c r="U9" s="51">
        <f>+H44</f>
        <v>589</v>
      </c>
      <c r="V9" s="44">
        <f t="shared" si="3"/>
        <v>73.625</v>
      </c>
      <c r="W9" s="45">
        <f t="shared" si="4"/>
        <v>1.115530303030303</v>
      </c>
      <c r="X9" s="46">
        <f>+K44</f>
        <v>706.31</v>
      </c>
      <c r="Y9" s="44">
        <f t="shared" si="5"/>
        <v>88.288749999999993</v>
      </c>
      <c r="Z9" s="47">
        <f t="shared" si="6"/>
        <v>1.3377083333333333</v>
      </c>
      <c r="AA9" s="48">
        <f t="shared" si="7"/>
        <v>55.776515151515149</v>
      </c>
      <c r="AB9" s="49">
        <f t="shared" si="8"/>
        <v>72.838218749999996</v>
      </c>
      <c r="AC9" s="139">
        <f t="shared" si="9"/>
        <v>128.61473390151514</v>
      </c>
      <c r="AD9" s="50" t="str">
        <f t="shared" si="10"/>
        <v>좋아요</v>
      </c>
      <c r="AE9" s="36"/>
      <c r="AF9" s="37">
        <f>AG9-F9</f>
        <v>-8</v>
      </c>
      <c r="AG9" s="38">
        <f>AN9</f>
        <v>0</v>
      </c>
      <c r="AH9" s="310" t="s">
        <v>34</v>
      </c>
      <c r="AI9" s="39"/>
      <c r="AJ9" s="40">
        <f>IFERROR(Z9/W9*1000,"")</f>
        <v>1199.1680814940578</v>
      </c>
      <c r="AK9" s="39"/>
      <c r="AL9" s="41"/>
      <c r="AM9" s="41"/>
      <c r="AN9" s="41"/>
      <c r="AP9" s="310">
        <f t="shared" si="11"/>
        <v>-8</v>
      </c>
      <c r="AQ9" s="42"/>
    </row>
    <row r="10" spans="2:52" s="310" customFormat="1" ht="95.25" customHeight="1" x14ac:dyDescent="0.3">
      <c r="B10" s="421"/>
      <c r="C10" s="24">
        <f>+C9+1</f>
        <v>28</v>
      </c>
      <c r="D10" s="43" t="s">
        <v>35</v>
      </c>
      <c r="E10" s="26" t="s">
        <v>28</v>
      </c>
      <c r="F10" s="25">
        <v>11</v>
      </c>
      <c r="G10" s="125">
        <v>409</v>
      </c>
      <c r="H10" s="125">
        <f t="shared" si="0"/>
        <v>95.56074766355141</v>
      </c>
      <c r="I10" s="123" t="s">
        <v>85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/>
      <c r="P10" s="123" t="s">
        <v>169</v>
      </c>
      <c r="Q10" s="123" t="s">
        <v>91</v>
      </c>
      <c r="R10" s="123" t="s">
        <v>89</v>
      </c>
      <c r="S10" s="125">
        <f t="shared" si="1"/>
        <v>6</v>
      </c>
      <c r="T10" s="27">
        <f t="shared" si="2"/>
        <v>726</v>
      </c>
      <c r="U10" s="28">
        <f>+H47</f>
        <v>428</v>
      </c>
      <c r="V10" s="44">
        <f t="shared" si="3"/>
        <v>38.909090909090907</v>
      </c>
      <c r="W10" s="45">
        <f t="shared" si="4"/>
        <v>0.58953168044077131</v>
      </c>
      <c r="X10" s="46">
        <f>+K47</f>
        <v>483.14</v>
      </c>
      <c r="Y10" s="29">
        <f t="shared" si="5"/>
        <v>43.921818181818182</v>
      </c>
      <c r="Z10" s="47">
        <f t="shared" si="6"/>
        <v>0.66548209366391187</v>
      </c>
      <c r="AA10" s="48">
        <f t="shared" si="7"/>
        <v>29.476584022038566</v>
      </c>
      <c r="AB10" s="49">
        <f t="shared" si="8"/>
        <v>36.235500000000002</v>
      </c>
      <c r="AC10" s="139">
        <f t="shared" si="9"/>
        <v>65.712084022038567</v>
      </c>
      <c r="AD10" s="161" t="str">
        <f t="shared" si="10"/>
        <v xml:space="preserve"> 사유?→</v>
      </c>
      <c r="AE10" s="160" t="s">
        <v>216</v>
      </c>
      <c r="AF10" s="37">
        <f>AG10-F10</f>
        <v>-11</v>
      </c>
      <c r="AG10" s="38">
        <f>AN10</f>
        <v>0</v>
      </c>
      <c r="AH10" s="310" t="s">
        <v>36</v>
      </c>
      <c r="AI10" s="39"/>
      <c r="AJ10" s="40">
        <f>IFERROR(Z10/W10*1000,"")</f>
        <v>1128.8317757009347</v>
      </c>
      <c r="AK10" s="39"/>
      <c r="AL10" s="41"/>
      <c r="AM10" s="41"/>
      <c r="AN10" s="41"/>
      <c r="AP10" s="310">
        <f t="shared" si="11"/>
        <v>-11</v>
      </c>
      <c r="AQ10" s="42"/>
    </row>
    <row r="11" spans="2:52" s="310" customFormat="1" ht="102.75" customHeight="1" x14ac:dyDescent="0.3">
      <c r="B11" s="421"/>
      <c r="C11" s="24">
        <f>+C10+1</f>
        <v>29</v>
      </c>
      <c r="D11" s="43" t="s">
        <v>37</v>
      </c>
      <c r="E11" s="26" t="s">
        <v>28</v>
      </c>
      <c r="F11" s="25">
        <v>11</v>
      </c>
      <c r="G11" s="125">
        <v>369</v>
      </c>
      <c r="H11" s="125">
        <f t="shared" si="0"/>
        <v>72.495088408644406</v>
      </c>
      <c r="I11" s="123" t="s">
        <v>85</v>
      </c>
      <c r="J11" s="123" t="s">
        <v>86</v>
      </c>
      <c r="K11" s="123" t="s">
        <v>73</v>
      </c>
      <c r="L11" s="123" t="s">
        <v>87</v>
      </c>
      <c r="M11" s="123"/>
      <c r="N11" s="129" t="s">
        <v>90</v>
      </c>
      <c r="O11" s="123" t="s">
        <v>218</v>
      </c>
      <c r="P11" s="123" t="s">
        <v>169</v>
      </c>
      <c r="Q11" s="123" t="s">
        <v>91</v>
      </c>
      <c r="R11" s="123" t="s">
        <v>89</v>
      </c>
      <c r="S11" s="125">
        <f t="shared" si="1"/>
        <v>6.5</v>
      </c>
      <c r="T11" s="27">
        <f t="shared" si="2"/>
        <v>726</v>
      </c>
      <c r="U11" s="28">
        <f>+H50</f>
        <v>509</v>
      </c>
      <c r="V11" s="44">
        <f t="shared" si="3"/>
        <v>46.272727272727273</v>
      </c>
      <c r="W11" s="45">
        <f t="shared" si="4"/>
        <v>0.70110192837465568</v>
      </c>
      <c r="X11" s="46">
        <f>+K50</f>
        <v>820.4</v>
      </c>
      <c r="Y11" s="44">
        <f t="shared" si="5"/>
        <v>74.581818181818178</v>
      </c>
      <c r="Z11" s="47">
        <f t="shared" si="6"/>
        <v>1.1300275482093665</v>
      </c>
      <c r="AA11" s="48">
        <f t="shared" si="7"/>
        <v>35.055096418732781</v>
      </c>
      <c r="AB11" s="49">
        <f t="shared" si="8"/>
        <v>61.530000000000008</v>
      </c>
      <c r="AC11" s="139">
        <f t="shared" si="9"/>
        <v>96.585096418732789</v>
      </c>
      <c r="AD11" s="50" t="str">
        <f t="shared" si="10"/>
        <v>90~99</v>
      </c>
      <c r="AE11" s="36"/>
      <c r="AF11" s="37">
        <f>AG11-F11</f>
        <v>-11</v>
      </c>
      <c r="AG11" s="38">
        <f>AN11</f>
        <v>0</v>
      </c>
      <c r="AH11" s="310" t="s">
        <v>33</v>
      </c>
      <c r="AI11" s="39"/>
      <c r="AJ11" s="40">
        <f>IFERROR(Z11/W11*1000,"")</f>
        <v>1611.7878192534381</v>
      </c>
      <c r="AL11" s="41"/>
      <c r="AM11" s="41"/>
      <c r="AN11" s="41"/>
      <c r="AP11" s="310">
        <f t="shared" si="11"/>
        <v>-11</v>
      </c>
      <c r="AQ11" s="42"/>
    </row>
    <row r="12" spans="2:52" s="310" customFormat="1" ht="102.75" customHeight="1" x14ac:dyDescent="0.3">
      <c r="B12" s="421"/>
      <c r="C12" s="24">
        <f>+C11+1</f>
        <v>30</v>
      </c>
      <c r="D12" s="43" t="s">
        <v>38</v>
      </c>
      <c r="E12" s="26" t="s">
        <v>36</v>
      </c>
      <c r="F12" s="25">
        <v>8</v>
      </c>
      <c r="G12" s="125">
        <v>159</v>
      </c>
      <c r="H12" s="125">
        <f t="shared" si="0"/>
        <v>92.441860465116278</v>
      </c>
      <c r="I12" s="123" t="s">
        <v>85</v>
      </c>
      <c r="J12" s="123" t="s">
        <v>86</v>
      </c>
      <c r="K12" s="123" t="s">
        <v>73</v>
      </c>
      <c r="L12" s="123" t="s">
        <v>87</v>
      </c>
      <c r="M12" s="123"/>
      <c r="N12" s="129" t="s">
        <v>90</v>
      </c>
      <c r="O12" s="123" t="s">
        <v>206</v>
      </c>
      <c r="P12" s="123"/>
      <c r="Q12" s="123" t="s">
        <v>91</v>
      </c>
      <c r="R12" s="123" t="s">
        <v>89</v>
      </c>
      <c r="S12" s="125">
        <f t="shared" si="1"/>
        <v>6</v>
      </c>
      <c r="T12" s="313">
        <f t="shared" si="2"/>
        <v>528</v>
      </c>
      <c r="U12" s="28">
        <f>+H53</f>
        <v>172</v>
      </c>
      <c r="V12" s="29">
        <f t="shared" si="3"/>
        <v>21.5</v>
      </c>
      <c r="W12" s="30">
        <f t="shared" si="4"/>
        <v>0.32575757575757575</v>
      </c>
      <c r="X12" s="31">
        <f>+K53</f>
        <v>140.72999999999999</v>
      </c>
      <c r="Y12" s="44">
        <f t="shared" si="5"/>
        <v>17.591249999999999</v>
      </c>
      <c r="Z12" s="47">
        <f t="shared" si="6"/>
        <v>0.26653409090909091</v>
      </c>
      <c r="AA12" s="48">
        <f t="shared" si="7"/>
        <v>16.287878787878789</v>
      </c>
      <c r="AB12" s="49">
        <f t="shared" si="8"/>
        <v>14.512781250000002</v>
      </c>
      <c r="AC12" s="139">
        <f t="shared" si="9"/>
        <v>30.800660037878792</v>
      </c>
      <c r="AD12" s="161" t="str">
        <f t="shared" si="10"/>
        <v xml:space="preserve"> 사유?→</v>
      </c>
      <c r="AE12" s="160" t="s">
        <v>219</v>
      </c>
      <c r="AF12" s="37"/>
      <c r="AG12" s="38"/>
      <c r="AI12" s="39"/>
      <c r="AJ12" s="40"/>
      <c r="AL12" s="41"/>
      <c r="AM12" s="41"/>
      <c r="AN12" s="41"/>
      <c r="AP12" s="310">
        <f t="shared" si="11"/>
        <v>-8</v>
      </c>
      <c r="AQ12" s="42"/>
    </row>
    <row r="13" spans="2:52" s="310" customFormat="1" ht="36" customHeight="1" x14ac:dyDescent="0.3">
      <c r="B13" s="422" t="s">
        <v>39</v>
      </c>
      <c r="C13" s="423"/>
      <c r="D13" s="423"/>
      <c r="E13" s="424"/>
      <c r="F13" s="43">
        <f>SUM(F7:F12)</f>
        <v>57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 t="shared" si="1"/>
        <v>0</v>
      </c>
      <c r="T13" s="52">
        <f>SUM(T7:T12)</f>
        <v>3762</v>
      </c>
      <c r="U13" s="53">
        <f>SUM(U7:U12)</f>
        <v>2782</v>
      </c>
      <c r="V13" s="54">
        <f>U13/F13</f>
        <v>48.807017543859651</v>
      </c>
      <c r="W13" s="45">
        <f t="shared" si="4"/>
        <v>0.73950026581605532</v>
      </c>
      <c r="X13" s="55">
        <f>SUM(X7:X12)</f>
        <v>3393.64</v>
      </c>
      <c r="Y13" s="44">
        <f>X13/F13</f>
        <v>59.537543859649119</v>
      </c>
      <c r="Z13" s="47">
        <f t="shared" si="6"/>
        <v>0.90208399787347149</v>
      </c>
      <c r="AA13" s="56">
        <f>U13/T13*AA4</f>
        <v>36.975013290802764</v>
      </c>
      <c r="AB13" s="57">
        <f>X13/T13*AB4</f>
        <v>49.118473684210528</v>
      </c>
      <c r="AC13" s="140">
        <f t="shared" si="9"/>
        <v>86.093486975013292</v>
      </c>
      <c r="AD13" s="58" t="str">
        <f t="shared" si="10"/>
        <v>80~89</v>
      </c>
      <c r="AE13" s="43"/>
      <c r="AF13" s="37">
        <f>AG13-F13</f>
        <v>-57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9.5</v>
      </c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1"/>
      <c r="R14" s="311"/>
      <c r="S14" s="311"/>
      <c r="T14" s="311"/>
      <c r="U14" s="61">
        <f>V14*F14</f>
        <v>463.66666666666669</v>
      </c>
      <c r="V14" s="62">
        <f>U13/F13</f>
        <v>48.807017543859651</v>
      </c>
      <c r="W14" s="63">
        <f>IFERROR(U14/#REF!,0)</f>
        <v>0</v>
      </c>
      <c r="X14" s="64">
        <f>X13/F13*F14</f>
        <v>565.60666666666668</v>
      </c>
      <c r="Y14" s="62">
        <f>IF(F14=0,"휴무",X14/F14)</f>
        <v>59.537543859649126</v>
      </c>
      <c r="Z14" s="65">
        <f>IFERROR(X14/#REF!,0)</f>
        <v>0</v>
      </c>
      <c r="AA14" s="60">
        <f>AVERAGE(AA7:AA12)</f>
        <v>37.124081726354454</v>
      </c>
      <c r="AB14" s="60">
        <f>AVERAGE(AB7:AB12)</f>
        <v>48.139812500000005</v>
      </c>
      <c r="AC14" s="141">
        <f>AA14+AB14</f>
        <v>85.263894226354466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310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  <c r="AE19" s="464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75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-57</v>
      </c>
    </row>
    <row r="23" spans="2:43" s="310" customFormat="1" ht="99" customHeight="1" thickTop="1" x14ac:dyDescent="0.3">
      <c r="B23" s="420">
        <f>+B7</f>
        <v>5</v>
      </c>
      <c r="C23" s="24">
        <f t="shared" ref="C23:C28" si="12">+C7</f>
        <v>25</v>
      </c>
      <c r="D23" s="25" t="s">
        <v>7</v>
      </c>
      <c r="E23" s="26" t="s">
        <v>29</v>
      </c>
      <c r="F23" s="25">
        <v>8</v>
      </c>
      <c r="G23" s="128">
        <v>501</v>
      </c>
      <c r="H23" s="128">
        <f t="shared" ref="H23:H28" si="13">(G23/U23)*100</f>
        <v>96.718146718146713</v>
      </c>
      <c r="I23" s="123" t="s">
        <v>99</v>
      </c>
      <c r="J23" s="123" t="s">
        <v>78</v>
      </c>
      <c r="K23" s="123" t="s">
        <v>92</v>
      </c>
      <c r="L23" s="123" t="s">
        <v>84</v>
      </c>
      <c r="M23" s="123"/>
      <c r="N23" s="129" t="s">
        <v>90</v>
      </c>
      <c r="O23" s="123" t="s">
        <v>74</v>
      </c>
      <c r="P23" s="123"/>
      <c r="Q23" s="123" t="s">
        <v>91</v>
      </c>
      <c r="R23" s="123" t="s">
        <v>89</v>
      </c>
      <c r="S23" s="124">
        <f t="shared" ref="S23:S28" si="14">COUNTA(I23:M23)+COUNTA(N23:R23)/2</f>
        <v>6</v>
      </c>
      <c r="T23" s="27">
        <f t="shared" ref="T23:T28" si="15">F23*$D$4*$U$4</f>
        <v>528</v>
      </c>
      <c r="U23" s="28">
        <f>+H58</f>
        <v>518</v>
      </c>
      <c r="V23" s="29">
        <f t="shared" ref="V23:V28" si="16">IF(F23=0,"휴무",U23/F23)</f>
        <v>64.75</v>
      </c>
      <c r="W23" s="30">
        <f t="shared" ref="W23:W29" si="17">IFERROR(U23/T23,0)</f>
        <v>0.98106060606060608</v>
      </c>
      <c r="X23" s="31">
        <f>+K58</f>
        <v>476.79999999999995</v>
      </c>
      <c r="Y23" s="29">
        <f t="shared" ref="Y23:Y28" si="18">IF(F23=0,"휴무",X23/F23)</f>
        <v>59.599999999999994</v>
      </c>
      <c r="Z23" s="32">
        <f t="shared" ref="Z23:Z29" si="19">IFERROR(X23/T23,0)</f>
        <v>0.90303030303030296</v>
      </c>
      <c r="AA23" s="33">
        <f t="shared" ref="AA23:AA28" si="20">IF(F23=0,"휴무",U23/T23*$AA$4)</f>
        <v>49.053030303030305</v>
      </c>
      <c r="AB23" s="34">
        <f t="shared" ref="AB23:AB28" si="21">IF(F23=0,"휴무",X23/T23*$AB$4)</f>
        <v>49.17</v>
      </c>
      <c r="AC23" s="138">
        <f t="shared" ref="AC23:AC29" si="22">IF(F23=0,"휴무",AA23+AB23)</f>
        <v>98.223030303030299</v>
      </c>
      <c r="AD23" s="35" t="str">
        <f t="shared" ref="AD23:AD29" si="23">IF(F23=0,"휴무",IF(AC23&gt;=100,"좋아요",IF(AC23&gt;=90,"90~99",IF(AC23&gt;=80,"80~89"," 사유?→"))))</f>
        <v>90~99</v>
      </c>
      <c r="AE23" s="36"/>
      <c r="AF23" s="37">
        <f>AG23-F23</f>
        <v>-8</v>
      </c>
      <c r="AG23" s="38">
        <f>AN23</f>
        <v>0</v>
      </c>
      <c r="AH23" s="310" t="s">
        <v>29</v>
      </c>
      <c r="AI23" s="39"/>
      <c r="AJ23" s="40">
        <f>IFERROR(Z23/W23*1000,"")</f>
        <v>920.46332046332031</v>
      </c>
      <c r="AK23" s="39"/>
      <c r="AL23" s="41"/>
      <c r="AM23" s="41"/>
      <c r="AN23" s="41"/>
      <c r="AP23" s="310">
        <f t="shared" ref="AP23:AP28" si="24">AO23-F23</f>
        <v>-8</v>
      </c>
      <c r="AQ23" s="42"/>
    </row>
    <row r="24" spans="2:43" s="310" customFormat="1" ht="99.75" customHeight="1" x14ac:dyDescent="0.3">
      <c r="B24" s="421"/>
      <c r="C24" s="24">
        <f t="shared" si="12"/>
        <v>26</v>
      </c>
      <c r="D24" s="43" t="s">
        <v>30</v>
      </c>
      <c r="E24" s="26" t="s">
        <v>28</v>
      </c>
      <c r="F24" s="25">
        <v>11</v>
      </c>
      <c r="G24" s="125">
        <v>653</v>
      </c>
      <c r="H24" s="125">
        <f t="shared" si="13"/>
        <v>92.492917847025495</v>
      </c>
      <c r="I24" s="123" t="s">
        <v>99</v>
      </c>
      <c r="J24" s="123" t="s">
        <v>78</v>
      </c>
      <c r="K24" s="123" t="s">
        <v>92</v>
      </c>
      <c r="L24" s="123" t="s">
        <v>84</v>
      </c>
      <c r="M24" s="123"/>
      <c r="N24" s="129" t="s">
        <v>90</v>
      </c>
      <c r="O24" s="123" t="s">
        <v>74</v>
      </c>
      <c r="P24" s="123" t="s">
        <v>169</v>
      </c>
      <c r="Q24" s="123" t="s">
        <v>91</v>
      </c>
      <c r="R24" s="123" t="s">
        <v>89</v>
      </c>
      <c r="S24" s="124">
        <f t="shared" si="14"/>
        <v>6.5</v>
      </c>
      <c r="T24" s="27">
        <f t="shared" si="15"/>
        <v>726</v>
      </c>
      <c r="U24" s="28">
        <f>+H61</f>
        <v>706</v>
      </c>
      <c r="V24" s="44">
        <f t="shared" si="16"/>
        <v>64.181818181818187</v>
      </c>
      <c r="W24" s="45">
        <f t="shared" si="17"/>
        <v>0.97245179063360887</v>
      </c>
      <c r="X24" s="46">
        <f>+K61</f>
        <v>583.85</v>
      </c>
      <c r="Y24" s="29">
        <f t="shared" si="18"/>
        <v>53.077272727272728</v>
      </c>
      <c r="Z24" s="47">
        <f t="shared" si="19"/>
        <v>0.80420110192837468</v>
      </c>
      <c r="AA24" s="48">
        <f t="shared" si="20"/>
        <v>48.622589531680447</v>
      </c>
      <c r="AB24" s="49">
        <f t="shared" si="21"/>
        <v>43.788750000000007</v>
      </c>
      <c r="AC24" s="139">
        <f t="shared" si="22"/>
        <v>92.411339531680454</v>
      </c>
      <c r="AD24" s="80" t="str">
        <f t="shared" si="23"/>
        <v>90~99</v>
      </c>
      <c r="AE24" s="36"/>
      <c r="AF24" s="37">
        <f>AG24-F24</f>
        <v>-11</v>
      </c>
      <c r="AG24" s="38">
        <f>AN24</f>
        <v>0</v>
      </c>
      <c r="AH24" s="310" t="s">
        <v>34</v>
      </c>
      <c r="AI24" s="39"/>
      <c r="AJ24" s="40">
        <f>IFERROR(Z24/W24*1000,"")</f>
        <v>826.98300283286119</v>
      </c>
      <c r="AK24" s="39"/>
      <c r="AL24" s="41"/>
      <c r="AM24" s="41"/>
      <c r="AN24" s="41"/>
      <c r="AP24" s="310">
        <f t="shared" si="24"/>
        <v>-11</v>
      </c>
      <c r="AQ24" s="42"/>
    </row>
    <row r="25" spans="2:43" s="310" customFormat="1" ht="97.5" customHeight="1" x14ac:dyDescent="0.3">
      <c r="B25" s="421"/>
      <c r="C25" s="24">
        <f t="shared" si="12"/>
        <v>27</v>
      </c>
      <c r="D25" s="43" t="s">
        <v>32</v>
      </c>
      <c r="E25" s="26" t="s">
        <v>29</v>
      </c>
      <c r="F25" s="25">
        <v>8</v>
      </c>
      <c r="G25" s="124">
        <v>391</v>
      </c>
      <c r="H25" s="124">
        <f t="shared" si="13"/>
        <v>97.022332506203483</v>
      </c>
      <c r="I25" s="123" t="s">
        <v>99</v>
      </c>
      <c r="J25" s="123" t="s">
        <v>78</v>
      </c>
      <c r="K25" s="123" t="s">
        <v>92</v>
      </c>
      <c r="L25" s="123" t="s">
        <v>84</v>
      </c>
      <c r="M25" s="123"/>
      <c r="N25" s="129" t="s">
        <v>90</v>
      </c>
      <c r="O25" s="123" t="s">
        <v>74</v>
      </c>
      <c r="P25" s="123" t="s">
        <v>169</v>
      </c>
      <c r="Q25" s="123" t="s">
        <v>91</v>
      </c>
      <c r="R25" s="123" t="s">
        <v>89</v>
      </c>
      <c r="S25" s="124">
        <f t="shared" si="14"/>
        <v>6.5</v>
      </c>
      <c r="T25" s="27">
        <f t="shared" si="15"/>
        <v>528</v>
      </c>
      <c r="U25" s="28">
        <f>+H64</f>
        <v>403</v>
      </c>
      <c r="V25" s="44">
        <f t="shared" si="16"/>
        <v>50.375</v>
      </c>
      <c r="W25" s="45">
        <f t="shared" si="17"/>
        <v>0.7632575757575758</v>
      </c>
      <c r="X25" s="46">
        <f>+K64</f>
        <v>307.76</v>
      </c>
      <c r="Y25" s="29">
        <f t="shared" si="18"/>
        <v>38.47</v>
      </c>
      <c r="Z25" s="47">
        <f t="shared" si="19"/>
        <v>0.58287878787878789</v>
      </c>
      <c r="AA25" s="48">
        <f t="shared" si="20"/>
        <v>38.162878787878789</v>
      </c>
      <c r="AB25" s="49">
        <f t="shared" si="21"/>
        <v>31.737750000000002</v>
      </c>
      <c r="AC25" s="139">
        <f t="shared" si="22"/>
        <v>69.900628787878787</v>
      </c>
      <c r="AD25" s="161" t="str">
        <f t="shared" si="23"/>
        <v xml:space="preserve"> 사유?→</v>
      </c>
      <c r="AE25" s="160" t="s">
        <v>215</v>
      </c>
      <c r="AF25" s="37">
        <f>AG25-F25</f>
        <v>-8</v>
      </c>
      <c r="AG25" s="38">
        <f>AN25</f>
        <v>0</v>
      </c>
      <c r="AH25" s="310" t="s">
        <v>36</v>
      </c>
      <c r="AI25" s="39"/>
      <c r="AJ25" s="40">
        <f>IFERROR(Z25/W25*1000,"")</f>
        <v>763.67245657568242</v>
      </c>
      <c r="AK25" s="39"/>
      <c r="AL25" s="41"/>
      <c r="AM25" s="41"/>
      <c r="AN25" s="41"/>
      <c r="AP25" s="310">
        <f t="shared" si="24"/>
        <v>-8</v>
      </c>
      <c r="AQ25" s="42"/>
    </row>
    <row r="26" spans="2:43" s="310" customFormat="1" ht="115.5" customHeight="1" x14ac:dyDescent="0.3">
      <c r="B26" s="421"/>
      <c r="C26" s="24">
        <f t="shared" si="12"/>
        <v>28</v>
      </c>
      <c r="D26" s="43" t="s">
        <v>35</v>
      </c>
      <c r="E26" s="26" t="s">
        <v>28</v>
      </c>
      <c r="F26" s="25">
        <v>11</v>
      </c>
      <c r="G26" s="124">
        <v>634</v>
      </c>
      <c r="H26" s="124">
        <f t="shared" si="13"/>
        <v>96.941896024464839</v>
      </c>
      <c r="I26" s="123" t="s">
        <v>99</v>
      </c>
      <c r="J26" s="123" t="s">
        <v>78</v>
      </c>
      <c r="K26" s="123" t="s">
        <v>206</v>
      </c>
      <c r="L26" s="123" t="s">
        <v>84</v>
      </c>
      <c r="M26" s="123"/>
      <c r="N26" s="129" t="s">
        <v>90</v>
      </c>
      <c r="O26" s="123"/>
      <c r="P26" s="123" t="s">
        <v>169</v>
      </c>
      <c r="Q26" s="123" t="s">
        <v>91</v>
      </c>
      <c r="R26" s="123" t="s">
        <v>89</v>
      </c>
      <c r="S26" s="124">
        <f t="shared" si="14"/>
        <v>6</v>
      </c>
      <c r="T26" s="27">
        <f t="shared" si="15"/>
        <v>726</v>
      </c>
      <c r="U26" s="28">
        <f>+H67</f>
        <v>654</v>
      </c>
      <c r="V26" s="44">
        <f t="shared" si="16"/>
        <v>59.454545454545453</v>
      </c>
      <c r="W26" s="45">
        <f t="shared" si="17"/>
        <v>0.90082644628099173</v>
      </c>
      <c r="X26" s="46">
        <f>+K67</f>
        <v>440.55999999999995</v>
      </c>
      <c r="Y26" s="44">
        <f t="shared" si="18"/>
        <v>40.050909090909087</v>
      </c>
      <c r="Z26" s="47">
        <f t="shared" si="19"/>
        <v>0.60683195592286499</v>
      </c>
      <c r="AA26" s="48">
        <f t="shared" si="20"/>
        <v>45.041322314049587</v>
      </c>
      <c r="AB26" s="49">
        <f t="shared" si="21"/>
        <v>33.042000000000002</v>
      </c>
      <c r="AC26" s="139">
        <f t="shared" si="22"/>
        <v>78.083322314049582</v>
      </c>
      <c r="AD26" s="161" t="str">
        <f t="shared" si="23"/>
        <v xml:space="preserve"> 사유?→</v>
      </c>
      <c r="AE26" s="160" t="s">
        <v>217</v>
      </c>
      <c r="AF26" s="37">
        <f>AG26-F26</f>
        <v>-11</v>
      </c>
      <c r="AG26" s="38">
        <f>AN26</f>
        <v>0</v>
      </c>
      <c r="AH26" s="310" t="s">
        <v>33</v>
      </c>
      <c r="AI26" s="39"/>
      <c r="AJ26" s="40">
        <f>IFERROR(Z26/W26*1000,"")</f>
        <v>673.63914373088687</v>
      </c>
      <c r="AK26" s="39"/>
      <c r="AL26" s="41"/>
      <c r="AM26" s="41"/>
      <c r="AN26" s="41"/>
      <c r="AP26" s="310">
        <f t="shared" si="24"/>
        <v>-11</v>
      </c>
      <c r="AQ26" s="42"/>
    </row>
    <row r="27" spans="2:43" s="310" customFormat="1" ht="104.25" customHeight="1" x14ac:dyDescent="0.3">
      <c r="B27" s="421"/>
      <c r="C27" s="24">
        <f t="shared" si="12"/>
        <v>29</v>
      </c>
      <c r="D27" s="43" t="s">
        <v>37</v>
      </c>
      <c r="E27" s="26" t="s">
        <v>28</v>
      </c>
      <c r="F27" s="25">
        <v>11</v>
      </c>
      <c r="G27" s="125">
        <v>643</v>
      </c>
      <c r="H27" s="130">
        <f t="shared" si="13"/>
        <v>100</v>
      </c>
      <c r="I27" s="123" t="s">
        <v>78</v>
      </c>
      <c r="J27" s="123" t="s">
        <v>88</v>
      </c>
      <c r="K27" s="123"/>
      <c r="L27" s="123" t="s">
        <v>84</v>
      </c>
      <c r="M27" s="123"/>
      <c r="N27" s="129" t="s">
        <v>90</v>
      </c>
      <c r="O27" s="123" t="s">
        <v>74</v>
      </c>
      <c r="P27" s="123" t="s">
        <v>169</v>
      </c>
      <c r="Q27" s="123" t="s">
        <v>91</v>
      </c>
      <c r="R27" s="123" t="s">
        <v>89</v>
      </c>
      <c r="S27" s="125">
        <f t="shared" si="14"/>
        <v>5.5</v>
      </c>
      <c r="T27" s="27">
        <f t="shared" si="15"/>
        <v>726</v>
      </c>
      <c r="U27" s="28">
        <f>+H70</f>
        <v>643</v>
      </c>
      <c r="V27" s="44">
        <f t="shared" si="16"/>
        <v>58.454545454545453</v>
      </c>
      <c r="W27" s="45">
        <f t="shared" si="17"/>
        <v>0.88567493112947659</v>
      </c>
      <c r="X27" s="46">
        <f>+K70</f>
        <v>509.56</v>
      </c>
      <c r="Y27" s="44">
        <f t="shared" si="18"/>
        <v>46.323636363636361</v>
      </c>
      <c r="Z27" s="47">
        <f t="shared" si="19"/>
        <v>0.70187327823691459</v>
      </c>
      <c r="AA27" s="48">
        <f t="shared" si="20"/>
        <v>44.28374655647383</v>
      </c>
      <c r="AB27" s="49">
        <f t="shared" si="21"/>
        <v>38.216999999999999</v>
      </c>
      <c r="AC27" s="139">
        <f t="shared" si="22"/>
        <v>82.500746556473828</v>
      </c>
      <c r="AD27" s="50" t="str">
        <f t="shared" si="23"/>
        <v>80~89</v>
      </c>
      <c r="AE27" s="36"/>
      <c r="AF27" s="37">
        <f>AG27-F27</f>
        <v>-11</v>
      </c>
      <c r="AG27" s="38">
        <f>AN27</f>
        <v>0</v>
      </c>
      <c r="AH27" s="310" t="s">
        <v>46</v>
      </c>
      <c r="AI27" s="39"/>
      <c r="AJ27" s="40">
        <f>IFERROR(Z27/W27*1000,"")</f>
        <v>792.47278382581646</v>
      </c>
      <c r="AL27" s="41"/>
      <c r="AM27" s="41"/>
      <c r="AN27" s="41"/>
      <c r="AP27" s="310">
        <f t="shared" si="24"/>
        <v>-11</v>
      </c>
      <c r="AQ27" s="42"/>
    </row>
    <row r="28" spans="2:43" s="310" customFormat="1" ht="104.25" customHeight="1" x14ac:dyDescent="0.3">
      <c r="B28" s="421"/>
      <c r="C28" s="24">
        <f t="shared" si="12"/>
        <v>30</v>
      </c>
      <c r="D28" s="43" t="s">
        <v>47</v>
      </c>
      <c r="E28" s="26" t="s">
        <v>36</v>
      </c>
      <c r="F28" s="25">
        <v>8</v>
      </c>
      <c r="G28" s="124">
        <v>475</v>
      </c>
      <c r="H28" s="124">
        <f t="shared" si="13"/>
        <v>99.789915966386559</v>
      </c>
      <c r="I28" s="123" t="s">
        <v>78</v>
      </c>
      <c r="J28" s="123" t="s">
        <v>88</v>
      </c>
      <c r="K28" s="123" t="s">
        <v>92</v>
      </c>
      <c r="L28" s="123" t="s">
        <v>84</v>
      </c>
      <c r="M28" s="123"/>
      <c r="N28" s="129" t="s">
        <v>90</v>
      </c>
      <c r="O28" s="123" t="s">
        <v>74</v>
      </c>
      <c r="P28" s="123"/>
      <c r="Q28" s="123" t="s">
        <v>91</v>
      </c>
      <c r="R28" s="123" t="s">
        <v>89</v>
      </c>
      <c r="S28" s="124">
        <f t="shared" si="14"/>
        <v>6</v>
      </c>
      <c r="T28" s="313">
        <f t="shared" si="15"/>
        <v>528</v>
      </c>
      <c r="U28" s="28">
        <f>+H73</f>
        <v>476</v>
      </c>
      <c r="V28" s="29">
        <f t="shared" si="16"/>
        <v>59.5</v>
      </c>
      <c r="W28" s="30">
        <f t="shared" si="17"/>
        <v>0.90151515151515149</v>
      </c>
      <c r="X28" s="31">
        <f>+K73</f>
        <v>514.16999999999996</v>
      </c>
      <c r="Y28" s="44">
        <f t="shared" si="18"/>
        <v>64.271249999999995</v>
      </c>
      <c r="Z28" s="47">
        <f t="shared" si="19"/>
        <v>0.97380681818181813</v>
      </c>
      <c r="AA28" s="48">
        <f t="shared" si="20"/>
        <v>45.075757575757578</v>
      </c>
      <c r="AB28" s="49">
        <f t="shared" si="21"/>
        <v>53.023781249999999</v>
      </c>
      <c r="AC28" s="139">
        <f t="shared" si="22"/>
        <v>98.099538825757577</v>
      </c>
      <c r="AD28" s="50" t="str">
        <f t="shared" si="23"/>
        <v>90~99</v>
      </c>
      <c r="AE28" s="36"/>
      <c r="AF28" s="37"/>
      <c r="AG28" s="38"/>
      <c r="AI28" s="39"/>
      <c r="AJ28" s="40"/>
      <c r="AL28" s="41"/>
      <c r="AM28" s="41"/>
      <c r="AN28" s="41"/>
      <c r="AP28" s="310">
        <f t="shared" si="24"/>
        <v>-8</v>
      </c>
      <c r="AQ28" s="42"/>
    </row>
    <row r="29" spans="2:43" s="310" customFormat="1" ht="36" customHeight="1" x14ac:dyDescent="0.3">
      <c r="B29" s="422" t="s">
        <v>39</v>
      </c>
      <c r="C29" s="423"/>
      <c r="D29" s="423"/>
      <c r="E29" s="424"/>
      <c r="F29" s="43">
        <f>SUM(F23:F28)</f>
        <v>57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3762</v>
      </c>
      <c r="U29" s="53">
        <f>SUM(U23:U28)</f>
        <v>3400</v>
      </c>
      <c r="V29" s="54">
        <f>U29/F29</f>
        <v>59.649122807017541</v>
      </c>
      <c r="W29" s="45">
        <f t="shared" si="17"/>
        <v>0.90377458798511434</v>
      </c>
      <c r="X29" s="55">
        <f>SUM(X23:X28)</f>
        <v>2832.7000000000003</v>
      </c>
      <c r="Y29" s="44">
        <f>X29/F29</f>
        <v>49.69649122807018</v>
      </c>
      <c r="Z29" s="47">
        <f t="shared" si="19"/>
        <v>0.75297713981924519</v>
      </c>
      <c r="AA29" s="56">
        <f>U29/T29*AA20</f>
        <v>45.18872939925572</v>
      </c>
      <c r="AB29" s="57">
        <f>X29/T29*AB20</f>
        <v>40.999605263157903</v>
      </c>
      <c r="AC29" s="140">
        <f t="shared" si="22"/>
        <v>86.188334662413624</v>
      </c>
      <c r="AD29" s="58" t="str">
        <f t="shared" si="23"/>
        <v>80~89</v>
      </c>
      <c r="AE29" s="43"/>
      <c r="AF29" s="37">
        <f>AG29-F29</f>
        <v>-57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9.5</v>
      </c>
      <c r="G30" s="311"/>
      <c r="H30" s="311"/>
      <c r="I30" s="311"/>
      <c r="J30" s="311"/>
      <c r="K30" s="311"/>
      <c r="L30" s="311"/>
      <c r="M30" s="311"/>
      <c r="N30" s="311"/>
      <c r="O30" s="311"/>
      <c r="P30" s="311"/>
      <c r="Q30" s="311"/>
      <c r="R30" s="311"/>
      <c r="S30" s="311"/>
      <c r="T30" s="311"/>
      <c r="U30" s="61">
        <f>V30*F30</f>
        <v>566.66666666666663</v>
      </c>
      <c r="V30" s="62">
        <f>U29/F29</f>
        <v>59.649122807017541</v>
      </c>
      <c r="W30" s="63">
        <f>IFERROR(U30/#REF!,0)</f>
        <v>0</v>
      </c>
      <c r="X30" s="64">
        <f>X29/F29*F30</f>
        <v>472.11666666666673</v>
      </c>
      <c r="Y30" s="62">
        <f>IF(F30=0,"휴무",X30/F30)</f>
        <v>49.69649122807018</v>
      </c>
      <c r="Z30" s="65">
        <f>IFERROR(X30/#REF!,0)</f>
        <v>0</v>
      </c>
      <c r="AA30" s="60">
        <f>AVERAGE(AA23:AA28)</f>
        <v>45.039887511478419</v>
      </c>
      <c r="AB30" s="60">
        <f>AVERAGE(AB23:AB28)</f>
        <v>41.496546875000007</v>
      </c>
      <c r="AC30" s="141">
        <f>AA30+AB30</f>
        <v>86.536434386478419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310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25</v>
      </c>
      <c r="F36" s="455" t="s">
        <v>7</v>
      </c>
      <c r="G36" s="82" t="s">
        <v>48</v>
      </c>
      <c r="H36" s="83">
        <v>445</v>
      </c>
      <c r="I36" s="84"/>
      <c r="J36" s="85"/>
      <c r="K36" s="86">
        <v>373.08</v>
      </c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445</v>
      </c>
      <c r="I38" s="88"/>
      <c r="J38" s="89"/>
      <c r="K38" s="90">
        <f>+K36+K37*2</f>
        <v>373.08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26</v>
      </c>
      <c r="F39" s="455" t="s">
        <v>52</v>
      </c>
      <c r="G39" s="82" t="s">
        <v>48</v>
      </c>
      <c r="H39" s="83">
        <f>391-248</f>
        <v>143</v>
      </c>
      <c r="I39" s="84"/>
      <c r="J39" s="85"/>
      <c r="K39" s="86">
        <f>495.28-374.7</f>
        <v>120.57999999999998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>
        <v>248</v>
      </c>
      <c r="I40" s="84"/>
      <c r="J40" s="85"/>
      <c r="K40" s="86">
        <v>374.7</v>
      </c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639</v>
      </c>
      <c r="I41" s="88"/>
      <c r="J41" s="89"/>
      <c r="K41" s="90">
        <f>+K39+K40*2</f>
        <v>869.98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27</v>
      </c>
      <c r="F42" s="455" t="s">
        <v>53</v>
      </c>
      <c r="G42" s="82" t="s">
        <v>48</v>
      </c>
      <c r="H42" s="83">
        <f>302-287</f>
        <v>15</v>
      </c>
      <c r="I42" s="84"/>
      <c r="J42" s="85"/>
      <c r="K42" s="86">
        <f>358.7-347.61</f>
        <v>11.089999999999975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>
        <v>287</v>
      </c>
      <c r="I43" s="84"/>
      <c r="J43" s="85"/>
      <c r="K43" s="86">
        <v>347.61</v>
      </c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589</v>
      </c>
      <c r="I44" s="88"/>
      <c r="J44" s="89"/>
      <c r="K44" s="90">
        <f>+K42+K43*2</f>
        <v>706.31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28</v>
      </c>
      <c r="F45" s="455" t="s">
        <v>55</v>
      </c>
      <c r="G45" s="82" t="s">
        <v>48</v>
      </c>
      <c r="H45" s="83">
        <f>415-13</f>
        <v>402</v>
      </c>
      <c r="I45" s="84"/>
      <c r="J45" s="85"/>
      <c r="K45" s="86">
        <f>475.73-7.41</f>
        <v>468.32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>
        <v>13</v>
      </c>
      <c r="I46" s="84"/>
      <c r="J46" s="85"/>
      <c r="K46" s="86">
        <v>7.41</v>
      </c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428</v>
      </c>
      <c r="I47" s="88"/>
      <c r="J47" s="89"/>
      <c r="K47" s="90">
        <f>+K45+K46*2</f>
        <v>483.14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29</v>
      </c>
      <c r="F48" s="455" t="s">
        <v>56</v>
      </c>
      <c r="G48" s="82" t="s">
        <v>48</v>
      </c>
      <c r="H48" s="83">
        <f>369-126</f>
        <v>243</v>
      </c>
      <c r="I48" s="84"/>
      <c r="J48" s="85"/>
      <c r="K48" s="86">
        <f>498.09-308.17</f>
        <v>189.91999999999996</v>
      </c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>
        <v>133</v>
      </c>
      <c r="I49" s="84"/>
      <c r="J49" s="85"/>
      <c r="K49" s="86">
        <f>308.17+7.07</f>
        <v>315.24</v>
      </c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509</v>
      </c>
      <c r="I50" s="88"/>
      <c r="J50" s="89"/>
      <c r="K50" s="90">
        <f>+K48+K49*2</f>
        <v>820.4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30</v>
      </c>
      <c r="F51" s="455" t="s">
        <v>38</v>
      </c>
      <c r="G51" s="82" t="s">
        <v>48</v>
      </c>
      <c r="H51" s="83">
        <v>172</v>
      </c>
      <c r="I51" s="84"/>
      <c r="J51" s="85"/>
      <c r="K51" s="86">
        <v>140.72999999999999</v>
      </c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172</v>
      </c>
      <c r="I53" s="88"/>
      <c r="J53" s="89"/>
      <c r="K53" s="90">
        <f>+K51+K52*2</f>
        <v>140.72999999999999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25</v>
      </c>
      <c r="F56" s="455" t="s">
        <v>7</v>
      </c>
      <c r="G56" s="82" t="s">
        <v>48</v>
      </c>
      <c r="H56" s="83">
        <f>501-17</f>
        <v>484</v>
      </c>
      <c r="I56" s="84"/>
      <c r="J56" s="85"/>
      <c r="K56" s="86">
        <f>443-33.8</f>
        <v>409.2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>
        <v>17</v>
      </c>
      <c r="I57" s="84"/>
      <c r="J57" s="85"/>
      <c r="K57" s="86">
        <v>33.799999999999997</v>
      </c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518</v>
      </c>
      <c r="I58" s="88"/>
      <c r="J58" s="89"/>
      <c r="K58" s="90">
        <f>+K56+K57*2</f>
        <v>476.79999999999995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26</v>
      </c>
      <c r="F59" s="455" t="s">
        <v>52</v>
      </c>
      <c r="G59" s="82" t="s">
        <v>48</v>
      </c>
      <c r="H59" s="83">
        <f>654-52</f>
        <v>602</v>
      </c>
      <c r="I59" s="84"/>
      <c r="J59" s="85"/>
      <c r="K59" s="86">
        <f>523.1-60.75</f>
        <v>462.35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>
        <v>52</v>
      </c>
      <c r="I60" s="84"/>
      <c r="J60" s="85"/>
      <c r="K60" s="86">
        <v>60.75</v>
      </c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706</v>
      </c>
      <c r="I61" s="88"/>
      <c r="J61" s="89"/>
      <c r="K61" s="90">
        <f>+K59+K60*2</f>
        <v>583.85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27</v>
      </c>
      <c r="F62" s="455" t="s">
        <v>53</v>
      </c>
      <c r="G62" s="82" t="s">
        <v>48</v>
      </c>
      <c r="H62" s="83">
        <f>392-11</f>
        <v>381</v>
      </c>
      <c r="I62" s="84"/>
      <c r="J62" s="85"/>
      <c r="K62" s="86">
        <f>304.58-3.18</f>
        <v>301.39999999999998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>
        <v>11</v>
      </c>
      <c r="I63" s="84"/>
      <c r="J63" s="85"/>
      <c r="K63" s="86">
        <v>3.18</v>
      </c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403</v>
      </c>
      <c r="I64" s="88"/>
      <c r="J64" s="89"/>
      <c r="K64" s="90">
        <f>+K62+K63*2</f>
        <v>307.76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28</v>
      </c>
      <c r="F65" s="455" t="s">
        <v>55</v>
      </c>
      <c r="G65" s="82" t="s">
        <v>48</v>
      </c>
      <c r="H65" s="83">
        <f>634-20</f>
        <v>614</v>
      </c>
      <c r="I65" s="84"/>
      <c r="J65" s="85"/>
      <c r="K65" s="86">
        <f>431.96-8.6</f>
        <v>423.35999999999996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>
        <v>20</v>
      </c>
      <c r="I66" s="84"/>
      <c r="J66" s="85"/>
      <c r="K66" s="86">
        <v>8.6</v>
      </c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654</v>
      </c>
      <c r="I67" s="88"/>
      <c r="J67" s="89"/>
      <c r="K67" s="90">
        <f>+K65+K66*2</f>
        <v>440.55999999999995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29</v>
      </c>
      <c r="F68" s="455" t="s">
        <v>56</v>
      </c>
      <c r="G68" s="82" t="s">
        <v>48</v>
      </c>
      <c r="H68" s="83">
        <v>643</v>
      </c>
      <c r="I68" s="84"/>
      <c r="J68" s="85"/>
      <c r="K68" s="86">
        <v>509.56</v>
      </c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/>
      <c r="I69" s="84"/>
      <c r="J69" s="85"/>
      <c r="K69" s="86"/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643</v>
      </c>
      <c r="I70" s="88"/>
      <c r="J70" s="89"/>
      <c r="K70" s="90">
        <f>+K68+K69*2</f>
        <v>509.56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30</v>
      </c>
      <c r="F71" s="455" t="s">
        <v>38</v>
      </c>
      <c r="G71" s="82" t="s">
        <v>48</v>
      </c>
      <c r="H71" s="83">
        <v>476</v>
      </c>
      <c r="I71" s="84"/>
      <c r="J71" s="85"/>
      <c r="K71" s="86">
        <v>514.16999999999996</v>
      </c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476</v>
      </c>
      <c r="I73" s="88"/>
      <c r="J73" s="89"/>
      <c r="K73" s="90">
        <f>+K71+K72*2</f>
        <v>514.16999999999996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312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5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6">IF(F80=0,"휴무",AA80+AB80)</f>
        <v>#REF!</v>
      </c>
      <c r="AD80" s="103" t="e">
        <f t="shared" ref="AD80:AD85" si="27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310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310"/>
      <c r="AP80" s="310">
        <f>AO80-F80</f>
        <v>-10</v>
      </c>
    </row>
    <row r="81" spans="2:42" ht="98.25" customHeight="1" x14ac:dyDescent="0.3">
      <c r="B81" s="459"/>
      <c r="C81" s="92">
        <v>20</v>
      </c>
      <c r="D81" s="306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5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6"/>
        <v>#REF!</v>
      </c>
      <c r="AD81" s="108" t="e">
        <f t="shared" si="27"/>
        <v>#REF!</v>
      </c>
      <c r="AE81" s="109"/>
      <c r="AF81" s="37">
        <f>AG81-F81</f>
        <v>-10</v>
      </c>
      <c r="AG81" s="38">
        <f>AN81</f>
        <v>0</v>
      </c>
      <c r="AH81" s="310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310"/>
      <c r="AP81" s="310">
        <f>AO81-F81</f>
        <v>-10</v>
      </c>
    </row>
    <row r="82" spans="2:42" ht="98.25" customHeight="1" x14ac:dyDescent="0.3">
      <c r="B82" s="459"/>
      <c r="C82" s="92">
        <v>21</v>
      </c>
      <c r="D82" s="306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5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6"/>
        <v>#REF!</v>
      </c>
      <c r="AD82" s="108" t="e">
        <f t="shared" si="27"/>
        <v>#REF!</v>
      </c>
      <c r="AE82" s="109"/>
      <c r="AF82" s="37">
        <f>AG82-F82</f>
        <v>-10</v>
      </c>
      <c r="AG82" s="38">
        <f>AN82</f>
        <v>0</v>
      </c>
      <c r="AH82" s="310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310"/>
      <c r="AP82" s="310">
        <f>AO82-F82</f>
        <v>-10</v>
      </c>
    </row>
    <row r="83" spans="2:42" ht="98.25" customHeight="1" x14ac:dyDescent="0.3">
      <c r="B83" s="459"/>
      <c r="C83" s="92">
        <v>22</v>
      </c>
      <c r="D83" s="306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5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6"/>
        <v>#REF!</v>
      </c>
      <c r="AD83" s="110" t="e">
        <f t="shared" si="27"/>
        <v>#REF!</v>
      </c>
      <c r="AE83" s="104"/>
      <c r="AF83" s="37">
        <f>AG83-F83</f>
        <v>-10</v>
      </c>
      <c r="AG83" s="38">
        <f>AN83</f>
        <v>0</v>
      </c>
      <c r="AH83" s="310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310"/>
      <c r="AP83" s="310">
        <f>AO83-F83</f>
        <v>-10</v>
      </c>
    </row>
    <row r="84" spans="2:42" ht="98.25" customHeight="1" x14ac:dyDescent="0.3">
      <c r="B84" s="459"/>
      <c r="C84" s="92">
        <v>23</v>
      </c>
      <c r="D84" s="306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5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6"/>
        <v>#REF!</v>
      </c>
      <c r="AD84" s="110" t="e">
        <f t="shared" si="27"/>
        <v>#REF!</v>
      </c>
      <c r="AE84" s="104"/>
      <c r="AF84" s="37">
        <f>AG84-F84</f>
        <v>-10</v>
      </c>
      <c r="AG84" s="38">
        <f>AN84</f>
        <v>0</v>
      </c>
      <c r="AH84" s="310" t="s">
        <v>46</v>
      </c>
      <c r="AI84" s="39"/>
      <c r="AJ84" s="40" t="str">
        <f>IFERROR(Z84/W84*1000,"")</f>
        <v/>
      </c>
      <c r="AK84" s="310"/>
      <c r="AL84" s="41"/>
      <c r="AM84" s="41"/>
      <c r="AN84" s="41"/>
      <c r="AO84" s="310"/>
      <c r="AP84" s="310">
        <f>AO84-F84</f>
        <v>-10</v>
      </c>
    </row>
    <row r="85" spans="2:42" ht="98.25" customHeight="1" x14ac:dyDescent="0.3">
      <c r="B85" s="459"/>
      <c r="C85" s="92">
        <v>25</v>
      </c>
      <c r="D85" s="306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311"/>
      <c r="H85" s="311"/>
      <c r="I85" s="311"/>
      <c r="J85" s="311"/>
      <c r="K85" s="311"/>
      <c r="L85" s="311"/>
      <c r="M85" s="311"/>
      <c r="N85" s="311"/>
      <c r="O85" s="311"/>
      <c r="P85" s="311"/>
      <c r="Q85" s="311"/>
      <c r="R85" s="311"/>
      <c r="S85" s="311"/>
      <c r="T85" s="311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5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6"/>
        <v>휴무</v>
      </c>
      <c r="AD85" s="110" t="str">
        <f t="shared" si="27"/>
        <v>휴무</v>
      </c>
      <c r="AE85" s="104"/>
      <c r="AF85" s="37"/>
      <c r="AG85" s="38"/>
      <c r="AH85" s="310"/>
      <c r="AI85" s="39"/>
      <c r="AJ85" s="40"/>
      <c r="AK85" s="310"/>
      <c r="AL85" s="41"/>
      <c r="AM85" s="41"/>
      <c r="AN85" s="41"/>
      <c r="AO85" s="310"/>
      <c r="AP85" s="310"/>
    </row>
    <row r="86" spans="2:42" ht="36" customHeight="1" x14ac:dyDescent="0.3">
      <c r="B86" s="460" t="s">
        <v>39</v>
      </c>
      <c r="C86" s="461"/>
      <c r="D86" s="461"/>
      <c r="E86" s="462"/>
      <c r="F86" s="306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306"/>
      <c r="AB86" s="307"/>
      <c r="AC86" s="114"/>
      <c r="AD86" s="115"/>
      <c r="AE86" s="308"/>
      <c r="AF86" s="37">
        <f>AG86-F86</f>
        <v>-50</v>
      </c>
      <c r="AG86" s="38">
        <f>SUM(AG80:AG85)</f>
        <v>0</v>
      </c>
      <c r="AH86" s="310"/>
      <c r="AI86" s="310"/>
      <c r="AJ86" s="40"/>
      <c r="AK86" s="310"/>
      <c r="AL86" s="59"/>
      <c r="AM86" s="59"/>
      <c r="AN86" s="59"/>
      <c r="AO86" s="310"/>
      <c r="AP86" s="310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311"/>
      <c r="H87" s="311"/>
      <c r="I87" s="311"/>
      <c r="J87" s="311"/>
      <c r="K87" s="311"/>
      <c r="L87" s="311"/>
      <c r="M87" s="311"/>
      <c r="N87" s="311"/>
      <c r="O87" s="311"/>
      <c r="P87" s="311"/>
      <c r="Q87" s="311"/>
      <c r="R87" s="311"/>
      <c r="S87" s="311"/>
      <c r="T87" s="311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310"/>
      <c r="AE88" s="310"/>
      <c r="AF88" s="310"/>
      <c r="AG88" s="310"/>
      <c r="AH88" s="310"/>
      <c r="AI88" s="310"/>
      <c r="AJ88" s="310"/>
      <c r="AK88" s="310"/>
      <c r="AL88" s="59"/>
      <c r="AM88" s="59"/>
      <c r="AN88" s="59"/>
      <c r="AO88" s="310"/>
      <c r="AP88" s="310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306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306" t="s">
        <v>63</v>
      </c>
      <c r="D117" s="466" t="s">
        <v>12</v>
      </c>
      <c r="E117" s="466"/>
      <c r="F117" s="306" t="s">
        <v>64</v>
      </c>
      <c r="G117" s="306"/>
      <c r="H117" s="306"/>
      <c r="I117" s="306"/>
      <c r="J117" s="306"/>
      <c r="K117" s="306"/>
      <c r="L117" s="306"/>
      <c r="M117" s="306"/>
      <c r="N117" s="306"/>
      <c r="O117" s="306"/>
      <c r="P117" s="306"/>
      <c r="Q117" s="306"/>
      <c r="R117" s="306"/>
      <c r="S117" s="306"/>
      <c r="T117" s="306"/>
      <c r="U117" s="306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306"/>
      <c r="G118" s="306"/>
      <c r="H118" s="306"/>
      <c r="I118" s="306"/>
      <c r="J118" s="306"/>
      <c r="K118" s="306"/>
      <c r="L118" s="306"/>
      <c r="M118" s="306"/>
      <c r="N118" s="306"/>
      <c r="O118" s="306"/>
      <c r="P118" s="306"/>
      <c r="Q118" s="306"/>
      <c r="R118" s="306"/>
      <c r="S118" s="306"/>
      <c r="T118" s="306"/>
      <c r="U118" s="306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306"/>
      <c r="G119" s="306"/>
      <c r="H119" s="306"/>
      <c r="I119" s="306"/>
      <c r="J119" s="306"/>
      <c r="K119" s="306"/>
      <c r="L119" s="306"/>
      <c r="M119" s="306"/>
      <c r="N119" s="306"/>
      <c r="O119" s="306"/>
      <c r="P119" s="306"/>
      <c r="Q119" s="306"/>
      <c r="R119" s="306"/>
      <c r="S119" s="306"/>
      <c r="T119" s="306"/>
      <c r="U119" s="306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306"/>
      <c r="G120" s="306"/>
      <c r="H120" s="306"/>
      <c r="I120" s="306"/>
      <c r="J120" s="306"/>
      <c r="K120" s="306"/>
      <c r="L120" s="306"/>
      <c r="M120" s="306"/>
      <c r="N120" s="306"/>
      <c r="O120" s="306"/>
      <c r="P120" s="306"/>
      <c r="Q120" s="306"/>
      <c r="R120" s="306"/>
      <c r="S120" s="306"/>
      <c r="T120" s="306"/>
      <c r="U120" s="306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306"/>
      <c r="G121" s="306"/>
      <c r="H121" s="306"/>
      <c r="I121" s="306"/>
      <c r="J121" s="306"/>
      <c r="K121" s="306"/>
      <c r="L121" s="306"/>
      <c r="M121" s="306"/>
      <c r="N121" s="306"/>
      <c r="O121" s="306"/>
      <c r="P121" s="306"/>
      <c r="Q121" s="306"/>
      <c r="R121" s="306"/>
      <c r="S121" s="306"/>
      <c r="T121" s="306"/>
      <c r="U121" s="306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306"/>
      <c r="G122" s="306"/>
      <c r="H122" s="306"/>
      <c r="I122" s="306"/>
      <c r="J122" s="306"/>
      <c r="K122" s="306"/>
      <c r="L122" s="306"/>
      <c r="M122" s="306"/>
      <c r="N122" s="306"/>
      <c r="O122" s="306"/>
      <c r="P122" s="306"/>
      <c r="Q122" s="306"/>
      <c r="R122" s="306"/>
      <c r="S122" s="306"/>
      <c r="T122" s="306"/>
      <c r="U122" s="306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6"/>
      <c r="P123" s="306"/>
      <c r="Q123" s="306"/>
      <c r="R123" s="306"/>
      <c r="S123" s="306"/>
      <c r="T123" s="306"/>
      <c r="U123" s="306"/>
      <c r="V123" s="117"/>
      <c r="W123" s="118"/>
      <c r="X123" s="116"/>
      <c r="Y123" s="117"/>
      <c r="Z123" s="116"/>
      <c r="AA123" s="116"/>
    </row>
    <row r="124" spans="3:27" x14ac:dyDescent="0.3">
      <c r="C124" s="306"/>
      <c r="D124" s="460"/>
      <c r="E124" s="462"/>
      <c r="F124" s="306"/>
      <c r="G124" s="306"/>
      <c r="H124" s="306"/>
      <c r="I124" s="306"/>
      <c r="J124" s="306"/>
      <c r="K124" s="306"/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306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306" t="s">
        <v>63</v>
      </c>
      <c r="D127" s="466" t="s">
        <v>12</v>
      </c>
      <c r="E127" s="466"/>
      <c r="F127" s="306" t="s">
        <v>64</v>
      </c>
      <c r="G127" s="306"/>
      <c r="H127" s="306"/>
      <c r="I127" s="306"/>
      <c r="J127" s="306"/>
      <c r="K127" s="306"/>
      <c r="L127" s="306"/>
      <c r="M127" s="306"/>
      <c r="N127" s="306"/>
      <c r="O127" s="306"/>
      <c r="P127" s="306"/>
      <c r="Q127" s="306"/>
      <c r="R127" s="306"/>
      <c r="S127" s="306"/>
      <c r="T127" s="306"/>
      <c r="U127" s="306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306"/>
      <c r="G128" s="306"/>
      <c r="H128" s="306"/>
      <c r="I128" s="306"/>
      <c r="J128" s="306"/>
      <c r="K128" s="306"/>
      <c r="L128" s="306"/>
      <c r="M128" s="306"/>
      <c r="N128" s="306"/>
      <c r="O128" s="306"/>
      <c r="P128" s="306"/>
      <c r="Q128" s="306"/>
      <c r="R128" s="306"/>
      <c r="S128" s="306"/>
      <c r="T128" s="306"/>
      <c r="U128" s="306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306"/>
      <c r="G129" s="306"/>
      <c r="H129" s="306"/>
      <c r="I129" s="306"/>
      <c r="J129" s="306"/>
      <c r="K129" s="306"/>
      <c r="L129" s="306"/>
      <c r="M129" s="306"/>
      <c r="N129" s="306"/>
      <c r="O129" s="306"/>
      <c r="P129" s="306"/>
      <c r="Q129" s="306"/>
      <c r="R129" s="306"/>
      <c r="S129" s="306"/>
      <c r="T129" s="306"/>
      <c r="U129" s="306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306"/>
      <c r="G130" s="306"/>
      <c r="H130" s="306"/>
      <c r="I130" s="306"/>
      <c r="J130" s="306"/>
      <c r="K130" s="306"/>
      <c r="L130" s="306"/>
      <c r="M130" s="306"/>
      <c r="N130" s="306"/>
      <c r="O130" s="306"/>
      <c r="P130" s="306"/>
      <c r="Q130" s="306"/>
      <c r="R130" s="306"/>
      <c r="S130" s="306"/>
      <c r="T130" s="306"/>
      <c r="U130" s="306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306"/>
      <c r="G131" s="306"/>
      <c r="H131" s="306"/>
      <c r="I131" s="306"/>
      <c r="J131" s="306"/>
      <c r="K131" s="306"/>
      <c r="L131" s="306"/>
      <c r="M131" s="306"/>
      <c r="N131" s="306"/>
      <c r="O131" s="306"/>
      <c r="P131" s="306"/>
      <c r="Q131" s="306"/>
      <c r="R131" s="306"/>
      <c r="S131" s="306"/>
      <c r="T131" s="306"/>
      <c r="U131" s="306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306"/>
      <c r="G132" s="306"/>
      <c r="H132" s="306"/>
      <c r="I132" s="306"/>
      <c r="J132" s="306"/>
      <c r="K132" s="306"/>
      <c r="L132" s="306"/>
      <c r="M132" s="306"/>
      <c r="N132" s="306"/>
      <c r="O132" s="306"/>
      <c r="P132" s="306"/>
      <c r="Q132" s="306"/>
      <c r="R132" s="306"/>
      <c r="S132" s="306"/>
      <c r="T132" s="306"/>
      <c r="U132" s="306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306"/>
      <c r="G133" s="306"/>
      <c r="H133" s="306"/>
      <c r="I133" s="306"/>
      <c r="J133" s="306"/>
      <c r="K133" s="306"/>
      <c r="L133" s="306"/>
      <c r="M133" s="306"/>
      <c r="N133" s="306"/>
      <c r="O133" s="306"/>
      <c r="P133" s="306"/>
      <c r="Q133" s="306"/>
      <c r="R133" s="306"/>
      <c r="S133" s="306"/>
      <c r="T133" s="306"/>
      <c r="U133" s="306"/>
      <c r="V133" s="117"/>
      <c r="W133" s="118"/>
      <c r="X133" s="116"/>
      <c r="Y133" s="117"/>
      <c r="Z133" s="116"/>
      <c r="AA133" s="116"/>
    </row>
    <row r="134" spans="3:27" x14ac:dyDescent="0.3">
      <c r="C134" s="306"/>
      <c r="D134" s="460"/>
      <c r="E134" s="462"/>
      <c r="F134" s="306"/>
      <c r="G134" s="306"/>
      <c r="H134" s="306"/>
      <c r="I134" s="306"/>
      <c r="J134" s="306"/>
      <c r="K134" s="306"/>
      <c r="L134" s="306"/>
      <c r="M134" s="306"/>
      <c r="N134" s="306"/>
      <c r="O134" s="306"/>
      <c r="P134" s="306"/>
      <c r="Q134" s="306"/>
      <c r="R134" s="306"/>
      <c r="S134" s="306"/>
      <c r="T134" s="306"/>
      <c r="U134" s="306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306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306" t="s">
        <v>63</v>
      </c>
      <c r="D137" s="466" t="s">
        <v>12</v>
      </c>
      <c r="E137" s="466"/>
      <c r="F137" s="306" t="s">
        <v>64</v>
      </c>
      <c r="G137" s="306"/>
      <c r="H137" s="306"/>
      <c r="I137" s="306"/>
      <c r="J137" s="306"/>
      <c r="K137" s="306"/>
      <c r="L137" s="306"/>
      <c r="M137" s="306"/>
      <c r="N137" s="306"/>
      <c r="O137" s="306"/>
      <c r="P137" s="306"/>
      <c r="Q137" s="306"/>
      <c r="R137" s="306"/>
      <c r="S137" s="306"/>
      <c r="T137" s="306"/>
      <c r="U137" s="306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306"/>
      <c r="G138" s="306"/>
      <c r="H138" s="306"/>
      <c r="I138" s="306"/>
      <c r="J138" s="306"/>
      <c r="K138" s="306"/>
      <c r="L138" s="306"/>
      <c r="M138" s="306"/>
      <c r="N138" s="306"/>
      <c r="O138" s="306"/>
      <c r="P138" s="306"/>
      <c r="Q138" s="306"/>
      <c r="R138" s="306"/>
      <c r="S138" s="306"/>
      <c r="T138" s="306"/>
      <c r="U138" s="306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306"/>
      <c r="G139" s="306"/>
      <c r="H139" s="306"/>
      <c r="I139" s="306"/>
      <c r="J139" s="306"/>
      <c r="K139" s="306"/>
      <c r="L139" s="306"/>
      <c r="M139" s="306"/>
      <c r="N139" s="306"/>
      <c r="O139" s="306"/>
      <c r="P139" s="306"/>
      <c r="Q139" s="306"/>
      <c r="R139" s="306"/>
      <c r="S139" s="306"/>
      <c r="T139" s="306"/>
      <c r="U139" s="306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306"/>
      <c r="G140" s="306"/>
      <c r="H140" s="306"/>
      <c r="I140" s="306"/>
      <c r="J140" s="306"/>
      <c r="K140" s="306"/>
      <c r="L140" s="306"/>
      <c r="M140" s="306"/>
      <c r="N140" s="306"/>
      <c r="O140" s="306"/>
      <c r="P140" s="306"/>
      <c r="Q140" s="306"/>
      <c r="R140" s="306"/>
      <c r="S140" s="306"/>
      <c r="T140" s="306"/>
      <c r="U140" s="306"/>
    </row>
    <row r="141" spans="3:27" x14ac:dyDescent="0.3">
      <c r="C141" s="119">
        <v>45078</v>
      </c>
      <c r="D141" s="466"/>
      <c r="E141" s="466"/>
      <c r="F141" s="306"/>
      <c r="G141" s="306"/>
      <c r="H141" s="306"/>
      <c r="I141" s="306"/>
      <c r="J141" s="306"/>
      <c r="K141" s="306"/>
      <c r="L141" s="306"/>
      <c r="M141" s="306"/>
      <c r="N141" s="306"/>
      <c r="O141" s="306"/>
      <c r="P141" s="306"/>
      <c r="Q141" s="306"/>
      <c r="R141" s="306"/>
      <c r="S141" s="306"/>
      <c r="T141" s="306"/>
      <c r="U141" s="306"/>
    </row>
    <row r="142" spans="3:27" x14ac:dyDescent="0.3">
      <c r="C142" s="119">
        <v>45079</v>
      </c>
      <c r="D142" s="466"/>
      <c r="E142" s="466"/>
      <c r="F142" s="306"/>
      <c r="G142" s="306"/>
      <c r="H142" s="306"/>
      <c r="I142" s="306"/>
      <c r="J142" s="306"/>
      <c r="K142" s="306"/>
      <c r="L142" s="306"/>
      <c r="M142" s="306"/>
      <c r="N142" s="306"/>
      <c r="O142" s="306"/>
      <c r="P142" s="306"/>
      <c r="Q142" s="306"/>
      <c r="R142" s="306"/>
      <c r="S142" s="306"/>
      <c r="T142" s="306"/>
      <c r="U142" s="306"/>
    </row>
    <row r="143" spans="3:27" x14ac:dyDescent="0.3">
      <c r="C143" s="119">
        <v>45080</v>
      </c>
      <c r="D143" s="466"/>
      <c r="E143" s="466"/>
      <c r="F143" s="306"/>
      <c r="G143" s="306"/>
      <c r="H143" s="306"/>
      <c r="I143" s="306"/>
      <c r="J143" s="306"/>
      <c r="K143" s="306"/>
      <c r="L143" s="306"/>
      <c r="M143" s="306"/>
      <c r="N143" s="306"/>
      <c r="O143" s="306"/>
      <c r="P143" s="306"/>
      <c r="Q143" s="306"/>
      <c r="R143" s="306"/>
      <c r="S143" s="306"/>
      <c r="T143" s="306"/>
      <c r="U143" s="306"/>
    </row>
    <row r="144" spans="3:27" x14ac:dyDescent="0.3">
      <c r="C144" s="306"/>
      <c r="D144" s="460"/>
      <c r="E144" s="462"/>
      <c r="F144" s="306"/>
      <c r="G144" s="306"/>
      <c r="H144" s="306"/>
      <c r="I144" s="306"/>
      <c r="J144" s="306"/>
      <c r="K144" s="306"/>
      <c r="L144" s="306"/>
      <c r="M144" s="306"/>
      <c r="N144" s="306"/>
      <c r="O144" s="306"/>
      <c r="P144" s="306"/>
      <c r="Q144" s="306"/>
      <c r="R144" s="306"/>
      <c r="S144" s="306"/>
      <c r="T144" s="306"/>
      <c r="U144" s="306"/>
    </row>
  </sheetData>
  <mergeCells count="113">
    <mergeCell ref="U5:W5"/>
    <mergeCell ref="X5:Z5"/>
    <mergeCell ref="AC5:AC6"/>
    <mergeCell ref="AD5:AD6"/>
    <mergeCell ref="AE5:AE6"/>
    <mergeCell ref="B7:B12"/>
    <mergeCell ref="B2:AE2"/>
    <mergeCell ref="B3:AE3"/>
    <mergeCell ref="B5:C6"/>
    <mergeCell ref="D5:D6"/>
    <mergeCell ref="E5:E6"/>
    <mergeCell ref="F5:F6"/>
    <mergeCell ref="G5:G6"/>
    <mergeCell ref="H5:H6"/>
    <mergeCell ref="I5:S5"/>
    <mergeCell ref="T5:T6"/>
    <mergeCell ref="B13:E13"/>
    <mergeCell ref="B14:E14"/>
    <mergeCell ref="B19:AE19"/>
    <mergeCell ref="B21:B22"/>
    <mergeCell ref="C21:C22"/>
    <mergeCell ref="D21:D22"/>
    <mergeCell ref="E21:E22"/>
    <mergeCell ref="F21:F22"/>
    <mergeCell ref="G21:G22"/>
    <mergeCell ref="H21:H22"/>
    <mergeCell ref="AC21:AC22"/>
    <mergeCell ref="AD21:AD22"/>
    <mergeCell ref="AE21:AE22"/>
    <mergeCell ref="B23:B28"/>
    <mergeCell ref="B29:E29"/>
    <mergeCell ref="B30:E30"/>
    <mergeCell ref="I21:S21"/>
    <mergeCell ref="T21:T22"/>
    <mergeCell ref="U21:W21"/>
    <mergeCell ref="X21:Z21"/>
    <mergeCell ref="AA21:AA22"/>
    <mergeCell ref="AB21:AB22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AE78:AE79"/>
    <mergeCell ref="B80:B85"/>
    <mergeCell ref="B86:E86"/>
    <mergeCell ref="B87:E87"/>
    <mergeCell ref="E92:E94"/>
    <mergeCell ref="F92:F94"/>
    <mergeCell ref="B76:AE76"/>
    <mergeCell ref="B78:B79"/>
    <mergeCell ref="C78:C79"/>
    <mergeCell ref="D78:D79"/>
    <mergeCell ref="E78:E79"/>
    <mergeCell ref="F78:F79"/>
    <mergeCell ref="U78:W78"/>
    <mergeCell ref="X78:Z78"/>
    <mergeCell ref="AC78:AC79"/>
    <mergeCell ref="AD78:AD79"/>
    <mergeCell ref="E104:E106"/>
    <mergeCell ref="F104:F106"/>
    <mergeCell ref="E107:E109"/>
    <mergeCell ref="F107:F109"/>
    <mergeCell ref="C114:U114"/>
    <mergeCell ref="D117:E117"/>
    <mergeCell ref="E95:E97"/>
    <mergeCell ref="F95:F97"/>
    <mergeCell ref="E98:E100"/>
    <mergeCell ref="F98:F100"/>
    <mergeCell ref="E101:E103"/>
    <mergeCell ref="F101:F103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</mergeCells>
  <phoneticPr fontId="4" type="noConversion"/>
  <dataValidations count="3">
    <dataValidation type="list" allowBlank="1" showInputMessage="1" showErrorMessage="1" sqref="E8 E24 E10:E12 E26:E28">
      <formula1>$U$7:$U$12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 E25 E7 E23 E9">
      <formula1>$AH$7:$AH$12</formula1>
    </dataValidation>
  </dataValidations>
  <pageMargins left="0.62992125984251968" right="0.62992125984251968" top="0.94488188976377963" bottom="0.55118110236220474" header="0.31496062992125984" footer="0.31496062992125984"/>
  <pageSetup paperSize="9" scale="28" orientation="landscape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70" zoomScaleNormal="70" workbookViewId="0">
      <pane xSplit="4" ySplit="6" topLeftCell="E7" activePane="bottomRight" state="frozen"/>
      <selection pane="topRight" activeCell="D1" sqref="D1"/>
      <selection pane="bottomLeft" activeCell="A6" sqref="A6"/>
      <selection pane="bottomRight" activeCell="AE25" sqref="AE25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64.25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4.5" customWidth="1"/>
    <col min="44" max="44" width="3.25" customWidth="1"/>
  </cols>
  <sheetData>
    <row r="2" spans="2:52" ht="20.25" x14ac:dyDescent="0.3">
      <c r="B2" s="425" t="s">
        <v>204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301" t="s">
        <v>1</v>
      </c>
      <c r="AY2" s="301" t="s">
        <v>2</v>
      </c>
      <c r="AZ2" s="3" t="s">
        <v>3</v>
      </c>
    </row>
    <row r="3" spans="2:52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E3" s="464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304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75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304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-57</v>
      </c>
    </row>
    <row r="7" spans="2:52" s="302" customFormat="1" ht="99" customHeight="1" thickTop="1" x14ac:dyDescent="0.3">
      <c r="B7" s="420">
        <v>5</v>
      </c>
      <c r="C7" s="24">
        <v>18</v>
      </c>
      <c r="D7" s="25" t="s">
        <v>7</v>
      </c>
      <c r="E7" s="26" t="s">
        <v>28</v>
      </c>
      <c r="F7" s="25">
        <v>10</v>
      </c>
      <c r="G7" s="128">
        <v>392</v>
      </c>
      <c r="H7" s="128">
        <f t="shared" ref="H7:H12" si="0">(G7/U7)*100</f>
        <v>67.702936096718474</v>
      </c>
      <c r="I7" s="123" t="s">
        <v>85</v>
      </c>
      <c r="J7" s="123" t="s">
        <v>86</v>
      </c>
      <c r="K7" s="123" t="s">
        <v>73</v>
      </c>
      <c r="L7" s="123" t="s">
        <v>87</v>
      </c>
      <c r="M7" s="123"/>
      <c r="N7" s="129" t="s">
        <v>90</v>
      </c>
      <c r="O7" s="123" t="s">
        <v>74</v>
      </c>
      <c r="P7" s="123" t="s">
        <v>169</v>
      </c>
      <c r="Q7" s="123" t="s">
        <v>91</v>
      </c>
      <c r="R7" s="123" t="s">
        <v>89</v>
      </c>
      <c r="S7" s="125">
        <f t="shared" ref="S7:S13" si="1">COUNTA(I7:M7)+COUNTA(N7:R7)/2</f>
        <v>6.5</v>
      </c>
      <c r="T7" s="27">
        <f t="shared" ref="T7:T12" si="2">F7*$D$4*$U$4</f>
        <v>660</v>
      </c>
      <c r="U7" s="28">
        <f>+H38</f>
        <v>579</v>
      </c>
      <c r="V7" s="29">
        <f t="shared" ref="V7:V12" si="3">IF(F7=0,"휴무",U7/F7)</f>
        <v>57.9</v>
      </c>
      <c r="W7" s="30">
        <f t="shared" ref="W7:W13" si="4">IFERROR(U7/T7,0)</f>
        <v>0.87727272727272732</v>
      </c>
      <c r="X7" s="31">
        <f>+K38</f>
        <v>762.81</v>
      </c>
      <c r="Y7" s="29">
        <f t="shared" ref="Y7:Y12" si="5">IF(F7=0,"휴무",X7/F7)</f>
        <v>76.280999999999992</v>
      </c>
      <c r="Z7" s="32">
        <f t="shared" ref="Z7:Z13" si="6">IFERROR(X7/T7,0)</f>
        <v>1.1557727272727272</v>
      </c>
      <c r="AA7" s="33">
        <f t="shared" ref="AA7:AA12" si="7">IF(F7=0,"휴무",U7/T7*$AA$4)</f>
        <v>43.863636363636367</v>
      </c>
      <c r="AB7" s="34">
        <f t="shared" ref="AB7:AB12" si="8">IF(F7=0,"휴무",X7/T7*$AB$4)</f>
        <v>62.931824999999996</v>
      </c>
      <c r="AC7" s="138">
        <f t="shared" ref="AC7:AC13" si="9">IF(F7=0,"휴무",AA7+AB7)</f>
        <v>106.79546136363636</v>
      </c>
      <c r="AD7" s="35" t="str">
        <f t="shared" ref="AD7:AD13" si="10">IF(F7=0,"휴무",IF(AC7&gt;=100,"좋아요",IF(AC7&gt;=90,"90~99",IF(AC7&gt;=80,"80~89"," 사유?→"))))</f>
        <v>좋아요</v>
      </c>
      <c r="AE7" s="36" t="s">
        <v>205</v>
      </c>
      <c r="AF7" s="37">
        <f>AG7-F7</f>
        <v>-10</v>
      </c>
      <c r="AG7" s="38">
        <f>AN7</f>
        <v>0</v>
      </c>
      <c r="AH7" s="302" t="s">
        <v>29</v>
      </c>
      <c r="AI7" s="39"/>
      <c r="AJ7" s="40">
        <f>IFERROR(Z7/W7*1000,"")</f>
        <v>1317.461139896373</v>
      </c>
      <c r="AK7" s="39"/>
      <c r="AL7" s="41"/>
      <c r="AM7" s="41"/>
      <c r="AN7" s="41"/>
      <c r="AP7" s="302">
        <f t="shared" ref="AP7:AP12" si="11">AO7-F7</f>
        <v>-10</v>
      </c>
      <c r="AQ7" s="42"/>
    </row>
    <row r="8" spans="2:52" s="302" customFormat="1" ht="99.75" customHeight="1" x14ac:dyDescent="0.3">
      <c r="B8" s="421"/>
      <c r="C8" s="24">
        <f>+C7+1</f>
        <v>19</v>
      </c>
      <c r="D8" s="43" t="s">
        <v>30</v>
      </c>
      <c r="E8" s="26" t="s">
        <v>28</v>
      </c>
      <c r="F8" s="25">
        <v>10.5</v>
      </c>
      <c r="G8" s="125">
        <v>522</v>
      </c>
      <c r="H8" s="125">
        <f t="shared" si="0"/>
        <v>94.565217391304344</v>
      </c>
      <c r="I8" s="123" t="s">
        <v>85</v>
      </c>
      <c r="J8" s="123" t="s">
        <v>86</v>
      </c>
      <c r="K8" s="123" t="s">
        <v>74</v>
      </c>
      <c r="L8" s="123" t="s">
        <v>87</v>
      </c>
      <c r="M8" s="123"/>
      <c r="N8" s="129" t="s">
        <v>90</v>
      </c>
      <c r="O8" s="123"/>
      <c r="P8" s="123" t="s">
        <v>169</v>
      </c>
      <c r="Q8" s="123" t="s">
        <v>91</v>
      </c>
      <c r="R8" s="123" t="s">
        <v>89</v>
      </c>
      <c r="S8" s="125">
        <f t="shared" si="1"/>
        <v>6</v>
      </c>
      <c r="T8" s="27">
        <f t="shared" si="2"/>
        <v>693</v>
      </c>
      <c r="U8" s="28">
        <f>+H41</f>
        <v>552</v>
      </c>
      <c r="V8" s="44">
        <f t="shared" si="3"/>
        <v>52.571428571428569</v>
      </c>
      <c r="W8" s="45">
        <f t="shared" si="4"/>
        <v>0.79653679653679654</v>
      </c>
      <c r="X8" s="46">
        <f>+K41</f>
        <v>507.34000000000003</v>
      </c>
      <c r="Y8" s="29">
        <f t="shared" si="5"/>
        <v>48.318095238095239</v>
      </c>
      <c r="Z8" s="47">
        <f t="shared" si="6"/>
        <v>0.73209235209235213</v>
      </c>
      <c r="AA8" s="48">
        <f t="shared" si="7"/>
        <v>39.82683982683983</v>
      </c>
      <c r="AB8" s="49">
        <f t="shared" si="8"/>
        <v>39.862428571428573</v>
      </c>
      <c r="AC8" s="139">
        <f t="shared" si="9"/>
        <v>79.68926839826841</v>
      </c>
      <c r="AD8" s="35" t="s">
        <v>180</v>
      </c>
      <c r="AE8" s="36" t="s">
        <v>210</v>
      </c>
      <c r="AF8" s="37">
        <f>AG8-F8</f>
        <v>-10.5</v>
      </c>
      <c r="AG8" s="38">
        <f>AN8</f>
        <v>0</v>
      </c>
      <c r="AH8" s="302" t="s">
        <v>31</v>
      </c>
      <c r="AI8" s="39"/>
      <c r="AJ8" s="40">
        <f>IFERROR(Z8/W8*1000,"")</f>
        <v>919.09420289855086</v>
      </c>
      <c r="AK8" s="39"/>
      <c r="AL8" s="41"/>
      <c r="AM8" s="41"/>
      <c r="AN8" s="41"/>
      <c r="AP8" s="302">
        <f t="shared" si="11"/>
        <v>-10.5</v>
      </c>
      <c r="AQ8" s="42"/>
    </row>
    <row r="9" spans="2:52" s="302" customFormat="1" ht="97.5" customHeight="1" x14ac:dyDescent="0.3">
      <c r="B9" s="421"/>
      <c r="C9" s="24">
        <f>+C8+1</f>
        <v>20</v>
      </c>
      <c r="D9" s="43" t="s">
        <v>32</v>
      </c>
      <c r="E9" s="26" t="s">
        <v>29</v>
      </c>
      <c r="F9" s="25">
        <v>8</v>
      </c>
      <c r="G9" s="125">
        <v>366</v>
      </c>
      <c r="H9" s="125">
        <f t="shared" si="0"/>
        <v>78.540772532188839</v>
      </c>
      <c r="I9" s="123" t="s">
        <v>85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169</v>
      </c>
      <c r="Q9" s="123" t="s">
        <v>91</v>
      </c>
      <c r="R9" s="123" t="s">
        <v>89</v>
      </c>
      <c r="S9" s="125">
        <f t="shared" si="1"/>
        <v>6.5</v>
      </c>
      <c r="T9" s="27">
        <f t="shared" si="2"/>
        <v>528</v>
      </c>
      <c r="U9" s="51">
        <f>+H44</f>
        <v>466</v>
      </c>
      <c r="V9" s="44">
        <f t="shared" si="3"/>
        <v>58.25</v>
      </c>
      <c r="W9" s="45">
        <f t="shared" si="4"/>
        <v>0.88257575757575757</v>
      </c>
      <c r="X9" s="46">
        <f>+K44</f>
        <v>515.14</v>
      </c>
      <c r="Y9" s="44">
        <f t="shared" si="5"/>
        <v>64.392499999999998</v>
      </c>
      <c r="Z9" s="47">
        <f t="shared" si="6"/>
        <v>0.97564393939393934</v>
      </c>
      <c r="AA9" s="48">
        <f t="shared" si="7"/>
        <v>44.128787878787875</v>
      </c>
      <c r="AB9" s="49">
        <f t="shared" si="8"/>
        <v>53.1238125</v>
      </c>
      <c r="AC9" s="139">
        <f t="shared" si="9"/>
        <v>97.252600378787875</v>
      </c>
      <c r="AD9" s="50" t="str">
        <f t="shared" si="10"/>
        <v>90~99</v>
      </c>
      <c r="AE9" s="36"/>
      <c r="AF9" s="37">
        <f>AG9-F9</f>
        <v>-8</v>
      </c>
      <c r="AG9" s="38">
        <f>AN9</f>
        <v>0</v>
      </c>
      <c r="AH9" s="302" t="s">
        <v>34</v>
      </c>
      <c r="AI9" s="39"/>
      <c r="AJ9" s="40">
        <f>IFERROR(Z9/W9*1000,"")</f>
        <v>1105.4506437768239</v>
      </c>
      <c r="AK9" s="39"/>
      <c r="AL9" s="41"/>
      <c r="AM9" s="41"/>
      <c r="AN9" s="41"/>
      <c r="AP9" s="302">
        <f t="shared" si="11"/>
        <v>-8</v>
      </c>
      <c r="AQ9" s="42"/>
    </row>
    <row r="10" spans="2:52" s="302" customFormat="1" ht="95.25" customHeight="1" x14ac:dyDescent="0.3">
      <c r="B10" s="421"/>
      <c r="C10" s="24">
        <f>+C9+1</f>
        <v>21</v>
      </c>
      <c r="D10" s="43" t="s">
        <v>35</v>
      </c>
      <c r="E10" s="26" t="s">
        <v>28</v>
      </c>
      <c r="F10" s="25">
        <f>11-1.5</f>
        <v>9.5</v>
      </c>
      <c r="G10" s="125">
        <v>379</v>
      </c>
      <c r="H10" s="125">
        <f t="shared" si="0"/>
        <v>61.326860841423944</v>
      </c>
      <c r="I10" s="123" t="s">
        <v>85</v>
      </c>
      <c r="J10" s="123" t="s">
        <v>86</v>
      </c>
      <c r="K10" s="123" t="s">
        <v>73</v>
      </c>
      <c r="L10" s="123" t="s">
        <v>87</v>
      </c>
      <c r="M10" s="123"/>
      <c r="N10" s="129" t="s">
        <v>212</v>
      </c>
      <c r="O10" s="123" t="s">
        <v>74</v>
      </c>
      <c r="P10" s="123" t="s">
        <v>169</v>
      </c>
      <c r="Q10" s="123" t="s">
        <v>91</v>
      </c>
      <c r="R10" s="123" t="s">
        <v>89</v>
      </c>
      <c r="S10" s="125">
        <f t="shared" si="1"/>
        <v>6.5</v>
      </c>
      <c r="T10" s="27">
        <f t="shared" si="2"/>
        <v>627</v>
      </c>
      <c r="U10" s="28">
        <f>+H47</f>
        <v>618</v>
      </c>
      <c r="V10" s="44">
        <f t="shared" si="3"/>
        <v>65.05263157894737</v>
      </c>
      <c r="W10" s="45">
        <f t="shared" si="4"/>
        <v>0.9856459330143541</v>
      </c>
      <c r="X10" s="46">
        <f>+K47</f>
        <v>882.18000000000006</v>
      </c>
      <c r="Y10" s="29">
        <f t="shared" si="5"/>
        <v>92.861052631578957</v>
      </c>
      <c r="Z10" s="47">
        <f t="shared" si="6"/>
        <v>1.4069856459330146</v>
      </c>
      <c r="AA10" s="48">
        <f t="shared" si="7"/>
        <v>49.282296650717704</v>
      </c>
      <c r="AB10" s="49">
        <f t="shared" si="8"/>
        <v>76.610368421052641</v>
      </c>
      <c r="AC10" s="139">
        <f t="shared" si="9"/>
        <v>125.89266507177035</v>
      </c>
      <c r="AD10" s="50" t="str">
        <f t="shared" si="10"/>
        <v>좋아요</v>
      </c>
      <c r="AE10" s="36" t="s">
        <v>211</v>
      </c>
      <c r="AF10" s="37">
        <f>AG10-F10</f>
        <v>-9.5</v>
      </c>
      <c r="AG10" s="38">
        <f>AN10</f>
        <v>0</v>
      </c>
      <c r="AH10" s="302" t="s">
        <v>36</v>
      </c>
      <c r="AI10" s="39"/>
      <c r="AJ10" s="40">
        <f>IFERROR(Z10/W10*1000,"")</f>
        <v>1427.47572815534</v>
      </c>
      <c r="AK10" s="39"/>
      <c r="AL10" s="41"/>
      <c r="AM10" s="41"/>
      <c r="AN10" s="41"/>
      <c r="AP10" s="302">
        <f t="shared" si="11"/>
        <v>-9.5</v>
      </c>
      <c r="AQ10" s="42"/>
    </row>
    <row r="11" spans="2:52" s="302" customFormat="1" ht="102.75" customHeight="1" x14ac:dyDescent="0.3">
      <c r="B11" s="421"/>
      <c r="C11" s="24">
        <f>+C10+1</f>
        <v>22</v>
      </c>
      <c r="D11" s="43" t="s">
        <v>37</v>
      </c>
      <c r="E11" s="26" t="s">
        <v>28</v>
      </c>
      <c r="F11" s="25">
        <v>11</v>
      </c>
      <c r="G11" s="125">
        <v>535</v>
      </c>
      <c r="H11" s="125">
        <f t="shared" si="0"/>
        <v>90.524534686971236</v>
      </c>
      <c r="I11" s="123" t="s">
        <v>85</v>
      </c>
      <c r="J11" s="123" t="s">
        <v>86</v>
      </c>
      <c r="K11" s="123" t="s">
        <v>73</v>
      </c>
      <c r="L11" s="123" t="s">
        <v>87</v>
      </c>
      <c r="M11" s="123"/>
      <c r="N11" s="129" t="s">
        <v>90</v>
      </c>
      <c r="O11" s="123" t="s">
        <v>74</v>
      </c>
      <c r="P11" s="123" t="s">
        <v>169</v>
      </c>
      <c r="Q11" s="123" t="s">
        <v>91</v>
      </c>
      <c r="R11" s="123" t="s">
        <v>89</v>
      </c>
      <c r="S11" s="125">
        <f t="shared" si="1"/>
        <v>6.5</v>
      </c>
      <c r="T11" s="27">
        <f t="shared" si="2"/>
        <v>726</v>
      </c>
      <c r="U11" s="28">
        <f>+H50</f>
        <v>591</v>
      </c>
      <c r="V11" s="44">
        <f t="shared" si="3"/>
        <v>53.727272727272727</v>
      </c>
      <c r="W11" s="45">
        <f t="shared" si="4"/>
        <v>0.81404958677685946</v>
      </c>
      <c r="X11" s="46">
        <f>+K50</f>
        <v>533.01</v>
      </c>
      <c r="Y11" s="44">
        <f t="shared" si="5"/>
        <v>48.455454545454543</v>
      </c>
      <c r="Z11" s="47">
        <f t="shared" si="6"/>
        <v>0.73417355371900828</v>
      </c>
      <c r="AA11" s="48">
        <f t="shared" si="7"/>
        <v>40.70247933884297</v>
      </c>
      <c r="AB11" s="49">
        <f t="shared" si="8"/>
        <v>39.975750000000005</v>
      </c>
      <c r="AC11" s="139">
        <f t="shared" si="9"/>
        <v>80.678229338842982</v>
      </c>
      <c r="AD11" s="50" t="str">
        <f t="shared" si="10"/>
        <v>80~89</v>
      </c>
      <c r="AE11" s="36"/>
      <c r="AF11" s="37">
        <f>AG11-F11</f>
        <v>-11</v>
      </c>
      <c r="AG11" s="38">
        <f>AN11</f>
        <v>0</v>
      </c>
      <c r="AH11" s="302" t="s">
        <v>33</v>
      </c>
      <c r="AI11" s="39"/>
      <c r="AJ11" s="40">
        <f>IFERROR(Z11/W11*1000,"")</f>
        <v>901.87817258883251</v>
      </c>
      <c r="AL11" s="41"/>
      <c r="AM11" s="41"/>
      <c r="AN11" s="41"/>
      <c r="AP11" s="302">
        <f t="shared" si="11"/>
        <v>-11</v>
      </c>
      <c r="AQ11" s="42"/>
    </row>
    <row r="12" spans="2:52" s="302" customFormat="1" ht="102.75" customHeight="1" x14ac:dyDescent="0.3">
      <c r="B12" s="421"/>
      <c r="C12" s="24">
        <f>+C11+1</f>
        <v>23</v>
      </c>
      <c r="D12" s="43" t="s">
        <v>38</v>
      </c>
      <c r="E12" s="26" t="s">
        <v>36</v>
      </c>
      <c r="F12" s="25">
        <v>8</v>
      </c>
      <c r="G12" s="125">
        <v>385</v>
      </c>
      <c r="H12" s="125">
        <f t="shared" si="0"/>
        <v>81.914893617021278</v>
      </c>
      <c r="I12" s="123" t="s">
        <v>85</v>
      </c>
      <c r="J12" s="123" t="s">
        <v>86</v>
      </c>
      <c r="K12" s="123" t="s">
        <v>73</v>
      </c>
      <c r="L12" s="123" t="s">
        <v>87</v>
      </c>
      <c r="M12" s="123"/>
      <c r="N12" s="129" t="s">
        <v>90</v>
      </c>
      <c r="O12" s="123" t="s">
        <v>74</v>
      </c>
      <c r="P12" s="123"/>
      <c r="Q12" s="123" t="s">
        <v>91</v>
      </c>
      <c r="R12" s="123" t="s">
        <v>89</v>
      </c>
      <c r="S12" s="125">
        <f t="shared" si="1"/>
        <v>6</v>
      </c>
      <c r="T12" s="305">
        <f t="shared" si="2"/>
        <v>528</v>
      </c>
      <c r="U12" s="28">
        <v>470</v>
      </c>
      <c r="V12" s="29">
        <f t="shared" si="3"/>
        <v>58.75</v>
      </c>
      <c r="W12" s="30">
        <f t="shared" si="4"/>
        <v>0.89015151515151514</v>
      </c>
      <c r="X12" s="31">
        <v>388.13</v>
      </c>
      <c r="Y12" s="44">
        <f t="shared" si="5"/>
        <v>48.516249999999999</v>
      </c>
      <c r="Z12" s="47">
        <f t="shared" si="6"/>
        <v>0.73509469696969698</v>
      </c>
      <c r="AA12" s="48">
        <f t="shared" si="7"/>
        <v>44.507575757575758</v>
      </c>
      <c r="AB12" s="49">
        <f t="shared" si="8"/>
        <v>40.025906250000006</v>
      </c>
      <c r="AC12" s="139">
        <f t="shared" si="9"/>
        <v>84.53348200757577</v>
      </c>
      <c r="AD12" s="50" t="str">
        <f t="shared" si="10"/>
        <v>80~89</v>
      </c>
      <c r="AE12" s="36"/>
      <c r="AF12" s="37"/>
      <c r="AG12" s="38"/>
      <c r="AI12" s="39"/>
      <c r="AJ12" s="40"/>
      <c r="AL12" s="41"/>
      <c r="AM12" s="41"/>
      <c r="AN12" s="41"/>
      <c r="AP12" s="302">
        <f t="shared" si="11"/>
        <v>-8</v>
      </c>
      <c r="AQ12" s="42"/>
    </row>
    <row r="13" spans="2:52" s="302" customFormat="1" ht="36" customHeight="1" x14ac:dyDescent="0.3">
      <c r="B13" s="422" t="s">
        <v>39</v>
      </c>
      <c r="C13" s="423"/>
      <c r="D13" s="423"/>
      <c r="E13" s="424"/>
      <c r="F13" s="43">
        <f>SUM(F7:F12)</f>
        <v>57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 t="shared" si="1"/>
        <v>0</v>
      </c>
      <c r="T13" s="52">
        <f>SUM(T7:T12)</f>
        <v>3762</v>
      </c>
      <c r="U13" s="53">
        <f>SUM(U7:U12)</f>
        <v>3276</v>
      </c>
      <c r="V13" s="54">
        <f>U13/F13</f>
        <v>57.473684210526315</v>
      </c>
      <c r="W13" s="45">
        <f t="shared" si="4"/>
        <v>0.87081339712918659</v>
      </c>
      <c r="X13" s="55">
        <f>SUM(X7:X12)</f>
        <v>3588.6100000000006</v>
      </c>
      <c r="Y13" s="44">
        <f>X13/F13</f>
        <v>62.958070175438607</v>
      </c>
      <c r="Z13" s="47">
        <f t="shared" si="6"/>
        <v>0.95391015417331226</v>
      </c>
      <c r="AA13" s="56">
        <f>U13/T13*AA4</f>
        <v>43.540669856459331</v>
      </c>
      <c r="AB13" s="57">
        <f>X13/T13*AB4</f>
        <v>51.940407894736857</v>
      </c>
      <c r="AC13" s="140">
        <f t="shared" si="9"/>
        <v>95.481077751196182</v>
      </c>
      <c r="AD13" s="58" t="str">
        <f t="shared" si="10"/>
        <v>90~99</v>
      </c>
      <c r="AE13" s="43"/>
      <c r="AF13" s="37">
        <f>AG13-F13</f>
        <v>-57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9.5</v>
      </c>
      <c r="G14" s="303"/>
      <c r="H14" s="303"/>
      <c r="I14" s="303"/>
      <c r="J14" s="303"/>
      <c r="K14" s="303"/>
      <c r="L14" s="303"/>
      <c r="M14" s="303"/>
      <c r="N14" s="303"/>
      <c r="O14" s="303"/>
      <c r="P14" s="303"/>
      <c r="Q14" s="303"/>
      <c r="R14" s="303"/>
      <c r="S14" s="303"/>
      <c r="T14" s="303"/>
      <c r="U14" s="61">
        <f>V14*F14</f>
        <v>546</v>
      </c>
      <c r="V14" s="62">
        <f>U13/F13</f>
        <v>57.473684210526315</v>
      </c>
      <c r="W14" s="63">
        <f>IFERROR(U14/#REF!,0)</f>
        <v>0</v>
      </c>
      <c r="X14" s="64">
        <f>X13/F13*F14</f>
        <v>598.1016666666668</v>
      </c>
      <c r="Y14" s="62">
        <f>IF(F14=0,"휴무",X14/F14)</f>
        <v>62.958070175438614</v>
      </c>
      <c r="Z14" s="65">
        <f>IFERROR(X14/#REF!,0)</f>
        <v>0</v>
      </c>
      <c r="AA14" s="60">
        <f>AVERAGE(AA7:AA12)</f>
        <v>43.718602636066755</v>
      </c>
      <c r="AB14" s="60">
        <f>AVERAGE(AB7:AB12)</f>
        <v>52.088348457080201</v>
      </c>
      <c r="AC14" s="141">
        <f>AA14+AB14</f>
        <v>95.806951093146949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302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  <c r="AE19" s="464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75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-60</v>
      </c>
    </row>
    <row r="23" spans="2:43" s="302" customFormat="1" ht="99" customHeight="1" thickTop="1" x14ac:dyDescent="0.3">
      <c r="B23" s="420">
        <f>+B7</f>
        <v>5</v>
      </c>
      <c r="C23" s="24">
        <f t="shared" ref="C23:C28" si="12">+C7</f>
        <v>18</v>
      </c>
      <c r="D23" s="25" t="s">
        <v>7</v>
      </c>
      <c r="E23" s="26" t="s">
        <v>28</v>
      </c>
      <c r="F23" s="25">
        <v>11</v>
      </c>
      <c r="G23" s="128">
        <v>413</v>
      </c>
      <c r="H23" s="128">
        <f t="shared" ref="H23:H28" si="13">(G23/U23)*100</f>
        <v>92.80898876404494</v>
      </c>
      <c r="I23" s="123" t="s">
        <v>92</v>
      </c>
      <c r="J23" s="123" t="s">
        <v>78</v>
      </c>
      <c r="K23" s="123" t="s">
        <v>92</v>
      </c>
      <c r="L23" s="123" t="s">
        <v>84</v>
      </c>
      <c r="M23" s="123"/>
      <c r="N23" s="129" t="s">
        <v>90</v>
      </c>
      <c r="O23" s="123" t="s">
        <v>74</v>
      </c>
      <c r="P23" s="123" t="s">
        <v>169</v>
      </c>
      <c r="Q23" s="123" t="s">
        <v>91</v>
      </c>
      <c r="R23" s="123" t="s">
        <v>89</v>
      </c>
      <c r="S23" s="124">
        <f t="shared" ref="S23:S28" si="14">COUNTA(I23:M23)+COUNTA(N23:R23)/2</f>
        <v>6.5</v>
      </c>
      <c r="T23" s="27">
        <f t="shared" ref="T23:T28" si="15">F23*$D$4*$U$4</f>
        <v>726</v>
      </c>
      <c r="U23" s="28">
        <f>+H58</f>
        <v>445</v>
      </c>
      <c r="V23" s="29">
        <f t="shared" ref="V23:V28" si="16">IF(F23=0,"휴무",U23/F23)</f>
        <v>40.454545454545453</v>
      </c>
      <c r="W23" s="30">
        <f t="shared" ref="W23:W29" si="17">IFERROR(U23/T23,0)</f>
        <v>0.61294765840220389</v>
      </c>
      <c r="X23" s="31">
        <f>+K58</f>
        <v>408.4</v>
      </c>
      <c r="Y23" s="29">
        <f t="shared" ref="Y23:Y28" si="18">IF(F23=0,"휴무",X23/F23)</f>
        <v>37.127272727272725</v>
      </c>
      <c r="Z23" s="32">
        <f t="shared" ref="Z23:Z29" si="19">IFERROR(X23/T23,0)</f>
        <v>0.56253443526170799</v>
      </c>
      <c r="AA23" s="33">
        <f t="shared" ref="AA23:AA28" si="20">IF(F23=0,"휴무",U23/T23*$AA$4)</f>
        <v>30.647382920110193</v>
      </c>
      <c r="AB23" s="34">
        <f t="shared" ref="AB23:AB28" si="21">IF(F23=0,"휴무",X23/T23*$AB$4)</f>
        <v>30.630000000000003</v>
      </c>
      <c r="AC23" s="138">
        <f t="shared" ref="AC23:AC29" si="22">IF(F23=0,"휴무",AA23+AB23)</f>
        <v>61.277382920110199</v>
      </c>
      <c r="AD23" s="159" t="str">
        <f t="shared" ref="AD23:AD29" si="23">IF(F23=0,"휴무",IF(AC23&gt;=100,"좋아요",IF(AC23&gt;=90,"90~99",IF(AC23&gt;=80,"80~89"," 사유?→"))))</f>
        <v xml:space="preserve"> 사유?→</v>
      </c>
      <c r="AE23" s="160" t="s">
        <v>209</v>
      </c>
      <c r="AF23" s="37">
        <f>AG23-F23</f>
        <v>-11</v>
      </c>
      <c r="AG23" s="38">
        <f>AN23</f>
        <v>0</v>
      </c>
      <c r="AH23" s="302" t="s">
        <v>29</v>
      </c>
      <c r="AI23" s="39"/>
      <c r="AJ23" s="40">
        <f>IFERROR(Z23/W23*1000,"")</f>
        <v>917.75280898876395</v>
      </c>
      <c r="AK23" s="39"/>
      <c r="AL23" s="41"/>
      <c r="AM23" s="41"/>
      <c r="AN23" s="41"/>
      <c r="AP23" s="302">
        <f t="shared" ref="AP23:AP28" si="24">AO23-F23</f>
        <v>-11</v>
      </c>
      <c r="AQ23" s="42"/>
    </row>
    <row r="24" spans="2:43" s="302" customFormat="1" ht="99.75" customHeight="1" x14ac:dyDescent="0.3">
      <c r="B24" s="421"/>
      <c r="C24" s="24">
        <f t="shared" si="12"/>
        <v>19</v>
      </c>
      <c r="D24" s="43" t="s">
        <v>30</v>
      </c>
      <c r="E24" s="26" t="s">
        <v>28</v>
      </c>
      <c r="F24" s="25">
        <v>11</v>
      </c>
      <c r="G24" s="125">
        <v>444</v>
      </c>
      <c r="H24" s="125">
        <f t="shared" si="13"/>
        <v>88.095238095238088</v>
      </c>
      <c r="I24" s="123" t="s">
        <v>92</v>
      </c>
      <c r="J24" s="123" t="s">
        <v>78</v>
      </c>
      <c r="K24" s="123" t="s">
        <v>92</v>
      </c>
      <c r="L24" s="123" t="s">
        <v>84</v>
      </c>
      <c r="M24" s="123"/>
      <c r="N24" s="129" t="s">
        <v>90</v>
      </c>
      <c r="O24" s="123"/>
      <c r="P24" s="123" t="s">
        <v>169</v>
      </c>
      <c r="Q24" s="123" t="s">
        <v>91</v>
      </c>
      <c r="R24" s="123" t="s">
        <v>89</v>
      </c>
      <c r="S24" s="124">
        <f t="shared" si="14"/>
        <v>6</v>
      </c>
      <c r="T24" s="27">
        <f t="shared" si="15"/>
        <v>726</v>
      </c>
      <c r="U24" s="28">
        <f>+H61</f>
        <v>504</v>
      </c>
      <c r="V24" s="44">
        <f t="shared" si="16"/>
        <v>45.81818181818182</v>
      </c>
      <c r="W24" s="45">
        <f t="shared" si="17"/>
        <v>0.69421487603305787</v>
      </c>
      <c r="X24" s="46">
        <f>+K61</f>
        <v>451.17999999999995</v>
      </c>
      <c r="Y24" s="29">
        <f t="shared" si="18"/>
        <v>41.016363636363629</v>
      </c>
      <c r="Z24" s="47">
        <f t="shared" si="19"/>
        <v>0.62146005509641866</v>
      </c>
      <c r="AA24" s="48">
        <f t="shared" si="20"/>
        <v>34.710743801652896</v>
      </c>
      <c r="AB24" s="49">
        <f t="shared" si="21"/>
        <v>33.838499999999996</v>
      </c>
      <c r="AC24" s="139">
        <f t="shared" si="22"/>
        <v>68.549243801652892</v>
      </c>
      <c r="AD24" s="195" t="str">
        <f t="shared" si="23"/>
        <v xml:space="preserve"> 사유?→</v>
      </c>
      <c r="AE24" s="160" t="s">
        <v>208</v>
      </c>
      <c r="AF24" s="37">
        <f>AG24-F24</f>
        <v>-11</v>
      </c>
      <c r="AG24" s="38">
        <f>AN24</f>
        <v>0</v>
      </c>
      <c r="AH24" s="302" t="s">
        <v>34</v>
      </c>
      <c r="AI24" s="39"/>
      <c r="AJ24" s="40">
        <f>IFERROR(Z24/W24*1000,"")</f>
        <v>895.19841269841265</v>
      </c>
      <c r="AK24" s="39"/>
      <c r="AL24" s="41"/>
      <c r="AM24" s="41"/>
      <c r="AN24" s="41"/>
      <c r="AP24" s="302">
        <f t="shared" si="24"/>
        <v>-11</v>
      </c>
      <c r="AQ24" s="42"/>
    </row>
    <row r="25" spans="2:43" s="302" customFormat="1" ht="97.5" customHeight="1" x14ac:dyDescent="0.3">
      <c r="B25" s="421"/>
      <c r="C25" s="24">
        <f t="shared" si="12"/>
        <v>20</v>
      </c>
      <c r="D25" s="43" t="s">
        <v>32</v>
      </c>
      <c r="E25" s="26" t="s">
        <v>29</v>
      </c>
      <c r="F25" s="25">
        <v>8</v>
      </c>
      <c r="G25" s="124">
        <v>283</v>
      </c>
      <c r="H25" s="124">
        <f t="shared" si="13"/>
        <v>75.668449197860966</v>
      </c>
      <c r="I25" s="123" t="s">
        <v>92</v>
      </c>
      <c r="J25" s="123" t="s">
        <v>78</v>
      </c>
      <c r="K25" s="123" t="s">
        <v>92</v>
      </c>
      <c r="L25" s="123" t="s">
        <v>84</v>
      </c>
      <c r="M25" s="123"/>
      <c r="N25" s="129" t="s">
        <v>90</v>
      </c>
      <c r="O25" s="123" t="s">
        <v>206</v>
      </c>
      <c r="P25" s="123" t="s">
        <v>169</v>
      </c>
      <c r="Q25" s="123" t="s">
        <v>91</v>
      </c>
      <c r="R25" s="123" t="s">
        <v>89</v>
      </c>
      <c r="S25" s="124">
        <f t="shared" si="14"/>
        <v>6.5</v>
      </c>
      <c r="T25" s="27">
        <f t="shared" si="15"/>
        <v>528</v>
      </c>
      <c r="U25" s="28">
        <f>+H64</f>
        <v>374</v>
      </c>
      <c r="V25" s="44">
        <f t="shared" si="16"/>
        <v>46.75</v>
      </c>
      <c r="W25" s="45">
        <f t="shared" si="17"/>
        <v>0.70833333333333337</v>
      </c>
      <c r="X25" s="46">
        <f>+K64</f>
        <v>339.84</v>
      </c>
      <c r="Y25" s="29">
        <f t="shared" si="18"/>
        <v>42.48</v>
      </c>
      <c r="Z25" s="47">
        <f t="shared" si="19"/>
        <v>0.64363636363636356</v>
      </c>
      <c r="AA25" s="48">
        <f t="shared" si="20"/>
        <v>35.416666666666671</v>
      </c>
      <c r="AB25" s="49">
        <f t="shared" si="21"/>
        <v>35.045999999999999</v>
      </c>
      <c r="AC25" s="139">
        <f t="shared" si="22"/>
        <v>70.462666666666678</v>
      </c>
      <c r="AD25" s="161" t="str">
        <f t="shared" si="23"/>
        <v xml:space="preserve"> 사유?→</v>
      </c>
      <c r="AE25" s="160" t="s">
        <v>207</v>
      </c>
      <c r="AF25" s="37">
        <f>AG25-F25</f>
        <v>-8</v>
      </c>
      <c r="AG25" s="38">
        <f>AN25</f>
        <v>0</v>
      </c>
      <c r="AH25" s="302" t="s">
        <v>36</v>
      </c>
      <c r="AI25" s="39"/>
      <c r="AJ25" s="40">
        <f>IFERROR(Z25/W25*1000,"")</f>
        <v>908.66310160427793</v>
      </c>
      <c r="AK25" s="39"/>
      <c r="AL25" s="41"/>
      <c r="AM25" s="41"/>
      <c r="AN25" s="41"/>
      <c r="AP25" s="302">
        <f t="shared" si="24"/>
        <v>-8</v>
      </c>
      <c r="AQ25" s="42"/>
    </row>
    <row r="26" spans="2:43" s="302" customFormat="1" ht="115.5" customHeight="1" x14ac:dyDescent="0.3">
      <c r="B26" s="421"/>
      <c r="C26" s="24">
        <f t="shared" si="12"/>
        <v>21</v>
      </c>
      <c r="D26" s="43" t="s">
        <v>35</v>
      </c>
      <c r="E26" s="26" t="s">
        <v>28</v>
      </c>
      <c r="F26" s="25">
        <v>11</v>
      </c>
      <c r="G26" s="124">
        <v>647</v>
      </c>
      <c r="H26" s="124">
        <f t="shared" si="13"/>
        <v>99.845679012345684</v>
      </c>
      <c r="I26" s="123" t="s">
        <v>99</v>
      </c>
      <c r="J26" s="123" t="s">
        <v>78</v>
      </c>
      <c r="K26" s="123" t="s">
        <v>92</v>
      </c>
      <c r="L26" s="123" t="s">
        <v>84</v>
      </c>
      <c r="M26" s="123"/>
      <c r="N26" s="129" t="s">
        <v>212</v>
      </c>
      <c r="O26" s="123" t="s">
        <v>206</v>
      </c>
      <c r="P26" s="123" t="s">
        <v>169</v>
      </c>
      <c r="Q26" s="123" t="s">
        <v>91</v>
      </c>
      <c r="R26" s="123" t="s">
        <v>89</v>
      </c>
      <c r="S26" s="124">
        <f t="shared" si="14"/>
        <v>6.5</v>
      </c>
      <c r="T26" s="27">
        <f t="shared" si="15"/>
        <v>726</v>
      </c>
      <c r="U26" s="28">
        <f>+H67</f>
        <v>648</v>
      </c>
      <c r="V26" s="44">
        <f t="shared" si="16"/>
        <v>58.909090909090907</v>
      </c>
      <c r="W26" s="45">
        <f t="shared" si="17"/>
        <v>0.8925619834710744</v>
      </c>
      <c r="X26" s="46">
        <f>+K67</f>
        <v>473.7</v>
      </c>
      <c r="Y26" s="44">
        <f t="shared" si="18"/>
        <v>43.063636363636363</v>
      </c>
      <c r="Z26" s="47">
        <f t="shared" si="19"/>
        <v>0.65247933884297515</v>
      </c>
      <c r="AA26" s="48">
        <f t="shared" si="20"/>
        <v>44.628099173553721</v>
      </c>
      <c r="AB26" s="49">
        <f t="shared" si="21"/>
        <v>35.527499999999996</v>
      </c>
      <c r="AC26" s="139">
        <f t="shared" si="22"/>
        <v>80.155599173553725</v>
      </c>
      <c r="AD26" s="50" t="str">
        <f t="shared" si="23"/>
        <v>80~89</v>
      </c>
      <c r="AE26" s="36"/>
      <c r="AF26" s="37">
        <f>AG26-F26</f>
        <v>-11</v>
      </c>
      <c r="AG26" s="38">
        <f>AN26</f>
        <v>0</v>
      </c>
      <c r="AH26" s="302" t="s">
        <v>33</v>
      </c>
      <c r="AI26" s="39"/>
      <c r="AJ26" s="40">
        <f>IFERROR(Z26/W26*1000,"")</f>
        <v>731.01851851851836</v>
      </c>
      <c r="AK26" s="39"/>
      <c r="AL26" s="41"/>
      <c r="AM26" s="41"/>
      <c r="AN26" s="41"/>
      <c r="AP26" s="302">
        <f t="shared" si="24"/>
        <v>-11</v>
      </c>
      <c r="AQ26" s="42"/>
    </row>
    <row r="27" spans="2:43" s="302" customFormat="1" ht="104.25" customHeight="1" x14ac:dyDescent="0.3">
      <c r="B27" s="421"/>
      <c r="C27" s="24">
        <f t="shared" si="12"/>
        <v>22</v>
      </c>
      <c r="D27" s="43" t="s">
        <v>37</v>
      </c>
      <c r="E27" s="26" t="s">
        <v>28</v>
      </c>
      <c r="F27" s="25">
        <v>11</v>
      </c>
      <c r="G27" s="125">
        <v>588</v>
      </c>
      <c r="H27" s="130">
        <f t="shared" si="13"/>
        <v>99.156829679595276</v>
      </c>
      <c r="I27" s="123" t="s">
        <v>99</v>
      </c>
      <c r="J27" s="123" t="s">
        <v>78</v>
      </c>
      <c r="K27" s="123" t="s">
        <v>92</v>
      </c>
      <c r="L27" s="123" t="s">
        <v>84</v>
      </c>
      <c r="M27" s="123"/>
      <c r="N27" s="129" t="s">
        <v>90</v>
      </c>
      <c r="O27" s="123" t="s">
        <v>206</v>
      </c>
      <c r="P27" s="123" t="s">
        <v>169</v>
      </c>
      <c r="Q27" s="123" t="s">
        <v>91</v>
      </c>
      <c r="R27" s="123" t="s">
        <v>89</v>
      </c>
      <c r="S27" s="125">
        <f t="shared" si="14"/>
        <v>6.5</v>
      </c>
      <c r="T27" s="27">
        <f t="shared" si="15"/>
        <v>726</v>
      </c>
      <c r="U27" s="28">
        <f>+H70</f>
        <v>593</v>
      </c>
      <c r="V27" s="44">
        <f t="shared" si="16"/>
        <v>53.909090909090907</v>
      </c>
      <c r="W27" s="45">
        <f t="shared" si="17"/>
        <v>0.8168044077134986</v>
      </c>
      <c r="X27" s="46">
        <f>+K70</f>
        <v>563.73</v>
      </c>
      <c r="Y27" s="44">
        <f t="shared" si="18"/>
        <v>51.24818181818182</v>
      </c>
      <c r="Z27" s="47">
        <f t="shared" si="19"/>
        <v>0.77648760330578515</v>
      </c>
      <c r="AA27" s="48">
        <f t="shared" si="20"/>
        <v>40.840220385674932</v>
      </c>
      <c r="AB27" s="49">
        <f t="shared" si="21"/>
        <v>42.27975</v>
      </c>
      <c r="AC27" s="139">
        <f t="shared" si="22"/>
        <v>83.119970385674932</v>
      </c>
      <c r="AD27" s="50" t="str">
        <f t="shared" si="23"/>
        <v>80~89</v>
      </c>
      <c r="AE27" s="36"/>
      <c r="AF27" s="37">
        <f>AG27-F27</f>
        <v>-11</v>
      </c>
      <c r="AG27" s="38">
        <f>AN27</f>
        <v>0</v>
      </c>
      <c r="AH27" s="302" t="s">
        <v>46</v>
      </c>
      <c r="AI27" s="39"/>
      <c r="AJ27" s="40">
        <f>IFERROR(Z27/W27*1000,"")</f>
        <v>950.64080944350758</v>
      </c>
      <c r="AL27" s="41"/>
      <c r="AM27" s="41"/>
      <c r="AN27" s="41"/>
      <c r="AP27" s="302">
        <f t="shared" si="24"/>
        <v>-11</v>
      </c>
      <c r="AQ27" s="42"/>
    </row>
    <row r="28" spans="2:43" s="302" customFormat="1" ht="104.25" customHeight="1" x14ac:dyDescent="0.3">
      <c r="B28" s="421"/>
      <c r="C28" s="24">
        <f t="shared" si="12"/>
        <v>23</v>
      </c>
      <c r="D28" s="43" t="s">
        <v>47</v>
      </c>
      <c r="E28" s="26" t="s">
        <v>36</v>
      </c>
      <c r="F28" s="25">
        <v>8</v>
      </c>
      <c r="G28" s="124">
        <v>281</v>
      </c>
      <c r="H28" s="124">
        <f t="shared" si="13"/>
        <v>87.53894080996885</v>
      </c>
      <c r="I28" s="123" t="s">
        <v>99</v>
      </c>
      <c r="J28" s="123" t="s">
        <v>78</v>
      </c>
      <c r="K28" s="123" t="s">
        <v>92</v>
      </c>
      <c r="L28" s="123" t="s">
        <v>84</v>
      </c>
      <c r="M28" s="123"/>
      <c r="N28" s="129" t="s">
        <v>90</v>
      </c>
      <c r="O28" s="123" t="s">
        <v>206</v>
      </c>
      <c r="P28" s="123"/>
      <c r="Q28" s="123" t="s">
        <v>91</v>
      </c>
      <c r="R28" s="123" t="s">
        <v>89</v>
      </c>
      <c r="S28" s="124">
        <f t="shared" si="14"/>
        <v>6</v>
      </c>
      <c r="T28" s="305">
        <f t="shared" si="15"/>
        <v>528</v>
      </c>
      <c r="U28" s="28">
        <v>321</v>
      </c>
      <c r="V28" s="29">
        <f t="shared" si="16"/>
        <v>40.125</v>
      </c>
      <c r="W28" s="30">
        <f t="shared" si="17"/>
        <v>0.60795454545454541</v>
      </c>
      <c r="X28" s="31">
        <v>404.49</v>
      </c>
      <c r="Y28" s="44">
        <f t="shared" si="18"/>
        <v>50.561250000000001</v>
      </c>
      <c r="Z28" s="47">
        <f t="shared" si="19"/>
        <v>0.76607954545454549</v>
      </c>
      <c r="AA28" s="48">
        <f t="shared" si="20"/>
        <v>30.39772727272727</v>
      </c>
      <c r="AB28" s="49">
        <f t="shared" si="21"/>
        <v>41.713031250000007</v>
      </c>
      <c r="AC28" s="139">
        <f t="shared" si="22"/>
        <v>72.110758522727281</v>
      </c>
      <c r="AD28" s="161" t="str">
        <f t="shared" si="23"/>
        <v xml:space="preserve"> 사유?→</v>
      </c>
      <c r="AE28" s="160" t="s">
        <v>213</v>
      </c>
      <c r="AF28" s="37"/>
      <c r="AG28" s="38"/>
      <c r="AI28" s="39"/>
      <c r="AJ28" s="40"/>
      <c r="AL28" s="41"/>
      <c r="AM28" s="41"/>
      <c r="AN28" s="41"/>
      <c r="AP28" s="302">
        <f t="shared" si="24"/>
        <v>-8</v>
      </c>
      <c r="AQ28" s="42"/>
    </row>
    <row r="29" spans="2:43" s="302" customFormat="1" ht="36" customHeight="1" x14ac:dyDescent="0.3">
      <c r="B29" s="422" t="s">
        <v>39</v>
      </c>
      <c r="C29" s="423"/>
      <c r="D29" s="423"/>
      <c r="E29" s="424"/>
      <c r="F29" s="43">
        <f>SUM(F23:F28)</f>
        <v>60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3960</v>
      </c>
      <c r="U29" s="53">
        <f>SUM(U23:U28)</f>
        <v>2885</v>
      </c>
      <c r="V29" s="54">
        <f>U29/F29</f>
        <v>48.083333333333336</v>
      </c>
      <c r="W29" s="45">
        <f t="shared" si="17"/>
        <v>0.72853535353535348</v>
      </c>
      <c r="X29" s="55">
        <f>SUM(X23:X28)</f>
        <v>2641.34</v>
      </c>
      <c r="Y29" s="44">
        <f>X29/F29</f>
        <v>44.022333333333336</v>
      </c>
      <c r="Z29" s="47">
        <f t="shared" si="19"/>
        <v>0.66700505050505055</v>
      </c>
      <c r="AA29" s="56">
        <f>U29/T29*AA20</f>
        <v>36.426767676767675</v>
      </c>
      <c r="AB29" s="57">
        <f>X29/T29*AB20</f>
        <v>36.318425000000005</v>
      </c>
      <c r="AC29" s="140">
        <f t="shared" si="22"/>
        <v>72.745192676767687</v>
      </c>
      <c r="AD29" s="162" t="str">
        <f t="shared" si="23"/>
        <v xml:space="preserve"> 사유?→</v>
      </c>
      <c r="AE29" s="43"/>
      <c r="AF29" s="37">
        <f>AG29-F29</f>
        <v>-60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10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  <c r="T30" s="303"/>
      <c r="U30" s="61">
        <f>V30*F30</f>
        <v>480.83333333333337</v>
      </c>
      <c r="V30" s="62">
        <f>U29/F29</f>
        <v>48.083333333333336</v>
      </c>
      <c r="W30" s="63">
        <f>IFERROR(U30/#REF!,0)</f>
        <v>0</v>
      </c>
      <c r="X30" s="64">
        <f>X29/F29*F30</f>
        <v>440.22333333333336</v>
      </c>
      <c r="Y30" s="62">
        <f>IF(F30=0,"휴무",X30/F30)</f>
        <v>44.022333333333336</v>
      </c>
      <c r="Z30" s="65">
        <f>IFERROR(X30/#REF!,0)</f>
        <v>0</v>
      </c>
      <c r="AA30" s="60">
        <f>AVERAGE(AA23:AA28)</f>
        <v>36.106806703397616</v>
      </c>
      <c r="AB30" s="60">
        <f>AVERAGE(AB23:AB28)</f>
        <v>36.505796875000001</v>
      </c>
      <c r="AC30" s="141">
        <f>AA30+AB30</f>
        <v>72.612603578397625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302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18</v>
      </c>
      <c r="F36" s="455" t="s">
        <v>7</v>
      </c>
      <c r="G36" s="82" t="s">
        <v>48</v>
      </c>
      <c r="H36" s="83">
        <f>395-184</f>
        <v>211</v>
      </c>
      <c r="I36" s="84"/>
      <c r="J36" s="85"/>
      <c r="K36" s="86">
        <f>457-305.81</f>
        <v>151.19</v>
      </c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>
        <v>184</v>
      </c>
      <c r="I37" s="84"/>
      <c r="J37" s="85"/>
      <c r="K37" s="86">
        <v>305.81</v>
      </c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579</v>
      </c>
      <c r="I38" s="88"/>
      <c r="J38" s="89"/>
      <c r="K38" s="90">
        <f>+K36+K37*2</f>
        <v>762.81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19</v>
      </c>
      <c r="F39" s="455" t="s">
        <v>52</v>
      </c>
      <c r="G39" s="82" t="s">
        <v>48</v>
      </c>
      <c r="H39" s="83">
        <f>523-29</f>
        <v>494</v>
      </c>
      <c r="I39" s="84"/>
      <c r="J39" s="85"/>
      <c r="K39" s="86">
        <f>497.19-10.15</f>
        <v>487.04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>
        <v>29</v>
      </c>
      <c r="I40" s="84"/>
      <c r="J40" s="85"/>
      <c r="K40" s="86">
        <v>10.15</v>
      </c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552</v>
      </c>
      <c r="I41" s="88"/>
      <c r="J41" s="89"/>
      <c r="K41" s="90">
        <f>+K39+K40*2</f>
        <v>507.34000000000003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20</v>
      </c>
      <c r="F42" s="455" t="s">
        <v>53</v>
      </c>
      <c r="G42" s="82" t="s">
        <v>48</v>
      </c>
      <c r="H42" s="83">
        <f>368-98</f>
        <v>270</v>
      </c>
      <c r="I42" s="84"/>
      <c r="J42" s="85"/>
      <c r="K42" s="86">
        <f>358.93-156.21</f>
        <v>202.72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>
        <v>98</v>
      </c>
      <c r="I43" s="84"/>
      <c r="J43" s="85"/>
      <c r="K43" s="86">
        <v>156.21</v>
      </c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466</v>
      </c>
      <c r="I44" s="88"/>
      <c r="J44" s="89"/>
      <c r="K44" s="90">
        <f>+K42+K43*2</f>
        <v>515.14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21</v>
      </c>
      <c r="F45" s="455" t="s">
        <v>55</v>
      </c>
      <c r="G45" s="82" t="s">
        <v>48</v>
      </c>
      <c r="H45" s="83">
        <v>160</v>
      </c>
      <c r="I45" s="84"/>
      <c r="J45" s="85"/>
      <c r="K45" s="86">
        <f>521.89-360.29</f>
        <v>161.59999999999997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>
        <v>229</v>
      </c>
      <c r="I46" s="84"/>
      <c r="J46" s="85"/>
      <c r="K46" s="86">
        <v>360.29</v>
      </c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618</v>
      </c>
      <c r="I47" s="88"/>
      <c r="J47" s="89"/>
      <c r="K47" s="90">
        <f>+K45+K46*2</f>
        <v>882.18000000000006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22</v>
      </c>
      <c r="F48" s="455" t="s">
        <v>56</v>
      </c>
      <c r="G48" s="82" t="s">
        <v>48</v>
      </c>
      <c r="H48" s="83">
        <f>539-52</f>
        <v>487</v>
      </c>
      <c r="I48" s="84"/>
      <c r="J48" s="85"/>
      <c r="K48" s="86">
        <f>483.22-49.79</f>
        <v>433.43</v>
      </c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>
        <v>52</v>
      </c>
      <c r="I49" s="84"/>
      <c r="J49" s="85"/>
      <c r="K49" s="86">
        <v>49.79</v>
      </c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591</v>
      </c>
      <c r="I50" s="88"/>
      <c r="J50" s="89"/>
      <c r="K50" s="90">
        <f>+K48+K49*2</f>
        <v>533.01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23</v>
      </c>
      <c r="F51" s="455" t="s">
        <v>38</v>
      </c>
      <c r="G51" s="82" t="s">
        <v>48</v>
      </c>
      <c r="H51" s="83">
        <f>386-73</f>
        <v>313</v>
      </c>
      <c r="I51" s="84"/>
      <c r="J51" s="85"/>
      <c r="K51" s="86">
        <f>388.13-81.36</f>
        <v>306.77</v>
      </c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>
        <v>73</v>
      </c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459</v>
      </c>
      <c r="I53" s="88"/>
      <c r="J53" s="89"/>
      <c r="K53" s="90">
        <f>+K51+K52*2</f>
        <v>306.77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18</v>
      </c>
      <c r="F56" s="455" t="s">
        <v>7</v>
      </c>
      <c r="G56" s="82" t="s">
        <v>48</v>
      </c>
      <c r="H56" s="83">
        <f>433-12</f>
        <v>421</v>
      </c>
      <c r="I56" s="84"/>
      <c r="J56" s="85"/>
      <c r="K56" s="86">
        <f>398.78-9.62</f>
        <v>389.15999999999997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>
        <v>12</v>
      </c>
      <c r="I57" s="84"/>
      <c r="J57" s="85"/>
      <c r="K57" s="86">
        <v>9.6199999999999992</v>
      </c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445</v>
      </c>
      <c r="I58" s="88"/>
      <c r="J58" s="89"/>
      <c r="K58" s="90">
        <f>+K56+K57*2</f>
        <v>408.4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19</v>
      </c>
      <c r="F59" s="455" t="s">
        <v>52</v>
      </c>
      <c r="G59" s="82" t="s">
        <v>48</v>
      </c>
      <c r="H59" s="83">
        <f>445-59</f>
        <v>386</v>
      </c>
      <c r="I59" s="84"/>
      <c r="J59" s="85"/>
      <c r="K59" s="86">
        <f>380.19-70.99</f>
        <v>309.2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>
        <v>59</v>
      </c>
      <c r="I60" s="84"/>
      <c r="J60" s="85"/>
      <c r="K60" s="86">
        <f>69.02+1.97</f>
        <v>70.989999999999995</v>
      </c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504</v>
      </c>
      <c r="I61" s="88"/>
      <c r="J61" s="89"/>
      <c r="K61" s="90">
        <f>+K59+K60*2</f>
        <v>451.17999999999995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20</v>
      </c>
      <c r="F62" s="455" t="s">
        <v>53</v>
      </c>
      <c r="G62" s="82" t="s">
        <v>48</v>
      </c>
      <c r="H62" s="83">
        <f>289-85</f>
        <v>204</v>
      </c>
      <c r="I62" s="84"/>
      <c r="J62" s="85"/>
      <c r="K62" s="86">
        <f>280.52-59.32</f>
        <v>221.2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>
        <v>85</v>
      </c>
      <c r="I63" s="84"/>
      <c r="J63" s="85"/>
      <c r="K63" s="86">
        <v>59.32</v>
      </c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374</v>
      </c>
      <c r="I64" s="88"/>
      <c r="J64" s="89"/>
      <c r="K64" s="90">
        <f>+K62+K63*2</f>
        <v>339.84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21</v>
      </c>
      <c r="F65" s="455" t="s">
        <v>55</v>
      </c>
      <c r="G65" s="82" t="s">
        <v>48</v>
      </c>
      <c r="H65" s="83">
        <v>648</v>
      </c>
      <c r="I65" s="84"/>
      <c r="J65" s="85"/>
      <c r="K65" s="86">
        <v>473.7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/>
      <c r="I66" s="84"/>
      <c r="J66" s="85"/>
      <c r="K66" s="86"/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648</v>
      </c>
      <c r="I67" s="88"/>
      <c r="J67" s="89"/>
      <c r="K67" s="90">
        <f>+K65+K66*2</f>
        <v>473.7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22</v>
      </c>
      <c r="F68" s="455" t="s">
        <v>56</v>
      </c>
      <c r="G68" s="82" t="s">
        <v>48</v>
      </c>
      <c r="H68" s="83">
        <f>591-2</f>
        <v>589</v>
      </c>
      <c r="I68" s="84"/>
      <c r="J68" s="85"/>
      <c r="K68" s="86">
        <f>563.17-0.56</f>
        <v>562.61</v>
      </c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>
        <v>2</v>
      </c>
      <c r="I69" s="84"/>
      <c r="J69" s="85"/>
      <c r="K69" s="86">
        <v>0.56000000000000005</v>
      </c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593</v>
      </c>
      <c r="I70" s="88"/>
      <c r="J70" s="89"/>
      <c r="K70" s="90">
        <f>+K68+K69*2</f>
        <v>563.73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23</v>
      </c>
      <c r="F71" s="455" t="s">
        <v>38</v>
      </c>
      <c r="G71" s="82" t="s">
        <v>48</v>
      </c>
      <c r="H71" s="83">
        <v>243</v>
      </c>
      <c r="I71" s="84"/>
      <c r="J71" s="85"/>
      <c r="K71" s="86">
        <v>190.55</v>
      </c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>
        <v>39</v>
      </c>
      <c r="I72" s="84"/>
      <c r="J72" s="85"/>
      <c r="K72" s="86">
        <v>106.97</v>
      </c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321</v>
      </c>
      <c r="I73" s="88"/>
      <c r="J73" s="89"/>
      <c r="K73" s="90">
        <f>+K71+K72*2</f>
        <v>404.49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304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5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6">IF(F80=0,"휴무",AA80+AB80)</f>
        <v>#REF!</v>
      </c>
      <c r="AD80" s="103" t="e">
        <f t="shared" ref="AD80:AD85" si="27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302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302"/>
      <c r="AP80" s="302">
        <f>AO80-F80</f>
        <v>-10</v>
      </c>
    </row>
    <row r="81" spans="2:42" ht="98.25" customHeight="1" x14ac:dyDescent="0.3">
      <c r="B81" s="459"/>
      <c r="C81" s="92">
        <v>20</v>
      </c>
      <c r="D81" s="298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5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6"/>
        <v>#REF!</v>
      </c>
      <c r="AD81" s="108" t="e">
        <f t="shared" si="27"/>
        <v>#REF!</v>
      </c>
      <c r="AE81" s="109"/>
      <c r="AF81" s="37">
        <f>AG81-F81</f>
        <v>-10</v>
      </c>
      <c r="AG81" s="38">
        <f>AN81</f>
        <v>0</v>
      </c>
      <c r="AH81" s="302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302"/>
      <c r="AP81" s="302">
        <f>AO81-F81</f>
        <v>-10</v>
      </c>
    </row>
    <row r="82" spans="2:42" ht="98.25" customHeight="1" x14ac:dyDescent="0.3">
      <c r="B82" s="459"/>
      <c r="C82" s="92">
        <v>21</v>
      </c>
      <c r="D82" s="298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5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6"/>
        <v>#REF!</v>
      </c>
      <c r="AD82" s="108" t="e">
        <f t="shared" si="27"/>
        <v>#REF!</v>
      </c>
      <c r="AE82" s="109"/>
      <c r="AF82" s="37">
        <f>AG82-F82</f>
        <v>-10</v>
      </c>
      <c r="AG82" s="38">
        <f>AN82</f>
        <v>0</v>
      </c>
      <c r="AH82" s="302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302"/>
      <c r="AP82" s="302">
        <f>AO82-F82</f>
        <v>-10</v>
      </c>
    </row>
    <row r="83" spans="2:42" ht="98.25" customHeight="1" x14ac:dyDescent="0.3">
      <c r="B83" s="459"/>
      <c r="C83" s="92">
        <v>22</v>
      </c>
      <c r="D83" s="298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5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6"/>
        <v>#REF!</v>
      </c>
      <c r="AD83" s="110" t="e">
        <f t="shared" si="27"/>
        <v>#REF!</v>
      </c>
      <c r="AE83" s="104"/>
      <c r="AF83" s="37">
        <f>AG83-F83</f>
        <v>-10</v>
      </c>
      <c r="AG83" s="38">
        <f>AN83</f>
        <v>0</v>
      </c>
      <c r="AH83" s="302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302"/>
      <c r="AP83" s="302">
        <f>AO83-F83</f>
        <v>-10</v>
      </c>
    </row>
    <row r="84" spans="2:42" ht="98.25" customHeight="1" x14ac:dyDescent="0.3">
      <c r="B84" s="459"/>
      <c r="C84" s="92">
        <v>23</v>
      </c>
      <c r="D84" s="298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5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6"/>
        <v>#REF!</v>
      </c>
      <c r="AD84" s="110" t="e">
        <f t="shared" si="27"/>
        <v>#REF!</v>
      </c>
      <c r="AE84" s="104"/>
      <c r="AF84" s="37">
        <f>AG84-F84</f>
        <v>-10</v>
      </c>
      <c r="AG84" s="38">
        <f>AN84</f>
        <v>0</v>
      </c>
      <c r="AH84" s="302" t="s">
        <v>46</v>
      </c>
      <c r="AI84" s="39"/>
      <c r="AJ84" s="40" t="str">
        <f>IFERROR(Z84/W84*1000,"")</f>
        <v/>
      </c>
      <c r="AK84" s="302"/>
      <c r="AL84" s="41"/>
      <c r="AM84" s="41"/>
      <c r="AN84" s="41"/>
      <c r="AO84" s="302"/>
      <c r="AP84" s="302">
        <f>AO84-F84</f>
        <v>-10</v>
      </c>
    </row>
    <row r="85" spans="2:42" ht="98.25" customHeight="1" x14ac:dyDescent="0.3">
      <c r="B85" s="459"/>
      <c r="C85" s="92">
        <v>25</v>
      </c>
      <c r="D85" s="298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303"/>
      <c r="H85" s="303"/>
      <c r="I85" s="303"/>
      <c r="J85" s="303"/>
      <c r="K85" s="303"/>
      <c r="L85" s="303"/>
      <c r="M85" s="303"/>
      <c r="N85" s="303"/>
      <c r="O85" s="303"/>
      <c r="P85" s="303"/>
      <c r="Q85" s="303"/>
      <c r="R85" s="303"/>
      <c r="S85" s="303"/>
      <c r="T85" s="303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5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6"/>
        <v>휴무</v>
      </c>
      <c r="AD85" s="110" t="str">
        <f t="shared" si="27"/>
        <v>휴무</v>
      </c>
      <c r="AE85" s="104"/>
      <c r="AF85" s="37"/>
      <c r="AG85" s="38"/>
      <c r="AH85" s="302"/>
      <c r="AI85" s="39"/>
      <c r="AJ85" s="40"/>
      <c r="AK85" s="302"/>
      <c r="AL85" s="41"/>
      <c r="AM85" s="41"/>
      <c r="AN85" s="41"/>
      <c r="AO85" s="302"/>
      <c r="AP85" s="302"/>
    </row>
    <row r="86" spans="2:42" ht="36" customHeight="1" x14ac:dyDescent="0.3">
      <c r="B86" s="460" t="s">
        <v>39</v>
      </c>
      <c r="C86" s="461"/>
      <c r="D86" s="461"/>
      <c r="E86" s="462"/>
      <c r="F86" s="298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298"/>
      <c r="AB86" s="299"/>
      <c r="AC86" s="114"/>
      <c r="AD86" s="115"/>
      <c r="AE86" s="300"/>
      <c r="AF86" s="37">
        <f>AG86-F86</f>
        <v>-50</v>
      </c>
      <c r="AG86" s="38">
        <f>SUM(AG80:AG85)</f>
        <v>0</v>
      </c>
      <c r="AH86" s="302"/>
      <c r="AI86" s="302"/>
      <c r="AJ86" s="40"/>
      <c r="AK86" s="302"/>
      <c r="AL86" s="59"/>
      <c r="AM86" s="59"/>
      <c r="AN86" s="59"/>
      <c r="AO86" s="302"/>
      <c r="AP86" s="302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303"/>
      <c r="H87" s="303"/>
      <c r="I87" s="303"/>
      <c r="J87" s="303"/>
      <c r="K87" s="303"/>
      <c r="L87" s="303"/>
      <c r="M87" s="303"/>
      <c r="N87" s="303"/>
      <c r="O87" s="303"/>
      <c r="P87" s="303"/>
      <c r="Q87" s="303"/>
      <c r="R87" s="303"/>
      <c r="S87" s="303"/>
      <c r="T87" s="303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302"/>
      <c r="AE88" s="302"/>
      <c r="AF88" s="302"/>
      <c r="AG88" s="302"/>
      <c r="AH88" s="302"/>
      <c r="AI88" s="302"/>
      <c r="AJ88" s="302"/>
      <c r="AK88" s="302"/>
      <c r="AL88" s="59"/>
      <c r="AM88" s="59"/>
      <c r="AN88" s="59"/>
      <c r="AO88" s="302"/>
      <c r="AP88" s="302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298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298" t="s">
        <v>63</v>
      </c>
      <c r="D117" s="466" t="s">
        <v>12</v>
      </c>
      <c r="E117" s="466"/>
      <c r="F117" s="298" t="s">
        <v>64</v>
      </c>
      <c r="G117" s="298"/>
      <c r="H117" s="298"/>
      <c r="I117" s="298"/>
      <c r="J117" s="298"/>
      <c r="K117" s="298"/>
      <c r="L117" s="298"/>
      <c r="M117" s="298"/>
      <c r="N117" s="298"/>
      <c r="O117" s="298"/>
      <c r="P117" s="298"/>
      <c r="Q117" s="298"/>
      <c r="R117" s="298"/>
      <c r="S117" s="298"/>
      <c r="T117" s="298"/>
      <c r="U117" s="298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298"/>
      <c r="G118" s="298"/>
      <c r="H118" s="298"/>
      <c r="I118" s="298"/>
      <c r="J118" s="298"/>
      <c r="K118" s="298"/>
      <c r="L118" s="298"/>
      <c r="M118" s="298"/>
      <c r="N118" s="298"/>
      <c r="O118" s="298"/>
      <c r="P118" s="298"/>
      <c r="Q118" s="298"/>
      <c r="R118" s="298"/>
      <c r="S118" s="298"/>
      <c r="T118" s="298"/>
      <c r="U118" s="298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298"/>
      <c r="G119" s="298"/>
      <c r="H119" s="298"/>
      <c r="I119" s="298"/>
      <c r="J119" s="298"/>
      <c r="K119" s="298"/>
      <c r="L119" s="298"/>
      <c r="M119" s="298"/>
      <c r="N119" s="298"/>
      <c r="O119" s="298"/>
      <c r="P119" s="298"/>
      <c r="Q119" s="298"/>
      <c r="R119" s="298"/>
      <c r="S119" s="298"/>
      <c r="T119" s="298"/>
      <c r="U119" s="298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298"/>
      <c r="G120" s="298"/>
      <c r="H120" s="298"/>
      <c r="I120" s="298"/>
      <c r="J120" s="298"/>
      <c r="K120" s="298"/>
      <c r="L120" s="298"/>
      <c r="M120" s="298"/>
      <c r="N120" s="298"/>
      <c r="O120" s="298"/>
      <c r="P120" s="298"/>
      <c r="Q120" s="298"/>
      <c r="R120" s="298"/>
      <c r="S120" s="298"/>
      <c r="T120" s="298"/>
      <c r="U120" s="298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298"/>
      <c r="G121" s="298"/>
      <c r="H121" s="298"/>
      <c r="I121" s="298"/>
      <c r="J121" s="298"/>
      <c r="K121" s="298"/>
      <c r="L121" s="298"/>
      <c r="M121" s="298"/>
      <c r="N121" s="298"/>
      <c r="O121" s="298"/>
      <c r="P121" s="298"/>
      <c r="Q121" s="298"/>
      <c r="R121" s="298"/>
      <c r="S121" s="298"/>
      <c r="T121" s="298"/>
      <c r="U121" s="298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298"/>
      <c r="G122" s="298"/>
      <c r="H122" s="298"/>
      <c r="I122" s="298"/>
      <c r="J122" s="298"/>
      <c r="K122" s="298"/>
      <c r="L122" s="298"/>
      <c r="M122" s="298"/>
      <c r="N122" s="298"/>
      <c r="O122" s="298"/>
      <c r="P122" s="298"/>
      <c r="Q122" s="298"/>
      <c r="R122" s="298"/>
      <c r="S122" s="298"/>
      <c r="T122" s="298"/>
      <c r="U122" s="298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298"/>
      <c r="G123" s="298"/>
      <c r="H123" s="298"/>
      <c r="I123" s="298"/>
      <c r="J123" s="298"/>
      <c r="K123" s="298"/>
      <c r="L123" s="298"/>
      <c r="M123" s="298"/>
      <c r="N123" s="298"/>
      <c r="O123" s="298"/>
      <c r="P123" s="298"/>
      <c r="Q123" s="298"/>
      <c r="R123" s="298"/>
      <c r="S123" s="298"/>
      <c r="T123" s="298"/>
      <c r="U123" s="298"/>
      <c r="V123" s="117"/>
      <c r="W123" s="118"/>
      <c r="X123" s="116"/>
      <c r="Y123" s="117"/>
      <c r="Z123" s="116"/>
      <c r="AA123" s="116"/>
    </row>
    <row r="124" spans="3:27" x14ac:dyDescent="0.3">
      <c r="C124" s="298"/>
      <c r="D124" s="460"/>
      <c r="E124" s="462"/>
      <c r="F124" s="298"/>
      <c r="G124" s="298"/>
      <c r="H124" s="298"/>
      <c r="I124" s="298"/>
      <c r="J124" s="298"/>
      <c r="K124" s="298"/>
      <c r="L124" s="298"/>
      <c r="M124" s="298"/>
      <c r="N124" s="298"/>
      <c r="O124" s="298"/>
      <c r="P124" s="298"/>
      <c r="Q124" s="298"/>
      <c r="R124" s="298"/>
      <c r="S124" s="298"/>
      <c r="T124" s="298"/>
      <c r="U124" s="298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298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298" t="s">
        <v>63</v>
      </c>
      <c r="D127" s="466" t="s">
        <v>12</v>
      </c>
      <c r="E127" s="466"/>
      <c r="F127" s="298" t="s">
        <v>64</v>
      </c>
      <c r="G127" s="298"/>
      <c r="H127" s="298"/>
      <c r="I127" s="298"/>
      <c r="J127" s="298"/>
      <c r="K127" s="298"/>
      <c r="L127" s="298"/>
      <c r="M127" s="298"/>
      <c r="N127" s="298"/>
      <c r="O127" s="298"/>
      <c r="P127" s="298"/>
      <c r="Q127" s="298"/>
      <c r="R127" s="298"/>
      <c r="S127" s="298"/>
      <c r="T127" s="298"/>
      <c r="U127" s="298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298"/>
      <c r="G128" s="298"/>
      <c r="H128" s="298"/>
      <c r="I128" s="298"/>
      <c r="J128" s="298"/>
      <c r="K128" s="298"/>
      <c r="L128" s="298"/>
      <c r="M128" s="298"/>
      <c r="N128" s="298"/>
      <c r="O128" s="298"/>
      <c r="P128" s="298"/>
      <c r="Q128" s="298"/>
      <c r="R128" s="298"/>
      <c r="S128" s="298"/>
      <c r="T128" s="298"/>
      <c r="U128" s="298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298"/>
      <c r="G129" s="298"/>
      <c r="H129" s="298"/>
      <c r="I129" s="298"/>
      <c r="J129" s="298"/>
      <c r="K129" s="298"/>
      <c r="L129" s="298"/>
      <c r="M129" s="298"/>
      <c r="N129" s="298"/>
      <c r="O129" s="298"/>
      <c r="P129" s="298"/>
      <c r="Q129" s="298"/>
      <c r="R129" s="298"/>
      <c r="S129" s="298"/>
      <c r="T129" s="298"/>
      <c r="U129" s="298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298"/>
      <c r="G130" s="298"/>
      <c r="H130" s="298"/>
      <c r="I130" s="298"/>
      <c r="J130" s="298"/>
      <c r="K130" s="298"/>
      <c r="L130" s="298"/>
      <c r="M130" s="298"/>
      <c r="N130" s="298"/>
      <c r="O130" s="298"/>
      <c r="P130" s="298"/>
      <c r="Q130" s="298"/>
      <c r="R130" s="298"/>
      <c r="S130" s="298"/>
      <c r="T130" s="298"/>
      <c r="U130" s="298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298"/>
      <c r="G131" s="298"/>
      <c r="H131" s="298"/>
      <c r="I131" s="298"/>
      <c r="J131" s="298"/>
      <c r="K131" s="298"/>
      <c r="L131" s="298"/>
      <c r="M131" s="298"/>
      <c r="N131" s="298"/>
      <c r="O131" s="298"/>
      <c r="P131" s="298"/>
      <c r="Q131" s="298"/>
      <c r="R131" s="298"/>
      <c r="S131" s="298"/>
      <c r="T131" s="298"/>
      <c r="U131" s="298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298"/>
      <c r="G132" s="298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  <c r="R132" s="298"/>
      <c r="S132" s="298"/>
      <c r="T132" s="298"/>
      <c r="U132" s="298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298"/>
      <c r="G133" s="298"/>
      <c r="H133" s="298"/>
      <c r="I133" s="298"/>
      <c r="J133" s="298"/>
      <c r="K133" s="298"/>
      <c r="L133" s="298"/>
      <c r="M133" s="298"/>
      <c r="N133" s="298"/>
      <c r="O133" s="298"/>
      <c r="P133" s="298"/>
      <c r="Q133" s="298"/>
      <c r="R133" s="298"/>
      <c r="S133" s="298"/>
      <c r="T133" s="298"/>
      <c r="U133" s="298"/>
      <c r="V133" s="117"/>
      <c r="W133" s="118"/>
      <c r="X133" s="116"/>
      <c r="Y133" s="117"/>
      <c r="Z133" s="116"/>
      <c r="AA133" s="116"/>
    </row>
    <row r="134" spans="3:27" x14ac:dyDescent="0.3">
      <c r="C134" s="298"/>
      <c r="D134" s="460"/>
      <c r="E134" s="462"/>
      <c r="F134" s="298"/>
      <c r="G134" s="298"/>
      <c r="H134" s="298"/>
      <c r="I134" s="298"/>
      <c r="J134" s="298"/>
      <c r="K134" s="298"/>
      <c r="L134" s="298"/>
      <c r="M134" s="298"/>
      <c r="N134" s="298"/>
      <c r="O134" s="298"/>
      <c r="P134" s="298"/>
      <c r="Q134" s="298"/>
      <c r="R134" s="298"/>
      <c r="S134" s="298"/>
      <c r="T134" s="298"/>
      <c r="U134" s="298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298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298" t="s">
        <v>63</v>
      </c>
      <c r="D137" s="466" t="s">
        <v>12</v>
      </c>
      <c r="E137" s="466"/>
      <c r="F137" s="298" t="s">
        <v>64</v>
      </c>
      <c r="G137" s="298"/>
      <c r="H137" s="298"/>
      <c r="I137" s="298"/>
      <c r="J137" s="298"/>
      <c r="K137" s="298"/>
      <c r="L137" s="298"/>
      <c r="M137" s="298"/>
      <c r="N137" s="298"/>
      <c r="O137" s="298"/>
      <c r="P137" s="298"/>
      <c r="Q137" s="298"/>
      <c r="R137" s="298"/>
      <c r="S137" s="298"/>
      <c r="T137" s="298"/>
      <c r="U137" s="298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298"/>
      <c r="G138" s="298"/>
      <c r="H138" s="298"/>
      <c r="I138" s="298"/>
      <c r="J138" s="298"/>
      <c r="K138" s="298"/>
      <c r="L138" s="298"/>
      <c r="M138" s="298"/>
      <c r="N138" s="298"/>
      <c r="O138" s="298"/>
      <c r="P138" s="298"/>
      <c r="Q138" s="298"/>
      <c r="R138" s="298"/>
      <c r="S138" s="298"/>
      <c r="T138" s="298"/>
      <c r="U138" s="298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298"/>
      <c r="G139" s="298"/>
      <c r="H139" s="298"/>
      <c r="I139" s="298"/>
      <c r="J139" s="298"/>
      <c r="K139" s="298"/>
      <c r="L139" s="298"/>
      <c r="M139" s="298"/>
      <c r="N139" s="298"/>
      <c r="O139" s="298"/>
      <c r="P139" s="298"/>
      <c r="Q139" s="298"/>
      <c r="R139" s="298"/>
      <c r="S139" s="298"/>
      <c r="T139" s="298"/>
      <c r="U139" s="298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298"/>
      <c r="G140" s="298"/>
      <c r="H140" s="298"/>
      <c r="I140" s="298"/>
      <c r="J140" s="298"/>
      <c r="K140" s="298"/>
      <c r="L140" s="298"/>
      <c r="M140" s="298"/>
      <c r="N140" s="298"/>
      <c r="O140" s="298"/>
      <c r="P140" s="298"/>
      <c r="Q140" s="298"/>
      <c r="R140" s="298"/>
      <c r="S140" s="298"/>
      <c r="T140" s="298"/>
      <c r="U140" s="298"/>
    </row>
    <row r="141" spans="3:27" x14ac:dyDescent="0.3">
      <c r="C141" s="119">
        <v>45078</v>
      </c>
      <c r="D141" s="466"/>
      <c r="E141" s="466"/>
      <c r="F141" s="298"/>
      <c r="G141" s="298"/>
      <c r="H141" s="298"/>
      <c r="I141" s="298"/>
      <c r="J141" s="298"/>
      <c r="K141" s="298"/>
      <c r="L141" s="298"/>
      <c r="M141" s="298"/>
      <c r="N141" s="298"/>
      <c r="O141" s="298"/>
      <c r="P141" s="298"/>
      <c r="Q141" s="298"/>
      <c r="R141" s="298"/>
      <c r="S141" s="298"/>
      <c r="T141" s="298"/>
      <c r="U141" s="298"/>
    </row>
    <row r="142" spans="3:27" x14ac:dyDescent="0.3">
      <c r="C142" s="119">
        <v>45079</v>
      </c>
      <c r="D142" s="466"/>
      <c r="E142" s="466"/>
      <c r="F142" s="298"/>
      <c r="G142" s="298"/>
      <c r="H142" s="298"/>
      <c r="I142" s="298"/>
      <c r="J142" s="298"/>
      <c r="K142" s="298"/>
      <c r="L142" s="298"/>
      <c r="M142" s="298"/>
      <c r="N142" s="298"/>
      <c r="O142" s="298"/>
      <c r="P142" s="298"/>
      <c r="Q142" s="298"/>
      <c r="R142" s="298"/>
      <c r="S142" s="298"/>
      <c r="T142" s="298"/>
      <c r="U142" s="298"/>
    </row>
    <row r="143" spans="3:27" x14ac:dyDescent="0.3">
      <c r="C143" s="119">
        <v>45080</v>
      </c>
      <c r="D143" s="466"/>
      <c r="E143" s="466"/>
      <c r="F143" s="298"/>
      <c r="G143" s="298"/>
      <c r="H143" s="298"/>
      <c r="I143" s="298"/>
      <c r="J143" s="298"/>
      <c r="K143" s="298"/>
      <c r="L143" s="298"/>
      <c r="M143" s="298"/>
      <c r="N143" s="298"/>
      <c r="O143" s="298"/>
      <c r="P143" s="298"/>
      <c r="Q143" s="298"/>
      <c r="R143" s="298"/>
      <c r="S143" s="298"/>
      <c r="T143" s="298"/>
      <c r="U143" s="298"/>
    </row>
    <row r="144" spans="3:27" x14ac:dyDescent="0.3">
      <c r="C144" s="298"/>
      <c r="D144" s="460"/>
      <c r="E144" s="462"/>
      <c r="F144" s="298"/>
      <c r="G144" s="298"/>
      <c r="H144" s="298"/>
      <c r="I144" s="298"/>
      <c r="J144" s="298"/>
      <c r="K144" s="298"/>
      <c r="L144" s="298"/>
      <c r="M144" s="298"/>
      <c r="N144" s="298"/>
      <c r="O144" s="298"/>
      <c r="P144" s="298"/>
      <c r="Q144" s="298"/>
      <c r="R144" s="298"/>
      <c r="S144" s="298"/>
      <c r="T144" s="298"/>
      <c r="U144" s="298"/>
    </row>
  </sheetData>
  <mergeCells count="113">
    <mergeCell ref="U5:W5"/>
    <mergeCell ref="X5:Z5"/>
    <mergeCell ref="AC5:AC6"/>
    <mergeCell ref="AD5:AD6"/>
    <mergeCell ref="AE5:AE6"/>
    <mergeCell ref="B7:B12"/>
    <mergeCell ref="B2:AE2"/>
    <mergeCell ref="B3:AE3"/>
    <mergeCell ref="B5:C6"/>
    <mergeCell ref="D5:D6"/>
    <mergeCell ref="E5:E6"/>
    <mergeCell ref="F5:F6"/>
    <mergeCell ref="G5:G6"/>
    <mergeCell ref="H5:H6"/>
    <mergeCell ref="I5:S5"/>
    <mergeCell ref="T5:T6"/>
    <mergeCell ref="B13:E13"/>
    <mergeCell ref="B14:E14"/>
    <mergeCell ref="B19:AE19"/>
    <mergeCell ref="B21:B22"/>
    <mergeCell ref="C21:C22"/>
    <mergeCell ref="D21:D22"/>
    <mergeCell ref="E21:E22"/>
    <mergeCell ref="F21:F22"/>
    <mergeCell ref="G21:G22"/>
    <mergeCell ref="H21:H22"/>
    <mergeCell ref="AC21:AC22"/>
    <mergeCell ref="AD21:AD22"/>
    <mergeCell ref="AE21:AE22"/>
    <mergeCell ref="B23:B28"/>
    <mergeCell ref="B29:E29"/>
    <mergeCell ref="B30:E30"/>
    <mergeCell ref="I21:S21"/>
    <mergeCell ref="T21:T22"/>
    <mergeCell ref="U21:W21"/>
    <mergeCell ref="X21:Z21"/>
    <mergeCell ref="AA21:AA22"/>
    <mergeCell ref="AB21:AB22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AE78:AE79"/>
    <mergeCell ref="B80:B85"/>
    <mergeCell ref="B86:E86"/>
    <mergeCell ref="B87:E87"/>
    <mergeCell ref="E92:E94"/>
    <mergeCell ref="F92:F94"/>
    <mergeCell ref="B76:AE76"/>
    <mergeCell ref="B78:B79"/>
    <mergeCell ref="C78:C79"/>
    <mergeCell ref="D78:D79"/>
    <mergeCell ref="E78:E79"/>
    <mergeCell ref="F78:F79"/>
    <mergeCell ref="U78:W78"/>
    <mergeCell ref="X78:Z78"/>
    <mergeCell ref="AC78:AC79"/>
    <mergeCell ref="AD78:AD79"/>
    <mergeCell ref="E104:E106"/>
    <mergeCell ref="F104:F106"/>
    <mergeCell ref="E107:E109"/>
    <mergeCell ref="F107:F109"/>
    <mergeCell ref="C114:U114"/>
    <mergeCell ref="D117:E117"/>
    <mergeCell ref="E95:E97"/>
    <mergeCell ref="F95:F97"/>
    <mergeCell ref="E98:E100"/>
    <mergeCell ref="F98:F100"/>
    <mergeCell ref="E101:E103"/>
    <mergeCell ref="F101:F103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</mergeCells>
  <phoneticPr fontId="4" type="noConversion"/>
  <dataValidations count="3">
    <dataValidation type="list" allowBlank="1" showInputMessage="1" showErrorMessage="1" sqref="E7:E8 E23:E24 E26:E28 E10:E12">
      <formula1>$U$7:$U$12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 E9 E25">
      <formula1>$AH$7:$AH$12</formula1>
    </dataValidation>
  </dataValidations>
  <pageMargins left="0.62992125984251968" right="0.62992125984251968" top="0.94488188976377963" bottom="0.55118110236220474" header="0.31496062992125984" footer="0.31496062992125984"/>
  <pageSetup paperSize="9" scale="28" orientation="landscape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80" zoomScaleNormal="80" workbookViewId="0">
      <pane xSplit="4" ySplit="6" topLeftCell="E7" activePane="bottomRight" state="frozen"/>
      <selection pane="topRight" activeCell="D1" sqref="D1"/>
      <selection pane="bottomLeft" activeCell="A6" sqref="A6"/>
      <selection pane="bottomRight" activeCell="AD9" sqref="AD9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60.5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11.75" hidden="1" customWidth="1"/>
    <col min="44" max="44" width="3.25" customWidth="1"/>
  </cols>
  <sheetData>
    <row r="2" spans="2:52" ht="20.25" x14ac:dyDescent="0.3">
      <c r="B2" s="425" t="s">
        <v>190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293" t="s">
        <v>1</v>
      </c>
      <c r="AY2" s="293" t="s">
        <v>2</v>
      </c>
      <c r="AZ2" s="3" t="s">
        <v>3</v>
      </c>
    </row>
    <row r="3" spans="2:52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E3" s="464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296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75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296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-59.17</v>
      </c>
    </row>
    <row r="7" spans="2:52" s="294" customFormat="1" ht="99" customHeight="1" thickTop="1" x14ac:dyDescent="0.3">
      <c r="B7" s="420">
        <v>5</v>
      </c>
      <c r="C7" s="24">
        <v>11</v>
      </c>
      <c r="D7" s="25" t="s">
        <v>7</v>
      </c>
      <c r="E7" s="26" t="s">
        <v>28</v>
      </c>
      <c r="F7" s="25">
        <v>11</v>
      </c>
      <c r="G7" s="128">
        <v>222</v>
      </c>
      <c r="H7" s="128">
        <f t="shared" ref="H7:H12" si="0">(G7/U7)*100</f>
        <v>49.775784753363226</v>
      </c>
      <c r="I7" s="123" t="s">
        <v>99</v>
      </c>
      <c r="J7" s="123" t="s">
        <v>86</v>
      </c>
      <c r="K7" s="123" t="s">
        <v>73</v>
      </c>
      <c r="L7" s="123" t="s">
        <v>87</v>
      </c>
      <c r="M7" s="123"/>
      <c r="N7" s="129" t="s">
        <v>90</v>
      </c>
      <c r="O7" s="123" t="s">
        <v>74</v>
      </c>
      <c r="P7" s="123" t="s">
        <v>169</v>
      </c>
      <c r="Q7" s="123" t="s">
        <v>91</v>
      </c>
      <c r="R7" s="123" t="s">
        <v>89</v>
      </c>
      <c r="S7" s="125">
        <f t="shared" ref="S7:S13" si="1">COUNTA(I7:M7)+COUNTA(N7:R7)/2</f>
        <v>6.5</v>
      </c>
      <c r="T7" s="27">
        <f t="shared" ref="T7:T12" si="2">F7*$D$4*$U$4</f>
        <v>726</v>
      </c>
      <c r="U7" s="28">
        <f>+H38</f>
        <v>446</v>
      </c>
      <c r="V7" s="29">
        <f t="shared" ref="V7:V12" si="3">IF(F7=0,"휴무",U7/F7)</f>
        <v>40.545454545454547</v>
      </c>
      <c r="W7" s="30">
        <f t="shared" ref="W7:W13" si="4">IFERROR(U7/T7,0)</f>
        <v>0.61432506887052341</v>
      </c>
      <c r="X7" s="31">
        <f>+K38</f>
        <v>655.27</v>
      </c>
      <c r="Y7" s="29">
        <f t="shared" ref="Y7:Y12" si="5">IF(F7=0,"휴무",X7/F7)</f>
        <v>59.57</v>
      </c>
      <c r="Z7" s="32">
        <f t="shared" ref="Z7:Z13" si="6">IFERROR(X7/T7,0)</f>
        <v>0.90257575757575759</v>
      </c>
      <c r="AA7" s="33">
        <f t="shared" ref="AA7:AA12" si="7">IF(F7=0,"휴무",U7/T7*$AA$4)</f>
        <v>30.71625344352617</v>
      </c>
      <c r="AB7" s="34">
        <f t="shared" ref="AB7:AB12" si="8">IF(F7=0,"휴무",X7/T7*$AB$4)</f>
        <v>49.145250000000004</v>
      </c>
      <c r="AC7" s="138">
        <f t="shared" ref="AC7:AC13" si="9">IF(F7=0,"휴무",AA7+AB7)</f>
        <v>79.861503443526175</v>
      </c>
      <c r="AD7" s="35" t="s">
        <v>192</v>
      </c>
      <c r="AE7" s="36"/>
      <c r="AF7" s="37">
        <f>AG7-F7</f>
        <v>-11</v>
      </c>
      <c r="AG7" s="38">
        <f>AN7</f>
        <v>0</v>
      </c>
      <c r="AH7" s="294" t="s">
        <v>29</v>
      </c>
      <c r="AI7" s="39"/>
      <c r="AJ7" s="40">
        <f>IFERROR(Z7/W7*1000,"")</f>
        <v>1469.2152466367713</v>
      </c>
      <c r="AK7" s="39"/>
      <c r="AL7" s="41"/>
      <c r="AM7" s="41"/>
      <c r="AN7" s="41"/>
      <c r="AP7" s="294">
        <f t="shared" ref="AP7:AP12" si="10">AO7-F7</f>
        <v>-11</v>
      </c>
      <c r="AQ7" s="42"/>
    </row>
    <row r="8" spans="2:52" s="294" customFormat="1" ht="99.75" customHeight="1" x14ac:dyDescent="0.3">
      <c r="B8" s="421"/>
      <c r="C8" s="24">
        <f>+C7+1</f>
        <v>12</v>
      </c>
      <c r="D8" s="43" t="s">
        <v>30</v>
      </c>
      <c r="E8" s="26" t="s">
        <v>28</v>
      </c>
      <c r="F8" s="25">
        <v>11</v>
      </c>
      <c r="G8" s="125">
        <v>417</v>
      </c>
      <c r="H8" s="125">
        <f t="shared" si="0"/>
        <v>88.535031847133766</v>
      </c>
      <c r="I8" s="123" t="s">
        <v>99</v>
      </c>
      <c r="J8" s="123" t="s">
        <v>86</v>
      </c>
      <c r="K8" s="123" t="s">
        <v>73</v>
      </c>
      <c r="L8" s="123" t="s">
        <v>87</v>
      </c>
      <c r="M8" s="123"/>
      <c r="N8" s="129" t="s">
        <v>90</v>
      </c>
      <c r="O8" s="123" t="s">
        <v>74</v>
      </c>
      <c r="P8" s="123" t="s">
        <v>169</v>
      </c>
      <c r="Q8" s="123" t="s">
        <v>91</v>
      </c>
      <c r="R8" s="123" t="s">
        <v>89</v>
      </c>
      <c r="S8" s="125">
        <f t="shared" si="1"/>
        <v>6.5</v>
      </c>
      <c r="T8" s="27">
        <f t="shared" si="2"/>
        <v>726</v>
      </c>
      <c r="U8" s="28">
        <f>+H41</f>
        <v>471</v>
      </c>
      <c r="V8" s="44">
        <f t="shared" si="3"/>
        <v>42.81818181818182</v>
      </c>
      <c r="W8" s="45">
        <f t="shared" si="4"/>
        <v>0.64876033057851235</v>
      </c>
      <c r="X8" s="46">
        <f>+K41</f>
        <v>486.93</v>
      </c>
      <c r="Y8" s="29">
        <f t="shared" si="5"/>
        <v>44.266363636363636</v>
      </c>
      <c r="Z8" s="47">
        <f t="shared" si="6"/>
        <v>0.67070247933884297</v>
      </c>
      <c r="AA8" s="48">
        <f t="shared" si="7"/>
        <v>32.438016528925615</v>
      </c>
      <c r="AB8" s="49">
        <f t="shared" si="8"/>
        <v>36.519750000000002</v>
      </c>
      <c r="AC8" s="139">
        <f t="shared" si="9"/>
        <v>68.957766528925617</v>
      </c>
      <c r="AD8" s="161" t="str">
        <f t="shared" ref="AD8:AD13" si="11">IF(F8=0,"휴무",IF(AC8&gt;=100,"좋아요",IF(AC8&gt;=90,"90~99",IF(AC8&gt;=80,"80~89"," 사유?→"))))</f>
        <v xml:space="preserve"> 사유?→</v>
      </c>
      <c r="AE8" s="160" t="s">
        <v>194</v>
      </c>
      <c r="AF8" s="37">
        <f>AG8-F8</f>
        <v>-11</v>
      </c>
      <c r="AG8" s="38">
        <f>AN8</f>
        <v>0</v>
      </c>
      <c r="AH8" s="294" t="s">
        <v>31</v>
      </c>
      <c r="AI8" s="39"/>
      <c r="AJ8" s="40">
        <f>IFERROR(Z8/W8*1000,"")</f>
        <v>1033.8216560509554</v>
      </c>
      <c r="AK8" s="39"/>
      <c r="AL8" s="41"/>
      <c r="AM8" s="41"/>
      <c r="AN8" s="41"/>
      <c r="AP8" s="294">
        <f t="shared" si="10"/>
        <v>-11</v>
      </c>
      <c r="AQ8" s="42"/>
    </row>
    <row r="9" spans="2:52" s="294" customFormat="1" ht="97.5" customHeight="1" x14ac:dyDescent="0.3">
      <c r="B9" s="421"/>
      <c r="C9" s="24">
        <f>+C8+1</f>
        <v>13</v>
      </c>
      <c r="D9" s="43" t="s">
        <v>32</v>
      </c>
      <c r="E9" s="26" t="s">
        <v>29</v>
      </c>
      <c r="F9" s="25">
        <v>8</v>
      </c>
      <c r="G9" s="125">
        <v>423</v>
      </c>
      <c r="H9" s="125">
        <f t="shared" si="0"/>
        <v>99.529411764705884</v>
      </c>
      <c r="I9" s="123" t="s">
        <v>99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169</v>
      </c>
      <c r="Q9" s="123" t="s">
        <v>91</v>
      </c>
      <c r="R9" s="123" t="s">
        <v>89</v>
      </c>
      <c r="S9" s="125">
        <f t="shared" si="1"/>
        <v>6.5</v>
      </c>
      <c r="T9" s="27">
        <f t="shared" si="2"/>
        <v>528</v>
      </c>
      <c r="U9" s="51">
        <f>+H44</f>
        <v>425</v>
      </c>
      <c r="V9" s="44">
        <f t="shared" si="3"/>
        <v>53.125</v>
      </c>
      <c r="W9" s="45">
        <f t="shared" si="4"/>
        <v>0.80492424242424243</v>
      </c>
      <c r="X9" s="46">
        <f>+K44</f>
        <v>382.96</v>
      </c>
      <c r="Y9" s="44">
        <f t="shared" si="5"/>
        <v>47.87</v>
      </c>
      <c r="Z9" s="47">
        <f t="shared" si="6"/>
        <v>0.72530303030303023</v>
      </c>
      <c r="AA9" s="48">
        <f t="shared" si="7"/>
        <v>40.246212121212125</v>
      </c>
      <c r="AB9" s="49">
        <f t="shared" si="8"/>
        <v>39.492750000000001</v>
      </c>
      <c r="AC9" s="139">
        <f t="shared" si="9"/>
        <v>79.738962121212126</v>
      </c>
      <c r="AD9" s="35" t="s">
        <v>180</v>
      </c>
      <c r="AE9" s="36"/>
      <c r="AF9" s="37">
        <f>AG9-F9</f>
        <v>-8</v>
      </c>
      <c r="AG9" s="38">
        <f>AN9</f>
        <v>0</v>
      </c>
      <c r="AH9" s="294" t="s">
        <v>34</v>
      </c>
      <c r="AI9" s="39"/>
      <c r="AJ9" s="40">
        <f>IFERROR(Z9/W9*1000,"")</f>
        <v>901.08235294117628</v>
      </c>
      <c r="AK9" s="39"/>
      <c r="AL9" s="41"/>
      <c r="AM9" s="41"/>
      <c r="AN9" s="41"/>
      <c r="AP9" s="294">
        <f t="shared" si="10"/>
        <v>-8</v>
      </c>
      <c r="AQ9" s="42"/>
    </row>
    <row r="10" spans="2:52" s="294" customFormat="1" ht="95.25" customHeight="1" x14ac:dyDescent="0.3">
      <c r="B10" s="421"/>
      <c r="C10" s="24">
        <f>+C9+1</f>
        <v>14</v>
      </c>
      <c r="D10" s="43" t="s">
        <v>35</v>
      </c>
      <c r="E10" s="26" t="s">
        <v>28</v>
      </c>
      <c r="F10" s="25">
        <v>11</v>
      </c>
      <c r="G10" s="125">
        <v>395</v>
      </c>
      <c r="H10" s="125">
        <f t="shared" si="0"/>
        <v>68.93542757417103</v>
      </c>
      <c r="I10" s="123" t="s">
        <v>99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74</v>
      </c>
      <c r="P10" s="123" t="s">
        <v>169</v>
      </c>
      <c r="Q10" s="123" t="s">
        <v>91</v>
      </c>
      <c r="R10" s="123" t="s">
        <v>89</v>
      </c>
      <c r="S10" s="125">
        <f t="shared" si="1"/>
        <v>6.5</v>
      </c>
      <c r="T10" s="27">
        <f t="shared" si="2"/>
        <v>726</v>
      </c>
      <c r="U10" s="28">
        <f>+H47</f>
        <v>573</v>
      </c>
      <c r="V10" s="44">
        <f t="shared" si="3"/>
        <v>52.090909090909093</v>
      </c>
      <c r="W10" s="45">
        <f t="shared" si="4"/>
        <v>0.78925619834710747</v>
      </c>
      <c r="X10" s="46">
        <f>+K47</f>
        <v>750.65000000000009</v>
      </c>
      <c r="Y10" s="29">
        <f t="shared" si="5"/>
        <v>68.240909090909099</v>
      </c>
      <c r="Z10" s="47">
        <f t="shared" si="6"/>
        <v>1.0339531680440772</v>
      </c>
      <c r="AA10" s="48">
        <f t="shared" si="7"/>
        <v>39.462809917355372</v>
      </c>
      <c r="AB10" s="49">
        <f t="shared" si="8"/>
        <v>56.298750000000005</v>
      </c>
      <c r="AC10" s="139">
        <f t="shared" si="9"/>
        <v>95.761559917355385</v>
      </c>
      <c r="AD10" s="50" t="str">
        <f t="shared" si="11"/>
        <v>90~99</v>
      </c>
      <c r="AE10" s="36"/>
      <c r="AF10" s="37">
        <f>AG10-F10</f>
        <v>-11</v>
      </c>
      <c r="AG10" s="38">
        <f>AN10</f>
        <v>0</v>
      </c>
      <c r="AH10" s="294" t="s">
        <v>36</v>
      </c>
      <c r="AI10" s="39"/>
      <c r="AJ10" s="40">
        <f>IFERROR(Z10/W10*1000,"")</f>
        <v>1310.0349040139615</v>
      </c>
      <c r="AK10" s="39"/>
      <c r="AL10" s="41"/>
      <c r="AM10" s="41"/>
      <c r="AN10" s="41"/>
      <c r="AP10" s="294">
        <f t="shared" si="10"/>
        <v>-11</v>
      </c>
      <c r="AQ10" s="42"/>
    </row>
    <row r="11" spans="2:52" s="294" customFormat="1" ht="102.75" customHeight="1" x14ac:dyDescent="0.3">
      <c r="B11" s="421"/>
      <c r="C11" s="24">
        <f>+C10+1</f>
        <v>15</v>
      </c>
      <c r="D11" s="43" t="s">
        <v>37</v>
      </c>
      <c r="E11" s="26" t="s">
        <v>28</v>
      </c>
      <c r="F11" s="25">
        <v>10.5</v>
      </c>
      <c r="G11" s="125">
        <v>377</v>
      </c>
      <c r="H11" s="125">
        <f t="shared" si="0"/>
        <v>67.441860465116278</v>
      </c>
      <c r="I11" s="123" t="s">
        <v>99</v>
      </c>
      <c r="J11" s="123" t="s">
        <v>86</v>
      </c>
      <c r="K11" s="123" t="s">
        <v>73</v>
      </c>
      <c r="L11" s="123" t="s">
        <v>87</v>
      </c>
      <c r="M11" s="123"/>
      <c r="N11" s="129" t="s">
        <v>90</v>
      </c>
      <c r="O11" s="123" t="s">
        <v>74</v>
      </c>
      <c r="P11" s="123" t="s">
        <v>169</v>
      </c>
      <c r="Q11" s="123" t="s">
        <v>91</v>
      </c>
      <c r="R11" s="123" t="s">
        <v>89</v>
      </c>
      <c r="S11" s="125">
        <f t="shared" si="1"/>
        <v>6.5</v>
      </c>
      <c r="T11" s="27">
        <f t="shared" si="2"/>
        <v>693</v>
      </c>
      <c r="U11" s="28">
        <f>+H50</f>
        <v>559</v>
      </c>
      <c r="V11" s="44">
        <f t="shared" si="3"/>
        <v>53.238095238095241</v>
      </c>
      <c r="W11" s="45">
        <f t="shared" si="4"/>
        <v>0.8066378066378066</v>
      </c>
      <c r="X11" s="46">
        <f>+K50</f>
        <v>843.18000000000006</v>
      </c>
      <c r="Y11" s="44">
        <f t="shared" si="5"/>
        <v>80.30285714285715</v>
      </c>
      <c r="Z11" s="47">
        <f t="shared" si="6"/>
        <v>1.2167099567099569</v>
      </c>
      <c r="AA11" s="48">
        <f t="shared" si="7"/>
        <v>40.331890331890328</v>
      </c>
      <c r="AB11" s="49">
        <f t="shared" si="8"/>
        <v>66.249857142857152</v>
      </c>
      <c r="AC11" s="139">
        <f t="shared" si="9"/>
        <v>106.58174747474749</v>
      </c>
      <c r="AD11" s="50" t="str">
        <f t="shared" si="11"/>
        <v>좋아요</v>
      </c>
      <c r="AE11" s="36" t="s">
        <v>193</v>
      </c>
      <c r="AF11" s="37">
        <f>AG11-F11</f>
        <v>-10.5</v>
      </c>
      <c r="AG11" s="38">
        <f>AN11</f>
        <v>0</v>
      </c>
      <c r="AH11" s="294" t="s">
        <v>33</v>
      </c>
      <c r="AI11" s="39"/>
      <c r="AJ11" s="40">
        <f>IFERROR(Z11/W11*1000,"")</f>
        <v>1508.372093023256</v>
      </c>
      <c r="AL11" s="41"/>
      <c r="AM11" s="41"/>
      <c r="AN11" s="41"/>
      <c r="AP11" s="294">
        <f t="shared" si="10"/>
        <v>-10.5</v>
      </c>
      <c r="AQ11" s="42"/>
    </row>
    <row r="12" spans="2:52" s="294" customFormat="1" ht="102.75" customHeight="1" x14ac:dyDescent="0.3">
      <c r="B12" s="421"/>
      <c r="C12" s="24">
        <f>+C11+1</f>
        <v>16</v>
      </c>
      <c r="D12" s="43" t="s">
        <v>38</v>
      </c>
      <c r="E12" s="26" t="s">
        <v>36</v>
      </c>
      <c r="F12" s="25">
        <f>8-0.33</f>
        <v>7.67</v>
      </c>
      <c r="G12" s="125">
        <v>343</v>
      </c>
      <c r="H12" s="125">
        <f t="shared" si="0"/>
        <v>99.132947976878611</v>
      </c>
      <c r="I12" s="123" t="s">
        <v>202</v>
      </c>
      <c r="J12" s="123" t="s">
        <v>86</v>
      </c>
      <c r="K12" s="123" t="s">
        <v>73</v>
      </c>
      <c r="L12" s="123" t="s">
        <v>87</v>
      </c>
      <c r="M12" s="123"/>
      <c r="N12" s="129" t="s">
        <v>203</v>
      </c>
      <c r="O12" s="123" t="s">
        <v>74</v>
      </c>
      <c r="P12" s="123"/>
      <c r="Q12" s="123" t="s">
        <v>91</v>
      </c>
      <c r="R12" s="123" t="s">
        <v>89</v>
      </c>
      <c r="S12" s="125">
        <f t="shared" si="1"/>
        <v>6</v>
      </c>
      <c r="T12" s="297">
        <f t="shared" si="2"/>
        <v>506.22</v>
      </c>
      <c r="U12" s="28">
        <f>+H53</f>
        <v>346</v>
      </c>
      <c r="V12" s="29">
        <f t="shared" si="3"/>
        <v>45.110821382007821</v>
      </c>
      <c r="W12" s="30">
        <f t="shared" si="4"/>
        <v>0.68349729366678513</v>
      </c>
      <c r="X12" s="31">
        <f>+K53</f>
        <v>337.14</v>
      </c>
      <c r="Y12" s="44">
        <f t="shared" si="5"/>
        <v>43.95567144719687</v>
      </c>
      <c r="Z12" s="47">
        <f t="shared" si="6"/>
        <v>0.66599502192722526</v>
      </c>
      <c r="AA12" s="48">
        <f t="shared" si="7"/>
        <v>34.174864683339258</v>
      </c>
      <c r="AB12" s="49">
        <f t="shared" si="8"/>
        <v>36.26342894393742</v>
      </c>
      <c r="AC12" s="139">
        <f t="shared" si="9"/>
        <v>70.438293627276678</v>
      </c>
      <c r="AD12" s="161" t="str">
        <f t="shared" si="11"/>
        <v xml:space="preserve"> 사유?→</v>
      </c>
      <c r="AE12" s="160" t="s">
        <v>195</v>
      </c>
      <c r="AF12" s="37"/>
      <c r="AG12" s="38"/>
      <c r="AI12" s="39"/>
      <c r="AJ12" s="40"/>
      <c r="AL12" s="41"/>
      <c r="AM12" s="41"/>
      <c r="AN12" s="41"/>
      <c r="AP12" s="294">
        <f t="shared" si="10"/>
        <v>-7.67</v>
      </c>
      <c r="AQ12" s="42"/>
    </row>
    <row r="13" spans="2:52" s="294" customFormat="1" ht="36" customHeight="1" x14ac:dyDescent="0.3">
      <c r="B13" s="422" t="s">
        <v>39</v>
      </c>
      <c r="C13" s="423"/>
      <c r="D13" s="423"/>
      <c r="E13" s="424"/>
      <c r="F13" s="43">
        <f>SUM(F7:F12)</f>
        <v>59.17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 t="shared" si="1"/>
        <v>0</v>
      </c>
      <c r="T13" s="52">
        <f>SUM(T7:T12)</f>
        <v>3905.2200000000003</v>
      </c>
      <c r="U13" s="53">
        <f>SUM(U7:U12)</f>
        <v>2820</v>
      </c>
      <c r="V13" s="54">
        <f>U13/F13</f>
        <v>47.659286800743615</v>
      </c>
      <c r="W13" s="45">
        <f t="shared" si="4"/>
        <v>0.72211040607187293</v>
      </c>
      <c r="X13" s="55">
        <f>SUM(X7:X12)</f>
        <v>3456.1300000000006</v>
      </c>
      <c r="Y13" s="44">
        <f>X13/F13</f>
        <v>58.410174074700024</v>
      </c>
      <c r="Z13" s="47">
        <f t="shared" si="6"/>
        <v>0.88500263749545494</v>
      </c>
      <c r="AA13" s="56">
        <f>U13/T13*AA4</f>
        <v>36.10552030359365</v>
      </c>
      <c r="AB13" s="57">
        <f>X13/T13*AB4</f>
        <v>48.188393611627525</v>
      </c>
      <c r="AC13" s="140">
        <f t="shared" si="9"/>
        <v>84.293913915221168</v>
      </c>
      <c r="AD13" s="58" t="str">
        <f t="shared" si="11"/>
        <v>80~89</v>
      </c>
      <c r="AE13" s="43"/>
      <c r="AF13" s="37">
        <f>AG13-F13</f>
        <v>-59.17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9.8616666666666664</v>
      </c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5"/>
      <c r="R14" s="295"/>
      <c r="S14" s="295"/>
      <c r="T14" s="295"/>
      <c r="U14" s="61">
        <f>V14*F14</f>
        <v>469.99999999999994</v>
      </c>
      <c r="V14" s="62">
        <f>U13/F13</f>
        <v>47.659286800743615</v>
      </c>
      <c r="W14" s="63">
        <f>IFERROR(U14/#REF!,0)</f>
        <v>0</v>
      </c>
      <c r="X14" s="64">
        <f>X13/F13*F14</f>
        <v>576.02166666666676</v>
      </c>
      <c r="Y14" s="62">
        <f>IF(F14=0,"휴무",X14/F14)</f>
        <v>58.410174074700031</v>
      </c>
      <c r="Z14" s="65">
        <f>IFERROR(X14/#REF!,0)</f>
        <v>0</v>
      </c>
      <c r="AA14" s="60">
        <f>AVERAGE(AA7:AA12)</f>
        <v>36.228341171041471</v>
      </c>
      <c r="AB14" s="60">
        <f>AVERAGE(AB7:AB12)</f>
        <v>47.328297681132426</v>
      </c>
      <c r="AC14" s="141">
        <f>AA14+AB14</f>
        <v>83.556638852173904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294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  <c r="AE19" s="464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75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-60</v>
      </c>
    </row>
    <row r="23" spans="2:43" s="294" customFormat="1" ht="99" customHeight="1" thickTop="1" x14ac:dyDescent="0.3">
      <c r="B23" s="420">
        <f>+B7</f>
        <v>5</v>
      </c>
      <c r="C23" s="24">
        <f t="shared" ref="C23:C28" si="12">+C7</f>
        <v>11</v>
      </c>
      <c r="D23" s="25" t="s">
        <v>7</v>
      </c>
      <c r="E23" s="26" t="s">
        <v>28</v>
      </c>
      <c r="F23" s="25">
        <v>11</v>
      </c>
      <c r="G23" s="128">
        <v>522</v>
      </c>
      <c r="H23" s="128">
        <f t="shared" ref="H23:H28" si="13">(G23/U23)*100</f>
        <v>100</v>
      </c>
      <c r="I23" s="123" t="s">
        <v>92</v>
      </c>
      <c r="J23" s="123" t="s">
        <v>191</v>
      </c>
      <c r="K23" s="123" t="s">
        <v>74</v>
      </c>
      <c r="L23" s="123" t="s">
        <v>84</v>
      </c>
      <c r="M23" s="123"/>
      <c r="N23" s="129" t="s">
        <v>90</v>
      </c>
      <c r="O23" s="123" t="s">
        <v>74</v>
      </c>
      <c r="P23" s="123" t="s">
        <v>169</v>
      </c>
      <c r="Q23" s="123" t="s">
        <v>91</v>
      </c>
      <c r="R23" s="123" t="s">
        <v>89</v>
      </c>
      <c r="S23" s="124">
        <f t="shared" ref="S23:S28" si="14">COUNTA(I23:M23)+COUNTA(N23:R23)/2</f>
        <v>6.5</v>
      </c>
      <c r="T23" s="27">
        <f t="shared" ref="T23:T28" si="15">F23*$D$4*$U$4</f>
        <v>726</v>
      </c>
      <c r="U23" s="28">
        <f>+H58</f>
        <v>522</v>
      </c>
      <c r="V23" s="29">
        <f t="shared" ref="V23:V28" si="16">IF(F23=0,"휴무",U23/F23)</f>
        <v>47.454545454545453</v>
      </c>
      <c r="W23" s="30">
        <f t="shared" ref="W23:W29" si="17">IFERROR(U23/T23,0)</f>
        <v>0.71900826446280997</v>
      </c>
      <c r="X23" s="31">
        <f>+K58</f>
        <v>588.52</v>
      </c>
      <c r="Y23" s="29">
        <f t="shared" ref="Y23:Y28" si="18">IF(F23=0,"휴무",X23/F23)</f>
        <v>53.50181818181818</v>
      </c>
      <c r="Z23" s="32">
        <f t="shared" ref="Z23:Z29" si="19">IFERROR(X23/T23,0)</f>
        <v>0.81063360881542701</v>
      </c>
      <c r="AA23" s="33">
        <f t="shared" ref="AA23:AA28" si="20">IF(F23=0,"휴무",U23/T23*$AA$4)</f>
        <v>35.950413223140501</v>
      </c>
      <c r="AB23" s="34">
        <f t="shared" ref="AB23:AB28" si="21">IF(F23=0,"휴무",X23/T23*$AB$4)</f>
        <v>44.139000000000003</v>
      </c>
      <c r="AC23" s="138">
        <f t="shared" ref="AC23:AC29" si="22">IF(F23=0,"휴무",AA23+AB23)</f>
        <v>80.089413223140497</v>
      </c>
      <c r="AD23" s="35" t="str">
        <f t="shared" ref="AD23:AD29" si="23">IF(F23=0,"휴무",IF(AC23&gt;=100,"좋아요",IF(AC23&gt;=90,"90~99",IF(AC23&gt;=80,"80~89"," 사유?→"))))</f>
        <v>80~89</v>
      </c>
      <c r="AE23" s="36"/>
      <c r="AF23" s="37">
        <f>AG23-F23</f>
        <v>-11</v>
      </c>
      <c r="AG23" s="38">
        <f>AN23</f>
        <v>0</v>
      </c>
      <c r="AH23" s="294" t="s">
        <v>29</v>
      </c>
      <c r="AI23" s="39"/>
      <c r="AJ23" s="40">
        <f>IFERROR(Z23/W23*1000,"")</f>
        <v>1127.4329501915709</v>
      </c>
      <c r="AK23" s="39"/>
      <c r="AL23" s="41"/>
      <c r="AM23" s="41"/>
      <c r="AN23" s="41"/>
      <c r="AP23" s="294">
        <f t="shared" ref="AP23:AP28" si="24">AO23-F23</f>
        <v>-11</v>
      </c>
      <c r="AQ23" s="42"/>
    </row>
    <row r="24" spans="2:43" s="294" customFormat="1" ht="99.75" customHeight="1" x14ac:dyDescent="0.3">
      <c r="B24" s="421"/>
      <c r="C24" s="24">
        <f t="shared" si="12"/>
        <v>12</v>
      </c>
      <c r="D24" s="43" t="s">
        <v>30</v>
      </c>
      <c r="E24" s="26" t="s">
        <v>28</v>
      </c>
      <c r="F24" s="25">
        <v>11</v>
      </c>
      <c r="G24" s="125">
        <v>392</v>
      </c>
      <c r="H24" s="125">
        <f t="shared" si="13"/>
        <v>100</v>
      </c>
      <c r="I24" s="123" t="s">
        <v>92</v>
      </c>
      <c r="J24" s="123" t="s">
        <v>191</v>
      </c>
      <c r="K24" s="123" t="s">
        <v>74</v>
      </c>
      <c r="L24" s="123" t="s">
        <v>84</v>
      </c>
      <c r="M24" s="123"/>
      <c r="N24" s="129" t="s">
        <v>90</v>
      </c>
      <c r="O24" s="123" t="s">
        <v>74</v>
      </c>
      <c r="P24" s="123" t="s">
        <v>169</v>
      </c>
      <c r="Q24" s="123" t="s">
        <v>91</v>
      </c>
      <c r="R24" s="123" t="s">
        <v>89</v>
      </c>
      <c r="S24" s="124">
        <f t="shared" si="14"/>
        <v>6.5</v>
      </c>
      <c r="T24" s="27">
        <f t="shared" si="15"/>
        <v>726</v>
      </c>
      <c r="U24" s="28">
        <f>+H61</f>
        <v>392</v>
      </c>
      <c r="V24" s="44">
        <f t="shared" si="16"/>
        <v>35.636363636363633</v>
      </c>
      <c r="W24" s="45">
        <f t="shared" si="17"/>
        <v>0.53994490358126723</v>
      </c>
      <c r="X24" s="46">
        <f>+K61</f>
        <v>482.75</v>
      </c>
      <c r="Y24" s="29">
        <f t="shared" si="18"/>
        <v>43.886363636363633</v>
      </c>
      <c r="Z24" s="47">
        <f t="shared" si="19"/>
        <v>0.66494490358126723</v>
      </c>
      <c r="AA24" s="48">
        <f t="shared" si="20"/>
        <v>26.997245179063363</v>
      </c>
      <c r="AB24" s="49">
        <f t="shared" si="21"/>
        <v>36.206250000000004</v>
      </c>
      <c r="AC24" s="139">
        <f t="shared" si="22"/>
        <v>63.203495179063367</v>
      </c>
      <c r="AD24" s="195" t="str">
        <f t="shared" si="23"/>
        <v xml:space="preserve"> 사유?→</v>
      </c>
      <c r="AE24" s="160" t="s">
        <v>196</v>
      </c>
      <c r="AF24" s="37">
        <f>AG24-F24</f>
        <v>-11</v>
      </c>
      <c r="AG24" s="38">
        <f>AN24</f>
        <v>0</v>
      </c>
      <c r="AH24" s="294" t="s">
        <v>34</v>
      </c>
      <c r="AI24" s="39"/>
      <c r="AJ24" s="40">
        <f>IFERROR(Z24/W24*1000,"")</f>
        <v>1231.5051020408164</v>
      </c>
      <c r="AK24" s="39"/>
      <c r="AL24" s="41"/>
      <c r="AM24" s="41"/>
      <c r="AN24" s="41"/>
      <c r="AP24" s="294">
        <f t="shared" si="24"/>
        <v>-11</v>
      </c>
      <c r="AQ24" s="42"/>
    </row>
    <row r="25" spans="2:43" s="294" customFormat="1" ht="97.5" customHeight="1" x14ac:dyDescent="0.3">
      <c r="B25" s="421"/>
      <c r="C25" s="24">
        <f t="shared" si="12"/>
        <v>13</v>
      </c>
      <c r="D25" s="43" t="s">
        <v>32</v>
      </c>
      <c r="E25" s="26" t="s">
        <v>29</v>
      </c>
      <c r="F25" s="25">
        <v>8</v>
      </c>
      <c r="G25" s="124">
        <v>289</v>
      </c>
      <c r="H25" s="124">
        <f t="shared" si="13"/>
        <v>96.655518394648837</v>
      </c>
      <c r="I25" s="123" t="s">
        <v>92</v>
      </c>
      <c r="J25" s="123" t="s">
        <v>191</v>
      </c>
      <c r="K25" s="123" t="s">
        <v>74</v>
      </c>
      <c r="L25" s="123" t="s">
        <v>84</v>
      </c>
      <c r="M25" s="123"/>
      <c r="N25" s="129" t="s">
        <v>90</v>
      </c>
      <c r="O25" s="123" t="s">
        <v>74</v>
      </c>
      <c r="P25" s="123" t="s">
        <v>169</v>
      </c>
      <c r="Q25" s="123" t="s">
        <v>91</v>
      </c>
      <c r="R25" s="123" t="s">
        <v>89</v>
      </c>
      <c r="S25" s="124">
        <f t="shared" si="14"/>
        <v>6.5</v>
      </c>
      <c r="T25" s="27">
        <f t="shared" si="15"/>
        <v>528</v>
      </c>
      <c r="U25" s="28">
        <f>+H64</f>
        <v>299</v>
      </c>
      <c r="V25" s="44">
        <f t="shared" si="16"/>
        <v>37.375</v>
      </c>
      <c r="W25" s="45">
        <f t="shared" si="17"/>
        <v>0.56628787878787878</v>
      </c>
      <c r="X25" s="46">
        <f>+K64</f>
        <v>208.86</v>
      </c>
      <c r="Y25" s="29">
        <f t="shared" si="18"/>
        <v>26.107500000000002</v>
      </c>
      <c r="Z25" s="47">
        <f t="shared" si="19"/>
        <v>0.39556818181818182</v>
      </c>
      <c r="AA25" s="48">
        <f t="shared" si="20"/>
        <v>28.314393939393938</v>
      </c>
      <c r="AB25" s="49">
        <f t="shared" si="21"/>
        <v>21.538687500000002</v>
      </c>
      <c r="AC25" s="139">
        <f t="shared" si="22"/>
        <v>49.853081439393939</v>
      </c>
      <c r="AD25" s="161" t="str">
        <f t="shared" si="23"/>
        <v xml:space="preserve"> 사유?→</v>
      </c>
      <c r="AE25" s="160" t="s">
        <v>197</v>
      </c>
      <c r="AF25" s="37">
        <f>AG25-F25</f>
        <v>-8</v>
      </c>
      <c r="AG25" s="38">
        <f>AN25</f>
        <v>0</v>
      </c>
      <c r="AH25" s="294" t="s">
        <v>36</v>
      </c>
      <c r="AI25" s="39"/>
      <c r="AJ25" s="40">
        <f>IFERROR(Z25/W25*1000,"")</f>
        <v>698.52842809364552</v>
      </c>
      <c r="AK25" s="39"/>
      <c r="AL25" s="41"/>
      <c r="AM25" s="41"/>
      <c r="AN25" s="41"/>
      <c r="AP25" s="294">
        <f t="shared" si="24"/>
        <v>-8</v>
      </c>
      <c r="AQ25" s="42"/>
    </row>
    <row r="26" spans="2:43" s="294" customFormat="1" ht="115.5" customHeight="1" x14ac:dyDescent="0.3">
      <c r="B26" s="421"/>
      <c r="C26" s="24">
        <f t="shared" si="12"/>
        <v>14</v>
      </c>
      <c r="D26" s="43" t="s">
        <v>35</v>
      </c>
      <c r="E26" s="26" t="s">
        <v>28</v>
      </c>
      <c r="F26" s="25">
        <v>11</v>
      </c>
      <c r="G26" s="124">
        <v>456</v>
      </c>
      <c r="H26" s="124">
        <f t="shared" si="13"/>
        <v>99.781181619256017</v>
      </c>
      <c r="I26" s="123" t="s">
        <v>92</v>
      </c>
      <c r="J26" s="123" t="s">
        <v>191</v>
      </c>
      <c r="K26" s="123" t="s">
        <v>74</v>
      </c>
      <c r="L26" s="123" t="s">
        <v>84</v>
      </c>
      <c r="M26" s="123"/>
      <c r="N26" s="129" t="s">
        <v>90</v>
      </c>
      <c r="O26" s="123" t="s">
        <v>74</v>
      </c>
      <c r="P26" s="123" t="s">
        <v>169</v>
      </c>
      <c r="Q26" s="123" t="s">
        <v>91</v>
      </c>
      <c r="R26" s="123" t="s">
        <v>89</v>
      </c>
      <c r="S26" s="124">
        <f t="shared" si="14"/>
        <v>6.5</v>
      </c>
      <c r="T26" s="27">
        <f t="shared" si="15"/>
        <v>726</v>
      </c>
      <c r="U26" s="28">
        <f>+H67</f>
        <v>457</v>
      </c>
      <c r="V26" s="44">
        <f t="shared" si="16"/>
        <v>41.545454545454547</v>
      </c>
      <c r="W26" s="45">
        <f t="shared" si="17"/>
        <v>0.62947658402203854</v>
      </c>
      <c r="X26" s="46">
        <f>+K67</f>
        <v>322.44</v>
      </c>
      <c r="Y26" s="44">
        <f t="shared" si="18"/>
        <v>29.312727272727273</v>
      </c>
      <c r="Z26" s="47">
        <f t="shared" si="19"/>
        <v>0.44413223140495867</v>
      </c>
      <c r="AA26" s="48">
        <f t="shared" si="20"/>
        <v>31.473829201101928</v>
      </c>
      <c r="AB26" s="49">
        <f t="shared" si="21"/>
        <v>24.183</v>
      </c>
      <c r="AC26" s="139">
        <f t="shared" si="22"/>
        <v>55.656829201101928</v>
      </c>
      <c r="AD26" s="161" t="str">
        <f t="shared" si="23"/>
        <v xml:space="preserve"> 사유?→</v>
      </c>
      <c r="AE26" s="160" t="s">
        <v>198</v>
      </c>
      <c r="AF26" s="37">
        <f>AG26-F26</f>
        <v>-11</v>
      </c>
      <c r="AG26" s="38">
        <f>AN26</f>
        <v>0</v>
      </c>
      <c r="AH26" s="294" t="s">
        <v>33</v>
      </c>
      <c r="AI26" s="39"/>
      <c r="AJ26" s="40">
        <f>IFERROR(Z26/W26*1000,"")</f>
        <v>705.55798687089725</v>
      </c>
      <c r="AK26" s="39"/>
      <c r="AL26" s="41"/>
      <c r="AM26" s="41"/>
      <c r="AN26" s="41"/>
      <c r="AP26" s="294">
        <f t="shared" si="24"/>
        <v>-11</v>
      </c>
      <c r="AQ26" s="42"/>
    </row>
    <row r="27" spans="2:43" s="294" customFormat="1" ht="104.25" customHeight="1" x14ac:dyDescent="0.3">
      <c r="B27" s="421"/>
      <c r="C27" s="24">
        <f t="shared" si="12"/>
        <v>15</v>
      </c>
      <c r="D27" s="43" t="s">
        <v>37</v>
      </c>
      <c r="E27" s="26" t="s">
        <v>28</v>
      </c>
      <c r="F27" s="25">
        <v>11</v>
      </c>
      <c r="G27" s="125">
        <v>426</v>
      </c>
      <c r="H27" s="130">
        <f t="shared" si="13"/>
        <v>96.818181818181813</v>
      </c>
      <c r="I27" s="123" t="s">
        <v>92</v>
      </c>
      <c r="J27" s="123" t="s">
        <v>191</v>
      </c>
      <c r="K27" s="123" t="s">
        <v>74</v>
      </c>
      <c r="L27" s="123" t="s">
        <v>84</v>
      </c>
      <c r="M27" s="123"/>
      <c r="N27" s="129" t="s">
        <v>90</v>
      </c>
      <c r="O27" s="123" t="s">
        <v>74</v>
      </c>
      <c r="P27" s="123" t="s">
        <v>169</v>
      </c>
      <c r="Q27" s="123" t="s">
        <v>91</v>
      </c>
      <c r="R27" s="123" t="s">
        <v>89</v>
      </c>
      <c r="S27" s="125">
        <f t="shared" si="14"/>
        <v>6.5</v>
      </c>
      <c r="T27" s="27">
        <f t="shared" si="15"/>
        <v>726</v>
      </c>
      <c r="U27" s="28">
        <f>+H70</f>
        <v>440</v>
      </c>
      <c r="V27" s="44">
        <f t="shared" si="16"/>
        <v>40</v>
      </c>
      <c r="W27" s="45">
        <f t="shared" si="17"/>
        <v>0.60606060606060608</v>
      </c>
      <c r="X27" s="46">
        <f>+K70</f>
        <v>474.56</v>
      </c>
      <c r="Y27" s="44">
        <f t="shared" si="18"/>
        <v>43.141818181818181</v>
      </c>
      <c r="Z27" s="47">
        <f t="shared" si="19"/>
        <v>0.65366391184573003</v>
      </c>
      <c r="AA27" s="48">
        <f t="shared" si="20"/>
        <v>30.303030303030305</v>
      </c>
      <c r="AB27" s="49">
        <f t="shared" si="21"/>
        <v>35.591999999999999</v>
      </c>
      <c r="AC27" s="139">
        <f t="shared" si="22"/>
        <v>65.895030303030296</v>
      </c>
      <c r="AD27" s="161" t="str">
        <f t="shared" si="23"/>
        <v xml:space="preserve"> 사유?→</v>
      </c>
      <c r="AE27" s="160" t="s">
        <v>200</v>
      </c>
      <c r="AF27" s="37">
        <f>AG27-F27</f>
        <v>-11</v>
      </c>
      <c r="AG27" s="38">
        <f>AN27</f>
        <v>0</v>
      </c>
      <c r="AH27" s="294" t="s">
        <v>46</v>
      </c>
      <c r="AI27" s="39"/>
      <c r="AJ27" s="40">
        <f>IFERROR(Z27/W27*1000,"")</f>
        <v>1078.5454545454545</v>
      </c>
      <c r="AL27" s="41"/>
      <c r="AM27" s="41"/>
      <c r="AN27" s="41"/>
      <c r="AP27" s="294">
        <f t="shared" si="24"/>
        <v>-11</v>
      </c>
      <c r="AQ27" s="42"/>
    </row>
    <row r="28" spans="2:43" s="294" customFormat="1" ht="104.25" customHeight="1" x14ac:dyDescent="0.3">
      <c r="B28" s="421"/>
      <c r="C28" s="24">
        <f t="shared" si="12"/>
        <v>16</v>
      </c>
      <c r="D28" s="43" t="s">
        <v>47</v>
      </c>
      <c r="E28" s="26" t="s">
        <v>36</v>
      </c>
      <c r="F28" s="25">
        <v>8</v>
      </c>
      <c r="G28" s="124">
        <v>365</v>
      </c>
      <c r="H28" s="124">
        <f t="shared" si="13"/>
        <v>84.10138248847926</v>
      </c>
      <c r="I28" s="123" t="s">
        <v>201</v>
      </c>
      <c r="J28" s="123" t="s">
        <v>191</v>
      </c>
      <c r="K28" s="123" t="s">
        <v>74</v>
      </c>
      <c r="L28" s="123" t="s">
        <v>84</v>
      </c>
      <c r="M28" s="123"/>
      <c r="N28" s="129" t="s">
        <v>203</v>
      </c>
      <c r="O28" s="123" t="s">
        <v>74</v>
      </c>
      <c r="P28" s="123"/>
      <c r="Q28" s="123" t="s">
        <v>91</v>
      </c>
      <c r="R28" s="123" t="s">
        <v>89</v>
      </c>
      <c r="S28" s="124">
        <f t="shared" si="14"/>
        <v>6</v>
      </c>
      <c r="T28" s="297">
        <f t="shared" si="15"/>
        <v>528</v>
      </c>
      <c r="U28" s="28">
        <f>+H73</f>
        <v>434</v>
      </c>
      <c r="V28" s="29">
        <f t="shared" si="16"/>
        <v>54.25</v>
      </c>
      <c r="W28" s="30">
        <f t="shared" si="17"/>
        <v>0.82196969696969702</v>
      </c>
      <c r="X28" s="31">
        <f>+K73</f>
        <v>382.92</v>
      </c>
      <c r="Y28" s="44">
        <f t="shared" si="18"/>
        <v>47.865000000000002</v>
      </c>
      <c r="Z28" s="47">
        <f t="shared" si="19"/>
        <v>0.72522727272727272</v>
      </c>
      <c r="AA28" s="48">
        <f t="shared" si="20"/>
        <v>41.098484848484851</v>
      </c>
      <c r="AB28" s="49">
        <f t="shared" si="21"/>
        <v>39.488624999999999</v>
      </c>
      <c r="AC28" s="139">
        <f t="shared" si="22"/>
        <v>80.587109848484857</v>
      </c>
      <c r="AD28" s="50" t="str">
        <f t="shared" si="23"/>
        <v>80~89</v>
      </c>
      <c r="AE28" s="36" t="s">
        <v>199</v>
      </c>
      <c r="AF28" s="37"/>
      <c r="AG28" s="38"/>
      <c r="AI28" s="39"/>
      <c r="AJ28" s="40"/>
      <c r="AL28" s="41"/>
      <c r="AM28" s="41"/>
      <c r="AN28" s="41"/>
      <c r="AP28" s="294">
        <f t="shared" si="24"/>
        <v>-8</v>
      </c>
      <c r="AQ28" s="42"/>
    </row>
    <row r="29" spans="2:43" s="294" customFormat="1" ht="36" customHeight="1" x14ac:dyDescent="0.3">
      <c r="B29" s="422" t="s">
        <v>39</v>
      </c>
      <c r="C29" s="423"/>
      <c r="D29" s="423"/>
      <c r="E29" s="424"/>
      <c r="F29" s="43">
        <f>SUM(F23:F28)</f>
        <v>60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3960</v>
      </c>
      <c r="U29" s="53">
        <f>SUM(U23:U28)</f>
        <v>2544</v>
      </c>
      <c r="V29" s="54">
        <f>U29/F29</f>
        <v>42.4</v>
      </c>
      <c r="W29" s="45">
        <f t="shared" si="17"/>
        <v>0.64242424242424245</v>
      </c>
      <c r="X29" s="55">
        <f>SUM(X23:X28)</f>
        <v>2460.0500000000002</v>
      </c>
      <c r="Y29" s="44">
        <f>X29/F29</f>
        <v>41.00083333333334</v>
      </c>
      <c r="Z29" s="47">
        <f t="shared" si="19"/>
        <v>0.62122474747474754</v>
      </c>
      <c r="AA29" s="56">
        <f>U29/T29*AA20</f>
        <v>32.121212121212125</v>
      </c>
      <c r="AB29" s="57">
        <f>X29/T29*AB20</f>
        <v>33.825687500000008</v>
      </c>
      <c r="AC29" s="140">
        <f t="shared" si="22"/>
        <v>65.94689962121214</v>
      </c>
      <c r="AD29" s="162" t="str">
        <f t="shared" si="23"/>
        <v xml:space="preserve"> 사유?→</v>
      </c>
      <c r="AE29" s="43"/>
      <c r="AF29" s="37">
        <f>AG29-F29</f>
        <v>-60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10</v>
      </c>
      <c r="G30" s="295"/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61">
        <f>V30*F30</f>
        <v>424</v>
      </c>
      <c r="V30" s="62">
        <f>U29/F29</f>
        <v>42.4</v>
      </c>
      <c r="W30" s="63">
        <f>IFERROR(U30/#REF!,0)</f>
        <v>0</v>
      </c>
      <c r="X30" s="64">
        <f>X29/F29*F30</f>
        <v>410.00833333333338</v>
      </c>
      <c r="Y30" s="62">
        <f>IF(F30=0,"휴무",X30/F30)</f>
        <v>41.00083333333334</v>
      </c>
      <c r="Z30" s="65">
        <f>IFERROR(X30/#REF!,0)</f>
        <v>0</v>
      </c>
      <c r="AA30" s="60">
        <f>AVERAGE(AA23:AA28)</f>
        <v>32.356232782369148</v>
      </c>
      <c r="AB30" s="60">
        <f>AVERAGE(AB23:AB28)</f>
        <v>33.524593750000001</v>
      </c>
      <c r="AC30" s="141">
        <f>AA30+AB30</f>
        <v>65.880826532369156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294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11</v>
      </c>
      <c r="F36" s="455" t="s">
        <v>7</v>
      </c>
      <c r="G36" s="82" t="s">
        <v>48</v>
      </c>
      <c r="H36" s="83">
        <v>2</v>
      </c>
      <c r="I36" s="84"/>
      <c r="J36" s="85"/>
      <c r="K36" s="86">
        <f>0.62+2.87</f>
        <v>3.49</v>
      </c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>
        <v>222</v>
      </c>
      <c r="I37" s="84"/>
      <c r="J37" s="85"/>
      <c r="K37" s="86">
        <v>325.89</v>
      </c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446</v>
      </c>
      <c r="I38" s="88"/>
      <c r="J38" s="89"/>
      <c r="K38" s="90">
        <f>+K36+K37*2</f>
        <v>655.27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12</v>
      </c>
      <c r="F39" s="455" t="s">
        <v>52</v>
      </c>
      <c r="G39" s="82" t="s">
        <v>48</v>
      </c>
      <c r="H39" s="83">
        <f>419-52</f>
        <v>367</v>
      </c>
      <c r="I39" s="84"/>
      <c r="J39" s="85"/>
      <c r="K39" s="86">
        <f>463.25-23.68</f>
        <v>439.57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>
        <v>52</v>
      </c>
      <c r="I40" s="84"/>
      <c r="J40" s="85"/>
      <c r="K40" s="86">
        <v>23.68</v>
      </c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471</v>
      </c>
      <c r="I41" s="88"/>
      <c r="J41" s="89"/>
      <c r="K41" s="90">
        <f>+K39+K40*2</f>
        <v>486.93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13</v>
      </c>
      <c r="F42" s="455" t="s">
        <v>53</v>
      </c>
      <c r="G42" s="82" t="s">
        <v>48</v>
      </c>
      <c r="H42" s="83">
        <v>425</v>
      </c>
      <c r="I42" s="84"/>
      <c r="J42" s="85"/>
      <c r="K42" s="86">
        <v>382.96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425</v>
      </c>
      <c r="I44" s="88"/>
      <c r="J44" s="89"/>
      <c r="K44" s="90">
        <f>+K42+K43*2</f>
        <v>382.96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14</v>
      </c>
      <c r="F45" s="455" t="s">
        <v>55</v>
      </c>
      <c r="G45" s="82" t="s">
        <v>48</v>
      </c>
      <c r="H45" s="83">
        <f>396-177</f>
        <v>219</v>
      </c>
      <c r="I45" s="84"/>
      <c r="J45" s="85"/>
      <c r="K45" s="86">
        <f>508.35-242.3</f>
        <v>266.05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>
        <v>177</v>
      </c>
      <c r="I46" s="84"/>
      <c r="J46" s="85"/>
      <c r="K46" s="86">
        <v>242.3</v>
      </c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573</v>
      </c>
      <c r="I47" s="88"/>
      <c r="J47" s="89"/>
      <c r="K47" s="90">
        <f>+K45+K46*2</f>
        <v>750.65000000000009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15</v>
      </c>
      <c r="F48" s="455" t="s">
        <v>56</v>
      </c>
      <c r="G48" s="82" t="s">
        <v>48</v>
      </c>
      <c r="H48" s="83">
        <f>380-179</f>
        <v>201</v>
      </c>
      <c r="I48" s="84"/>
      <c r="J48" s="85"/>
      <c r="K48" s="86">
        <f>548.98-294.2</f>
        <v>254.78000000000003</v>
      </c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>
        <v>179</v>
      </c>
      <c r="I49" s="84"/>
      <c r="J49" s="85"/>
      <c r="K49" s="86">
        <v>294.2</v>
      </c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559</v>
      </c>
      <c r="I50" s="88"/>
      <c r="J50" s="89"/>
      <c r="K50" s="90">
        <f>+K48+K49*2</f>
        <v>843.18000000000006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16</v>
      </c>
      <c r="F51" s="455" t="s">
        <v>38</v>
      </c>
      <c r="G51" s="82" t="s">
        <v>48</v>
      </c>
      <c r="H51" s="83">
        <v>346</v>
      </c>
      <c r="I51" s="84"/>
      <c r="J51" s="85"/>
      <c r="K51" s="86">
        <v>337.14</v>
      </c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346</v>
      </c>
      <c r="I53" s="88"/>
      <c r="J53" s="89"/>
      <c r="K53" s="90">
        <f>+K51+K52*2</f>
        <v>337.14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11</v>
      </c>
      <c r="F56" s="455" t="s">
        <v>7</v>
      </c>
      <c r="G56" s="82" t="s">
        <v>48</v>
      </c>
      <c r="H56" s="83">
        <v>522</v>
      </c>
      <c r="I56" s="84"/>
      <c r="J56" s="85"/>
      <c r="K56" s="86">
        <v>588.52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/>
      <c r="I57" s="84"/>
      <c r="J57" s="85"/>
      <c r="K57" s="86"/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522</v>
      </c>
      <c r="I58" s="88"/>
      <c r="J58" s="89"/>
      <c r="K58" s="90">
        <f>+K56+K57*2</f>
        <v>588.52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12</v>
      </c>
      <c r="F59" s="455" t="s">
        <v>52</v>
      </c>
      <c r="G59" s="82" t="s">
        <v>48</v>
      </c>
      <c r="H59" s="83">
        <v>392</v>
      </c>
      <c r="I59" s="84"/>
      <c r="J59" s="85"/>
      <c r="K59" s="86">
        <v>482.75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/>
      <c r="I60" s="84"/>
      <c r="J60" s="85"/>
      <c r="K60" s="86"/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392</v>
      </c>
      <c r="I61" s="88"/>
      <c r="J61" s="89"/>
      <c r="K61" s="90">
        <f>+K59+K60*2</f>
        <v>482.75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13</v>
      </c>
      <c r="F62" s="455" t="s">
        <v>53</v>
      </c>
      <c r="G62" s="82" t="s">
        <v>48</v>
      </c>
      <c r="H62" s="83">
        <v>299</v>
      </c>
      <c r="I62" s="84"/>
      <c r="J62" s="85"/>
      <c r="K62" s="86">
        <v>208.86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/>
      <c r="I63" s="84"/>
      <c r="J63" s="85"/>
      <c r="K63" s="86"/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299</v>
      </c>
      <c r="I64" s="88"/>
      <c r="J64" s="89"/>
      <c r="K64" s="90">
        <f>+K62+K63*2</f>
        <v>208.86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14</v>
      </c>
      <c r="F65" s="455" t="s">
        <v>55</v>
      </c>
      <c r="G65" s="82" t="s">
        <v>48</v>
      </c>
      <c r="H65" s="83">
        <v>457</v>
      </c>
      <c r="I65" s="84"/>
      <c r="J65" s="85"/>
      <c r="K65" s="86">
        <v>322.44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/>
      <c r="I66" s="84"/>
      <c r="J66" s="85"/>
      <c r="K66" s="86"/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457</v>
      </c>
      <c r="I67" s="88"/>
      <c r="J67" s="89"/>
      <c r="K67" s="90">
        <f>+K65+K66*2</f>
        <v>322.44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15</v>
      </c>
      <c r="F68" s="455" t="s">
        <v>56</v>
      </c>
      <c r="G68" s="82" t="s">
        <v>48</v>
      </c>
      <c r="H68" s="83">
        <f>428-12</f>
        <v>416</v>
      </c>
      <c r="I68" s="84"/>
      <c r="J68" s="85"/>
      <c r="K68" s="86">
        <f>454.56-20</f>
        <v>434.56</v>
      </c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>
        <v>12</v>
      </c>
      <c r="I69" s="84"/>
      <c r="J69" s="85"/>
      <c r="K69" s="86">
        <v>20</v>
      </c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440</v>
      </c>
      <c r="I70" s="88"/>
      <c r="J70" s="89"/>
      <c r="K70" s="90">
        <f>+K68+K69*2</f>
        <v>474.56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16</v>
      </c>
      <c r="F71" s="455" t="s">
        <v>38</v>
      </c>
      <c r="G71" s="82" t="s">
        <v>48</v>
      </c>
      <c r="H71" s="83">
        <f>407-27</f>
        <v>380</v>
      </c>
      <c r="I71" s="84"/>
      <c r="J71" s="85"/>
      <c r="K71" s="86">
        <f>344.79-38.13</f>
        <v>306.66000000000003</v>
      </c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>
        <v>27</v>
      </c>
      <c r="I72" s="84"/>
      <c r="J72" s="85"/>
      <c r="K72" s="86">
        <v>38.130000000000003</v>
      </c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434</v>
      </c>
      <c r="I73" s="88"/>
      <c r="J73" s="89"/>
      <c r="K73" s="90">
        <f>+K71+K72*2</f>
        <v>382.92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296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5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6">IF(F80=0,"휴무",AA80+AB80)</f>
        <v>#REF!</v>
      </c>
      <c r="AD80" s="103" t="e">
        <f t="shared" ref="AD80:AD85" si="27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294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294"/>
      <c r="AP80" s="294">
        <f>AO80-F80</f>
        <v>-10</v>
      </c>
    </row>
    <row r="81" spans="2:42" ht="98.25" customHeight="1" x14ac:dyDescent="0.3">
      <c r="B81" s="459"/>
      <c r="C81" s="92">
        <v>20</v>
      </c>
      <c r="D81" s="290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5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6"/>
        <v>#REF!</v>
      </c>
      <c r="AD81" s="108" t="e">
        <f t="shared" si="27"/>
        <v>#REF!</v>
      </c>
      <c r="AE81" s="109"/>
      <c r="AF81" s="37">
        <f>AG81-F81</f>
        <v>-10</v>
      </c>
      <c r="AG81" s="38">
        <f>AN81</f>
        <v>0</v>
      </c>
      <c r="AH81" s="294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294"/>
      <c r="AP81" s="294">
        <f>AO81-F81</f>
        <v>-10</v>
      </c>
    </row>
    <row r="82" spans="2:42" ht="98.25" customHeight="1" x14ac:dyDescent="0.3">
      <c r="B82" s="459"/>
      <c r="C82" s="92">
        <v>21</v>
      </c>
      <c r="D82" s="290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5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6"/>
        <v>#REF!</v>
      </c>
      <c r="AD82" s="108" t="e">
        <f t="shared" si="27"/>
        <v>#REF!</v>
      </c>
      <c r="AE82" s="109"/>
      <c r="AF82" s="37">
        <f>AG82-F82</f>
        <v>-10</v>
      </c>
      <c r="AG82" s="38">
        <f>AN82</f>
        <v>0</v>
      </c>
      <c r="AH82" s="294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294"/>
      <c r="AP82" s="294">
        <f>AO82-F82</f>
        <v>-10</v>
      </c>
    </row>
    <row r="83" spans="2:42" ht="98.25" customHeight="1" x14ac:dyDescent="0.3">
      <c r="B83" s="459"/>
      <c r="C83" s="92">
        <v>22</v>
      </c>
      <c r="D83" s="290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5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6"/>
        <v>#REF!</v>
      </c>
      <c r="AD83" s="110" t="e">
        <f t="shared" si="27"/>
        <v>#REF!</v>
      </c>
      <c r="AE83" s="104"/>
      <c r="AF83" s="37">
        <f>AG83-F83</f>
        <v>-10</v>
      </c>
      <c r="AG83" s="38">
        <f>AN83</f>
        <v>0</v>
      </c>
      <c r="AH83" s="294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294"/>
      <c r="AP83" s="294">
        <f>AO83-F83</f>
        <v>-10</v>
      </c>
    </row>
    <row r="84" spans="2:42" ht="98.25" customHeight="1" x14ac:dyDescent="0.3">
      <c r="B84" s="459"/>
      <c r="C84" s="92">
        <v>23</v>
      </c>
      <c r="D84" s="290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5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6"/>
        <v>#REF!</v>
      </c>
      <c r="AD84" s="110" t="e">
        <f t="shared" si="27"/>
        <v>#REF!</v>
      </c>
      <c r="AE84" s="104"/>
      <c r="AF84" s="37">
        <f>AG84-F84</f>
        <v>-10</v>
      </c>
      <c r="AG84" s="38">
        <f>AN84</f>
        <v>0</v>
      </c>
      <c r="AH84" s="294" t="s">
        <v>46</v>
      </c>
      <c r="AI84" s="39"/>
      <c r="AJ84" s="40" t="str">
        <f>IFERROR(Z84/W84*1000,"")</f>
        <v/>
      </c>
      <c r="AK84" s="294"/>
      <c r="AL84" s="41"/>
      <c r="AM84" s="41"/>
      <c r="AN84" s="41"/>
      <c r="AO84" s="294"/>
      <c r="AP84" s="294">
        <f>AO84-F84</f>
        <v>-10</v>
      </c>
    </row>
    <row r="85" spans="2:42" ht="98.25" customHeight="1" x14ac:dyDescent="0.3">
      <c r="B85" s="459"/>
      <c r="C85" s="92">
        <v>25</v>
      </c>
      <c r="D85" s="290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295"/>
      <c r="H85" s="295"/>
      <c r="I85" s="295"/>
      <c r="J85" s="295"/>
      <c r="K85" s="295"/>
      <c r="L85" s="295"/>
      <c r="M85" s="295"/>
      <c r="N85" s="295"/>
      <c r="O85" s="295"/>
      <c r="P85" s="295"/>
      <c r="Q85" s="295"/>
      <c r="R85" s="295"/>
      <c r="S85" s="295"/>
      <c r="T85" s="295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5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6"/>
        <v>휴무</v>
      </c>
      <c r="AD85" s="110" t="str">
        <f t="shared" si="27"/>
        <v>휴무</v>
      </c>
      <c r="AE85" s="104"/>
      <c r="AF85" s="37"/>
      <c r="AG85" s="38"/>
      <c r="AH85" s="294"/>
      <c r="AI85" s="39"/>
      <c r="AJ85" s="40"/>
      <c r="AK85" s="294"/>
      <c r="AL85" s="41"/>
      <c r="AM85" s="41"/>
      <c r="AN85" s="41"/>
      <c r="AO85" s="294"/>
      <c r="AP85" s="294"/>
    </row>
    <row r="86" spans="2:42" ht="36" customHeight="1" x14ac:dyDescent="0.3">
      <c r="B86" s="460" t="s">
        <v>39</v>
      </c>
      <c r="C86" s="461"/>
      <c r="D86" s="461"/>
      <c r="E86" s="462"/>
      <c r="F86" s="290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290"/>
      <c r="AB86" s="291"/>
      <c r="AC86" s="114"/>
      <c r="AD86" s="115"/>
      <c r="AE86" s="292"/>
      <c r="AF86" s="37">
        <f>AG86-F86</f>
        <v>-50</v>
      </c>
      <c r="AG86" s="38">
        <f>SUM(AG80:AG85)</f>
        <v>0</v>
      </c>
      <c r="AH86" s="294"/>
      <c r="AI86" s="294"/>
      <c r="AJ86" s="40"/>
      <c r="AK86" s="294"/>
      <c r="AL86" s="59"/>
      <c r="AM86" s="59"/>
      <c r="AN86" s="59"/>
      <c r="AO86" s="294"/>
      <c r="AP86" s="294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295"/>
      <c r="H87" s="295"/>
      <c r="I87" s="295"/>
      <c r="J87" s="295"/>
      <c r="K87" s="295"/>
      <c r="L87" s="295"/>
      <c r="M87" s="295"/>
      <c r="N87" s="295"/>
      <c r="O87" s="295"/>
      <c r="P87" s="295"/>
      <c r="Q87" s="295"/>
      <c r="R87" s="295"/>
      <c r="S87" s="295"/>
      <c r="T87" s="295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294"/>
      <c r="AE88" s="294"/>
      <c r="AF88" s="294"/>
      <c r="AG88" s="294"/>
      <c r="AH88" s="294"/>
      <c r="AI88" s="294"/>
      <c r="AJ88" s="294"/>
      <c r="AK88" s="294"/>
      <c r="AL88" s="59"/>
      <c r="AM88" s="59"/>
      <c r="AN88" s="59"/>
      <c r="AO88" s="294"/>
      <c r="AP88" s="294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290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290" t="s">
        <v>63</v>
      </c>
      <c r="D117" s="466" t="s">
        <v>12</v>
      </c>
      <c r="E117" s="466"/>
      <c r="F117" s="290" t="s">
        <v>64</v>
      </c>
      <c r="G117" s="290"/>
      <c r="H117" s="290"/>
      <c r="I117" s="290"/>
      <c r="J117" s="290"/>
      <c r="K117" s="290"/>
      <c r="L117" s="290"/>
      <c r="M117" s="290"/>
      <c r="N117" s="290"/>
      <c r="O117" s="290"/>
      <c r="P117" s="290"/>
      <c r="Q117" s="290"/>
      <c r="R117" s="290"/>
      <c r="S117" s="290"/>
      <c r="T117" s="290"/>
      <c r="U117" s="290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290"/>
      <c r="G118" s="290"/>
      <c r="H118" s="290"/>
      <c r="I118" s="290"/>
      <c r="J118" s="290"/>
      <c r="K118" s="290"/>
      <c r="L118" s="290"/>
      <c r="M118" s="290"/>
      <c r="N118" s="290"/>
      <c r="O118" s="290"/>
      <c r="P118" s="290"/>
      <c r="Q118" s="290"/>
      <c r="R118" s="290"/>
      <c r="S118" s="290"/>
      <c r="T118" s="290"/>
      <c r="U118" s="290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290"/>
      <c r="G120" s="290"/>
      <c r="H120" s="290"/>
      <c r="I120" s="290"/>
      <c r="J120" s="290"/>
      <c r="K120" s="290"/>
      <c r="L120" s="290"/>
      <c r="M120" s="290"/>
      <c r="N120" s="290"/>
      <c r="O120" s="290"/>
      <c r="P120" s="290"/>
      <c r="Q120" s="290"/>
      <c r="R120" s="290"/>
      <c r="S120" s="290"/>
      <c r="T120" s="290"/>
      <c r="U120" s="290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290"/>
      <c r="G121" s="290"/>
      <c r="H121" s="290"/>
      <c r="I121" s="290"/>
      <c r="J121" s="290"/>
      <c r="K121" s="290"/>
      <c r="L121" s="290"/>
      <c r="M121" s="290"/>
      <c r="N121" s="290"/>
      <c r="O121" s="290"/>
      <c r="P121" s="290"/>
      <c r="Q121" s="290"/>
      <c r="R121" s="290"/>
      <c r="S121" s="290"/>
      <c r="T121" s="290"/>
      <c r="U121" s="290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290"/>
      <c r="G122" s="290"/>
      <c r="H122" s="290"/>
      <c r="I122" s="290"/>
      <c r="J122" s="290"/>
      <c r="K122" s="290"/>
      <c r="L122" s="290"/>
      <c r="M122" s="290"/>
      <c r="N122" s="290"/>
      <c r="O122" s="290"/>
      <c r="P122" s="290"/>
      <c r="Q122" s="290"/>
      <c r="R122" s="290"/>
      <c r="S122" s="290"/>
      <c r="T122" s="290"/>
      <c r="U122" s="290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290"/>
      <c r="G123" s="290"/>
      <c r="H123" s="290"/>
      <c r="I123" s="290"/>
      <c r="J123" s="290"/>
      <c r="K123" s="290"/>
      <c r="L123" s="290"/>
      <c r="M123" s="290"/>
      <c r="N123" s="290"/>
      <c r="O123" s="290"/>
      <c r="P123" s="290"/>
      <c r="Q123" s="290"/>
      <c r="R123" s="290"/>
      <c r="S123" s="290"/>
      <c r="T123" s="290"/>
      <c r="U123" s="290"/>
      <c r="V123" s="117"/>
      <c r="W123" s="118"/>
      <c r="X123" s="116"/>
      <c r="Y123" s="117"/>
      <c r="Z123" s="116"/>
      <c r="AA123" s="116"/>
    </row>
    <row r="124" spans="3:27" x14ac:dyDescent="0.3">
      <c r="C124" s="290"/>
      <c r="D124" s="460"/>
      <c r="E124" s="462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0"/>
      <c r="U124" s="290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290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290" t="s">
        <v>63</v>
      </c>
      <c r="D127" s="466" t="s">
        <v>12</v>
      </c>
      <c r="E127" s="466"/>
      <c r="F127" s="290" t="s">
        <v>64</v>
      </c>
      <c r="G127" s="290"/>
      <c r="H127" s="290"/>
      <c r="I127" s="290"/>
      <c r="J127" s="290"/>
      <c r="K127" s="290"/>
      <c r="L127" s="290"/>
      <c r="M127" s="290"/>
      <c r="N127" s="290"/>
      <c r="O127" s="290"/>
      <c r="P127" s="290"/>
      <c r="Q127" s="290"/>
      <c r="R127" s="290"/>
      <c r="S127" s="290"/>
      <c r="T127" s="290"/>
      <c r="U127" s="290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0"/>
      <c r="U129" s="290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290"/>
      <c r="G130" s="290"/>
      <c r="H130" s="290"/>
      <c r="I130" s="290"/>
      <c r="J130" s="290"/>
      <c r="K130" s="290"/>
      <c r="L130" s="290"/>
      <c r="M130" s="290"/>
      <c r="N130" s="290"/>
      <c r="O130" s="290"/>
      <c r="P130" s="290"/>
      <c r="Q130" s="290"/>
      <c r="R130" s="290"/>
      <c r="S130" s="290"/>
      <c r="T130" s="290"/>
      <c r="U130" s="290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290"/>
      <c r="G131" s="290"/>
      <c r="H131" s="290"/>
      <c r="I131" s="290"/>
      <c r="J131" s="290"/>
      <c r="K131" s="290"/>
      <c r="L131" s="290"/>
      <c r="M131" s="290"/>
      <c r="N131" s="290"/>
      <c r="O131" s="290"/>
      <c r="P131" s="290"/>
      <c r="Q131" s="290"/>
      <c r="R131" s="290"/>
      <c r="S131" s="290"/>
      <c r="T131" s="290"/>
      <c r="U131" s="290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290"/>
      <c r="G132" s="290"/>
      <c r="H132" s="290"/>
      <c r="I132" s="290"/>
      <c r="J132" s="290"/>
      <c r="K132" s="290"/>
      <c r="L132" s="290"/>
      <c r="M132" s="290"/>
      <c r="N132" s="290"/>
      <c r="O132" s="290"/>
      <c r="P132" s="290"/>
      <c r="Q132" s="290"/>
      <c r="R132" s="290"/>
      <c r="S132" s="290"/>
      <c r="T132" s="290"/>
      <c r="U132" s="290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290"/>
      <c r="G133" s="290"/>
      <c r="H133" s="290"/>
      <c r="I133" s="290"/>
      <c r="J133" s="290"/>
      <c r="K133" s="290"/>
      <c r="L133" s="290"/>
      <c r="M133" s="290"/>
      <c r="N133" s="290"/>
      <c r="O133" s="290"/>
      <c r="P133" s="290"/>
      <c r="Q133" s="290"/>
      <c r="R133" s="290"/>
      <c r="S133" s="290"/>
      <c r="T133" s="290"/>
      <c r="U133" s="290"/>
      <c r="V133" s="117"/>
      <c r="W133" s="118"/>
      <c r="X133" s="116"/>
      <c r="Y133" s="117"/>
      <c r="Z133" s="116"/>
      <c r="AA133" s="116"/>
    </row>
    <row r="134" spans="3:27" x14ac:dyDescent="0.3">
      <c r="C134" s="290"/>
      <c r="D134" s="460"/>
      <c r="E134" s="462"/>
      <c r="F134" s="290"/>
      <c r="G134" s="290"/>
      <c r="H134" s="290"/>
      <c r="I134" s="290"/>
      <c r="J134" s="290"/>
      <c r="K134" s="290"/>
      <c r="L134" s="290"/>
      <c r="M134" s="290"/>
      <c r="N134" s="290"/>
      <c r="O134" s="290"/>
      <c r="P134" s="290"/>
      <c r="Q134" s="290"/>
      <c r="R134" s="290"/>
      <c r="S134" s="290"/>
      <c r="T134" s="290"/>
      <c r="U134" s="290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290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290" t="s">
        <v>63</v>
      </c>
      <c r="D137" s="466" t="s">
        <v>12</v>
      </c>
      <c r="E137" s="466"/>
      <c r="F137" s="290" t="s">
        <v>64</v>
      </c>
      <c r="G137" s="290"/>
      <c r="H137" s="290"/>
      <c r="I137" s="290"/>
      <c r="J137" s="290"/>
      <c r="K137" s="290"/>
      <c r="L137" s="290"/>
      <c r="M137" s="290"/>
      <c r="N137" s="290"/>
      <c r="O137" s="290"/>
      <c r="P137" s="290"/>
      <c r="Q137" s="290"/>
      <c r="R137" s="290"/>
      <c r="S137" s="290"/>
      <c r="T137" s="290"/>
      <c r="U137" s="290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290"/>
      <c r="G138" s="290"/>
      <c r="H138" s="290"/>
      <c r="I138" s="290"/>
      <c r="J138" s="290"/>
      <c r="K138" s="290"/>
      <c r="L138" s="290"/>
      <c r="M138" s="290"/>
      <c r="N138" s="290"/>
      <c r="O138" s="290"/>
      <c r="P138" s="290"/>
      <c r="Q138" s="290"/>
      <c r="R138" s="290"/>
      <c r="S138" s="290"/>
      <c r="T138" s="290"/>
      <c r="U138" s="290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290"/>
      <c r="G139" s="290"/>
      <c r="H139" s="290"/>
      <c r="I139" s="290"/>
      <c r="J139" s="290"/>
      <c r="K139" s="290"/>
      <c r="L139" s="290"/>
      <c r="M139" s="290"/>
      <c r="N139" s="290"/>
      <c r="O139" s="290"/>
      <c r="P139" s="290"/>
      <c r="Q139" s="290"/>
      <c r="R139" s="290"/>
      <c r="S139" s="290"/>
      <c r="T139" s="290"/>
      <c r="U139" s="290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290"/>
      <c r="G140" s="290"/>
      <c r="H140" s="290"/>
      <c r="I140" s="290"/>
      <c r="J140" s="290"/>
      <c r="K140" s="290"/>
      <c r="L140" s="290"/>
      <c r="M140" s="290"/>
      <c r="N140" s="290"/>
      <c r="O140" s="290"/>
      <c r="P140" s="290"/>
      <c r="Q140" s="290"/>
      <c r="R140" s="290"/>
      <c r="S140" s="290"/>
      <c r="T140" s="290"/>
      <c r="U140" s="290"/>
    </row>
    <row r="141" spans="3:27" x14ac:dyDescent="0.3">
      <c r="C141" s="119">
        <v>45078</v>
      </c>
      <c r="D141" s="466"/>
      <c r="E141" s="466"/>
      <c r="F141" s="290"/>
      <c r="G141" s="290"/>
      <c r="H141" s="290"/>
      <c r="I141" s="290"/>
      <c r="J141" s="290"/>
      <c r="K141" s="290"/>
      <c r="L141" s="290"/>
      <c r="M141" s="290"/>
      <c r="N141" s="290"/>
      <c r="O141" s="290"/>
      <c r="P141" s="290"/>
      <c r="Q141" s="290"/>
      <c r="R141" s="290"/>
      <c r="S141" s="290"/>
      <c r="T141" s="290"/>
      <c r="U141" s="290"/>
    </row>
    <row r="142" spans="3:27" x14ac:dyDescent="0.3">
      <c r="C142" s="119">
        <v>45079</v>
      </c>
      <c r="D142" s="466"/>
      <c r="E142" s="466"/>
      <c r="F142" s="290"/>
      <c r="G142" s="290"/>
      <c r="H142" s="290"/>
      <c r="I142" s="290"/>
      <c r="J142" s="290"/>
      <c r="K142" s="290"/>
      <c r="L142" s="290"/>
      <c r="M142" s="290"/>
      <c r="N142" s="290"/>
      <c r="O142" s="290"/>
      <c r="P142" s="290"/>
      <c r="Q142" s="290"/>
      <c r="R142" s="290"/>
      <c r="S142" s="290"/>
      <c r="T142" s="290"/>
      <c r="U142" s="290"/>
    </row>
    <row r="143" spans="3:27" x14ac:dyDescent="0.3">
      <c r="C143" s="119">
        <v>45080</v>
      </c>
      <c r="D143" s="466"/>
      <c r="E143" s="466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</row>
    <row r="144" spans="3:27" x14ac:dyDescent="0.3">
      <c r="C144" s="290"/>
      <c r="D144" s="460"/>
      <c r="E144" s="462"/>
      <c r="F144" s="290"/>
      <c r="G144" s="290"/>
      <c r="H144" s="290"/>
      <c r="I144" s="290"/>
      <c r="J144" s="290"/>
      <c r="K144" s="290"/>
      <c r="L144" s="290"/>
      <c r="M144" s="290"/>
      <c r="N144" s="290"/>
      <c r="O144" s="290"/>
      <c r="P144" s="290"/>
      <c r="Q144" s="290"/>
      <c r="R144" s="290"/>
      <c r="S144" s="290"/>
      <c r="T144" s="290"/>
      <c r="U144" s="290"/>
    </row>
  </sheetData>
  <mergeCells count="113">
    <mergeCell ref="U5:W5"/>
    <mergeCell ref="X5:Z5"/>
    <mergeCell ref="AC5:AC6"/>
    <mergeCell ref="AD5:AD6"/>
    <mergeCell ref="AE5:AE6"/>
    <mergeCell ref="B7:B12"/>
    <mergeCell ref="B2:AE2"/>
    <mergeCell ref="B3:AE3"/>
    <mergeCell ref="B5:C6"/>
    <mergeCell ref="D5:D6"/>
    <mergeCell ref="E5:E6"/>
    <mergeCell ref="F5:F6"/>
    <mergeCell ref="G5:G6"/>
    <mergeCell ref="H5:H6"/>
    <mergeCell ref="I5:S5"/>
    <mergeCell ref="T5:T6"/>
    <mergeCell ref="B13:E13"/>
    <mergeCell ref="B14:E14"/>
    <mergeCell ref="B19:AE19"/>
    <mergeCell ref="B21:B22"/>
    <mergeCell ref="C21:C22"/>
    <mergeCell ref="D21:D22"/>
    <mergeCell ref="E21:E22"/>
    <mergeCell ref="F21:F22"/>
    <mergeCell ref="G21:G22"/>
    <mergeCell ref="H21:H22"/>
    <mergeCell ref="AC21:AC22"/>
    <mergeCell ref="AD21:AD22"/>
    <mergeCell ref="AE21:AE22"/>
    <mergeCell ref="B23:B28"/>
    <mergeCell ref="B29:E29"/>
    <mergeCell ref="B30:E30"/>
    <mergeCell ref="I21:S21"/>
    <mergeCell ref="T21:T22"/>
    <mergeCell ref="U21:W21"/>
    <mergeCell ref="X21:Z21"/>
    <mergeCell ref="AA21:AA22"/>
    <mergeCell ref="AB21:AB22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AE78:AE79"/>
    <mergeCell ref="B80:B85"/>
    <mergeCell ref="B86:E86"/>
    <mergeCell ref="B87:E87"/>
    <mergeCell ref="E92:E94"/>
    <mergeCell ref="F92:F94"/>
    <mergeCell ref="B76:AE76"/>
    <mergeCell ref="B78:B79"/>
    <mergeCell ref="C78:C79"/>
    <mergeCell ref="D78:D79"/>
    <mergeCell ref="E78:E79"/>
    <mergeCell ref="F78:F79"/>
    <mergeCell ref="U78:W78"/>
    <mergeCell ref="X78:Z78"/>
    <mergeCell ref="AC78:AC79"/>
    <mergeCell ref="AD78:AD79"/>
    <mergeCell ref="E104:E106"/>
    <mergeCell ref="F104:F106"/>
    <mergeCell ref="E107:E109"/>
    <mergeCell ref="F107:F109"/>
    <mergeCell ref="C114:U114"/>
    <mergeCell ref="D117:E117"/>
    <mergeCell ref="E95:E97"/>
    <mergeCell ref="F95:F97"/>
    <mergeCell ref="E98:E100"/>
    <mergeCell ref="F98:F100"/>
    <mergeCell ref="E101:E103"/>
    <mergeCell ref="F101:F103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</mergeCells>
  <phoneticPr fontId="4" type="noConversion"/>
  <dataValidations count="3">
    <dataValidation type="list" allowBlank="1" showInputMessage="1" showErrorMessage="1" sqref="E7:E8 E23:E24 E10:E12 E26:E28">
      <formula1>$U$7:$U$12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 E25 E9">
      <formula1>$AH$7:$AH$12</formula1>
    </dataValidation>
  </dataValidations>
  <pageMargins left="0.62992125984251968" right="0.62992125984251968" top="0.94488188976377963" bottom="0.55118110236220474" header="0.31496062992125984" footer="0.31496062992125984"/>
  <pageSetup paperSize="9" scale="28" orientation="landscape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80" zoomScaleNormal="80" workbookViewId="0">
      <pane xSplit="4" ySplit="6" topLeftCell="E7" activePane="bottomRight" state="frozen"/>
      <selection pane="topRight" activeCell="D1" sqref="D1"/>
      <selection pane="bottomLeft" activeCell="A6" sqref="A6"/>
      <selection pane="bottomRight" activeCell="B2" sqref="B2:AE2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60.25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11.75" hidden="1" customWidth="1"/>
    <col min="44" max="44" width="3.25" customWidth="1"/>
  </cols>
  <sheetData>
    <row r="2" spans="2:52" ht="20.25" x14ac:dyDescent="0.3">
      <c r="B2" s="425" t="s">
        <v>184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283" t="s">
        <v>1</v>
      </c>
      <c r="AY2" s="283" t="s">
        <v>2</v>
      </c>
      <c r="AZ2" s="3" t="s">
        <v>3</v>
      </c>
    </row>
    <row r="3" spans="2:52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E3" s="464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281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75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281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-57</v>
      </c>
    </row>
    <row r="7" spans="2:52" s="287" customFormat="1" ht="99" customHeight="1" thickTop="1" x14ac:dyDescent="0.3">
      <c r="B7" s="420">
        <v>5</v>
      </c>
      <c r="C7" s="24">
        <v>4</v>
      </c>
      <c r="D7" s="25" t="s">
        <v>7</v>
      </c>
      <c r="E7" s="26" t="s">
        <v>28</v>
      </c>
      <c r="F7" s="25">
        <v>11</v>
      </c>
      <c r="G7" s="128">
        <v>539</v>
      </c>
      <c r="H7" s="128">
        <f t="shared" ref="H7:H12" si="0">(G7/U7)*100</f>
        <v>99.630314232902023</v>
      </c>
      <c r="I7" s="123" t="s">
        <v>99</v>
      </c>
      <c r="J7" s="123" t="s">
        <v>86</v>
      </c>
      <c r="K7" s="123" t="s">
        <v>73</v>
      </c>
      <c r="L7" s="123" t="s">
        <v>87</v>
      </c>
      <c r="M7" s="123"/>
      <c r="N7" s="129" t="s">
        <v>90</v>
      </c>
      <c r="O7" s="123" t="s">
        <v>74</v>
      </c>
      <c r="P7" s="123" t="s">
        <v>169</v>
      </c>
      <c r="Q7" s="123" t="s">
        <v>91</v>
      </c>
      <c r="R7" s="123" t="s">
        <v>89</v>
      </c>
      <c r="S7" s="125">
        <f t="shared" ref="S7:S13" si="1">COUNTA(I7:M7)+COUNTA(N7:R7)/2</f>
        <v>6.5</v>
      </c>
      <c r="T7" s="27">
        <f t="shared" ref="T7:T12" si="2">F7*$D$4*$U$4</f>
        <v>726</v>
      </c>
      <c r="U7" s="28">
        <f>+H38</f>
        <v>541</v>
      </c>
      <c r="V7" s="29">
        <f t="shared" ref="V7:V12" si="3">IF(F7=0,"휴무",U7/F7)</f>
        <v>49.18181818181818</v>
      </c>
      <c r="W7" s="30">
        <f t="shared" ref="W7:W13" si="4">IFERROR(U7/T7,0)</f>
        <v>0.74517906336088158</v>
      </c>
      <c r="X7" s="31">
        <f>+K38</f>
        <v>609.38</v>
      </c>
      <c r="Y7" s="29">
        <f t="shared" ref="Y7:Y12" si="5">IF(F7=0,"휴무",X7/F7)</f>
        <v>55.398181818181818</v>
      </c>
      <c r="Z7" s="32">
        <f t="shared" ref="Z7:Z13" si="6">IFERROR(X7/T7,0)</f>
        <v>0.83936639118457301</v>
      </c>
      <c r="AA7" s="33">
        <f t="shared" ref="AA7:AA12" si="7">IF(F7=0,"휴무",U7/T7*$AA$4)</f>
        <v>37.25895316804408</v>
      </c>
      <c r="AB7" s="34">
        <f t="shared" ref="AB7:AB12" si="8">IF(F7=0,"휴무",X7/T7*$AB$4)</f>
        <v>45.703500000000005</v>
      </c>
      <c r="AC7" s="138">
        <f t="shared" ref="AC7:AC13" si="9">IF(F7=0,"휴무",AA7+AB7)</f>
        <v>82.962453168044078</v>
      </c>
      <c r="AD7" s="35" t="str">
        <f t="shared" ref="AD7:AD13" si="10">IF(F7=0,"휴무",IF(AC7&gt;=100,"좋아요",IF(AC7&gt;=90,"90~99",IF(AC7&gt;=80,"80~89"," 사유?→"))))</f>
        <v>80~89</v>
      </c>
      <c r="AE7" s="36"/>
      <c r="AF7" s="37">
        <f>AG7-F7</f>
        <v>-11</v>
      </c>
      <c r="AG7" s="38">
        <f>AN7</f>
        <v>0</v>
      </c>
      <c r="AH7" s="287" t="s">
        <v>29</v>
      </c>
      <c r="AI7" s="39"/>
      <c r="AJ7" s="40">
        <f>IFERROR(Z7/W7*1000,"")</f>
        <v>1126.3955637707948</v>
      </c>
      <c r="AK7" s="39"/>
      <c r="AL7" s="41"/>
      <c r="AM7" s="41"/>
      <c r="AN7" s="41"/>
      <c r="AP7" s="287">
        <f t="shared" ref="AP7:AP12" si="11">AO7-F7</f>
        <v>-11</v>
      </c>
      <c r="AQ7" s="42"/>
    </row>
    <row r="8" spans="2:52" s="287" customFormat="1" ht="99.75" customHeight="1" x14ac:dyDescent="0.3">
      <c r="B8" s="421"/>
      <c r="C8" s="24">
        <f>+C7+1</f>
        <v>5</v>
      </c>
      <c r="D8" s="43" t="s">
        <v>30</v>
      </c>
      <c r="E8" s="26" t="s">
        <v>29</v>
      </c>
      <c r="F8" s="25">
        <v>8</v>
      </c>
      <c r="G8" s="125">
        <v>437</v>
      </c>
      <c r="H8" s="125">
        <f t="shared" si="0"/>
        <v>99.54441913439635</v>
      </c>
      <c r="I8" s="123" t="s">
        <v>99</v>
      </c>
      <c r="J8" s="123" t="s">
        <v>86</v>
      </c>
      <c r="K8" s="123" t="s">
        <v>73</v>
      </c>
      <c r="L8" s="123" t="s">
        <v>87</v>
      </c>
      <c r="M8" s="123"/>
      <c r="N8" s="129" t="s">
        <v>90</v>
      </c>
      <c r="O8" s="123" t="s">
        <v>74</v>
      </c>
      <c r="P8" s="123" t="s">
        <v>169</v>
      </c>
      <c r="Q8" s="123" t="s">
        <v>91</v>
      </c>
      <c r="R8" s="123" t="s">
        <v>89</v>
      </c>
      <c r="S8" s="125">
        <f t="shared" si="1"/>
        <v>6.5</v>
      </c>
      <c r="T8" s="27">
        <f t="shared" si="2"/>
        <v>528</v>
      </c>
      <c r="U8" s="28">
        <f>+H41</f>
        <v>439</v>
      </c>
      <c r="V8" s="44">
        <f t="shared" si="3"/>
        <v>54.875</v>
      </c>
      <c r="W8" s="45">
        <f t="shared" si="4"/>
        <v>0.83143939393939392</v>
      </c>
      <c r="X8" s="46">
        <f>+K41</f>
        <v>490.03</v>
      </c>
      <c r="Y8" s="29">
        <f t="shared" si="5"/>
        <v>61.253749999999997</v>
      </c>
      <c r="Z8" s="47">
        <f t="shared" si="6"/>
        <v>0.92808712121212111</v>
      </c>
      <c r="AA8" s="48">
        <f t="shared" si="7"/>
        <v>41.571969696969695</v>
      </c>
      <c r="AB8" s="49">
        <f t="shared" si="8"/>
        <v>50.534343749999998</v>
      </c>
      <c r="AC8" s="139">
        <f t="shared" si="9"/>
        <v>92.106313446969693</v>
      </c>
      <c r="AD8" s="50" t="str">
        <f t="shared" si="10"/>
        <v>90~99</v>
      </c>
      <c r="AE8" s="36"/>
      <c r="AF8" s="37">
        <f>AG8-F8</f>
        <v>-8</v>
      </c>
      <c r="AG8" s="38">
        <f>AN8</f>
        <v>0</v>
      </c>
      <c r="AH8" s="287" t="s">
        <v>31</v>
      </c>
      <c r="AI8" s="39"/>
      <c r="AJ8" s="40">
        <f>IFERROR(Z8/W8*1000,"")</f>
        <v>1116.2414578587698</v>
      </c>
      <c r="AK8" s="39"/>
      <c r="AL8" s="41"/>
      <c r="AM8" s="41"/>
      <c r="AN8" s="41"/>
      <c r="AP8" s="287">
        <f t="shared" si="11"/>
        <v>-8</v>
      </c>
      <c r="AQ8" s="42"/>
    </row>
    <row r="9" spans="2:52" s="287" customFormat="1" ht="97.5" customHeight="1" x14ac:dyDescent="0.3">
      <c r="B9" s="421"/>
      <c r="C9" s="24">
        <f>+C8+1</f>
        <v>6</v>
      </c>
      <c r="D9" s="43" t="s">
        <v>32</v>
      </c>
      <c r="E9" s="26" t="s">
        <v>28</v>
      </c>
      <c r="F9" s="25">
        <v>11</v>
      </c>
      <c r="G9" s="125">
        <v>589</v>
      </c>
      <c r="H9" s="125">
        <f t="shared" si="0"/>
        <v>99.493243243243242</v>
      </c>
      <c r="I9" s="123" t="s">
        <v>99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169</v>
      </c>
      <c r="Q9" s="123" t="s">
        <v>91</v>
      </c>
      <c r="R9" s="123" t="s">
        <v>89</v>
      </c>
      <c r="S9" s="125">
        <f t="shared" si="1"/>
        <v>6.5</v>
      </c>
      <c r="T9" s="27">
        <f t="shared" si="2"/>
        <v>726</v>
      </c>
      <c r="U9" s="51">
        <f>+H44</f>
        <v>592</v>
      </c>
      <c r="V9" s="44">
        <f t="shared" si="3"/>
        <v>53.81818181818182</v>
      </c>
      <c r="W9" s="45">
        <f t="shared" si="4"/>
        <v>0.81542699724517909</v>
      </c>
      <c r="X9" s="46">
        <f>+K44</f>
        <v>701.71</v>
      </c>
      <c r="Y9" s="44">
        <f t="shared" si="5"/>
        <v>63.791818181818186</v>
      </c>
      <c r="Z9" s="47">
        <f t="shared" si="6"/>
        <v>0.96654269972451801</v>
      </c>
      <c r="AA9" s="48">
        <f t="shared" si="7"/>
        <v>40.771349862258951</v>
      </c>
      <c r="AB9" s="49">
        <f t="shared" si="8"/>
        <v>52.628250000000008</v>
      </c>
      <c r="AC9" s="139">
        <f t="shared" si="9"/>
        <v>93.399599862258952</v>
      </c>
      <c r="AD9" s="50" t="str">
        <f t="shared" si="10"/>
        <v>90~99</v>
      </c>
      <c r="AE9" s="36"/>
      <c r="AF9" s="37">
        <f>AG9-F9</f>
        <v>-11</v>
      </c>
      <c r="AG9" s="38">
        <f>AN9</f>
        <v>0</v>
      </c>
      <c r="AH9" s="287" t="s">
        <v>34</v>
      </c>
      <c r="AI9" s="39"/>
      <c r="AJ9" s="40">
        <f>IFERROR(Z9/W9*1000,"")</f>
        <v>1185.3209459459461</v>
      </c>
      <c r="AK9" s="39"/>
      <c r="AL9" s="41"/>
      <c r="AM9" s="41"/>
      <c r="AN9" s="41"/>
      <c r="AP9" s="287">
        <f t="shared" si="11"/>
        <v>-11</v>
      </c>
      <c r="AQ9" s="42"/>
    </row>
    <row r="10" spans="2:52" s="287" customFormat="1" ht="95.25" customHeight="1" x14ac:dyDescent="0.3">
      <c r="B10" s="421"/>
      <c r="C10" s="24">
        <f>+C9+1</f>
        <v>7</v>
      </c>
      <c r="D10" s="43" t="s">
        <v>35</v>
      </c>
      <c r="E10" s="26" t="s">
        <v>28</v>
      </c>
      <c r="F10" s="25">
        <v>11</v>
      </c>
      <c r="G10" s="125">
        <v>519</v>
      </c>
      <c r="H10" s="125">
        <f t="shared" si="0"/>
        <v>99.807692307692307</v>
      </c>
      <c r="I10" s="123" t="s">
        <v>99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74</v>
      </c>
      <c r="P10" s="123" t="s">
        <v>169</v>
      </c>
      <c r="Q10" s="123" t="s">
        <v>91</v>
      </c>
      <c r="R10" s="123" t="s">
        <v>89</v>
      </c>
      <c r="S10" s="125">
        <f t="shared" si="1"/>
        <v>6.5</v>
      </c>
      <c r="T10" s="27">
        <f t="shared" si="2"/>
        <v>726</v>
      </c>
      <c r="U10" s="28">
        <f>+H47</f>
        <v>520</v>
      </c>
      <c r="V10" s="44">
        <f t="shared" si="3"/>
        <v>47.272727272727273</v>
      </c>
      <c r="W10" s="45">
        <f t="shared" si="4"/>
        <v>0.71625344352617082</v>
      </c>
      <c r="X10" s="46">
        <f>+K47</f>
        <v>898.45</v>
      </c>
      <c r="Y10" s="29">
        <f t="shared" si="5"/>
        <v>81.677272727272737</v>
      </c>
      <c r="Z10" s="47">
        <f t="shared" si="6"/>
        <v>1.2375344352617081</v>
      </c>
      <c r="AA10" s="48">
        <f t="shared" si="7"/>
        <v>35.812672176308538</v>
      </c>
      <c r="AB10" s="49">
        <f t="shared" si="8"/>
        <v>67.383750000000006</v>
      </c>
      <c r="AC10" s="139">
        <f t="shared" si="9"/>
        <v>103.19642217630854</v>
      </c>
      <c r="AD10" s="50" t="str">
        <f t="shared" si="10"/>
        <v>좋아요</v>
      </c>
      <c r="AE10" s="36"/>
      <c r="AF10" s="37">
        <f>AG10-F10</f>
        <v>-11</v>
      </c>
      <c r="AG10" s="38">
        <f>AN10</f>
        <v>0</v>
      </c>
      <c r="AH10" s="287" t="s">
        <v>36</v>
      </c>
      <c r="AI10" s="39"/>
      <c r="AJ10" s="40">
        <f>IFERROR(Z10/W10*1000,"")</f>
        <v>1727.7884615384617</v>
      </c>
      <c r="AK10" s="39"/>
      <c r="AL10" s="41"/>
      <c r="AM10" s="41"/>
      <c r="AN10" s="41"/>
      <c r="AP10" s="287">
        <f t="shared" si="11"/>
        <v>-11</v>
      </c>
      <c r="AQ10" s="42"/>
    </row>
    <row r="11" spans="2:52" s="287" customFormat="1" ht="102.75" customHeight="1" x14ac:dyDescent="0.3">
      <c r="B11" s="421"/>
      <c r="C11" s="24">
        <f>+C10+1</f>
        <v>8</v>
      </c>
      <c r="D11" s="43" t="s">
        <v>37</v>
      </c>
      <c r="E11" s="26" t="s">
        <v>29</v>
      </c>
      <c r="F11" s="25">
        <v>8</v>
      </c>
      <c r="G11" s="125">
        <v>338</v>
      </c>
      <c r="H11" s="125">
        <f t="shared" si="0"/>
        <v>92.857142857142861</v>
      </c>
      <c r="I11" s="123" t="s">
        <v>99</v>
      </c>
      <c r="J11" s="123" t="s">
        <v>86</v>
      </c>
      <c r="K11" s="123" t="s">
        <v>73</v>
      </c>
      <c r="L11" s="123" t="s">
        <v>87</v>
      </c>
      <c r="M11" s="123"/>
      <c r="N11" s="129" t="s">
        <v>90</v>
      </c>
      <c r="O11" s="123" t="s">
        <v>74</v>
      </c>
      <c r="P11" s="123" t="s">
        <v>169</v>
      </c>
      <c r="Q11" s="123" t="s">
        <v>91</v>
      </c>
      <c r="R11" s="123" t="s">
        <v>89</v>
      </c>
      <c r="S11" s="125">
        <f t="shared" si="1"/>
        <v>6.5</v>
      </c>
      <c r="T11" s="27">
        <f t="shared" si="2"/>
        <v>528</v>
      </c>
      <c r="U11" s="28">
        <f>+H50</f>
        <v>364</v>
      </c>
      <c r="V11" s="44">
        <f t="shared" si="3"/>
        <v>45.5</v>
      </c>
      <c r="W11" s="45">
        <f t="shared" si="4"/>
        <v>0.68939393939393945</v>
      </c>
      <c r="X11" s="46">
        <f>+K50</f>
        <v>687.39</v>
      </c>
      <c r="Y11" s="44">
        <f t="shared" si="5"/>
        <v>85.923749999999998</v>
      </c>
      <c r="Z11" s="47">
        <f t="shared" si="6"/>
        <v>1.3018749999999999</v>
      </c>
      <c r="AA11" s="48">
        <f t="shared" si="7"/>
        <v>34.469696969696969</v>
      </c>
      <c r="AB11" s="49">
        <f t="shared" si="8"/>
        <v>70.887093749999991</v>
      </c>
      <c r="AC11" s="139">
        <f t="shared" si="9"/>
        <v>105.35679071969696</v>
      </c>
      <c r="AD11" s="50" t="str">
        <f t="shared" si="10"/>
        <v>좋아요</v>
      </c>
      <c r="AE11" s="36"/>
      <c r="AF11" s="37">
        <f>AG11-F11</f>
        <v>-8</v>
      </c>
      <c r="AG11" s="38">
        <f>AN11</f>
        <v>0</v>
      </c>
      <c r="AH11" s="287" t="s">
        <v>33</v>
      </c>
      <c r="AI11" s="39"/>
      <c r="AJ11" s="40">
        <f>IFERROR(Z11/W11*1000,"")</f>
        <v>1888.4340659340658</v>
      </c>
      <c r="AL11" s="41"/>
      <c r="AM11" s="41"/>
      <c r="AN11" s="41"/>
      <c r="AP11" s="287">
        <f t="shared" si="11"/>
        <v>-8</v>
      </c>
      <c r="AQ11" s="42"/>
    </row>
    <row r="12" spans="2:52" s="287" customFormat="1" ht="102.75" customHeight="1" x14ac:dyDescent="0.3">
      <c r="B12" s="421"/>
      <c r="C12" s="24">
        <f>+C11+1</f>
        <v>9</v>
      </c>
      <c r="D12" s="43" t="s">
        <v>38</v>
      </c>
      <c r="E12" s="26" t="s">
        <v>36</v>
      </c>
      <c r="F12" s="25">
        <v>8</v>
      </c>
      <c r="G12" s="125">
        <v>209</v>
      </c>
      <c r="H12" s="125">
        <f t="shared" si="0"/>
        <v>78.571428571428569</v>
      </c>
      <c r="I12" s="123" t="s">
        <v>99</v>
      </c>
      <c r="J12" s="123" t="s">
        <v>86</v>
      </c>
      <c r="K12" s="123" t="s">
        <v>73</v>
      </c>
      <c r="L12" s="123" t="s">
        <v>87</v>
      </c>
      <c r="M12" s="123"/>
      <c r="N12" s="129" t="s">
        <v>90</v>
      </c>
      <c r="O12" s="123" t="s">
        <v>74</v>
      </c>
      <c r="P12" s="123"/>
      <c r="Q12" s="123" t="s">
        <v>91</v>
      </c>
      <c r="R12" s="123" t="s">
        <v>89</v>
      </c>
      <c r="S12" s="125">
        <f t="shared" si="1"/>
        <v>6</v>
      </c>
      <c r="T12" s="282">
        <f t="shared" si="2"/>
        <v>528</v>
      </c>
      <c r="U12" s="28">
        <f>+H53</f>
        <v>266</v>
      </c>
      <c r="V12" s="29">
        <f t="shared" si="3"/>
        <v>33.25</v>
      </c>
      <c r="W12" s="30">
        <f t="shared" si="4"/>
        <v>0.50378787878787878</v>
      </c>
      <c r="X12" s="31">
        <f>+K53</f>
        <v>375.46000000000004</v>
      </c>
      <c r="Y12" s="44">
        <f t="shared" si="5"/>
        <v>46.932500000000005</v>
      </c>
      <c r="Z12" s="47">
        <f t="shared" si="6"/>
        <v>0.71109848484848492</v>
      </c>
      <c r="AA12" s="48">
        <f t="shared" si="7"/>
        <v>25.189393939393938</v>
      </c>
      <c r="AB12" s="49">
        <f t="shared" si="8"/>
        <v>38.719312500000008</v>
      </c>
      <c r="AC12" s="139">
        <f t="shared" si="9"/>
        <v>63.908706439393946</v>
      </c>
      <c r="AD12" s="161" t="str">
        <f t="shared" si="10"/>
        <v xml:space="preserve"> 사유?→</v>
      </c>
      <c r="AE12" s="160" t="s">
        <v>189</v>
      </c>
      <c r="AF12" s="37"/>
      <c r="AG12" s="38"/>
      <c r="AI12" s="39"/>
      <c r="AJ12" s="40"/>
      <c r="AL12" s="41"/>
      <c r="AM12" s="41"/>
      <c r="AN12" s="41"/>
      <c r="AP12" s="287">
        <f t="shared" si="11"/>
        <v>-8</v>
      </c>
      <c r="AQ12" s="42"/>
    </row>
    <row r="13" spans="2:52" s="287" customFormat="1" ht="36" customHeight="1" x14ac:dyDescent="0.3">
      <c r="B13" s="422" t="s">
        <v>39</v>
      </c>
      <c r="C13" s="423"/>
      <c r="D13" s="423"/>
      <c r="E13" s="424"/>
      <c r="F13" s="43">
        <f>SUM(F7:F12)</f>
        <v>57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 t="shared" si="1"/>
        <v>0</v>
      </c>
      <c r="T13" s="52">
        <f>SUM(T7:T12)</f>
        <v>3762</v>
      </c>
      <c r="U13" s="53">
        <f>SUM(U7:U12)</f>
        <v>2722</v>
      </c>
      <c r="V13" s="54">
        <f>U13/F13</f>
        <v>47.754385964912281</v>
      </c>
      <c r="W13" s="45">
        <f t="shared" si="4"/>
        <v>0.72355130249867095</v>
      </c>
      <c r="X13" s="55">
        <f>SUM(X7:X12)</f>
        <v>3762.4199999999996</v>
      </c>
      <c r="Y13" s="44">
        <f>X13/F13</f>
        <v>66.007368421052618</v>
      </c>
      <c r="Z13" s="47">
        <f t="shared" si="6"/>
        <v>1.0001116427432215</v>
      </c>
      <c r="AA13" s="56">
        <f>U13/T13*AA4</f>
        <v>36.177565124933544</v>
      </c>
      <c r="AB13" s="57">
        <f>X13/T13*AB4</f>
        <v>54.456078947368411</v>
      </c>
      <c r="AC13" s="140">
        <f t="shared" si="9"/>
        <v>90.633644072301962</v>
      </c>
      <c r="AD13" s="58" t="str">
        <f t="shared" si="10"/>
        <v>90~99</v>
      </c>
      <c r="AE13" s="43"/>
      <c r="AF13" s="37">
        <f>AG13-F13</f>
        <v>-57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9.5</v>
      </c>
      <c r="G14" s="285"/>
      <c r="H14" s="285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61">
        <f>V14*F14</f>
        <v>453.66666666666669</v>
      </c>
      <c r="V14" s="62">
        <f>U13/F13</f>
        <v>47.754385964912281</v>
      </c>
      <c r="W14" s="63">
        <f>IFERROR(U14/#REF!,0)</f>
        <v>0</v>
      </c>
      <c r="X14" s="64">
        <f>X13/F13*F14</f>
        <v>627.06999999999982</v>
      </c>
      <c r="Y14" s="62">
        <f>IF(F14=0,"휴무",X14/F14)</f>
        <v>66.007368421052618</v>
      </c>
      <c r="Z14" s="65">
        <f>IFERROR(X14/#REF!,0)</f>
        <v>0</v>
      </c>
      <c r="AA14" s="60">
        <f>AVERAGE(AA7:AA12)</f>
        <v>35.845672635445361</v>
      </c>
      <c r="AB14" s="60">
        <f>AVERAGE(AB7:AB12)</f>
        <v>54.30937500000001</v>
      </c>
      <c r="AC14" s="141">
        <f>AA14+AB14</f>
        <v>90.155047635445371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287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  <c r="AE19" s="464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75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-57</v>
      </c>
    </row>
    <row r="23" spans="2:43" s="287" customFormat="1" ht="99" customHeight="1" thickTop="1" x14ac:dyDescent="0.3">
      <c r="B23" s="420">
        <f>+B7</f>
        <v>5</v>
      </c>
      <c r="C23" s="24">
        <f t="shared" ref="C23:C28" si="12">+C7</f>
        <v>4</v>
      </c>
      <c r="D23" s="25" t="s">
        <v>7</v>
      </c>
      <c r="E23" s="26" t="s">
        <v>28</v>
      </c>
      <c r="F23" s="25">
        <v>11</v>
      </c>
      <c r="G23" s="128">
        <v>356</v>
      </c>
      <c r="H23" s="128">
        <f t="shared" ref="H23:H28" si="13">(G23/U23)*100</f>
        <v>98.888888888888886</v>
      </c>
      <c r="I23" s="123" t="s">
        <v>78</v>
      </c>
      <c r="J23" s="123" t="s">
        <v>88</v>
      </c>
      <c r="K23" s="123" t="s">
        <v>92</v>
      </c>
      <c r="L23" s="123" t="s">
        <v>84</v>
      </c>
      <c r="M23" s="123"/>
      <c r="N23" s="129" t="s">
        <v>90</v>
      </c>
      <c r="O23" s="123" t="s">
        <v>74</v>
      </c>
      <c r="P23" s="123" t="s">
        <v>169</v>
      </c>
      <c r="Q23" s="123" t="s">
        <v>91</v>
      </c>
      <c r="R23" s="123" t="s">
        <v>89</v>
      </c>
      <c r="S23" s="124">
        <f t="shared" ref="S23:S28" si="14">COUNTA(I23:M23)+COUNTA(N23:R23)/2</f>
        <v>6.5</v>
      </c>
      <c r="T23" s="27">
        <f t="shared" ref="T23:T28" si="15">F23*$D$4*$U$4</f>
        <v>726</v>
      </c>
      <c r="U23" s="28">
        <f>+H58</f>
        <v>360</v>
      </c>
      <c r="V23" s="29">
        <f t="shared" ref="V23:V28" si="16">IF(F23=0,"휴무",U23/F23)</f>
        <v>32.727272727272727</v>
      </c>
      <c r="W23" s="30">
        <f t="shared" ref="W23:W29" si="17">IFERROR(U23/T23,0)</f>
        <v>0.49586776859504134</v>
      </c>
      <c r="X23" s="31">
        <f>+K58</f>
        <v>812.49000000000012</v>
      </c>
      <c r="Y23" s="29">
        <f t="shared" ref="Y23:Y28" si="18">IF(F23=0,"휴무",X23/F23)</f>
        <v>73.862727272727284</v>
      </c>
      <c r="Z23" s="32">
        <f t="shared" ref="Z23:Z29" si="19">IFERROR(X23/T23,0)</f>
        <v>1.1191322314049588</v>
      </c>
      <c r="AA23" s="33">
        <f t="shared" ref="AA23:AA28" si="20">IF(F23=0,"휴무",U23/T23*$AA$4)</f>
        <v>24.793388429752067</v>
      </c>
      <c r="AB23" s="34">
        <f t="shared" ref="AB23:AB28" si="21">IF(F23=0,"휴무",X23/T23*$AB$4)</f>
        <v>60.936750000000011</v>
      </c>
      <c r="AC23" s="138">
        <f t="shared" ref="AC23:AC29" si="22">IF(F23=0,"휴무",AA23+AB23)</f>
        <v>85.730138429752074</v>
      </c>
      <c r="AD23" s="35" t="str">
        <f t="shared" ref="AD23:AD29" si="23">IF(F23=0,"휴무",IF(AC23&gt;=100,"좋아요",IF(AC23&gt;=90,"90~99",IF(AC23&gt;=80,"80~89"," 사유?→"))))</f>
        <v>80~89</v>
      </c>
      <c r="AE23" s="36"/>
      <c r="AF23" s="37">
        <f>AG23-F23</f>
        <v>-11</v>
      </c>
      <c r="AG23" s="38">
        <f>AN23</f>
        <v>0</v>
      </c>
      <c r="AH23" s="287" t="s">
        <v>29</v>
      </c>
      <c r="AI23" s="39"/>
      <c r="AJ23" s="40">
        <f>IFERROR(Z23/W23*1000,"")</f>
        <v>2256.9166666666665</v>
      </c>
      <c r="AK23" s="39"/>
      <c r="AL23" s="41"/>
      <c r="AM23" s="41"/>
      <c r="AN23" s="41"/>
      <c r="AP23" s="287">
        <f t="shared" ref="AP23:AP28" si="24">AO23-F23</f>
        <v>-11</v>
      </c>
      <c r="AQ23" s="42"/>
    </row>
    <row r="24" spans="2:43" s="287" customFormat="1" ht="99.75" customHeight="1" x14ac:dyDescent="0.3">
      <c r="B24" s="421"/>
      <c r="C24" s="24">
        <f t="shared" si="12"/>
        <v>5</v>
      </c>
      <c r="D24" s="43" t="s">
        <v>30</v>
      </c>
      <c r="E24" s="26" t="s">
        <v>29</v>
      </c>
      <c r="F24" s="25">
        <v>8</v>
      </c>
      <c r="G24" s="125">
        <v>260</v>
      </c>
      <c r="H24" s="125">
        <f t="shared" si="13"/>
        <v>58.295964125560538</v>
      </c>
      <c r="I24" s="123" t="s">
        <v>78</v>
      </c>
      <c r="J24" s="123" t="s">
        <v>88</v>
      </c>
      <c r="K24" s="123" t="s">
        <v>92</v>
      </c>
      <c r="L24" s="123" t="s">
        <v>84</v>
      </c>
      <c r="M24" s="123"/>
      <c r="N24" s="129" t="s">
        <v>90</v>
      </c>
      <c r="O24" s="123" t="s">
        <v>74</v>
      </c>
      <c r="P24" s="123" t="s">
        <v>169</v>
      </c>
      <c r="Q24" s="123" t="s">
        <v>91</v>
      </c>
      <c r="R24" s="123" t="s">
        <v>89</v>
      </c>
      <c r="S24" s="124">
        <f t="shared" si="14"/>
        <v>6.5</v>
      </c>
      <c r="T24" s="27">
        <f t="shared" si="15"/>
        <v>528</v>
      </c>
      <c r="U24" s="28">
        <f>+H61</f>
        <v>446</v>
      </c>
      <c r="V24" s="44">
        <f t="shared" si="16"/>
        <v>55.75</v>
      </c>
      <c r="W24" s="45">
        <f t="shared" si="17"/>
        <v>0.84469696969696972</v>
      </c>
      <c r="X24" s="46">
        <f>+K61</f>
        <v>367.9</v>
      </c>
      <c r="Y24" s="29">
        <f t="shared" si="18"/>
        <v>45.987499999999997</v>
      </c>
      <c r="Z24" s="47">
        <f t="shared" si="19"/>
        <v>0.69678030303030303</v>
      </c>
      <c r="AA24" s="48">
        <f t="shared" si="20"/>
        <v>42.234848484848484</v>
      </c>
      <c r="AB24" s="49">
        <f t="shared" si="21"/>
        <v>37.939687500000005</v>
      </c>
      <c r="AC24" s="139">
        <f t="shared" si="22"/>
        <v>80.17453598484849</v>
      </c>
      <c r="AD24" s="80" t="str">
        <f t="shared" si="23"/>
        <v>80~89</v>
      </c>
      <c r="AE24" s="36"/>
      <c r="AF24" s="37">
        <f>AG24-F24</f>
        <v>-8</v>
      </c>
      <c r="AG24" s="38">
        <f>AN24</f>
        <v>0</v>
      </c>
      <c r="AH24" s="287" t="s">
        <v>34</v>
      </c>
      <c r="AI24" s="39"/>
      <c r="AJ24" s="40">
        <f>IFERROR(Z24/W24*1000,"")</f>
        <v>824.88789237668163</v>
      </c>
      <c r="AK24" s="39"/>
      <c r="AL24" s="41"/>
      <c r="AM24" s="41"/>
      <c r="AN24" s="41"/>
      <c r="AP24" s="287">
        <f t="shared" si="24"/>
        <v>-8</v>
      </c>
      <c r="AQ24" s="42"/>
    </row>
    <row r="25" spans="2:43" s="287" customFormat="1" ht="97.5" customHeight="1" x14ac:dyDescent="0.3">
      <c r="B25" s="421"/>
      <c r="C25" s="24">
        <f t="shared" si="12"/>
        <v>6</v>
      </c>
      <c r="D25" s="43" t="s">
        <v>32</v>
      </c>
      <c r="E25" s="26" t="s">
        <v>28</v>
      </c>
      <c r="F25" s="25">
        <v>11</v>
      </c>
      <c r="G25" s="124">
        <v>585</v>
      </c>
      <c r="H25" s="124">
        <f t="shared" si="13"/>
        <v>99.489795918367349</v>
      </c>
      <c r="I25" s="123" t="s">
        <v>78</v>
      </c>
      <c r="J25" s="123" t="s">
        <v>88</v>
      </c>
      <c r="K25" s="123" t="s">
        <v>92</v>
      </c>
      <c r="L25" s="123" t="s">
        <v>84</v>
      </c>
      <c r="M25" s="123"/>
      <c r="N25" s="129" t="s">
        <v>90</v>
      </c>
      <c r="O25" s="123" t="s">
        <v>74</v>
      </c>
      <c r="P25" s="123" t="s">
        <v>169</v>
      </c>
      <c r="Q25" s="123" t="s">
        <v>91</v>
      </c>
      <c r="R25" s="123" t="s">
        <v>89</v>
      </c>
      <c r="S25" s="124">
        <f t="shared" si="14"/>
        <v>6.5</v>
      </c>
      <c r="T25" s="27">
        <f t="shared" si="15"/>
        <v>726</v>
      </c>
      <c r="U25" s="28">
        <f>+H64</f>
        <v>588</v>
      </c>
      <c r="V25" s="44">
        <f t="shared" si="16"/>
        <v>53.454545454545453</v>
      </c>
      <c r="W25" s="45">
        <f t="shared" si="17"/>
        <v>0.80991735537190079</v>
      </c>
      <c r="X25" s="46">
        <f>+K64</f>
        <v>447.84999999999997</v>
      </c>
      <c r="Y25" s="29">
        <f t="shared" si="18"/>
        <v>40.713636363636361</v>
      </c>
      <c r="Z25" s="47">
        <f t="shared" si="19"/>
        <v>0.61687327823691451</v>
      </c>
      <c r="AA25" s="48">
        <f t="shared" si="20"/>
        <v>40.495867768595041</v>
      </c>
      <c r="AB25" s="49">
        <f t="shared" si="21"/>
        <v>33.588749999999997</v>
      </c>
      <c r="AC25" s="139">
        <f t="shared" si="22"/>
        <v>74.084617768595038</v>
      </c>
      <c r="AD25" s="161" t="str">
        <f t="shared" si="23"/>
        <v xml:space="preserve"> 사유?→</v>
      </c>
      <c r="AE25" s="160" t="s">
        <v>185</v>
      </c>
      <c r="AF25" s="37">
        <f>AG25-F25</f>
        <v>-11</v>
      </c>
      <c r="AG25" s="38">
        <f>AN25</f>
        <v>0</v>
      </c>
      <c r="AH25" s="287" t="s">
        <v>36</v>
      </c>
      <c r="AI25" s="39"/>
      <c r="AJ25" s="40">
        <f>IFERROR(Z25/W25*1000,"")</f>
        <v>761.64965986394554</v>
      </c>
      <c r="AK25" s="39"/>
      <c r="AL25" s="41"/>
      <c r="AM25" s="41"/>
      <c r="AN25" s="41"/>
      <c r="AP25" s="287">
        <f t="shared" si="24"/>
        <v>-11</v>
      </c>
      <c r="AQ25" s="42"/>
    </row>
    <row r="26" spans="2:43" s="287" customFormat="1" ht="115.5" customHeight="1" x14ac:dyDescent="0.3">
      <c r="B26" s="421"/>
      <c r="C26" s="24">
        <f t="shared" si="12"/>
        <v>7</v>
      </c>
      <c r="D26" s="43" t="s">
        <v>35</v>
      </c>
      <c r="E26" s="26" t="s">
        <v>28</v>
      </c>
      <c r="F26" s="25">
        <v>11</v>
      </c>
      <c r="G26" s="124">
        <v>580</v>
      </c>
      <c r="H26" s="124">
        <f t="shared" si="13"/>
        <v>96.026490066225165</v>
      </c>
      <c r="I26" s="289" t="s">
        <v>104</v>
      </c>
      <c r="J26" s="123" t="s">
        <v>78</v>
      </c>
      <c r="K26" s="123" t="s">
        <v>92</v>
      </c>
      <c r="L26" s="123" t="s">
        <v>84</v>
      </c>
      <c r="M26" s="123"/>
      <c r="N26" s="129" t="s">
        <v>90</v>
      </c>
      <c r="O26" s="123" t="s">
        <v>74</v>
      </c>
      <c r="P26" s="123" t="s">
        <v>169</v>
      </c>
      <c r="Q26" s="123" t="s">
        <v>91</v>
      </c>
      <c r="R26" s="123" t="s">
        <v>89</v>
      </c>
      <c r="S26" s="124">
        <f t="shared" si="14"/>
        <v>6.5</v>
      </c>
      <c r="T26" s="27">
        <f t="shared" si="15"/>
        <v>726</v>
      </c>
      <c r="U26" s="28">
        <f>+H67</f>
        <v>604</v>
      </c>
      <c r="V26" s="44">
        <f t="shared" si="16"/>
        <v>54.909090909090907</v>
      </c>
      <c r="W26" s="45">
        <f t="shared" si="17"/>
        <v>0.83195592286501374</v>
      </c>
      <c r="X26" s="46">
        <f>+K67</f>
        <v>451.55</v>
      </c>
      <c r="Y26" s="44">
        <f t="shared" si="18"/>
        <v>41.050000000000004</v>
      </c>
      <c r="Z26" s="47">
        <f t="shared" si="19"/>
        <v>0.62196969696969695</v>
      </c>
      <c r="AA26" s="48">
        <f t="shared" si="20"/>
        <v>41.59779614325069</v>
      </c>
      <c r="AB26" s="49">
        <f t="shared" si="21"/>
        <v>33.866250000000001</v>
      </c>
      <c r="AC26" s="139">
        <f t="shared" si="22"/>
        <v>75.464046143250698</v>
      </c>
      <c r="AD26" s="161" t="str">
        <f t="shared" si="23"/>
        <v xml:space="preserve"> 사유?→</v>
      </c>
      <c r="AE26" s="160" t="s">
        <v>186</v>
      </c>
      <c r="AF26" s="37">
        <f>AG26-F26</f>
        <v>-11</v>
      </c>
      <c r="AG26" s="38">
        <f>AN26</f>
        <v>0</v>
      </c>
      <c r="AH26" s="287" t="s">
        <v>33</v>
      </c>
      <c r="AI26" s="39"/>
      <c r="AJ26" s="40">
        <f>IFERROR(Z26/W26*1000,"")</f>
        <v>747.5993377483444</v>
      </c>
      <c r="AK26" s="39"/>
      <c r="AL26" s="41"/>
      <c r="AM26" s="41"/>
      <c r="AN26" s="41"/>
      <c r="AP26" s="287">
        <f t="shared" si="24"/>
        <v>-11</v>
      </c>
      <c r="AQ26" s="42"/>
    </row>
    <row r="27" spans="2:43" s="287" customFormat="1" ht="104.25" customHeight="1" x14ac:dyDescent="0.3">
      <c r="B27" s="421"/>
      <c r="C27" s="24">
        <f t="shared" si="12"/>
        <v>8</v>
      </c>
      <c r="D27" s="43" t="s">
        <v>37</v>
      </c>
      <c r="E27" s="26" t="s">
        <v>29</v>
      </c>
      <c r="F27" s="25">
        <v>8</v>
      </c>
      <c r="G27" s="125">
        <v>105</v>
      </c>
      <c r="H27" s="130">
        <f t="shared" si="13"/>
        <v>32.507739938080491</v>
      </c>
      <c r="I27" s="289" t="s">
        <v>104</v>
      </c>
      <c r="J27" s="123" t="s">
        <v>78</v>
      </c>
      <c r="K27" s="123" t="s">
        <v>92</v>
      </c>
      <c r="L27" s="123" t="s">
        <v>84</v>
      </c>
      <c r="M27" s="123"/>
      <c r="N27" s="129" t="s">
        <v>90</v>
      </c>
      <c r="O27" s="123" t="s">
        <v>74</v>
      </c>
      <c r="P27" s="123" t="s">
        <v>169</v>
      </c>
      <c r="Q27" s="123" t="s">
        <v>91</v>
      </c>
      <c r="R27" s="123" t="s">
        <v>89</v>
      </c>
      <c r="S27" s="125">
        <f t="shared" si="14"/>
        <v>6.5</v>
      </c>
      <c r="T27" s="27">
        <f t="shared" si="15"/>
        <v>528</v>
      </c>
      <c r="U27" s="28">
        <f>+H70</f>
        <v>323</v>
      </c>
      <c r="V27" s="44">
        <f t="shared" si="16"/>
        <v>40.375</v>
      </c>
      <c r="W27" s="45">
        <f t="shared" si="17"/>
        <v>0.6117424242424242</v>
      </c>
      <c r="X27" s="46">
        <f>+K70</f>
        <v>341.26</v>
      </c>
      <c r="Y27" s="44">
        <f t="shared" si="18"/>
        <v>42.657499999999999</v>
      </c>
      <c r="Z27" s="47">
        <f t="shared" si="19"/>
        <v>0.64632575757575761</v>
      </c>
      <c r="AA27" s="48">
        <f t="shared" si="20"/>
        <v>30.587121212121211</v>
      </c>
      <c r="AB27" s="49">
        <f t="shared" si="21"/>
        <v>35.192437500000004</v>
      </c>
      <c r="AC27" s="139">
        <f t="shared" si="22"/>
        <v>65.779558712121215</v>
      </c>
      <c r="AD27" s="161" t="str">
        <f t="shared" si="23"/>
        <v xml:space="preserve"> 사유?→</v>
      </c>
      <c r="AE27" s="160" t="s">
        <v>187</v>
      </c>
      <c r="AF27" s="37">
        <f>AG27-F27</f>
        <v>-8</v>
      </c>
      <c r="AG27" s="38">
        <f>AN27</f>
        <v>0</v>
      </c>
      <c r="AH27" s="287" t="s">
        <v>46</v>
      </c>
      <c r="AI27" s="39"/>
      <c r="AJ27" s="40">
        <f>IFERROR(Z27/W27*1000,"")</f>
        <v>1056.5325077399382</v>
      </c>
      <c r="AL27" s="41"/>
      <c r="AM27" s="41"/>
      <c r="AN27" s="41"/>
      <c r="AP27" s="287">
        <f t="shared" si="24"/>
        <v>-8</v>
      </c>
      <c r="AQ27" s="42"/>
    </row>
    <row r="28" spans="2:43" s="287" customFormat="1" ht="104.25" customHeight="1" x14ac:dyDescent="0.3">
      <c r="B28" s="421"/>
      <c r="C28" s="24">
        <f t="shared" si="12"/>
        <v>9</v>
      </c>
      <c r="D28" s="43" t="s">
        <v>47</v>
      </c>
      <c r="E28" s="26" t="s">
        <v>36</v>
      </c>
      <c r="F28" s="25">
        <v>8</v>
      </c>
      <c r="G28" s="124">
        <v>401</v>
      </c>
      <c r="H28" s="124">
        <f t="shared" si="13"/>
        <v>91.343963553530756</v>
      </c>
      <c r="I28" s="289" t="s">
        <v>104</v>
      </c>
      <c r="J28" s="123" t="s">
        <v>78</v>
      </c>
      <c r="K28" s="123" t="s">
        <v>92</v>
      </c>
      <c r="L28" s="123" t="s">
        <v>84</v>
      </c>
      <c r="M28" s="123"/>
      <c r="N28" s="129" t="s">
        <v>90</v>
      </c>
      <c r="O28" s="123" t="s">
        <v>74</v>
      </c>
      <c r="P28" s="123"/>
      <c r="Q28" s="123" t="s">
        <v>91</v>
      </c>
      <c r="R28" s="123" t="s">
        <v>89</v>
      </c>
      <c r="S28" s="124">
        <f t="shared" si="14"/>
        <v>6</v>
      </c>
      <c r="T28" s="282">
        <f t="shared" si="15"/>
        <v>528</v>
      </c>
      <c r="U28" s="28">
        <f>+H73</f>
        <v>439</v>
      </c>
      <c r="V28" s="29">
        <f t="shared" si="16"/>
        <v>54.875</v>
      </c>
      <c r="W28" s="30">
        <f t="shared" si="17"/>
        <v>0.83143939393939392</v>
      </c>
      <c r="X28" s="31">
        <f>+K73</f>
        <v>247.64999999999998</v>
      </c>
      <c r="Y28" s="44">
        <f t="shared" si="18"/>
        <v>30.956249999999997</v>
      </c>
      <c r="Z28" s="47">
        <f t="shared" si="19"/>
        <v>0.46903409090909087</v>
      </c>
      <c r="AA28" s="48">
        <f t="shared" si="20"/>
        <v>41.571969696969695</v>
      </c>
      <c r="AB28" s="49">
        <f t="shared" si="21"/>
        <v>25.53890625</v>
      </c>
      <c r="AC28" s="139">
        <f t="shared" si="22"/>
        <v>67.110875946969699</v>
      </c>
      <c r="AD28" s="161" t="str">
        <f t="shared" si="23"/>
        <v xml:space="preserve"> 사유?→</v>
      </c>
      <c r="AE28" s="160" t="s">
        <v>188</v>
      </c>
      <c r="AF28" s="37"/>
      <c r="AG28" s="38"/>
      <c r="AI28" s="39"/>
      <c r="AJ28" s="40"/>
      <c r="AL28" s="41"/>
      <c r="AM28" s="41"/>
      <c r="AN28" s="41"/>
      <c r="AP28" s="287">
        <f t="shared" si="24"/>
        <v>-8</v>
      </c>
      <c r="AQ28" s="42"/>
    </row>
    <row r="29" spans="2:43" s="287" customFormat="1" ht="36" customHeight="1" x14ac:dyDescent="0.3">
      <c r="B29" s="422" t="s">
        <v>39</v>
      </c>
      <c r="C29" s="423"/>
      <c r="D29" s="423"/>
      <c r="E29" s="424"/>
      <c r="F29" s="43">
        <f>SUM(F23:F28)</f>
        <v>57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3762</v>
      </c>
      <c r="U29" s="53">
        <f>SUM(U23:U28)</f>
        <v>2760</v>
      </c>
      <c r="V29" s="54">
        <f>U29/F29</f>
        <v>48.421052631578945</v>
      </c>
      <c r="W29" s="45">
        <f t="shared" si="17"/>
        <v>0.733652312599681</v>
      </c>
      <c r="X29" s="55">
        <f>SUM(X23:X28)</f>
        <v>2668.7000000000003</v>
      </c>
      <c r="Y29" s="44">
        <f>X29/F29</f>
        <v>46.819298245614043</v>
      </c>
      <c r="Z29" s="47">
        <f t="shared" si="19"/>
        <v>0.70938330675172789</v>
      </c>
      <c r="AA29" s="56">
        <f>U29/T29*AA20</f>
        <v>36.682615629984049</v>
      </c>
      <c r="AB29" s="57">
        <f>X29/T29*AB20</f>
        <v>38.625921052631583</v>
      </c>
      <c r="AC29" s="140">
        <f t="shared" si="22"/>
        <v>75.308536682615625</v>
      </c>
      <c r="AD29" s="162" t="str">
        <f t="shared" si="23"/>
        <v xml:space="preserve"> 사유?→</v>
      </c>
      <c r="AE29" s="43"/>
      <c r="AF29" s="37">
        <f>AG29-F29</f>
        <v>-57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9.5</v>
      </c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61">
        <f>V30*F30</f>
        <v>460</v>
      </c>
      <c r="V30" s="62">
        <f>U29/F29</f>
        <v>48.421052631578945</v>
      </c>
      <c r="W30" s="63">
        <f>IFERROR(U30/#REF!,0)</f>
        <v>0</v>
      </c>
      <c r="X30" s="64">
        <f>X29/F29*F30</f>
        <v>444.78333333333342</v>
      </c>
      <c r="Y30" s="62">
        <f>IF(F30=0,"휴무",X30/F30)</f>
        <v>46.819298245614043</v>
      </c>
      <c r="Z30" s="65">
        <f>IFERROR(X30/#REF!,0)</f>
        <v>0</v>
      </c>
      <c r="AA30" s="60">
        <f>AVERAGE(AA23:AA28)</f>
        <v>36.880165289256198</v>
      </c>
      <c r="AB30" s="60">
        <f>AVERAGE(AB23:AB28)</f>
        <v>37.843796875000002</v>
      </c>
      <c r="AC30" s="141">
        <f>AA30+AB30</f>
        <v>74.723962164256193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287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4</v>
      </c>
      <c r="F36" s="455" t="s">
        <v>7</v>
      </c>
      <c r="G36" s="82" t="s">
        <v>48</v>
      </c>
      <c r="H36" s="83">
        <v>541</v>
      </c>
      <c r="I36" s="84"/>
      <c r="J36" s="85"/>
      <c r="K36" s="86">
        <v>609.38</v>
      </c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541</v>
      </c>
      <c r="I38" s="88"/>
      <c r="J38" s="89"/>
      <c r="K38" s="90">
        <f>+K36+K37*2</f>
        <v>609.38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5</v>
      </c>
      <c r="F39" s="455" t="s">
        <v>52</v>
      </c>
      <c r="G39" s="82" t="s">
        <v>48</v>
      </c>
      <c r="H39" s="83">
        <v>439</v>
      </c>
      <c r="I39" s="84"/>
      <c r="J39" s="85"/>
      <c r="K39" s="86">
        <v>490.03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439</v>
      </c>
      <c r="I41" s="88"/>
      <c r="J41" s="89"/>
      <c r="K41" s="90">
        <f>+K39+K40*2</f>
        <v>490.03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6</v>
      </c>
      <c r="F42" s="455" t="s">
        <v>53</v>
      </c>
      <c r="G42" s="82" t="s">
        <v>48</v>
      </c>
      <c r="H42" s="83">
        <v>592</v>
      </c>
      <c r="I42" s="84"/>
      <c r="J42" s="85"/>
      <c r="K42" s="86">
        <v>701.71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592</v>
      </c>
      <c r="I44" s="88"/>
      <c r="J44" s="89"/>
      <c r="K44" s="90">
        <f>+K42+K43*2</f>
        <v>701.71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7</v>
      </c>
      <c r="F45" s="455" t="s">
        <v>55</v>
      </c>
      <c r="G45" s="82" t="s">
        <v>48</v>
      </c>
      <c r="H45" s="83">
        <v>520</v>
      </c>
      <c r="I45" s="84"/>
      <c r="J45" s="85"/>
      <c r="K45" s="86">
        <v>898.45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520</v>
      </c>
      <c r="I47" s="88"/>
      <c r="J47" s="89"/>
      <c r="K47" s="90">
        <f>+K45+K46*2</f>
        <v>898.45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8</v>
      </c>
      <c r="F48" s="455" t="s">
        <v>56</v>
      </c>
      <c r="G48" s="82" t="s">
        <v>48</v>
      </c>
      <c r="H48" s="83">
        <v>364</v>
      </c>
      <c r="I48" s="84"/>
      <c r="J48" s="85"/>
      <c r="K48" s="86">
        <v>687.39</v>
      </c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364</v>
      </c>
      <c r="I50" s="88"/>
      <c r="J50" s="89"/>
      <c r="K50" s="90">
        <f>+K48+K49*2</f>
        <v>687.39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9</v>
      </c>
      <c r="F51" s="455" t="s">
        <v>38</v>
      </c>
      <c r="G51" s="82" t="s">
        <v>48</v>
      </c>
      <c r="H51" s="83">
        <v>160</v>
      </c>
      <c r="I51" s="84"/>
      <c r="J51" s="85"/>
      <c r="K51" s="86">
        <v>119.1</v>
      </c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>
        <v>53</v>
      </c>
      <c r="I52" s="84"/>
      <c r="J52" s="85"/>
      <c r="K52" s="86">
        <v>128.18</v>
      </c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266</v>
      </c>
      <c r="I53" s="88"/>
      <c r="J53" s="89"/>
      <c r="K53" s="90">
        <f>+K51+K52*2</f>
        <v>375.46000000000004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4</v>
      </c>
      <c r="F56" s="455" t="s">
        <v>7</v>
      </c>
      <c r="G56" s="82" t="s">
        <v>48</v>
      </c>
      <c r="H56" s="83">
        <v>356</v>
      </c>
      <c r="I56" s="84"/>
      <c r="J56" s="85"/>
      <c r="K56" s="86">
        <f>811.83-0.66</f>
        <v>811.17000000000007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>
        <v>2</v>
      </c>
      <c r="I57" s="84"/>
      <c r="J57" s="85"/>
      <c r="K57" s="86">
        <v>0.66</v>
      </c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360</v>
      </c>
      <c r="I58" s="88"/>
      <c r="J58" s="89"/>
      <c r="K58" s="90">
        <f>+K56+K57*2</f>
        <v>812.49000000000012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5</v>
      </c>
      <c r="F59" s="455" t="s">
        <v>52</v>
      </c>
      <c r="G59" s="82" t="s">
        <v>48</v>
      </c>
      <c r="H59" s="83">
        <f>402-44</f>
        <v>358</v>
      </c>
      <c r="I59" s="84"/>
      <c r="J59" s="85"/>
      <c r="K59" s="86">
        <f>316.28-51.62</f>
        <v>264.65999999999997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>
        <v>44</v>
      </c>
      <c r="I60" s="84"/>
      <c r="J60" s="85"/>
      <c r="K60" s="86">
        <v>51.62</v>
      </c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446</v>
      </c>
      <c r="I61" s="88"/>
      <c r="J61" s="89"/>
      <c r="K61" s="90">
        <f>+K59+K60*2</f>
        <v>367.9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6</v>
      </c>
      <c r="F62" s="455" t="s">
        <v>53</v>
      </c>
      <c r="G62" s="82" t="s">
        <v>48</v>
      </c>
      <c r="H62" s="83">
        <v>584</v>
      </c>
      <c r="I62" s="84"/>
      <c r="J62" s="85"/>
      <c r="K62" s="86">
        <f>439.88-7.97</f>
        <v>431.90999999999997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>
        <v>2</v>
      </c>
      <c r="I63" s="84"/>
      <c r="J63" s="85"/>
      <c r="K63" s="86">
        <v>7.97</v>
      </c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588</v>
      </c>
      <c r="I64" s="88"/>
      <c r="J64" s="89"/>
      <c r="K64" s="90">
        <f>+K62+K63*2</f>
        <v>447.84999999999997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7</v>
      </c>
      <c r="F65" s="455" t="s">
        <v>55</v>
      </c>
      <c r="G65" s="82" t="s">
        <v>48</v>
      </c>
      <c r="H65" s="83">
        <f>580-24</f>
        <v>556</v>
      </c>
      <c r="I65" s="84"/>
      <c r="J65" s="85"/>
      <c r="K65" s="86">
        <f>441.15-10.4</f>
        <v>430.75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>
        <v>24</v>
      </c>
      <c r="I66" s="84"/>
      <c r="J66" s="85"/>
      <c r="K66" s="86">
        <v>10.4</v>
      </c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604</v>
      </c>
      <c r="I67" s="88"/>
      <c r="J67" s="89"/>
      <c r="K67" s="90">
        <f>+K65+K66*2</f>
        <v>451.55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8</v>
      </c>
      <c r="F68" s="455" t="s">
        <v>56</v>
      </c>
      <c r="G68" s="82" t="s">
        <v>48</v>
      </c>
      <c r="H68" s="83">
        <f>202-121</f>
        <v>81</v>
      </c>
      <c r="I68" s="84"/>
      <c r="J68" s="85"/>
      <c r="K68" s="86">
        <f>193.37-147.89</f>
        <v>45.480000000000018</v>
      </c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>
        <v>121</v>
      </c>
      <c r="I69" s="84"/>
      <c r="J69" s="85"/>
      <c r="K69" s="86">
        <v>147.88999999999999</v>
      </c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323</v>
      </c>
      <c r="I70" s="88"/>
      <c r="J70" s="89"/>
      <c r="K70" s="90">
        <f>+K68+K69*2</f>
        <v>341.26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9</v>
      </c>
      <c r="F71" s="455" t="s">
        <v>38</v>
      </c>
      <c r="G71" s="82" t="s">
        <v>48</v>
      </c>
      <c r="H71" s="83">
        <f>403-36</f>
        <v>367</v>
      </c>
      <c r="I71" s="84"/>
      <c r="J71" s="85"/>
      <c r="K71" s="86">
        <f>220.91-26.74</f>
        <v>194.17</v>
      </c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>
        <v>36</v>
      </c>
      <c r="I72" s="84"/>
      <c r="J72" s="85"/>
      <c r="K72" s="86">
        <v>26.74</v>
      </c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439</v>
      </c>
      <c r="I73" s="88"/>
      <c r="J73" s="89"/>
      <c r="K73" s="90">
        <f>+K71+K72*2</f>
        <v>247.64999999999998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281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5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6">IF(F80=0,"휴무",AA80+AB80)</f>
        <v>#REF!</v>
      </c>
      <c r="AD80" s="103" t="e">
        <f t="shared" ref="AD80:AD85" si="27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287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287"/>
      <c r="AP80" s="287">
        <f>AO80-F80</f>
        <v>-10</v>
      </c>
    </row>
    <row r="81" spans="2:42" ht="98.25" customHeight="1" x14ac:dyDescent="0.3">
      <c r="B81" s="459"/>
      <c r="C81" s="92">
        <v>20</v>
      </c>
      <c r="D81" s="288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5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6"/>
        <v>#REF!</v>
      </c>
      <c r="AD81" s="108" t="e">
        <f t="shared" si="27"/>
        <v>#REF!</v>
      </c>
      <c r="AE81" s="109"/>
      <c r="AF81" s="37">
        <f>AG81-F81</f>
        <v>-10</v>
      </c>
      <c r="AG81" s="38">
        <f>AN81</f>
        <v>0</v>
      </c>
      <c r="AH81" s="287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287"/>
      <c r="AP81" s="287">
        <f>AO81-F81</f>
        <v>-10</v>
      </c>
    </row>
    <row r="82" spans="2:42" ht="98.25" customHeight="1" x14ac:dyDescent="0.3">
      <c r="B82" s="459"/>
      <c r="C82" s="92">
        <v>21</v>
      </c>
      <c r="D82" s="288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5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6"/>
        <v>#REF!</v>
      </c>
      <c r="AD82" s="108" t="e">
        <f t="shared" si="27"/>
        <v>#REF!</v>
      </c>
      <c r="AE82" s="109"/>
      <c r="AF82" s="37">
        <f>AG82-F82</f>
        <v>-10</v>
      </c>
      <c r="AG82" s="38">
        <f>AN82</f>
        <v>0</v>
      </c>
      <c r="AH82" s="287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287"/>
      <c r="AP82" s="287">
        <f>AO82-F82</f>
        <v>-10</v>
      </c>
    </row>
    <row r="83" spans="2:42" ht="98.25" customHeight="1" x14ac:dyDescent="0.3">
      <c r="B83" s="459"/>
      <c r="C83" s="92">
        <v>22</v>
      </c>
      <c r="D83" s="288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5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6"/>
        <v>#REF!</v>
      </c>
      <c r="AD83" s="110" t="e">
        <f t="shared" si="27"/>
        <v>#REF!</v>
      </c>
      <c r="AE83" s="104"/>
      <c r="AF83" s="37">
        <f>AG83-F83</f>
        <v>-10</v>
      </c>
      <c r="AG83" s="38">
        <f>AN83</f>
        <v>0</v>
      </c>
      <c r="AH83" s="287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287"/>
      <c r="AP83" s="287">
        <f>AO83-F83</f>
        <v>-10</v>
      </c>
    </row>
    <row r="84" spans="2:42" ht="98.25" customHeight="1" x14ac:dyDescent="0.3">
      <c r="B84" s="459"/>
      <c r="C84" s="92">
        <v>23</v>
      </c>
      <c r="D84" s="288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5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6"/>
        <v>#REF!</v>
      </c>
      <c r="AD84" s="110" t="e">
        <f t="shared" si="27"/>
        <v>#REF!</v>
      </c>
      <c r="AE84" s="104"/>
      <c r="AF84" s="37">
        <f>AG84-F84</f>
        <v>-10</v>
      </c>
      <c r="AG84" s="38">
        <f>AN84</f>
        <v>0</v>
      </c>
      <c r="AH84" s="287" t="s">
        <v>46</v>
      </c>
      <c r="AI84" s="39"/>
      <c r="AJ84" s="40" t="str">
        <f>IFERROR(Z84/W84*1000,"")</f>
        <v/>
      </c>
      <c r="AK84" s="287"/>
      <c r="AL84" s="41"/>
      <c r="AM84" s="41"/>
      <c r="AN84" s="41"/>
      <c r="AO84" s="287"/>
      <c r="AP84" s="287">
        <f>AO84-F84</f>
        <v>-10</v>
      </c>
    </row>
    <row r="85" spans="2:42" ht="98.25" customHeight="1" x14ac:dyDescent="0.3">
      <c r="B85" s="459"/>
      <c r="C85" s="92">
        <v>25</v>
      </c>
      <c r="D85" s="288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5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6"/>
        <v>휴무</v>
      </c>
      <c r="AD85" s="110" t="str">
        <f t="shared" si="27"/>
        <v>휴무</v>
      </c>
      <c r="AE85" s="104"/>
      <c r="AF85" s="37"/>
      <c r="AG85" s="38"/>
      <c r="AH85" s="287"/>
      <c r="AI85" s="39"/>
      <c r="AJ85" s="40"/>
      <c r="AK85" s="287"/>
      <c r="AL85" s="41"/>
      <c r="AM85" s="41"/>
      <c r="AN85" s="41"/>
      <c r="AO85" s="287"/>
      <c r="AP85" s="287"/>
    </row>
    <row r="86" spans="2:42" ht="36" customHeight="1" x14ac:dyDescent="0.3">
      <c r="B86" s="460" t="s">
        <v>39</v>
      </c>
      <c r="C86" s="461"/>
      <c r="D86" s="461"/>
      <c r="E86" s="462"/>
      <c r="F86" s="288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288"/>
      <c r="AB86" s="284"/>
      <c r="AC86" s="114"/>
      <c r="AD86" s="115"/>
      <c r="AE86" s="286"/>
      <c r="AF86" s="37">
        <f>AG86-F86</f>
        <v>-50</v>
      </c>
      <c r="AG86" s="38">
        <f>SUM(AG80:AG85)</f>
        <v>0</v>
      </c>
      <c r="AH86" s="287"/>
      <c r="AI86" s="287"/>
      <c r="AJ86" s="40"/>
      <c r="AK86" s="287"/>
      <c r="AL86" s="59"/>
      <c r="AM86" s="59"/>
      <c r="AN86" s="59"/>
      <c r="AO86" s="287"/>
      <c r="AP86" s="287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285"/>
      <c r="H87" s="285"/>
      <c r="I87" s="285"/>
      <c r="J87" s="285"/>
      <c r="K87" s="285"/>
      <c r="L87" s="285"/>
      <c r="M87" s="285"/>
      <c r="N87" s="285"/>
      <c r="O87" s="285"/>
      <c r="P87" s="285"/>
      <c r="Q87" s="285"/>
      <c r="R87" s="285"/>
      <c r="S87" s="285"/>
      <c r="T87" s="285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287"/>
      <c r="AE88" s="287"/>
      <c r="AF88" s="287"/>
      <c r="AG88" s="287"/>
      <c r="AH88" s="287"/>
      <c r="AI88" s="287"/>
      <c r="AJ88" s="287"/>
      <c r="AK88" s="287"/>
      <c r="AL88" s="59"/>
      <c r="AM88" s="59"/>
      <c r="AN88" s="59"/>
      <c r="AO88" s="287"/>
      <c r="AP88" s="287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288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288" t="s">
        <v>63</v>
      </c>
      <c r="D117" s="466" t="s">
        <v>12</v>
      </c>
      <c r="E117" s="466"/>
      <c r="F117" s="288" t="s">
        <v>64</v>
      </c>
      <c r="G117" s="288"/>
      <c r="H117" s="288"/>
      <c r="I117" s="288"/>
      <c r="J117" s="288"/>
      <c r="K117" s="288"/>
      <c r="L117" s="288"/>
      <c r="M117" s="288"/>
      <c r="N117" s="288"/>
      <c r="O117" s="288"/>
      <c r="P117" s="288"/>
      <c r="Q117" s="288"/>
      <c r="R117" s="288"/>
      <c r="S117" s="288"/>
      <c r="T117" s="288"/>
      <c r="U117" s="288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288"/>
      <c r="G118" s="288"/>
      <c r="H118" s="288"/>
      <c r="I118" s="288"/>
      <c r="J118" s="288"/>
      <c r="K118" s="288"/>
      <c r="L118" s="288"/>
      <c r="M118" s="288"/>
      <c r="N118" s="288"/>
      <c r="O118" s="288"/>
      <c r="P118" s="288"/>
      <c r="Q118" s="288"/>
      <c r="R118" s="288"/>
      <c r="S118" s="288"/>
      <c r="T118" s="288"/>
      <c r="U118" s="288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288"/>
      <c r="G120" s="288"/>
      <c r="H120" s="288"/>
      <c r="I120" s="288"/>
      <c r="J120" s="288"/>
      <c r="K120" s="288"/>
      <c r="L120" s="288"/>
      <c r="M120" s="288"/>
      <c r="N120" s="288"/>
      <c r="O120" s="288"/>
      <c r="P120" s="288"/>
      <c r="Q120" s="288"/>
      <c r="R120" s="288"/>
      <c r="S120" s="288"/>
      <c r="T120" s="288"/>
      <c r="U120" s="288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288"/>
      <c r="G121" s="288"/>
      <c r="H121" s="288"/>
      <c r="I121" s="288"/>
      <c r="J121" s="288"/>
      <c r="K121" s="288"/>
      <c r="L121" s="288"/>
      <c r="M121" s="288"/>
      <c r="N121" s="288"/>
      <c r="O121" s="288"/>
      <c r="P121" s="288"/>
      <c r="Q121" s="288"/>
      <c r="R121" s="288"/>
      <c r="S121" s="288"/>
      <c r="T121" s="288"/>
      <c r="U121" s="288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288"/>
      <c r="G122" s="288"/>
      <c r="H122" s="288"/>
      <c r="I122" s="288"/>
      <c r="J122" s="288"/>
      <c r="K122" s="288"/>
      <c r="L122" s="288"/>
      <c r="M122" s="288"/>
      <c r="N122" s="288"/>
      <c r="O122" s="288"/>
      <c r="P122" s="288"/>
      <c r="Q122" s="288"/>
      <c r="R122" s="288"/>
      <c r="S122" s="288"/>
      <c r="T122" s="288"/>
      <c r="U122" s="288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288"/>
      <c r="G123" s="288"/>
      <c r="H123" s="288"/>
      <c r="I123" s="288"/>
      <c r="J123" s="288"/>
      <c r="K123" s="288"/>
      <c r="L123" s="288"/>
      <c r="M123" s="288"/>
      <c r="N123" s="288"/>
      <c r="O123" s="288"/>
      <c r="P123" s="288"/>
      <c r="Q123" s="288"/>
      <c r="R123" s="288"/>
      <c r="S123" s="288"/>
      <c r="T123" s="288"/>
      <c r="U123" s="288"/>
      <c r="V123" s="117"/>
      <c r="W123" s="118"/>
      <c r="X123" s="116"/>
      <c r="Y123" s="117"/>
      <c r="Z123" s="116"/>
      <c r="AA123" s="116"/>
    </row>
    <row r="124" spans="3:27" x14ac:dyDescent="0.3">
      <c r="C124" s="288"/>
      <c r="D124" s="460"/>
      <c r="E124" s="462"/>
      <c r="F124" s="288"/>
      <c r="G124" s="288"/>
      <c r="H124" s="288"/>
      <c r="I124" s="288"/>
      <c r="J124" s="288"/>
      <c r="K124" s="288"/>
      <c r="L124" s="288"/>
      <c r="M124" s="288"/>
      <c r="N124" s="288"/>
      <c r="O124" s="288"/>
      <c r="P124" s="288"/>
      <c r="Q124" s="288"/>
      <c r="R124" s="288"/>
      <c r="S124" s="288"/>
      <c r="T124" s="288"/>
      <c r="U124" s="288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288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288" t="s">
        <v>63</v>
      </c>
      <c r="D127" s="466" t="s">
        <v>12</v>
      </c>
      <c r="E127" s="466"/>
      <c r="F127" s="288" t="s">
        <v>64</v>
      </c>
      <c r="G127" s="288"/>
      <c r="H127" s="288"/>
      <c r="I127" s="288"/>
      <c r="J127" s="288"/>
      <c r="K127" s="288"/>
      <c r="L127" s="288"/>
      <c r="M127" s="288"/>
      <c r="N127" s="288"/>
      <c r="O127" s="288"/>
      <c r="P127" s="288"/>
      <c r="Q127" s="288"/>
      <c r="R127" s="288"/>
      <c r="S127" s="288"/>
      <c r="T127" s="288"/>
      <c r="U127" s="288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288"/>
      <c r="G129" s="288"/>
      <c r="H129" s="288"/>
      <c r="I129" s="288"/>
      <c r="J129" s="288"/>
      <c r="K129" s="288"/>
      <c r="L129" s="288"/>
      <c r="M129" s="288"/>
      <c r="N129" s="288"/>
      <c r="O129" s="288"/>
      <c r="P129" s="288"/>
      <c r="Q129" s="288"/>
      <c r="R129" s="288"/>
      <c r="S129" s="288"/>
      <c r="T129" s="288"/>
      <c r="U129" s="288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288"/>
      <c r="G130" s="288"/>
      <c r="H130" s="288"/>
      <c r="I130" s="288"/>
      <c r="J130" s="288"/>
      <c r="K130" s="288"/>
      <c r="L130" s="288"/>
      <c r="M130" s="288"/>
      <c r="N130" s="288"/>
      <c r="O130" s="288"/>
      <c r="P130" s="288"/>
      <c r="Q130" s="288"/>
      <c r="R130" s="288"/>
      <c r="S130" s="288"/>
      <c r="T130" s="288"/>
      <c r="U130" s="288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288"/>
      <c r="G131" s="288"/>
      <c r="H131" s="288"/>
      <c r="I131" s="288"/>
      <c r="J131" s="288"/>
      <c r="K131" s="288"/>
      <c r="L131" s="288"/>
      <c r="M131" s="288"/>
      <c r="N131" s="288"/>
      <c r="O131" s="288"/>
      <c r="P131" s="288"/>
      <c r="Q131" s="288"/>
      <c r="R131" s="288"/>
      <c r="S131" s="288"/>
      <c r="T131" s="288"/>
      <c r="U131" s="288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288"/>
      <c r="G132" s="288"/>
      <c r="H132" s="288"/>
      <c r="I132" s="288"/>
      <c r="J132" s="288"/>
      <c r="K132" s="288"/>
      <c r="L132" s="288"/>
      <c r="M132" s="288"/>
      <c r="N132" s="288"/>
      <c r="O132" s="288"/>
      <c r="P132" s="288"/>
      <c r="Q132" s="288"/>
      <c r="R132" s="288"/>
      <c r="S132" s="288"/>
      <c r="T132" s="288"/>
      <c r="U132" s="288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288"/>
      <c r="G133" s="288"/>
      <c r="H133" s="288"/>
      <c r="I133" s="288"/>
      <c r="J133" s="288"/>
      <c r="K133" s="288"/>
      <c r="L133" s="288"/>
      <c r="M133" s="288"/>
      <c r="N133" s="288"/>
      <c r="O133" s="288"/>
      <c r="P133" s="288"/>
      <c r="Q133" s="288"/>
      <c r="R133" s="288"/>
      <c r="S133" s="288"/>
      <c r="T133" s="288"/>
      <c r="U133" s="288"/>
      <c r="V133" s="117"/>
      <c r="W133" s="118"/>
      <c r="X133" s="116"/>
      <c r="Y133" s="117"/>
      <c r="Z133" s="116"/>
      <c r="AA133" s="116"/>
    </row>
    <row r="134" spans="3:27" x14ac:dyDescent="0.3">
      <c r="C134" s="288"/>
      <c r="D134" s="460"/>
      <c r="E134" s="462"/>
      <c r="F134" s="288"/>
      <c r="G134" s="288"/>
      <c r="H134" s="288"/>
      <c r="I134" s="288"/>
      <c r="J134" s="288"/>
      <c r="K134" s="288"/>
      <c r="L134" s="288"/>
      <c r="M134" s="288"/>
      <c r="N134" s="288"/>
      <c r="O134" s="288"/>
      <c r="P134" s="288"/>
      <c r="Q134" s="288"/>
      <c r="R134" s="288"/>
      <c r="S134" s="288"/>
      <c r="T134" s="288"/>
      <c r="U134" s="288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288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288" t="s">
        <v>63</v>
      </c>
      <c r="D137" s="466" t="s">
        <v>12</v>
      </c>
      <c r="E137" s="466"/>
      <c r="F137" s="288" t="s">
        <v>64</v>
      </c>
      <c r="G137" s="288"/>
      <c r="H137" s="288"/>
      <c r="I137" s="288"/>
      <c r="J137" s="288"/>
      <c r="K137" s="288"/>
      <c r="L137" s="288"/>
      <c r="M137" s="288"/>
      <c r="N137" s="288"/>
      <c r="O137" s="288"/>
      <c r="P137" s="288"/>
      <c r="Q137" s="288"/>
      <c r="R137" s="288"/>
      <c r="S137" s="288"/>
      <c r="T137" s="288"/>
      <c r="U137" s="288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288"/>
      <c r="G138" s="288"/>
      <c r="H138" s="288"/>
      <c r="I138" s="288"/>
      <c r="J138" s="288"/>
      <c r="K138" s="288"/>
      <c r="L138" s="288"/>
      <c r="M138" s="288"/>
      <c r="N138" s="288"/>
      <c r="O138" s="288"/>
      <c r="P138" s="288"/>
      <c r="Q138" s="288"/>
      <c r="R138" s="288"/>
      <c r="S138" s="288"/>
      <c r="T138" s="288"/>
      <c r="U138" s="288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288"/>
      <c r="G139" s="288"/>
      <c r="H139" s="288"/>
      <c r="I139" s="288"/>
      <c r="J139" s="288"/>
      <c r="K139" s="288"/>
      <c r="L139" s="288"/>
      <c r="M139" s="288"/>
      <c r="N139" s="288"/>
      <c r="O139" s="288"/>
      <c r="P139" s="288"/>
      <c r="Q139" s="288"/>
      <c r="R139" s="288"/>
      <c r="S139" s="288"/>
      <c r="T139" s="288"/>
      <c r="U139" s="288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288"/>
      <c r="G140" s="288"/>
      <c r="H140" s="288"/>
      <c r="I140" s="288"/>
      <c r="J140" s="288"/>
      <c r="K140" s="288"/>
      <c r="L140" s="288"/>
      <c r="M140" s="288"/>
      <c r="N140" s="288"/>
      <c r="O140" s="288"/>
      <c r="P140" s="288"/>
      <c r="Q140" s="288"/>
      <c r="R140" s="288"/>
      <c r="S140" s="288"/>
      <c r="T140" s="288"/>
      <c r="U140" s="288"/>
    </row>
    <row r="141" spans="3:27" x14ac:dyDescent="0.3">
      <c r="C141" s="119">
        <v>45078</v>
      </c>
      <c r="D141" s="466"/>
      <c r="E141" s="466"/>
      <c r="F141" s="288"/>
      <c r="G141" s="288"/>
      <c r="H141" s="288"/>
      <c r="I141" s="288"/>
      <c r="J141" s="288"/>
      <c r="K141" s="288"/>
      <c r="L141" s="288"/>
      <c r="M141" s="288"/>
      <c r="N141" s="288"/>
      <c r="O141" s="288"/>
      <c r="P141" s="288"/>
      <c r="Q141" s="288"/>
      <c r="R141" s="288"/>
      <c r="S141" s="288"/>
      <c r="T141" s="288"/>
      <c r="U141" s="288"/>
    </row>
    <row r="142" spans="3:27" x14ac:dyDescent="0.3">
      <c r="C142" s="119">
        <v>45079</v>
      </c>
      <c r="D142" s="466"/>
      <c r="E142" s="466"/>
      <c r="F142" s="288"/>
      <c r="G142" s="288"/>
      <c r="H142" s="288"/>
      <c r="I142" s="288"/>
      <c r="J142" s="288"/>
      <c r="K142" s="288"/>
      <c r="L142" s="288"/>
      <c r="M142" s="288"/>
      <c r="N142" s="288"/>
      <c r="O142" s="288"/>
      <c r="P142" s="288"/>
      <c r="Q142" s="288"/>
      <c r="R142" s="288"/>
      <c r="S142" s="288"/>
      <c r="T142" s="288"/>
      <c r="U142" s="288"/>
    </row>
    <row r="143" spans="3:27" x14ac:dyDescent="0.3">
      <c r="C143" s="119">
        <v>45080</v>
      </c>
      <c r="D143" s="466"/>
      <c r="E143" s="466"/>
      <c r="F143" s="288"/>
      <c r="G143" s="288"/>
      <c r="H143" s="288"/>
      <c r="I143" s="288"/>
      <c r="J143" s="288"/>
      <c r="K143" s="288"/>
      <c r="L143" s="288"/>
      <c r="M143" s="288"/>
      <c r="N143" s="288"/>
      <c r="O143" s="288"/>
      <c r="P143" s="288"/>
      <c r="Q143" s="288"/>
      <c r="R143" s="288"/>
      <c r="S143" s="288"/>
      <c r="T143" s="288"/>
      <c r="U143" s="288"/>
    </row>
    <row r="144" spans="3:27" x14ac:dyDescent="0.3">
      <c r="C144" s="288"/>
      <c r="D144" s="460"/>
      <c r="E144" s="462"/>
      <c r="F144" s="288"/>
      <c r="G144" s="288"/>
      <c r="H144" s="288"/>
      <c r="I144" s="288"/>
      <c r="J144" s="288"/>
      <c r="K144" s="288"/>
      <c r="L144" s="288"/>
      <c r="M144" s="288"/>
      <c r="N144" s="288"/>
      <c r="O144" s="288"/>
      <c r="P144" s="288"/>
      <c r="Q144" s="288"/>
      <c r="R144" s="288"/>
      <c r="S144" s="288"/>
      <c r="T144" s="288"/>
      <c r="U144" s="288"/>
    </row>
  </sheetData>
  <mergeCells count="113"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E104:E106"/>
    <mergeCell ref="F104:F106"/>
    <mergeCell ref="E107:E109"/>
    <mergeCell ref="F107:F109"/>
    <mergeCell ref="C114:U114"/>
    <mergeCell ref="D117:E117"/>
    <mergeCell ref="E95:E97"/>
    <mergeCell ref="F95:F97"/>
    <mergeCell ref="E98:E100"/>
    <mergeCell ref="F98:F100"/>
    <mergeCell ref="E101:E103"/>
    <mergeCell ref="F101:F103"/>
    <mergeCell ref="AE78:AE79"/>
    <mergeCell ref="B80:B85"/>
    <mergeCell ref="B86:E86"/>
    <mergeCell ref="B87:E87"/>
    <mergeCell ref="E92:E94"/>
    <mergeCell ref="F92:F94"/>
    <mergeCell ref="B76:AE76"/>
    <mergeCell ref="B78:B79"/>
    <mergeCell ref="C78:C79"/>
    <mergeCell ref="D78:D79"/>
    <mergeCell ref="E78:E79"/>
    <mergeCell ref="F78:F79"/>
    <mergeCell ref="U78:W78"/>
    <mergeCell ref="X78:Z78"/>
    <mergeCell ref="AC78:AC79"/>
    <mergeCell ref="AD78:AD79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B23:B28"/>
    <mergeCell ref="B29:E29"/>
    <mergeCell ref="B30:E30"/>
    <mergeCell ref="I21:S21"/>
    <mergeCell ref="T21:T22"/>
    <mergeCell ref="U21:W21"/>
    <mergeCell ref="X21:Z21"/>
    <mergeCell ref="AA21:AA22"/>
    <mergeCell ref="AB21:AB22"/>
    <mergeCell ref="B13:E13"/>
    <mergeCell ref="B14:E14"/>
    <mergeCell ref="B19:AE19"/>
    <mergeCell ref="B21:B22"/>
    <mergeCell ref="C21:C22"/>
    <mergeCell ref="D21:D22"/>
    <mergeCell ref="E21:E22"/>
    <mergeCell ref="F21:F22"/>
    <mergeCell ref="G21:G22"/>
    <mergeCell ref="H21:H22"/>
    <mergeCell ref="AC21:AC22"/>
    <mergeCell ref="AD21:AD22"/>
    <mergeCell ref="AE21:AE22"/>
    <mergeCell ref="U5:W5"/>
    <mergeCell ref="X5:Z5"/>
    <mergeCell ref="AC5:AC6"/>
    <mergeCell ref="AD5:AD6"/>
    <mergeCell ref="AE5:AE6"/>
    <mergeCell ref="B7:B12"/>
    <mergeCell ref="B2:AE2"/>
    <mergeCell ref="B3:AE3"/>
    <mergeCell ref="B5:C6"/>
    <mergeCell ref="D5:D6"/>
    <mergeCell ref="E5:E6"/>
    <mergeCell ref="F5:F6"/>
    <mergeCell ref="G5:G6"/>
    <mergeCell ref="H5:H6"/>
    <mergeCell ref="I5:S5"/>
    <mergeCell ref="T5:T6"/>
  </mergeCells>
  <phoneticPr fontId="4" type="noConversion"/>
  <dataValidations count="3">
    <dataValidation type="list" allowBlank="1" showInputMessage="1" showErrorMessage="1" sqref="E23 E7 E9:E10 E25:E26 E12 E28">
      <formula1>$U$7:$U$12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 E27 E8 E24 E11">
      <formula1>$AH$7:$AH$12</formula1>
    </dataValidation>
  </dataValidations>
  <pageMargins left="0.62992125984251968" right="0.62992125984251968" top="0.94488188976377963" bottom="0.55118110236220474" header="0.31496062992125984" footer="0.31496062992125984"/>
  <pageSetup paperSize="9" scale="28" orientation="landscape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80" zoomScaleNormal="80" workbookViewId="0">
      <pane xSplit="4" ySplit="6" topLeftCell="E7" activePane="bottomRight" state="frozen"/>
      <selection pane="topRight" activeCell="D1" sqref="D1"/>
      <selection pane="bottomLeft" activeCell="A6" sqref="A6"/>
      <selection pane="bottomRight" activeCell="E11" sqref="E11:F11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56.375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11.75" hidden="1" customWidth="1"/>
    <col min="44" max="44" width="3.25" customWidth="1"/>
  </cols>
  <sheetData>
    <row r="2" spans="2:52" ht="20.25" x14ac:dyDescent="0.3">
      <c r="B2" s="425" t="s">
        <v>181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275" t="s">
        <v>1</v>
      </c>
      <c r="AY2" s="275" t="s">
        <v>2</v>
      </c>
      <c r="AZ2" s="3" t="s">
        <v>3</v>
      </c>
    </row>
    <row r="3" spans="2:52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E3" s="464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273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75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273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-41</v>
      </c>
    </row>
    <row r="7" spans="2:52" s="279" customFormat="1" ht="99" customHeight="1" thickTop="1" x14ac:dyDescent="0.3">
      <c r="B7" s="420">
        <v>4</v>
      </c>
      <c r="C7" s="24">
        <v>27</v>
      </c>
      <c r="D7" s="25" t="s">
        <v>7</v>
      </c>
      <c r="E7" s="26" t="s">
        <v>28</v>
      </c>
      <c r="F7" s="25">
        <v>11</v>
      </c>
      <c r="G7" s="128">
        <v>320</v>
      </c>
      <c r="H7" s="128">
        <f>(G7/U7)*100</f>
        <v>71.74887892376681</v>
      </c>
      <c r="I7" s="123" t="s">
        <v>99</v>
      </c>
      <c r="J7" s="123" t="s">
        <v>86</v>
      </c>
      <c r="K7" s="123" t="s">
        <v>73</v>
      </c>
      <c r="L7" s="123" t="s">
        <v>87</v>
      </c>
      <c r="M7" s="123"/>
      <c r="N7" s="129" t="s">
        <v>90</v>
      </c>
      <c r="O7" s="123" t="s">
        <v>74</v>
      </c>
      <c r="P7" s="123" t="s">
        <v>169</v>
      </c>
      <c r="Q7" s="123" t="s">
        <v>91</v>
      </c>
      <c r="R7" s="123" t="s">
        <v>89</v>
      </c>
      <c r="S7" s="125">
        <f t="shared" ref="S7:S13" si="0">COUNTA(I7:M7)+COUNTA(N7:R7)/2</f>
        <v>6.5</v>
      </c>
      <c r="T7" s="27">
        <f t="shared" ref="T7:T12" si="1">F7*$D$4*$U$4</f>
        <v>726</v>
      </c>
      <c r="U7" s="28">
        <f>+H38</f>
        <v>446</v>
      </c>
      <c r="V7" s="29">
        <f t="shared" ref="V7:V12" si="2">IF(F7=0,"휴무",U7/F7)</f>
        <v>40.545454545454547</v>
      </c>
      <c r="W7" s="30">
        <f t="shared" ref="W7:W13" si="3">IFERROR(U7/T7,0)</f>
        <v>0.61432506887052341</v>
      </c>
      <c r="X7" s="31">
        <f>+K38</f>
        <v>718.76</v>
      </c>
      <c r="Y7" s="29">
        <f t="shared" ref="Y7:Y12" si="4">IF(F7=0,"휴무",X7/F7)</f>
        <v>65.341818181818184</v>
      </c>
      <c r="Z7" s="32">
        <f t="shared" ref="Z7:Z13" si="5">IFERROR(X7/T7,0)</f>
        <v>0.99002754820936634</v>
      </c>
      <c r="AA7" s="33">
        <f t="shared" ref="AA7:AA12" si="6">IF(F7=0,"휴무",U7/T7*$AA$4)</f>
        <v>30.71625344352617</v>
      </c>
      <c r="AB7" s="34">
        <f t="shared" ref="AB7:AB12" si="7">IF(F7=0,"휴무",X7/T7*$AB$4)</f>
        <v>53.906999999999996</v>
      </c>
      <c r="AC7" s="138">
        <f t="shared" ref="AC7:AC13" si="8">IF(F7=0,"휴무",AA7+AB7)</f>
        <v>84.623253443526167</v>
      </c>
      <c r="AD7" s="35" t="str">
        <f t="shared" ref="AD7:AD13" si="9">IF(F7=0,"휴무",IF(AC7&gt;=100,"좋아요",IF(AC7&gt;=90,"90~99",IF(AC7&gt;=80,"80~89"," 사유?→"))))</f>
        <v>80~89</v>
      </c>
      <c r="AE7" s="36"/>
      <c r="AF7" s="37">
        <f>AG7-F7</f>
        <v>-11</v>
      </c>
      <c r="AG7" s="38">
        <f>AN7</f>
        <v>0</v>
      </c>
      <c r="AH7" s="279" t="s">
        <v>29</v>
      </c>
      <c r="AI7" s="39"/>
      <c r="AJ7" s="40">
        <f>IFERROR(Z7/W7*1000,"")</f>
        <v>1611.5695067264573</v>
      </c>
      <c r="AK7" s="39"/>
      <c r="AL7" s="41"/>
      <c r="AM7" s="41"/>
      <c r="AN7" s="41"/>
      <c r="AP7" s="279">
        <f t="shared" ref="AP7:AP12" si="10">AO7-F7</f>
        <v>-11</v>
      </c>
      <c r="AQ7" s="42"/>
    </row>
    <row r="8" spans="2:52" s="279" customFormat="1" ht="99.75" customHeight="1" x14ac:dyDescent="0.3">
      <c r="B8" s="421"/>
      <c r="C8" s="24">
        <f>+C7+1</f>
        <v>28</v>
      </c>
      <c r="D8" s="43" t="s">
        <v>30</v>
      </c>
      <c r="E8" s="26" t="s">
        <v>28</v>
      </c>
      <c r="F8" s="25">
        <v>11</v>
      </c>
      <c r="G8" s="125">
        <v>598</v>
      </c>
      <c r="H8" s="125">
        <f>(G8/U8)*100</f>
        <v>98.35526315789474</v>
      </c>
      <c r="I8" s="123" t="s">
        <v>99</v>
      </c>
      <c r="J8" s="123" t="s">
        <v>86</v>
      </c>
      <c r="K8" s="123" t="s">
        <v>73</v>
      </c>
      <c r="L8" s="123" t="s">
        <v>87</v>
      </c>
      <c r="M8" s="123"/>
      <c r="N8" s="129" t="s">
        <v>90</v>
      </c>
      <c r="O8" s="123" t="s">
        <v>74</v>
      </c>
      <c r="P8" s="123" t="s">
        <v>169</v>
      </c>
      <c r="Q8" s="123" t="s">
        <v>91</v>
      </c>
      <c r="R8" s="123" t="s">
        <v>89</v>
      </c>
      <c r="S8" s="125">
        <f t="shared" si="0"/>
        <v>6.5</v>
      </c>
      <c r="T8" s="27">
        <f t="shared" si="1"/>
        <v>726</v>
      </c>
      <c r="U8" s="28">
        <f>+H41</f>
        <v>608</v>
      </c>
      <c r="V8" s="44">
        <f t="shared" si="2"/>
        <v>55.272727272727273</v>
      </c>
      <c r="W8" s="45">
        <f t="shared" si="3"/>
        <v>0.83746556473829203</v>
      </c>
      <c r="X8" s="46">
        <f>+K41</f>
        <v>515.97</v>
      </c>
      <c r="Y8" s="29">
        <f t="shared" si="4"/>
        <v>46.906363636363636</v>
      </c>
      <c r="Z8" s="47">
        <f t="shared" si="5"/>
        <v>0.71070247933884301</v>
      </c>
      <c r="AA8" s="48">
        <f t="shared" si="6"/>
        <v>41.873278236914601</v>
      </c>
      <c r="AB8" s="49">
        <f t="shared" si="7"/>
        <v>38.697750000000006</v>
      </c>
      <c r="AC8" s="139">
        <f t="shared" si="8"/>
        <v>80.5710282369146</v>
      </c>
      <c r="AD8" s="50" t="str">
        <f t="shared" si="9"/>
        <v>80~89</v>
      </c>
      <c r="AE8" s="36"/>
      <c r="AF8" s="37">
        <f>AG8-F8</f>
        <v>-11</v>
      </c>
      <c r="AG8" s="38">
        <f>AN8</f>
        <v>0</v>
      </c>
      <c r="AH8" s="279" t="s">
        <v>31</v>
      </c>
      <c r="AI8" s="39"/>
      <c r="AJ8" s="40">
        <f>IFERROR(Z8/W8*1000,"")</f>
        <v>848.6348684210526</v>
      </c>
      <c r="AK8" s="39"/>
      <c r="AL8" s="41"/>
      <c r="AM8" s="41"/>
      <c r="AN8" s="41"/>
      <c r="AP8" s="279">
        <f t="shared" si="10"/>
        <v>-11</v>
      </c>
      <c r="AQ8" s="42"/>
    </row>
    <row r="9" spans="2:52" s="279" customFormat="1" ht="97.5" customHeight="1" x14ac:dyDescent="0.3">
      <c r="B9" s="421"/>
      <c r="C9" s="24">
        <f>+C8+1</f>
        <v>29</v>
      </c>
      <c r="D9" s="43" t="s">
        <v>32</v>
      </c>
      <c r="E9" s="26" t="s">
        <v>29</v>
      </c>
      <c r="F9" s="25">
        <v>8</v>
      </c>
      <c r="G9" s="125">
        <v>316</v>
      </c>
      <c r="H9" s="125">
        <f>(G9/U9)*100</f>
        <v>98.442367601246104</v>
      </c>
      <c r="I9" s="123" t="s">
        <v>99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169</v>
      </c>
      <c r="Q9" s="123" t="s">
        <v>91</v>
      </c>
      <c r="R9" s="123" t="s">
        <v>89</v>
      </c>
      <c r="S9" s="125">
        <f t="shared" si="0"/>
        <v>6.5</v>
      </c>
      <c r="T9" s="27">
        <f t="shared" si="1"/>
        <v>528</v>
      </c>
      <c r="U9" s="51">
        <f>+H44</f>
        <v>321</v>
      </c>
      <c r="V9" s="44">
        <f t="shared" si="2"/>
        <v>40.125</v>
      </c>
      <c r="W9" s="45">
        <f t="shared" si="3"/>
        <v>0.60795454545454541</v>
      </c>
      <c r="X9" s="46">
        <f>+K44</f>
        <v>402.93</v>
      </c>
      <c r="Y9" s="44">
        <f t="shared" si="4"/>
        <v>50.366250000000001</v>
      </c>
      <c r="Z9" s="47">
        <f t="shared" si="5"/>
        <v>0.76312500000000005</v>
      </c>
      <c r="AA9" s="48">
        <f t="shared" si="6"/>
        <v>30.39772727272727</v>
      </c>
      <c r="AB9" s="49">
        <f t="shared" si="7"/>
        <v>41.552156250000003</v>
      </c>
      <c r="AC9" s="139">
        <f t="shared" si="8"/>
        <v>71.949883522727276</v>
      </c>
      <c r="AD9" s="161" t="str">
        <f t="shared" si="9"/>
        <v xml:space="preserve"> 사유?→</v>
      </c>
      <c r="AE9" s="160" t="s">
        <v>183</v>
      </c>
      <c r="AF9" s="37">
        <f>AG9-F9</f>
        <v>-8</v>
      </c>
      <c r="AG9" s="38">
        <f>AN9</f>
        <v>0</v>
      </c>
      <c r="AH9" s="279" t="s">
        <v>34</v>
      </c>
      <c r="AI9" s="39"/>
      <c r="AJ9" s="40">
        <f>IFERROR(Z9/W9*1000,"")</f>
        <v>1255.2336448598132</v>
      </c>
      <c r="AK9" s="39"/>
      <c r="AL9" s="41"/>
      <c r="AM9" s="41"/>
      <c r="AN9" s="41"/>
      <c r="AP9" s="279">
        <f t="shared" si="10"/>
        <v>-8</v>
      </c>
      <c r="AQ9" s="42"/>
    </row>
    <row r="10" spans="2:52" s="279" customFormat="1" ht="95.25" customHeight="1" x14ac:dyDescent="0.3">
      <c r="B10" s="421"/>
      <c r="C10" s="24">
        <f>+C9+1</f>
        <v>30</v>
      </c>
      <c r="D10" s="43" t="s">
        <v>35</v>
      </c>
      <c r="E10" s="26" t="s">
        <v>28</v>
      </c>
      <c r="F10" s="25">
        <v>11</v>
      </c>
      <c r="G10" s="125">
        <v>486</v>
      </c>
      <c r="H10" s="125">
        <f>(G10/U10)*100</f>
        <v>99.386503067484668</v>
      </c>
      <c r="I10" s="123" t="s">
        <v>99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74</v>
      </c>
      <c r="P10" s="123" t="s">
        <v>169</v>
      </c>
      <c r="Q10" s="123" t="s">
        <v>91</v>
      </c>
      <c r="R10" s="123" t="s">
        <v>89</v>
      </c>
      <c r="S10" s="125">
        <f t="shared" si="0"/>
        <v>6.5</v>
      </c>
      <c r="T10" s="27">
        <f t="shared" si="1"/>
        <v>726</v>
      </c>
      <c r="U10" s="28">
        <f>+H47</f>
        <v>489</v>
      </c>
      <c r="V10" s="44">
        <f t="shared" si="2"/>
        <v>44.454545454545453</v>
      </c>
      <c r="W10" s="45">
        <f t="shared" si="3"/>
        <v>0.67355371900826444</v>
      </c>
      <c r="X10" s="46">
        <f>+K47</f>
        <v>756.88</v>
      </c>
      <c r="Y10" s="29">
        <f t="shared" si="4"/>
        <v>68.807272727272732</v>
      </c>
      <c r="Z10" s="47">
        <f t="shared" si="5"/>
        <v>1.0425344352617081</v>
      </c>
      <c r="AA10" s="48">
        <f t="shared" si="6"/>
        <v>33.67768595041322</v>
      </c>
      <c r="AB10" s="49">
        <f t="shared" si="7"/>
        <v>56.766000000000005</v>
      </c>
      <c r="AC10" s="139">
        <f t="shared" si="8"/>
        <v>90.443685950413226</v>
      </c>
      <c r="AD10" s="50" t="str">
        <f t="shared" si="9"/>
        <v>90~99</v>
      </c>
      <c r="AE10" s="36"/>
      <c r="AF10" s="37">
        <f>AG10-F10</f>
        <v>-11</v>
      </c>
      <c r="AG10" s="38">
        <f>AN10</f>
        <v>0</v>
      </c>
      <c r="AH10" s="279" t="s">
        <v>36</v>
      </c>
      <c r="AI10" s="39"/>
      <c r="AJ10" s="40">
        <f>IFERROR(Z10/W10*1000,"")</f>
        <v>1547.8118609406954</v>
      </c>
      <c r="AK10" s="39"/>
      <c r="AL10" s="41"/>
      <c r="AM10" s="41"/>
      <c r="AN10" s="41"/>
      <c r="AP10" s="279">
        <f t="shared" si="10"/>
        <v>-11</v>
      </c>
      <c r="AQ10" s="42"/>
    </row>
    <row r="11" spans="2:52" s="279" customFormat="1" ht="102.75" customHeight="1" x14ac:dyDescent="0.3">
      <c r="B11" s="421"/>
      <c r="C11" s="24">
        <v>1</v>
      </c>
      <c r="D11" s="43" t="s">
        <v>37</v>
      </c>
      <c r="E11" s="26" t="s">
        <v>33</v>
      </c>
      <c r="F11" s="25"/>
      <c r="G11" s="125"/>
      <c r="H11" s="125"/>
      <c r="I11" s="123"/>
      <c r="J11" s="123"/>
      <c r="K11" s="123"/>
      <c r="L11" s="123"/>
      <c r="M11" s="123"/>
      <c r="N11" s="129"/>
      <c r="O11" s="123"/>
      <c r="P11" s="123"/>
      <c r="Q11" s="123"/>
      <c r="R11" s="123"/>
      <c r="S11" s="125">
        <f t="shared" si="0"/>
        <v>0</v>
      </c>
      <c r="T11" s="27">
        <f t="shared" si="1"/>
        <v>0</v>
      </c>
      <c r="U11" s="28">
        <f>+H50</f>
        <v>0</v>
      </c>
      <c r="V11" s="44" t="str">
        <f t="shared" si="2"/>
        <v>휴무</v>
      </c>
      <c r="W11" s="45">
        <f t="shared" si="3"/>
        <v>0</v>
      </c>
      <c r="X11" s="46">
        <f>+K50</f>
        <v>0</v>
      </c>
      <c r="Y11" s="44" t="str">
        <f t="shared" si="4"/>
        <v>휴무</v>
      </c>
      <c r="Z11" s="47">
        <f t="shared" si="5"/>
        <v>0</v>
      </c>
      <c r="AA11" s="48" t="str">
        <f t="shared" si="6"/>
        <v>휴무</v>
      </c>
      <c r="AB11" s="49" t="str">
        <f t="shared" si="7"/>
        <v>휴무</v>
      </c>
      <c r="AC11" s="139" t="str">
        <f t="shared" si="8"/>
        <v>휴무</v>
      </c>
      <c r="AD11" s="50" t="str">
        <f t="shared" si="9"/>
        <v>휴무</v>
      </c>
      <c r="AE11" s="36"/>
      <c r="AF11" s="37">
        <f>AG11-F11</f>
        <v>0</v>
      </c>
      <c r="AG11" s="38">
        <f>AN11</f>
        <v>0</v>
      </c>
      <c r="AH11" s="279" t="s">
        <v>33</v>
      </c>
      <c r="AI11" s="39"/>
      <c r="AJ11" s="40" t="str">
        <f>IFERROR(Z11/W11*1000,"")</f>
        <v/>
      </c>
      <c r="AL11" s="41"/>
      <c r="AM11" s="41"/>
      <c r="AN11" s="41"/>
      <c r="AP11" s="279">
        <f t="shared" si="10"/>
        <v>0</v>
      </c>
      <c r="AQ11" s="42"/>
    </row>
    <row r="12" spans="2:52" s="279" customFormat="1" ht="102.75" customHeight="1" x14ac:dyDescent="0.3">
      <c r="B12" s="421"/>
      <c r="C12" s="24">
        <f>+C11+1</f>
        <v>2</v>
      </c>
      <c r="D12" s="43" t="s">
        <v>38</v>
      </c>
      <c r="E12" s="26" t="s">
        <v>33</v>
      </c>
      <c r="F12" s="25"/>
      <c r="G12" s="125"/>
      <c r="H12" s="125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5">
        <f t="shared" si="0"/>
        <v>0</v>
      </c>
      <c r="T12" s="274">
        <f t="shared" si="1"/>
        <v>0</v>
      </c>
      <c r="U12" s="28">
        <f>+H53</f>
        <v>0</v>
      </c>
      <c r="V12" s="29" t="str">
        <f t="shared" si="2"/>
        <v>휴무</v>
      </c>
      <c r="W12" s="30">
        <f t="shared" si="3"/>
        <v>0</v>
      </c>
      <c r="X12" s="31">
        <f>+K53</f>
        <v>0</v>
      </c>
      <c r="Y12" s="44" t="str">
        <f t="shared" si="4"/>
        <v>휴무</v>
      </c>
      <c r="Z12" s="47">
        <f t="shared" si="5"/>
        <v>0</v>
      </c>
      <c r="AA12" s="48" t="str">
        <f t="shared" si="6"/>
        <v>휴무</v>
      </c>
      <c r="AB12" s="49" t="str">
        <f t="shared" si="7"/>
        <v>휴무</v>
      </c>
      <c r="AC12" s="139" t="str">
        <f t="shared" si="8"/>
        <v>휴무</v>
      </c>
      <c r="AD12" s="50" t="str">
        <f t="shared" si="9"/>
        <v>휴무</v>
      </c>
      <c r="AE12" s="36"/>
      <c r="AF12" s="37"/>
      <c r="AG12" s="38"/>
      <c r="AI12" s="39"/>
      <c r="AJ12" s="40"/>
      <c r="AL12" s="41"/>
      <c r="AM12" s="41"/>
      <c r="AN12" s="41"/>
      <c r="AP12" s="279">
        <f t="shared" si="10"/>
        <v>0</v>
      </c>
      <c r="AQ12" s="42"/>
    </row>
    <row r="13" spans="2:52" s="279" customFormat="1" ht="36" customHeight="1" x14ac:dyDescent="0.3">
      <c r="B13" s="422" t="s">
        <v>39</v>
      </c>
      <c r="C13" s="423"/>
      <c r="D13" s="423"/>
      <c r="E13" s="424"/>
      <c r="F13" s="43">
        <f>SUM(F7:F12)</f>
        <v>41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 t="shared" si="0"/>
        <v>0</v>
      </c>
      <c r="T13" s="52">
        <f>SUM(T7:T12)</f>
        <v>2706</v>
      </c>
      <c r="U13" s="53">
        <f>SUM(U7:U12)</f>
        <v>1864</v>
      </c>
      <c r="V13" s="54">
        <f>U13/F13</f>
        <v>45.463414634146339</v>
      </c>
      <c r="W13" s="45">
        <f t="shared" si="3"/>
        <v>0.68883961566888396</v>
      </c>
      <c r="X13" s="55">
        <f>SUM(X7:X12)</f>
        <v>2394.54</v>
      </c>
      <c r="Y13" s="44">
        <f>X13/F13</f>
        <v>58.403414634146344</v>
      </c>
      <c r="Z13" s="47">
        <f t="shared" si="5"/>
        <v>0.88490022172949001</v>
      </c>
      <c r="AA13" s="56">
        <f>U13/T13*AA4</f>
        <v>34.441980783444201</v>
      </c>
      <c r="AB13" s="57">
        <f>X13/T13*AB4</f>
        <v>48.182817073170732</v>
      </c>
      <c r="AC13" s="140">
        <f t="shared" si="8"/>
        <v>82.624797856614933</v>
      </c>
      <c r="AD13" s="58" t="str">
        <f t="shared" si="9"/>
        <v>80~89</v>
      </c>
      <c r="AE13" s="43"/>
      <c r="AF13" s="37">
        <f>AG13-F13</f>
        <v>-41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10.25</v>
      </c>
      <c r="G14" s="277"/>
      <c r="H14" s="277"/>
      <c r="I14" s="277"/>
      <c r="J14" s="277"/>
      <c r="K14" s="277"/>
      <c r="L14" s="277"/>
      <c r="M14" s="277"/>
      <c r="N14" s="277"/>
      <c r="O14" s="277"/>
      <c r="P14" s="277"/>
      <c r="Q14" s="277"/>
      <c r="R14" s="277"/>
      <c r="S14" s="277"/>
      <c r="T14" s="277"/>
      <c r="U14" s="61">
        <f>V14*F14</f>
        <v>466</v>
      </c>
      <c r="V14" s="62">
        <f>U13/F13</f>
        <v>45.463414634146339</v>
      </c>
      <c r="W14" s="63">
        <f>IFERROR(U14/#REF!,0)</f>
        <v>0</v>
      </c>
      <c r="X14" s="64">
        <f>X13/F13*F14</f>
        <v>598.63499999999999</v>
      </c>
      <c r="Y14" s="62">
        <f>IF(F14=0,"휴무",X14/F14)</f>
        <v>58.403414634146344</v>
      </c>
      <c r="Z14" s="65">
        <f>IFERROR(X14/#REF!,0)</f>
        <v>0</v>
      </c>
      <c r="AA14" s="60">
        <f>AVERAGE(AA7:AA12)</f>
        <v>34.166236225895318</v>
      </c>
      <c r="AB14" s="60">
        <f>AVERAGE(AB7:AB12)</f>
        <v>47.730726562499996</v>
      </c>
      <c r="AC14" s="141">
        <f>AA14+AB14</f>
        <v>81.896962788395314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279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  <c r="AE19" s="464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75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-38.340000000000003</v>
      </c>
    </row>
    <row r="23" spans="2:43" s="279" customFormat="1" ht="99" customHeight="1" thickTop="1" x14ac:dyDescent="0.3">
      <c r="B23" s="420">
        <f>+B7</f>
        <v>4</v>
      </c>
      <c r="C23" s="24">
        <f t="shared" ref="C23:C28" si="11">+C7</f>
        <v>27</v>
      </c>
      <c r="D23" s="25" t="s">
        <v>7</v>
      </c>
      <c r="E23" s="26" t="s">
        <v>28</v>
      </c>
      <c r="F23" s="25">
        <v>11</v>
      </c>
      <c r="G23" s="128">
        <v>755</v>
      </c>
      <c r="H23" s="128">
        <f>(G23/U23)*100</f>
        <v>100</v>
      </c>
      <c r="I23" s="123" t="s">
        <v>78</v>
      </c>
      <c r="J23" s="123" t="s">
        <v>88</v>
      </c>
      <c r="K23" s="123" t="s">
        <v>92</v>
      </c>
      <c r="L23" s="123" t="s">
        <v>84</v>
      </c>
      <c r="M23" s="123"/>
      <c r="N23" s="129" t="s">
        <v>90</v>
      </c>
      <c r="O23" s="123" t="s">
        <v>74</v>
      </c>
      <c r="P23" s="123" t="s">
        <v>169</v>
      </c>
      <c r="Q23" s="123" t="s">
        <v>91</v>
      </c>
      <c r="R23" s="123" t="s">
        <v>89</v>
      </c>
      <c r="S23" s="124">
        <f t="shared" ref="S23:S28" si="12">COUNTA(I23:M23)+COUNTA(N23:R23)/2</f>
        <v>6.5</v>
      </c>
      <c r="T23" s="27">
        <f t="shared" ref="T23:T28" si="13">F23*$D$4*$U$4</f>
        <v>726</v>
      </c>
      <c r="U23" s="28">
        <f>+H58</f>
        <v>755</v>
      </c>
      <c r="V23" s="29">
        <f t="shared" ref="V23:V28" si="14">IF(F23=0,"휴무",U23/F23)</f>
        <v>68.63636363636364</v>
      </c>
      <c r="W23" s="30">
        <f t="shared" ref="W23:W29" si="15">IFERROR(U23/T23,0)</f>
        <v>1.0399449035812671</v>
      </c>
      <c r="X23" s="31">
        <f>+K58</f>
        <v>640.1</v>
      </c>
      <c r="Y23" s="29">
        <f t="shared" ref="Y23:Y28" si="16">IF(F23=0,"휴무",X23/F23)</f>
        <v>58.190909090909095</v>
      </c>
      <c r="Z23" s="32">
        <f t="shared" ref="Z23:Z29" si="17">IFERROR(X23/T23,0)</f>
        <v>0.88168044077134988</v>
      </c>
      <c r="AA23" s="33">
        <f t="shared" ref="AA23:AA28" si="18">IF(F23=0,"휴무",U23/T23*$AA$4)</f>
        <v>51.997245179063356</v>
      </c>
      <c r="AB23" s="34">
        <f t="shared" ref="AB23:AB28" si="19">IF(F23=0,"휴무",X23/T23*$AB$4)</f>
        <v>48.0075</v>
      </c>
      <c r="AC23" s="138">
        <f t="shared" ref="AC23:AC29" si="20">IF(F23=0,"휴무",AA23+AB23)</f>
        <v>100.00474517906335</v>
      </c>
      <c r="AD23" s="35" t="str">
        <f t="shared" ref="AD23:AD29" si="21">IF(F23=0,"휴무",IF(AC23&gt;=100,"좋아요",IF(AC23&gt;=90,"90~99",IF(AC23&gt;=80,"80~89"," 사유?→"))))</f>
        <v>좋아요</v>
      </c>
      <c r="AE23" s="36"/>
      <c r="AF23" s="37">
        <f>AG23-F23</f>
        <v>-11</v>
      </c>
      <c r="AG23" s="38">
        <f>AN23</f>
        <v>0</v>
      </c>
      <c r="AH23" s="279" t="s">
        <v>29</v>
      </c>
      <c r="AI23" s="39"/>
      <c r="AJ23" s="40">
        <f>IFERROR(Z23/W23*1000,"")</f>
        <v>847.81456953642396</v>
      </c>
      <c r="AK23" s="39"/>
      <c r="AL23" s="41"/>
      <c r="AM23" s="41"/>
      <c r="AN23" s="41"/>
      <c r="AP23" s="279">
        <f t="shared" ref="AP23:AP28" si="22">AO23-F23</f>
        <v>-11</v>
      </c>
      <c r="AQ23" s="42"/>
    </row>
    <row r="24" spans="2:43" s="279" customFormat="1" ht="99.75" customHeight="1" x14ac:dyDescent="0.3">
      <c r="B24" s="421"/>
      <c r="C24" s="24">
        <f t="shared" si="11"/>
        <v>28</v>
      </c>
      <c r="D24" s="43" t="s">
        <v>30</v>
      </c>
      <c r="E24" s="26" t="s">
        <v>28</v>
      </c>
      <c r="F24" s="25">
        <f>11-2.66</f>
        <v>8.34</v>
      </c>
      <c r="G24" s="125">
        <v>450</v>
      </c>
      <c r="H24" s="125">
        <f>(G24/U24)*100</f>
        <v>99.77827050997783</v>
      </c>
      <c r="I24" s="123" t="s">
        <v>78</v>
      </c>
      <c r="J24" s="123" t="s">
        <v>88</v>
      </c>
      <c r="K24" s="123" t="s">
        <v>92</v>
      </c>
      <c r="L24" s="123" t="s">
        <v>84</v>
      </c>
      <c r="M24" s="123"/>
      <c r="N24" s="129" t="s">
        <v>90</v>
      </c>
      <c r="O24" s="123" t="s">
        <v>74</v>
      </c>
      <c r="P24" s="123" t="s">
        <v>169</v>
      </c>
      <c r="Q24" s="123" t="s">
        <v>91</v>
      </c>
      <c r="R24" s="123" t="s">
        <v>89</v>
      </c>
      <c r="S24" s="124">
        <f t="shared" si="12"/>
        <v>6.5</v>
      </c>
      <c r="T24" s="27">
        <f t="shared" si="13"/>
        <v>550.43999999999994</v>
      </c>
      <c r="U24" s="28">
        <f>+H61</f>
        <v>451</v>
      </c>
      <c r="V24" s="44">
        <f t="shared" si="14"/>
        <v>54.076738609112709</v>
      </c>
      <c r="W24" s="45">
        <f t="shared" si="15"/>
        <v>0.81934452438049565</v>
      </c>
      <c r="X24" s="46">
        <f>+K61</f>
        <v>466.22</v>
      </c>
      <c r="Y24" s="29">
        <f t="shared" si="16"/>
        <v>55.901678657074342</v>
      </c>
      <c r="Z24" s="47">
        <f t="shared" si="17"/>
        <v>0.84699513116779312</v>
      </c>
      <c r="AA24" s="48">
        <f t="shared" si="18"/>
        <v>40.967226219024781</v>
      </c>
      <c r="AB24" s="49">
        <f t="shared" si="19"/>
        <v>46.118884892086335</v>
      </c>
      <c r="AC24" s="139">
        <f t="shared" si="20"/>
        <v>87.086111111111109</v>
      </c>
      <c r="AD24" s="80" t="str">
        <f t="shared" si="21"/>
        <v>80~89</v>
      </c>
      <c r="AE24" s="36" t="s">
        <v>182</v>
      </c>
      <c r="AF24" s="37">
        <f>AG24-F24</f>
        <v>-8.34</v>
      </c>
      <c r="AG24" s="38">
        <f>AN24</f>
        <v>0</v>
      </c>
      <c r="AH24" s="279" t="s">
        <v>34</v>
      </c>
      <c r="AI24" s="39"/>
      <c r="AJ24" s="40">
        <f>IFERROR(Z24/W24*1000,"")</f>
        <v>1033.7472283813747</v>
      </c>
      <c r="AK24" s="39"/>
      <c r="AL24" s="41"/>
      <c r="AM24" s="41"/>
      <c r="AN24" s="41"/>
      <c r="AP24" s="279">
        <f t="shared" si="22"/>
        <v>-8.34</v>
      </c>
      <c r="AQ24" s="42"/>
    </row>
    <row r="25" spans="2:43" s="279" customFormat="1" ht="97.5" customHeight="1" x14ac:dyDescent="0.3">
      <c r="B25" s="421"/>
      <c r="C25" s="24">
        <f t="shared" si="11"/>
        <v>29</v>
      </c>
      <c r="D25" s="43" t="s">
        <v>32</v>
      </c>
      <c r="E25" s="26" t="s">
        <v>29</v>
      </c>
      <c r="F25" s="25">
        <v>8</v>
      </c>
      <c r="G25" s="124">
        <v>483</v>
      </c>
      <c r="H25" s="124">
        <f>(G25/U25)*100</f>
        <v>99.382716049382708</v>
      </c>
      <c r="I25" s="123" t="s">
        <v>78</v>
      </c>
      <c r="J25" s="123" t="s">
        <v>88</v>
      </c>
      <c r="K25" s="123" t="s">
        <v>92</v>
      </c>
      <c r="L25" s="123" t="s">
        <v>84</v>
      </c>
      <c r="M25" s="123"/>
      <c r="N25" s="129" t="s">
        <v>90</v>
      </c>
      <c r="O25" s="123" t="s">
        <v>74</v>
      </c>
      <c r="P25" s="123" t="s">
        <v>169</v>
      </c>
      <c r="Q25" s="123" t="s">
        <v>91</v>
      </c>
      <c r="R25" s="123" t="s">
        <v>89</v>
      </c>
      <c r="S25" s="124">
        <f t="shared" si="12"/>
        <v>6.5</v>
      </c>
      <c r="T25" s="27">
        <f t="shared" si="13"/>
        <v>528</v>
      </c>
      <c r="U25" s="28">
        <f>+H64</f>
        <v>486</v>
      </c>
      <c r="V25" s="44">
        <f t="shared" si="14"/>
        <v>60.75</v>
      </c>
      <c r="W25" s="45">
        <f t="shared" si="15"/>
        <v>0.92045454545454541</v>
      </c>
      <c r="X25" s="46">
        <f>+K64</f>
        <v>481.57</v>
      </c>
      <c r="Y25" s="29">
        <f t="shared" si="16"/>
        <v>60.196249999999999</v>
      </c>
      <c r="Z25" s="47">
        <f t="shared" si="17"/>
        <v>0.91206439393939398</v>
      </c>
      <c r="AA25" s="48">
        <f t="shared" si="18"/>
        <v>46.022727272727273</v>
      </c>
      <c r="AB25" s="49">
        <f t="shared" si="19"/>
        <v>49.661906250000008</v>
      </c>
      <c r="AC25" s="139">
        <f t="shared" si="20"/>
        <v>95.684633522727282</v>
      </c>
      <c r="AD25" s="50" t="str">
        <f t="shared" si="21"/>
        <v>90~99</v>
      </c>
      <c r="AE25" s="36"/>
      <c r="AF25" s="37">
        <f>AG25-F25</f>
        <v>-8</v>
      </c>
      <c r="AG25" s="38">
        <f>AN25</f>
        <v>0</v>
      </c>
      <c r="AH25" s="279" t="s">
        <v>36</v>
      </c>
      <c r="AI25" s="39"/>
      <c r="AJ25" s="40">
        <f>IFERROR(Z25/W25*1000,"")</f>
        <v>990.88477366255154</v>
      </c>
      <c r="AK25" s="39"/>
      <c r="AL25" s="41"/>
      <c r="AM25" s="41"/>
      <c r="AN25" s="41"/>
      <c r="AP25" s="279">
        <f t="shared" si="22"/>
        <v>-8</v>
      </c>
      <c r="AQ25" s="42"/>
    </row>
    <row r="26" spans="2:43" s="279" customFormat="1" ht="115.5" customHeight="1" x14ac:dyDescent="0.3">
      <c r="B26" s="421"/>
      <c r="C26" s="24">
        <f t="shared" si="11"/>
        <v>30</v>
      </c>
      <c r="D26" s="43" t="s">
        <v>35</v>
      </c>
      <c r="E26" s="26" t="s">
        <v>28</v>
      </c>
      <c r="F26" s="25">
        <v>11</v>
      </c>
      <c r="G26" s="124">
        <v>565</v>
      </c>
      <c r="H26" s="124">
        <f>(G26/U26)*100</f>
        <v>97.920277296360482</v>
      </c>
      <c r="I26" s="123" t="s">
        <v>78</v>
      </c>
      <c r="J26" s="123" t="s">
        <v>88</v>
      </c>
      <c r="K26" s="123" t="s">
        <v>92</v>
      </c>
      <c r="L26" s="123" t="s">
        <v>84</v>
      </c>
      <c r="M26" s="123"/>
      <c r="N26" s="129" t="s">
        <v>90</v>
      </c>
      <c r="O26" s="123" t="s">
        <v>74</v>
      </c>
      <c r="P26" s="123" t="s">
        <v>169</v>
      </c>
      <c r="Q26" s="123" t="s">
        <v>91</v>
      </c>
      <c r="R26" s="123" t="s">
        <v>89</v>
      </c>
      <c r="S26" s="124">
        <f t="shared" si="12"/>
        <v>6.5</v>
      </c>
      <c r="T26" s="27">
        <f t="shared" si="13"/>
        <v>726</v>
      </c>
      <c r="U26" s="28">
        <f>+H67</f>
        <v>577</v>
      </c>
      <c r="V26" s="44">
        <f t="shared" si="14"/>
        <v>52.454545454545453</v>
      </c>
      <c r="W26" s="45">
        <f t="shared" si="15"/>
        <v>0.79476584022038566</v>
      </c>
      <c r="X26" s="46">
        <f>+K67</f>
        <v>571.33000000000004</v>
      </c>
      <c r="Y26" s="44">
        <f t="shared" si="16"/>
        <v>51.939090909090915</v>
      </c>
      <c r="Z26" s="47">
        <f t="shared" si="17"/>
        <v>0.78695592286501381</v>
      </c>
      <c r="AA26" s="48">
        <f t="shared" si="18"/>
        <v>39.738292011019283</v>
      </c>
      <c r="AB26" s="49">
        <f t="shared" si="19"/>
        <v>42.849750000000007</v>
      </c>
      <c r="AC26" s="139">
        <f t="shared" si="20"/>
        <v>82.588042011019297</v>
      </c>
      <c r="AD26" s="50" t="str">
        <f t="shared" si="21"/>
        <v>80~89</v>
      </c>
      <c r="AE26" s="36"/>
      <c r="AF26" s="37">
        <f>AG26-F26</f>
        <v>-11</v>
      </c>
      <c r="AG26" s="38">
        <f>AN26</f>
        <v>0</v>
      </c>
      <c r="AH26" s="279" t="s">
        <v>33</v>
      </c>
      <c r="AI26" s="39"/>
      <c r="AJ26" s="40">
        <f>IFERROR(Z26/W26*1000,"")</f>
        <v>990.17331022530345</v>
      </c>
      <c r="AK26" s="39"/>
      <c r="AL26" s="41"/>
      <c r="AM26" s="41"/>
      <c r="AN26" s="41"/>
      <c r="AP26" s="279">
        <f t="shared" si="22"/>
        <v>-11</v>
      </c>
      <c r="AQ26" s="42"/>
    </row>
    <row r="27" spans="2:43" s="279" customFormat="1" ht="104.25" customHeight="1" x14ac:dyDescent="0.3">
      <c r="B27" s="421"/>
      <c r="C27" s="24">
        <f t="shared" si="11"/>
        <v>1</v>
      </c>
      <c r="D27" s="43" t="s">
        <v>37</v>
      </c>
      <c r="E27" s="26" t="s">
        <v>33</v>
      </c>
      <c r="F27" s="25"/>
      <c r="G27" s="125"/>
      <c r="H27" s="130"/>
      <c r="I27" s="123"/>
      <c r="J27" s="123"/>
      <c r="K27" s="123"/>
      <c r="L27" s="123"/>
      <c r="M27" s="123"/>
      <c r="N27" s="129"/>
      <c r="O27" s="123"/>
      <c r="P27" s="123"/>
      <c r="Q27" s="123"/>
      <c r="R27" s="123"/>
      <c r="S27" s="125">
        <f t="shared" si="12"/>
        <v>0</v>
      </c>
      <c r="T27" s="27">
        <f t="shared" si="13"/>
        <v>0</v>
      </c>
      <c r="U27" s="28">
        <f>+H70</f>
        <v>0</v>
      </c>
      <c r="V27" s="44" t="str">
        <f t="shared" si="14"/>
        <v>휴무</v>
      </c>
      <c r="W27" s="45">
        <f t="shared" si="15"/>
        <v>0</v>
      </c>
      <c r="X27" s="46">
        <f>+K70</f>
        <v>0</v>
      </c>
      <c r="Y27" s="44" t="str">
        <f t="shared" si="16"/>
        <v>휴무</v>
      </c>
      <c r="Z27" s="47">
        <f t="shared" si="17"/>
        <v>0</v>
      </c>
      <c r="AA27" s="48" t="str">
        <f t="shared" si="18"/>
        <v>휴무</v>
      </c>
      <c r="AB27" s="49" t="str">
        <f t="shared" si="19"/>
        <v>휴무</v>
      </c>
      <c r="AC27" s="139" t="str">
        <f t="shared" si="20"/>
        <v>휴무</v>
      </c>
      <c r="AD27" s="50" t="str">
        <f t="shared" si="21"/>
        <v>휴무</v>
      </c>
      <c r="AE27" s="36"/>
      <c r="AF27" s="37">
        <f>AG27-F27</f>
        <v>0</v>
      </c>
      <c r="AG27" s="38">
        <f>AN27</f>
        <v>0</v>
      </c>
      <c r="AH27" s="279" t="s">
        <v>46</v>
      </c>
      <c r="AI27" s="39"/>
      <c r="AJ27" s="40" t="str">
        <f>IFERROR(Z27/W27*1000,"")</f>
        <v/>
      </c>
      <c r="AL27" s="41"/>
      <c r="AM27" s="41"/>
      <c r="AN27" s="41"/>
      <c r="AP27" s="279">
        <f t="shared" si="22"/>
        <v>0</v>
      </c>
      <c r="AQ27" s="42"/>
    </row>
    <row r="28" spans="2:43" s="279" customFormat="1" ht="104.25" customHeight="1" x14ac:dyDescent="0.3">
      <c r="B28" s="421"/>
      <c r="C28" s="24">
        <f t="shared" si="11"/>
        <v>2</v>
      </c>
      <c r="D28" s="43" t="s">
        <v>47</v>
      </c>
      <c r="E28" s="26" t="s">
        <v>33</v>
      </c>
      <c r="F28" s="25"/>
      <c r="G28" s="124"/>
      <c r="H28" s="124"/>
      <c r="I28" s="123"/>
      <c r="J28" s="123"/>
      <c r="K28" s="123"/>
      <c r="L28" s="123"/>
      <c r="M28" s="121"/>
      <c r="N28" s="123"/>
      <c r="O28" s="121"/>
      <c r="P28" s="121"/>
      <c r="Q28" s="123"/>
      <c r="R28" s="123"/>
      <c r="S28" s="124">
        <f t="shared" si="12"/>
        <v>0</v>
      </c>
      <c r="T28" s="274">
        <f t="shared" si="13"/>
        <v>0</v>
      </c>
      <c r="U28" s="28">
        <f>+H73</f>
        <v>0</v>
      </c>
      <c r="V28" s="29" t="str">
        <f t="shared" si="14"/>
        <v>휴무</v>
      </c>
      <c r="W28" s="30">
        <f t="shared" si="15"/>
        <v>0</v>
      </c>
      <c r="X28" s="31">
        <f>+K73</f>
        <v>0</v>
      </c>
      <c r="Y28" s="44" t="str">
        <f t="shared" si="16"/>
        <v>휴무</v>
      </c>
      <c r="Z28" s="47">
        <f t="shared" si="17"/>
        <v>0</v>
      </c>
      <c r="AA28" s="48" t="str">
        <f t="shared" si="18"/>
        <v>휴무</v>
      </c>
      <c r="AB28" s="49" t="str">
        <f t="shared" si="19"/>
        <v>휴무</v>
      </c>
      <c r="AC28" s="139" t="str">
        <f t="shared" si="20"/>
        <v>휴무</v>
      </c>
      <c r="AD28" s="50" t="str">
        <f t="shared" si="21"/>
        <v>휴무</v>
      </c>
      <c r="AE28" s="36"/>
      <c r="AF28" s="37"/>
      <c r="AG28" s="38"/>
      <c r="AI28" s="39"/>
      <c r="AJ28" s="40"/>
      <c r="AL28" s="41"/>
      <c r="AM28" s="41"/>
      <c r="AN28" s="41"/>
      <c r="AP28" s="279">
        <f t="shared" si="22"/>
        <v>0</v>
      </c>
      <c r="AQ28" s="42"/>
    </row>
    <row r="29" spans="2:43" s="279" customFormat="1" ht="36" customHeight="1" x14ac:dyDescent="0.3">
      <c r="B29" s="422" t="s">
        <v>39</v>
      </c>
      <c r="C29" s="423"/>
      <c r="D29" s="423"/>
      <c r="E29" s="424"/>
      <c r="F29" s="43">
        <f>SUM(F23:F28)</f>
        <v>38.340000000000003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2530.44</v>
      </c>
      <c r="U29" s="53">
        <f>SUM(U23:U28)</f>
        <v>2269</v>
      </c>
      <c r="V29" s="54">
        <f>U29/F29</f>
        <v>59.181011997913402</v>
      </c>
      <c r="W29" s="45">
        <f t="shared" si="15"/>
        <v>0.89668199996838494</v>
      </c>
      <c r="X29" s="55">
        <f>SUM(X23:X28)</f>
        <v>2159.2200000000003</v>
      </c>
      <c r="Y29" s="44">
        <f>X29/F29</f>
        <v>56.317683881064163</v>
      </c>
      <c r="Z29" s="47">
        <f t="shared" si="17"/>
        <v>0.8532982406221844</v>
      </c>
      <c r="AA29" s="56">
        <f>U29/T29*AA20</f>
        <v>44.834099998419248</v>
      </c>
      <c r="AB29" s="57">
        <f>X29/T29*AB20</f>
        <v>46.462089201877944</v>
      </c>
      <c r="AC29" s="140">
        <f t="shared" si="20"/>
        <v>91.296189200297192</v>
      </c>
      <c r="AD29" s="58" t="str">
        <f t="shared" si="21"/>
        <v>90~99</v>
      </c>
      <c r="AE29" s="43"/>
      <c r="AF29" s="37">
        <f>AG29-F29</f>
        <v>-38.340000000000003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9.5850000000000009</v>
      </c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61">
        <f>V30*F30</f>
        <v>567.25</v>
      </c>
      <c r="V30" s="62">
        <f>U29/F29</f>
        <v>59.181011997913402</v>
      </c>
      <c r="W30" s="63">
        <f>IFERROR(U30/#REF!,0)</f>
        <v>0</v>
      </c>
      <c r="X30" s="64">
        <f>X29/F29*F30</f>
        <v>539.80500000000006</v>
      </c>
      <c r="Y30" s="62">
        <f>IF(F30=0,"휴무",X30/F30)</f>
        <v>56.317683881064163</v>
      </c>
      <c r="Z30" s="65">
        <f>IFERROR(X30/#REF!,0)</f>
        <v>0</v>
      </c>
      <c r="AA30" s="60">
        <f>AVERAGE(AA23:AA28)</f>
        <v>44.681372670458671</v>
      </c>
      <c r="AB30" s="60">
        <f>AVERAGE(AB23:AB28)</f>
        <v>46.659510285521584</v>
      </c>
      <c r="AC30" s="141">
        <f>AA30+AB30</f>
        <v>91.340882955980248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279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27</v>
      </c>
      <c r="F36" s="455" t="s">
        <v>7</v>
      </c>
      <c r="G36" s="82" t="s">
        <v>48</v>
      </c>
      <c r="H36" s="83">
        <f>328-118</f>
        <v>210</v>
      </c>
      <c r="I36" s="84"/>
      <c r="J36" s="85"/>
      <c r="K36" s="86">
        <f>540.54-178.22</f>
        <v>362.31999999999994</v>
      </c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>
        <v>118</v>
      </c>
      <c r="I37" s="84"/>
      <c r="J37" s="85"/>
      <c r="K37" s="86">
        <v>178.22</v>
      </c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446</v>
      </c>
      <c r="I38" s="88"/>
      <c r="J38" s="89"/>
      <c r="K38" s="90">
        <f>+K36+K37*2</f>
        <v>718.76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28</v>
      </c>
      <c r="F39" s="455" t="s">
        <v>52</v>
      </c>
      <c r="G39" s="82" t="s">
        <v>48</v>
      </c>
      <c r="H39" s="83">
        <v>608</v>
      </c>
      <c r="I39" s="84"/>
      <c r="J39" s="85"/>
      <c r="K39" s="86">
        <v>515.97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608</v>
      </c>
      <c r="I41" s="88"/>
      <c r="J41" s="89"/>
      <c r="K41" s="90">
        <f>+K39+K40*2</f>
        <v>515.97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29</v>
      </c>
      <c r="F42" s="455" t="s">
        <v>53</v>
      </c>
      <c r="G42" s="82" t="s">
        <v>48</v>
      </c>
      <c r="H42" s="83">
        <v>321</v>
      </c>
      <c r="I42" s="84"/>
      <c r="J42" s="85"/>
      <c r="K42" s="86">
        <v>402.93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321</v>
      </c>
      <c r="I44" s="88"/>
      <c r="J44" s="89"/>
      <c r="K44" s="90">
        <f>+K42+K43*2</f>
        <v>402.93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30</v>
      </c>
      <c r="F45" s="455" t="s">
        <v>55</v>
      </c>
      <c r="G45" s="82" t="s">
        <v>48</v>
      </c>
      <c r="H45" s="83">
        <v>489</v>
      </c>
      <c r="I45" s="84"/>
      <c r="J45" s="85"/>
      <c r="K45" s="86">
        <v>756.88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489</v>
      </c>
      <c r="I47" s="88"/>
      <c r="J47" s="89"/>
      <c r="K47" s="90">
        <f>+K45+K46*2</f>
        <v>756.88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1</v>
      </c>
      <c r="F48" s="455" t="s">
        <v>56</v>
      </c>
      <c r="G48" s="82" t="s">
        <v>48</v>
      </c>
      <c r="H48" s="83"/>
      <c r="I48" s="84"/>
      <c r="J48" s="85"/>
      <c r="K48" s="86"/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0</v>
      </c>
      <c r="I50" s="88"/>
      <c r="J50" s="89"/>
      <c r="K50" s="90">
        <f>+K48+K49*2</f>
        <v>0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2</v>
      </c>
      <c r="F51" s="455" t="s">
        <v>38</v>
      </c>
      <c r="G51" s="82" t="s">
        <v>48</v>
      </c>
      <c r="H51" s="83"/>
      <c r="I51" s="84"/>
      <c r="J51" s="85"/>
      <c r="K51" s="86"/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0</v>
      </c>
      <c r="I53" s="88"/>
      <c r="J53" s="89"/>
      <c r="K53" s="90">
        <f>+K51+K52*2</f>
        <v>0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27</v>
      </c>
      <c r="F56" s="455" t="s">
        <v>7</v>
      </c>
      <c r="G56" s="82" t="s">
        <v>48</v>
      </c>
      <c r="H56" s="83">
        <v>755</v>
      </c>
      <c r="I56" s="84"/>
      <c r="J56" s="85"/>
      <c r="K56" s="86">
        <v>640.1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/>
      <c r="I57" s="84"/>
      <c r="J57" s="85"/>
      <c r="K57" s="86"/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755</v>
      </c>
      <c r="I58" s="88"/>
      <c r="J58" s="89"/>
      <c r="K58" s="90">
        <f>+K56+K57*2</f>
        <v>640.1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28</v>
      </c>
      <c r="F59" s="455" t="s">
        <v>52</v>
      </c>
      <c r="G59" s="82" t="s">
        <v>48</v>
      </c>
      <c r="H59" s="83">
        <v>451</v>
      </c>
      <c r="I59" s="84"/>
      <c r="J59" s="85"/>
      <c r="K59" s="86">
        <v>466.22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/>
      <c r="I60" s="84"/>
      <c r="J60" s="85"/>
      <c r="K60" s="86"/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451</v>
      </c>
      <c r="I61" s="88"/>
      <c r="J61" s="89"/>
      <c r="K61" s="90">
        <f>+K59+K60*2</f>
        <v>466.22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29</v>
      </c>
      <c r="F62" s="455" t="s">
        <v>53</v>
      </c>
      <c r="G62" s="82" t="s">
        <v>48</v>
      </c>
      <c r="H62" s="83">
        <v>486</v>
      </c>
      <c r="I62" s="84"/>
      <c r="J62" s="85"/>
      <c r="K62" s="86">
        <v>481.57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/>
      <c r="I63" s="84"/>
      <c r="J63" s="85"/>
      <c r="K63" s="86"/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486</v>
      </c>
      <c r="I64" s="88"/>
      <c r="J64" s="89"/>
      <c r="K64" s="90">
        <f>+K62+K63*2</f>
        <v>481.57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30</v>
      </c>
      <c r="F65" s="455" t="s">
        <v>55</v>
      </c>
      <c r="G65" s="82" t="s">
        <v>48</v>
      </c>
      <c r="H65" s="83">
        <v>577</v>
      </c>
      <c r="I65" s="84"/>
      <c r="J65" s="85"/>
      <c r="K65" s="86">
        <v>571.33000000000004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/>
      <c r="I66" s="84"/>
      <c r="J66" s="85"/>
      <c r="K66" s="86"/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577</v>
      </c>
      <c r="I67" s="88"/>
      <c r="J67" s="89"/>
      <c r="K67" s="90">
        <f>+K65+K66*2</f>
        <v>571.33000000000004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1</v>
      </c>
      <c r="F68" s="455" t="s">
        <v>56</v>
      </c>
      <c r="G68" s="82" t="s">
        <v>48</v>
      </c>
      <c r="H68" s="83"/>
      <c r="I68" s="84"/>
      <c r="J68" s="85"/>
      <c r="K68" s="86"/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/>
      <c r="I69" s="84"/>
      <c r="J69" s="85"/>
      <c r="K69" s="86"/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0</v>
      </c>
      <c r="I70" s="88"/>
      <c r="J70" s="89"/>
      <c r="K70" s="90">
        <f>+K68+K69*2</f>
        <v>0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2</v>
      </c>
      <c r="F71" s="455" t="s">
        <v>38</v>
      </c>
      <c r="G71" s="82" t="s">
        <v>48</v>
      </c>
      <c r="H71" s="83"/>
      <c r="I71" s="84"/>
      <c r="J71" s="85"/>
      <c r="K71" s="86"/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0</v>
      </c>
      <c r="I73" s="88"/>
      <c r="J73" s="89"/>
      <c r="K73" s="90">
        <f>+K71+K72*2</f>
        <v>0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273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3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4">IF(F80=0,"휴무",AA80+AB80)</f>
        <v>#REF!</v>
      </c>
      <c r="AD80" s="103" t="e">
        <f t="shared" ref="AD80:AD85" si="25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279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279"/>
      <c r="AP80" s="279">
        <f>AO80-F80</f>
        <v>-10</v>
      </c>
    </row>
    <row r="81" spans="2:42" ht="98.25" customHeight="1" x14ac:dyDescent="0.3">
      <c r="B81" s="459"/>
      <c r="C81" s="92">
        <v>20</v>
      </c>
      <c r="D81" s="280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3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4"/>
        <v>#REF!</v>
      </c>
      <c r="AD81" s="108" t="e">
        <f t="shared" si="25"/>
        <v>#REF!</v>
      </c>
      <c r="AE81" s="109"/>
      <c r="AF81" s="37">
        <f>AG81-F81</f>
        <v>-10</v>
      </c>
      <c r="AG81" s="38">
        <f>AN81</f>
        <v>0</v>
      </c>
      <c r="AH81" s="279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279"/>
      <c r="AP81" s="279">
        <f>AO81-F81</f>
        <v>-10</v>
      </c>
    </row>
    <row r="82" spans="2:42" ht="98.25" customHeight="1" x14ac:dyDescent="0.3">
      <c r="B82" s="459"/>
      <c r="C82" s="92">
        <v>21</v>
      </c>
      <c r="D82" s="280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3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4"/>
        <v>#REF!</v>
      </c>
      <c r="AD82" s="108" t="e">
        <f t="shared" si="25"/>
        <v>#REF!</v>
      </c>
      <c r="AE82" s="109"/>
      <c r="AF82" s="37">
        <f>AG82-F82</f>
        <v>-10</v>
      </c>
      <c r="AG82" s="38">
        <f>AN82</f>
        <v>0</v>
      </c>
      <c r="AH82" s="279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279"/>
      <c r="AP82" s="279">
        <f>AO82-F82</f>
        <v>-10</v>
      </c>
    </row>
    <row r="83" spans="2:42" ht="98.25" customHeight="1" x14ac:dyDescent="0.3">
      <c r="B83" s="459"/>
      <c r="C83" s="92">
        <v>22</v>
      </c>
      <c r="D83" s="280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3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4"/>
        <v>#REF!</v>
      </c>
      <c r="AD83" s="110" t="e">
        <f t="shared" si="25"/>
        <v>#REF!</v>
      </c>
      <c r="AE83" s="104"/>
      <c r="AF83" s="37">
        <f>AG83-F83</f>
        <v>-10</v>
      </c>
      <c r="AG83" s="38">
        <f>AN83</f>
        <v>0</v>
      </c>
      <c r="AH83" s="279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279"/>
      <c r="AP83" s="279">
        <f>AO83-F83</f>
        <v>-10</v>
      </c>
    </row>
    <row r="84" spans="2:42" ht="98.25" customHeight="1" x14ac:dyDescent="0.3">
      <c r="B84" s="459"/>
      <c r="C84" s="92">
        <v>23</v>
      </c>
      <c r="D84" s="280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3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4"/>
        <v>#REF!</v>
      </c>
      <c r="AD84" s="110" t="e">
        <f t="shared" si="25"/>
        <v>#REF!</v>
      </c>
      <c r="AE84" s="104"/>
      <c r="AF84" s="37">
        <f>AG84-F84</f>
        <v>-10</v>
      </c>
      <c r="AG84" s="38">
        <f>AN84</f>
        <v>0</v>
      </c>
      <c r="AH84" s="279" t="s">
        <v>46</v>
      </c>
      <c r="AI84" s="39"/>
      <c r="AJ84" s="40" t="str">
        <f>IFERROR(Z84/W84*1000,"")</f>
        <v/>
      </c>
      <c r="AK84" s="279"/>
      <c r="AL84" s="41"/>
      <c r="AM84" s="41"/>
      <c r="AN84" s="41"/>
      <c r="AO84" s="279"/>
      <c r="AP84" s="279">
        <f>AO84-F84</f>
        <v>-10</v>
      </c>
    </row>
    <row r="85" spans="2:42" ht="98.25" customHeight="1" x14ac:dyDescent="0.3">
      <c r="B85" s="459"/>
      <c r="C85" s="92">
        <v>25</v>
      </c>
      <c r="D85" s="280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3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4"/>
        <v>휴무</v>
      </c>
      <c r="AD85" s="110" t="str">
        <f t="shared" si="25"/>
        <v>휴무</v>
      </c>
      <c r="AE85" s="104"/>
      <c r="AF85" s="37"/>
      <c r="AG85" s="38"/>
      <c r="AH85" s="279"/>
      <c r="AI85" s="39"/>
      <c r="AJ85" s="40"/>
      <c r="AK85" s="279"/>
      <c r="AL85" s="41"/>
      <c r="AM85" s="41"/>
      <c r="AN85" s="41"/>
      <c r="AO85" s="279"/>
      <c r="AP85" s="279"/>
    </row>
    <row r="86" spans="2:42" ht="36" customHeight="1" x14ac:dyDescent="0.3">
      <c r="B86" s="460" t="s">
        <v>39</v>
      </c>
      <c r="C86" s="461"/>
      <c r="D86" s="461"/>
      <c r="E86" s="462"/>
      <c r="F86" s="280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280"/>
      <c r="AB86" s="276"/>
      <c r="AC86" s="114"/>
      <c r="AD86" s="115"/>
      <c r="AE86" s="278"/>
      <c r="AF86" s="37">
        <f>AG86-F86</f>
        <v>-50</v>
      </c>
      <c r="AG86" s="38">
        <f>SUM(AG80:AG85)</f>
        <v>0</v>
      </c>
      <c r="AH86" s="279"/>
      <c r="AI86" s="279"/>
      <c r="AJ86" s="40"/>
      <c r="AK86" s="279"/>
      <c r="AL86" s="59"/>
      <c r="AM86" s="59"/>
      <c r="AN86" s="59"/>
      <c r="AO86" s="279"/>
      <c r="AP86" s="279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277"/>
      <c r="H87" s="277"/>
      <c r="I87" s="277"/>
      <c r="J87" s="277"/>
      <c r="K87" s="277"/>
      <c r="L87" s="277"/>
      <c r="M87" s="277"/>
      <c r="N87" s="277"/>
      <c r="O87" s="277"/>
      <c r="P87" s="277"/>
      <c r="Q87" s="277"/>
      <c r="R87" s="277"/>
      <c r="S87" s="277"/>
      <c r="T87" s="277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279"/>
      <c r="AE88" s="279"/>
      <c r="AF88" s="279"/>
      <c r="AG88" s="279"/>
      <c r="AH88" s="279"/>
      <c r="AI88" s="279"/>
      <c r="AJ88" s="279"/>
      <c r="AK88" s="279"/>
      <c r="AL88" s="59"/>
      <c r="AM88" s="59"/>
      <c r="AN88" s="59"/>
      <c r="AO88" s="279"/>
      <c r="AP88" s="279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280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280" t="s">
        <v>63</v>
      </c>
      <c r="D117" s="466" t="s">
        <v>12</v>
      </c>
      <c r="E117" s="466"/>
      <c r="F117" s="280" t="s">
        <v>64</v>
      </c>
      <c r="G117" s="280"/>
      <c r="H117" s="280"/>
      <c r="I117" s="280"/>
      <c r="J117" s="280"/>
      <c r="K117" s="280"/>
      <c r="L117" s="280"/>
      <c r="M117" s="280"/>
      <c r="N117" s="280"/>
      <c r="O117" s="280"/>
      <c r="P117" s="280"/>
      <c r="Q117" s="280"/>
      <c r="R117" s="280"/>
      <c r="S117" s="280"/>
      <c r="T117" s="280"/>
      <c r="U117" s="280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280"/>
      <c r="G118" s="280"/>
      <c r="H118" s="280"/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  <c r="S118" s="280"/>
      <c r="T118" s="280"/>
      <c r="U118" s="280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280"/>
      <c r="G121" s="280"/>
      <c r="H121" s="280"/>
      <c r="I121" s="280"/>
      <c r="J121" s="280"/>
      <c r="K121" s="280"/>
      <c r="L121" s="280"/>
      <c r="M121" s="280"/>
      <c r="N121" s="280"/>
      <c r="O121" s="280"/>
      <c r="P121" s="280"/>
      <c r="Q121" s="280"/>
      <c r="R121" s="280"/>
      <c r="S121" s="280"/>
      <c r="T121" s="280"/>
      <c r="U121" s="280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280"/>
      <c r="G122" s="280"/>
      <c r="H122" s="280"/>
      <c r="I122" s="280"/>
      <c r="J122" s="280"/>
      <c r="K122" s="280"/>
      <c r="L122" s="280"/>
      <c r="M122" s="280"/>
      <c r="N122" s="280"/>
      <c r="O122" s="280"/>
      <c r="P122" s="280"/>
      <c r="Q122" s="280"/>
      <c r="R122" s="280"/>
      <c r="S122" s="280"/>
      <c r="T122" s="280"/>
      <c r="U122" s="280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280"/>
      <c r="G123" s="280"/>
      <c r="H123" s="280"/>
      <c r="I123" s="280"/>
      <c r="J123" s="280"/>
      <c r="K123" s="280"/>
      <c r="L123" s="280"/>
      <c r="M123" s="280"/>
      <c r="N123" s="280"/>
      <c r="O123" s="280"/>
      <c r="P123" s="280"/>
      <c r="Q123" s="280"/>
      <c r="R123" s="280"/>
      <c r="S123" s="280"/>
      <c r="T123" s="280"/>
      <c r="U123" s="280"/>
      <c r="V123" s="117"/>
      <c r="W123" s="118"/>
      <c r="X123" s="116"/>
      <c r="Y123" s="117"/>
      <c r="Z123" s="116"/>
      <c r="AA123" s="116"/>
    </row>
    <row r="124" spans="3:27" x14ac:dyDescent="0.3">
      <c r="C124" s="280"/>
      <c r="D124" s="460"/>
      <c r="E124" s="462"/>
      <c r="F124" s="280"/>
      <c r="G124" s="280"/>
      <c r="H124" s="280"/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  <c r="S124" s="280"/>
      <c r="T124" s="280"/>
      <c r="U124" s="280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280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280" t="s">
        <v>63</v>
      </c>
      <c r="D127" s="466" t="s">
        <v>12</v>
      </c>
      <c r="E127" s="466"/>
      <c r="F127" s="280" t="s">
        <v>64</v>
      </c>
      <c r="G127" s="280"/>
      <c r="H127" s="280"/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  <c r="S127" s="280"/>
      <c r="T127" s="280"/>
      <c r="U127" s="280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280"/>
      <c r="G128" s="280"/>
      <c r="H128" s="280"/>
      <c r="I128" s="280"/>
      <c r="J128" s="280"/>
      <c r="K128" s="280"/>
      <c r="L128" s="280"/>
      <c r="M128" s="280"/>
      <c r="N128" s="280"/>
      <c r="O128" s="280"/>
      <c r="P128" s="280"/>
      <c r="Q128" s="280"/>
      <c r="R128" s="280"/>
      <c r="S128" s="280"/>
      <c r="T128" s="280"/>
      <c r="U128" s="280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280"/>
      <c r="G129" s="280"/>
      <c r="H129" s="280"/>
      <c r="I129" s="280"/>
      <c r="J129" s="280"/>
      <c r="K129" s="280"/>
      <c r="L129" s="280"/>
      <c r="M129" s="280"/>
      <c r="N129" s="280"/>
      <c r="O129" s="280"/>
      <c r="P129" s="280"/>
      <c r="Q129" s="280"/>
      <c r="R129" s="280"/>
      <c r="S129" s="280"/>
      <c r="T129" s="280"/>
      <c r="U129" s="280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280"/>
      <c r="G130" s="280"/>
      <c r="H130" s="280"/>
      <c r="I130" s="280"/>
      <c r="J130" s="280"/>
      <c r="K130" s="280"/>
      <c r="L130" s="280"/>
      <c r="M130" s="280"/>
      <c r="N130" s="280"/>
      <c r="O130" s="280"/>
      <c r="P130" s="280"/>
      <c r="Q130" s="280"/>
      <c r="R130" s="280"/>
      <c r="S130" s="280"/>
      <c r="T130" s="280"/>
      <c r="U130" s="280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280"/>
      <c r="G133" s="280"/>
      <c r="H133" s="280"/>
      <c r="I133" s="280"/>
      <c r="J133" s="280"/>
      <c r="K133" s="280"/>
      <c r="L133" s="280"/>
      <c r="M133" s="280"/>
      <c r="N133" s="280"/>
      <c r="O133" s="280"/>
      <c r="P133" s="280"/>
      <c r="Q133" s="280"/>
      <c r="R133" s="280"/>
      <c r="S133" s="280"/>
      <c r="T133" s="280"/>
      <c r="U133" s="280"/>
      <c r="V133" s="117"/>
      <c r="W133" s="118"/>
      <c r="X133" s="116"/>
      <c r="Y133" s="117"/>
      <c r="Z133" s="116"/>
      <c r="AA133" s="116"/>
    </row>
    <row r="134" spans="3:27" x14ac:dyDescent="0.3">
      <c r="C134" s="280"/>
      <c r="D134" s="460"/>
      <c r="E134" s="462"/>
      <c r="F134" s="280"/>
      <c r="G134" s="280"/>
      <c r="H134" s="280"/>
      <c r="I134" s="280"/>
      <c r="J134" s="280"/>
      <c r="K134" s="280"/>
      <c r="L134" s="280"/>
      <c r="M134" s="280"/>
      <c r="N134" s="280"/>
      <c r="O134" s="280"/>
      <c r="P134" s="280"/>
      <c r="Q134" s="280"/>
      <c r="R134" s="280"/>
      <c r="S134" s="280"/>
      <c r="T134" s="280"/>
      <c r="U134" s="280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280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280" t="s">
        <v>63</v>
      </c>
      <c r="D137" s="466" t="s">
        <v>12</v>
      </c>
      <c r="E137" s="466"/>
      <c r="F137" s="280" t="s">
        <v>64</v>
      </c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280"/>
      <c r="G139" s="280"/>
      <c r="H139" s="280"/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  <c r="S139" s="280"/>
      <c r="T139" s="280"/>
      <c r="U139" s="280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280"/>
      <c r="G140" s="280"/>
      <c r="H140" s="280"/>
      <c r="I140" s="280"/>
      <c r="J140" s="280"/>
      <c r="K140" s="280"/>
      <c r="L140" s="280"/>
      <c r="M140" s="280"/>
      <c r="N140" s="280"/>
      <c r="O140" s="280"/>
      <c r="P140" s="280"/>
      <c r="Q140" s="280"/>
      <c r="R140" s="280"/>
      <c r="S140" s="280"/>
      <c r="T140" s="280"/>
      <c r="U140" s="280"/>
    </row>
    <row r="141" spans="3:27" x14ac:dyDescent="0.3">
      <c r="C141" s="119">
        <v>45078</v>
      </c>
      <c r="D141" s="466"/>
      <c r="E141" s="466"/>
      <c r="F141" s="280"/>
      <c r="G141" s="280"/>
      <c r="H141" s="280"/>
      <c r="I141" s="280"/>
      <c r="J141" s="280"/>
      <c r="K141" s="280"/>
      <c r="L141" s="280"/>
      <c r="M141" s="280"/>
      <c r="N141" s="280"/>
      <c r="O141" s="280"/>
      <c r="P141" s="280"/>
      <c r="Q141" s="280"/>
      <c r="R141" s="280"/>
      <c r="S141" s="280"/>
      <c r="T141" s="280"/>
      <c r="U141" s="280"/>
    </row>
    <row r="142" spans="3:27" x14ac:dyDescent="0.3">
      <c r="C142" s="119">
        <v>45079</v>
      </c>
      <c r="D142" s="466"/>
      <c r="E142" s="466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</row>
    <row r="143" spans="3:27" x14ac:dyDescent="0.3">
      <c r="C143" s="119">
        <v>45080</v>
      </c>
      <c r="D143" s="466"/>
      <c r="E143" s="466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</row>
    <row r="144" spans="3:27" x14ac:dyDescent="0.3">
      <c r="C144" s="280"/>
      <c r="D144" s="460"/>
      <c r="E144" s="462"/>
      <c r="F144" s="280"/>
      <c r="G144" s="280"/>
      <c r="H144" s="280"/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  <c r="S144" s="280"/>
      <c r="T144" s="280"/>
      <c r="U144" s="280"/>
    </row>
  </sheetData>
  <mergeCells count="113"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E104:E106"/>
    <mergeCell ref="F104:F106"/>
    <mergeCell ref="E107:E109"/>
    <mergeCell ref="F107:F109"/>
    <mergeCell ref="C114:U114"/>
    <mergeCell ref="D117:E117"/>
    <mergeCell ref="E95:E97"/>
    <mergeCell ref="F95:F97"/>
    <mergeCell ref="E98:E100"/>
    <mergeCell ref="F98:F100"/>
    <mergeCell ref="E101:E103"/>
    <mergeCell ref="F101:F103"/>
    <mergeCell ref="AE78:AE79"/>
    <mergeCell ref="B80:B85"/>
    <mergeCell ref="B86:E86"/>
    <mergeCell ref="B87:E87"/>
    <mergeCell ref="E92:E94"/>
    <mergeCell ref="F92:F94"/>
    <mergeCell ref="B76:AE76"/>
    <mergeCell ref="B78:B79"/>
    <mergeCell ref="C78:C79"/>
    <mergeCell ref="D78:D79"/>
    <mergeCell ref="E78:E79"/>
    <mergeCell ref="F78:F79"/>
    <mergeCell ref="U78:W78"/>
    <mergeCell ref="X78:Z78"/>
    <mergeCell ref="AC78:AC79"/>
    <mergeCell ref="AD78:AD79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B23:B28"/>
    <mergeCell ref="B29:E29"/>
    <mergeCell ref="B30:E30"/>
    <mergeCell ref="I21:S21"/>
    <mergeCell ref="T21:T22"/>
    <mergeCell ref="U21:W21"/>
    <mergeCell ref="X21:Z21"/>
    <mergeCell ref="AA21:AA22"/>
    <mergeCell ref="AB21:AB22"/>
    <mergeCell ref="B13:E13"/>
    <mergeCell ref="B14:E14"/>
    <mergeCell ref="B19:AE19"/>
    <mergeCell ref="B21:B22"/>
    <mergeCell ref="C21:C22"/>
    <mergeCell ref="D21:D22"/>
    <mergeCell ref="E21:E22"/>
    <mergeCell ref="F21:F22"/>
    <mergeCell ref="G21:G22"/>
    <mergeCell ref="H21:H22"/>
    <mergeCell ref="AC21:AC22"/>
    <mergeCell ref="AD21:AD22"/>
    <mergeCell ref="AE21:AE22"/>
    <mergeCell ref="U5:W5"/>
    <mergeCell ref="X5:Z5"/>
    <mergeCell ref="AC5:AC6"/>
    <mergeCell ref="AD5:AD6"/>
    <mergeCell ref="AE5:AE6"/>
    <mergeCell ref="B7:B12"/>
    <mergeCell ref="B2:AE2"/>
    <mergeCell ref="B3:AE3"/>
    <mergeCell ref="B5:C6"/>
    <mergeCell ref="D5:D6"/>
    <mergeCell ref="E5:E6"/>
    <mergeCell ref="F5:F6"/>
    <mergeCell ref="G5:G6"/>
    <mergeCell ref="H5:H6"/>
    <mergeCell ref="I5:S5"/>
    <mergeCell ref="T5:T6"/>
  </mergeCells>
  <phoneticPr fontId="4" type="noConversion"/>
  <dataValidations count="4">
    <dataValidation type="list" allowBlank="1" showInputMessage="1" showErrorMessage="1" sqref="E11:E12 E27:E28">
      <formula1>$AG$6:$AG$11</formula1>
    </dataValidation>
    <dataValidation type="list" allowBlank="1" showInputMessage="1" showErrorMessage="1" sqref="E7:E8 E23:E24 E10 E26">
      <formula1>$U$7:$U$12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 E9 E25">
      <formula1>$AH$7:$AH$12</formula1>
    </dataValidation>
  </dataValidations>
  <pageMargins left="0.62992125984251968" right="0.62992125984251968" top="0.94488188976377963" bottom="0.55118110236220474" header="0.31496062992125984" footer="0.31496062992125984"/>
  <pageSetup paperSize="9" scale="26" orientation="landscape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80" zoomScaleNormal="80" workbookViewId="0">
      <pane xSplit="4" ySplit="6" topLeftCell="E7" activePane="bottomRight" state="frozen"/>
      <selection pane="topRight" activeCell="D1" sqref="D1"/>
      <selection pane="bottomLeft" activeCell="A6" sqref="A6"/>
      <selection pane="bottomRight" activeCell="E28" sqref="E28:F28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56.375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11.75" hidden="1" customWidth="1"/>
    <col min="44" max="44" width="3.25" customWidth="1"/>
  </cols>
  <sheetData>
    <row r="2" spans="2:52" ht="20.25" x14ac:dyDescent="0.3">
      <c r="B2" s="425" t="s">
        <v>176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268" t="s">
        <v>1</v>
      </c>
      <c r="AY2" s="268" t="s">
        <v>2</v>
      </c>
      <c r="AZ2" s="3" t="s">
        <v>3</v>
      </c>
    </row>
    <row r="3" spans="2:52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E3" s="464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271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75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271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-58.34</v>
      </c>
    </row>
    <row r="7" spans="2:52" s="269" customFormat="1" ht="99" customHeight="1" thickTop="1" x14ac:dyDescent="0.3">
      <c r="B7" s="420">
        <v>4</v>
      </c>
      <c r="C7" s="24">
        <v>20</v>
      </c>
      <c r="D7" s="25" t="s">
        <v>7</v>
      </c>
      <c r="E7" s="26" t="s">
        <v>28</v>
      </c>
      <c r="F7" s="25">
        <v>11</v>
      </c>
      <c r="G7" s="128">
        <v>299</v>
      </c>
      <c r="H7" s="128">
        <f t="shared" ref="H7:H12" si="0">(G7/U7)*100</f>
        <v>73.284313725490193</v>
      </c>
      <c r="I7" s="123" t="s">
        <v>85</v>
      </c>
      <c r="J7" s="123" t="s">
        <v>86</v>
      </c>
      <c r="K7" s="123" t="s">
        <v>73</v>
      </c>
      <c r="L7" s="123" t="s">
        <v>87</v>
      </c>
      <c r="M7" s="123"/>
      <c r="N7" s="129" t="s">
        <v>90</v>
      </c>
      <c r="O7" s="123" t="s">
        <v>74</v>
      </c>
      <c r="P7" s="123" t="s">
        <v>169</v>
      </c>
      <c r="Q7" s="123" t="s">
        <v>91</v>
      </c>
      <c r="R7" s="123" t="s">
        <v>89</v>
      </c>
      <c r="S7" s="125">
        <f t="shared" ref="S7:S13" si="1">COUNTA(I7:M7)+COUNTA(N7:R7)/2</f>
        <v>6.5</v>
      </c>
      <c r="T7" s="27">
        <f t="shared" ref="T7:T12" si="2">F7*$D$4*$U$4</f>
        <v>726</v>
      </c>
      <c r="U7" s="28">
        <f>+H38</f>
        <v>408</v>
      </c>
      <c r="V7" s="29">
        <f t="shared" ref="V7:V12" si="3">IF(F7=0,"휴무",U7/F7)</f>
        <v>37.090909090909093</v>
      </c>
      <c r="W7" s="30">
        <f t="shared" ref="W7:W13" si="4">IFERROR(U7/T7,0)</f>
        <v>0.56198347107438018</v>
      </c>
      <c r="X7" s="31">
        <f>+K38</f>
        <v>602.80999999999995</v>
      </c>
      <c r="Y7" s="29">
        <f t="shared" ref="Y7:Y12" si="5">IF(F7=0,"휴무",X7/F7)</f>
        <v>54.800909090909087</v>
      </c>
      <c r="Z7" s="32">
        <f t="shared" ref="Z7:Z13" si="6">IFERROR(X7/T7,0)</f>
        <v>0.83031680440771338</v>
      </c>
      <c r="AA7" s="33">
        <f t="shared" ref="AA7:AA12" si="7">IF(F7=0,"휴무",U7/T7*$AA$4)</f>
        <v>28.099173553719009</v>
      </c>
      <c r="AB7" s="34">
        <f t="shared" ref="AB7:AB12" si="8">IF(F7=0,"휴무",X7/T7*$AB$4)</f>
        <v>45.210749999999997</v>
      </c>
      <c r="AC7" s="138">
        <f t="shared" ref="AC7:AC13" si="9">IF(F7=0,"휴무",AA7+AB7)</f>
        <v>73.309923553719003</v>
      </c>
      <c r="AD7" s="159" t="str">
        <f t="shared" ref="AD7:AD13" si="10">IF(F7=0,"휴무",IF(AC7&gt;=100,"좋아요",IF(AC7&gt;=90,"90~99",IF(AC7&gt;=80,"80~89"," 사유?→"))))</f>
        <v xml:space="preserve"> 사유?→</v>
      </c>
      <c r="AE7" s="160" t="s">
        <v>177</v>
      </c>
      <c r="AF7" s="37">
        <f>AG7-F7</f>
        <v>-11</v>
      </c>
      <c r="AG7" s="38">
        <f>AN7</f>
        <v>0</v>
      </c>
      <c r="AH7" s="269" t="s">
        <v>29</v>
      </c>
      <c r="AI7" s="39"/>
      <c r="AJ7" s="40">
        <f>IFERROR(Z7/W7*1000,"")</f>
        <v>1477.4754901960782</v>
      </c>
      <c r="AK7" s="39"/>
      <c r="AL7" s="41"/>
      <c r="AM7" s="41"/>
      <c r="AN7" s="41"/>
      <c r="AP7" s="269">
        <f t="shared" ref="AP7:AP12" si="11">AO7-F7</f>
        <v>-11</v>
      </c>
      <c r="AQ7" s="42"/>
    </row>
    <row r="8" spans="2:52" s="269" customFormat="1" ht="99.75" customHeight="1" x14ac:dyDescent="0.3">
      <c r="B8" s="421"/>
      <c r="C8" s="24">
        <f>+C7+1</f>
        <v>21</v>
      </c>
      <c r="D8" s="43" t="s">
        <v>30</v>
      </c>
      <c r="E8" s="26" t="s">
        <v>28</v>
      </c>
      <c r="F8" s="25">
        <v>11</v>
      </c>
      <c r="G8" s="125">
        <v>241</v>
      </c>
      <c r="H8" s="125">
        <f t="shared" si="0"/>
        <v>55.658198614318707</v>
      </c>
      <c r="I8" s="123" t="s">
        <v>85</v>
      </c>
      <c r="J8" s="123" t="s">
        <v>86</v>
      </c>
      <c r="K8" s="123" t="s">
        <v>73</v>
      </c>
      <c r="L8" s="123" t="s">
        <v>87</v>
      </c>
      <c r="M8" s="123"/>
      <c r="N8" s="129" t="s">
        <v>90</v>
      </c>
      <c r="O8" s="123" t="s">
        <v>74</v>
      </c>
      <c r="P8" s="123" t="s">
        <v>169</v>
      </c>
      <c r="Q8" s="123" t="s">
        <v>91</v>
      </c>
      <c r="R8" s="123" t="s">
        <v>89</v>
      </c>
      <c r="S8" s="125">
        <f t="shared" si="1"/>
        <v>6.5</v>
      </c>
      <c r="T8" s="27">
        <f t="shared" si="2"/>
        <v>726</v>
      </c>
      <c r="U8" s="28">
        <f>+H41</f>
        <v>433</v>
      </c>
      <c r="V8" s="44">
        <f t="shared" si="3"/>
        <v>39.363636363636367</v>
      </c>
      <c r="W8" s="45">
        <f t="shared" si="4"/>
        <v>0.59641873278236912</v>
      </c>
      <c r="X8" s="46">
        <f>+K41</f>
        <v>615.42999999999995</v>
      </c>
      <c r="Y8" s="29">
        <f t="shared" si="5"/>
        <v>55.948181818181816</v>
      </c>
      <c r="Z8" s="47">
        <f t="shared" si="6"/>
        <v>0.84769972451790632</v>
      </c>
      <c r="AA8" s="48">
        <f t="shared" si="7"/>
        <v>29.820936639118457</v>
      </c>
      <c r="AB8" s="49">
        <f t="shared" si="8"/>
        <v>46.157250000000005</v>
      </c>
      <c r="AC8" s="139">
        <f t="shared" si="9"/>
        <v>75.978186639118462</v>
      </c>
      <c r="AD8" s="161" t="str">
        <f t="shared" si="10"/>
        <v xml:space="preserve"> 사유?→</v>
      </c>
      <c r="AE8" s="160" t="s">
        <v>178</v>
      </c>
      <c r="AF8" s="37">
        <f>AG8-F8</f>
        <v>-11</v>
      </c>
      <c r="AG8" s="38">
        <f>AN8</f>
        <v>0</v>
      </c>
      <c r="AH8" s="269" t="s">
        <v>31</v>
      </c>
      <c r="AI8" s="39"/>
      <c r="AJ8" s="40">
        <f>IFERROR(Z8/W8*1000,"")</f>
        <v>1421.3163972286372</v>
      </c>
      <c r="AK8" s="39"/>
      <c r="AL8" s="41"/>
      <c r="AM8" s="41"/>
      <c r="AN8" s="41"/>
      <c r="AP8" s="269">
        <f t="shared" si="11"/>
        <v>-11</v>
      </c>
      <c r="AQ8" s="42"/>
    </row>
    <row r="9" spans="2:52" s="269" customFormat="1" ht="97.5" customHeight="1" x14ac:dyDescent="0.3">
      <c r="B9" s="421"/>
      <c r="C9" s="24">
        <f>+C8+1</f>
        <v>22</v>
      </c>
      <c r="D9" s="43" t="s">
        <v>32</v>
      </c>
      <c r="E9" s="26" t="s">
        <v>29</v>
      </c>
      <c r="F9" s="25">
        <f>8-0.83</f>
        <v>7.17</v>
      </c>
      <c r="G9" s="125">
        <v>226</v>
      </c>
      <c r="H9" s="125">
        <f t="shared" si="0"/>
        <v>77.13310580204778</v>
      </c>
      <c r="I9" s="123" t="s">
        <v>85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169</v>
      </c>
      <c r="Q9" s="123" t="s">
        <v>91</v>
      </c>
      <c r="R9" s="123" t="s">
        <v>89</v>
      </c>
      <c r="S9" s="125">
        <f t="shared" si="1"/>
        <v>6.5</v>
      </c>
      <c r="T9" s="27">
        <f t="shared" si="2"/>
        <v>473.22</v>
      </c>
      <c r="U9" s="51">
        <f>+H44</f>
        <v>293</v>
      </c>
      <c r="V9" s="44">
        <f t="shared" si="3"/>
        <v>40.864714086471409</v>
      </c>
      <c r="W9" s="45">
        <f t="shared" si="4"/>
        <v>0.61916233464350612</v>
      </c>
      <c r="X9" s="46">
        <f>+K44</f>
        <v>250.88</v>
      </c>
      <c r="Y9" s="44">
        <f t="shared" si="5"/>
        <v>34.990237099023709</v>
      </c>
      <c r="Z9" s="47">
        <f t="shared" si="6"/>
        <v>0.53015510756096529</v>
      </c>
      <c r="AA9" s="48">
        <f t="shared" si="7"/>
        <v>30.958116732175306</v>
      </c>
      <c r="AB9" s="49">
        <f t="shared" si="8"/>
        <v>28.866945606694561</v>
      </c>
      <c r="AC9" s="139">
        <f t="shared" si="9"/>
        <v>59.82506233886987</v>
      </c>
      <c r="AD9" s="161" t="str">
        <f t="shared" si="10"/>
        <v xml:space="preserve"> 사유?→</v>
      </c>
      <c r="AE9" s="160" t="s">
        <v>179</v>
      </c>
      <c r="AF9" s="37">
        <f>AG9-F9</f>
        <v>-7.17</v>
      </c>
      <c r="AG9" s="38">
        <f>AN9</f>
        <v>0</v>
      </c>
      <c r="AH9" s="269" t="s">
        <v>34</v>
      </c>
      <c r="AI9" s="39"/>
      <c r="AJ9" s="40">
        <f>IFERROR(Z9/W9*1000,"")</f>
        <v>856.24573378839602</v>
      </c>
      <c r="AK9" s="39"/>
      <c r="AL9" s="41"/>
      <c r="AM9" s="41"/>
      <c r="AN9" s="41"/>
      <c r="AP9" s="269">
        <f t="shared" si="11"/>
        <v>-7.17</v>
      </c>
      <c r="AQ9" s="42"/>
    </row>
    <row r="10" spans="2:52" s="269" customFormat="1" ht="95.25" customHeight="1" x14ac:dyDescent="0.3">
      <c r="B10" s="421"/>
      <c r="C10" s="24">
        <f>+C9+1</f>
        <v>23</v>
      </c>
      <c r="D10" s="43" t="s">
        <v>35</v>
      </c>
      <c r="E10" s="26" t="s">
        <v>28</v>
      </c>
      <c r="F10" s="25">
        <f>11-0.83</f>
        <v>10.17</v>
      </c>
      <c r="G10" s="125">
        <v>440</v>
      </c>
      <c r="H10" s="125">
        <f t="shared" si="0"/>
        <v>85.436893203883486</v>
      </c>
      <c r="I10" s="123" t="s">
        <v>85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74</v>
      </c>
      <c r="P10" s="123" t="s">
        <v>169</v>
      </c>
      <c r="Q10" s="123" t="s">
        <v>91</v>
      </c>
      <c r="R10" s="123" t="s">
        <v>89</v>
      </c>
      <c r="S10" s="125">
        <f t="shared" si="1"/>
        <v>6.5</v>
      </c>
      <c r="T10" s="27">
        <f t="shared" si="2"/>
        <v>671.22</v>
      </c>
      <c r="U10" s="28">
        <f>+H47</f>
        <v>515</v>
      </c>
      <c r="V10" s="44">
        <f t="shared" si="3"/>
        <v>50.63913470993117</v>
      </c>
      <c r="W10" s="45">
        <f t="shared" si="4"/>
        <v>0.76725961681713895</v>
      </c>
      <c r="X10" s="46">
        <f>+K47</f>
        <v>564.99</v>
      </c>
      <c r="Y10" s="29">
        <f t="shared" si="5"/>
        <v>55.554572271386434</v>
      </c>
      <c r="Z10" s="47">
        <f t="shared" si="6"/>
        <v>0.84173594350585501</v>
      </c>
      <c r="AA10" s="48">
        <f t="shared" si="7"/>
        <v>38.362980840856949</v>
      </c>
      <c r="AB10" s="49">
        <f t="shared" si="8"/>
        <v>45.83252212389381</v>
      </c>
      <c r="AC10" s="139">
        <f t="shared" si="9"/>
        <v>84.195502964750759</v>
      </c>
      <c r="AD10" s="50" t="str">
        <f t="shared" si="10"/>
        <v>80~89</v>
      </c>
      <c r="AE10" s="36"/>
      <c r="AF10" s="37">
        <f>AG10-F10</f>
        <v>-10.17</v>
      </c>
      <c r="AG10" s="38">
        <f>AN10</f>
        <v>0</v>
      </c>
      <c r="AH10" s="269" t="s">
        <v>36</v>
      </c>
      <c r="AI10" s="39"/>
      <c r="AJ10" s="40">
        <f>IFERROR(Z10/W10*1000,"")</f>
        <v>1097.0679611650485</v>
      </c>
      <c r="AK10" s="39"/>
      <c r="AL10" s="41"/>
      <c r="AM10" s="41"/>
      <c r="AN10" s="41"/>
      <c r="AP10" s="269">
        <f t="shared" si="11"/>
        <v>-10.17</v>
      </c>
      <c r="AQ10" s="42"/>
    </row>
    <row r="11" spans="2:52" s="269" customFormat="1" ht="102.75" customHeight="1" x14ac:dyDescent="0.3">
      <c r="B11" s="421"/>
      <c r="C11" s="24">
        <f>+C10+1</f>
        <v>24</v>
      </c>
      <c r="D11" s="43" t="s">
        <v>37</v>
      </c>
      <c r="E11" s="26" t="s">
        <v>28</v>
      </c>
      <c r="F11" s="25">
        <v>11</v>
      </c>
      <c r="G11" s="125">
        <v>509</v>
      </c>
      <c r="H11" s="125">
        <f t="shared" si="0"/>
        <v>86.271186440677965</v>
      </c>
      <c r="I11" s="123" t="s">
        <v>85</v>
      </c>
      <c r="J11" s="123" t="s">
        <v>86</v>
      </c>
      <c r="K11" s="123" t="s">
        <v>73</v>
      </c>
      <c r="L11" s="123" t="s">
        <v>87</v>
      </c>
      <c r="M11" s="123"/>
      <c r="N11" s="129" t="s">
        <v>90</v>
      </c>
      <c r="O11" s="123" t="s">
        <v>74</v>
      </c>
      <c r="P11" s="123" t="s">
        <v>169</v>
      </c>
      <c r="Q11" s="123" t="s">
        <v>91</v>
      </c>
      <c r="R11" s="123" t="s">
        <v>89</v>
      </c>
      <c r="S11" s="125">
        <f t="shared" si="1"/>
        <v>6.5</v>
      </c>
      <c r="T11" s="27">
        <f t="shared" si="2"/>
        <v>726</v>
      </c>
      <c r="U11" s="28">
        <f>+H50</f>
        <v>590</v>
      </c>
      <c r="V11" s="44">
        <f t="shared" si="3"/>
        <v>53.636363636363633</v>
      </c>
      <c r="W11" s="45">
        <f t="shared" si="4"/>
        <v>0.81267217630853994</v>
      </c>
      <c r="X11" s="46">
        <f>+K50</f>
        <v>579.23</v>
      </c>
      <c r="Y11" s="44">
        <f t="shared" si="5"/>
        <v>52.657272727272726</v>
      </c>
      <c r="Z11" s="47">
        <f t="shared" si="6"/>
        <v>0.79783746556473834</v>
      </c>
      <c r="AA11" s="48">
        <f t="shared" si="7"/>
        <v>40.633608815426996</v>
      </c>
      <c r="AB11" s="49">
        <f t="shared" si="8"/>
        <v>43.442250000000001</v>
      </c>
      <c r="AC11" s="139">
        <f t="shared" si="9"/>
        <v>84.075858815426997</v>
      </c>
      <c r="AD11" s="50" t="str">
        <f t="shared" si="10"/>
        <v>80~89</v>
      </c>
      <c r="AE11" s="36"/>
      <c r="AF11" s="37">
        <f>AG11-F11</f>
        <v>-11</v>
      </c>
      <c r="AG11" s="38">
        <f>AN11</f>
        <v>0</v>
      </c>
      <c r="AH11" s="269" t="s">
        <v>33</v>
      </c>
      <c r="AI11" s="39"/>
      <c r="AJ11" s="40">
        <f>IFERROR(Z11/W11*1000,"")</f>
        <v>981.74576271186447</v>
      </c>
      <c r="AL11" s="41"/>
      <c r="AM11" s="41"/>
      <c r="AN11" s="41"/>
      <c r="AP11" s="269">
        <f t="shared" si="11"/>
        <v>-11</v>
      </c>
      <c r="AQ11" s="42"/>
    </row>
    <row r="12" spans="2:52" s="269" customFormat="1" ht="102.75" customHeight="1" x14ac:dyDescent="0.3">
      <c r="B12" s="421"/>
      <c r="C12" s="24">
        <f>+C11+1</f>
        <v>25</v>
      </c>
      <c r="D12" s="43" t="s">
        <v>38</v>
      </c>
      <c r="E12" s="26" t="s">
        <v>36</v>
      </c>
      <c r="F12" s="25">
        <v>8</v>
      </c>
      <c r="G12" s="125">
        <v>372</v>
      </c>
      <c r="H12" s="125">
        <f t="shared" si="0"/>
        <v>88.36104513064133</v>
      </c>
      <c r="I12" s="123" t="s">
        <v>85</v>
      </c>
      <c r="J12" s="123" t="s">
        <v>86</v>
      </c>
      <c r="K12" s="123" t="s">
        <v>73</v>
      </c>
      <c r="L12" s="123" t="s">
        <v>87</v>
      </c>
      <c r="M12" s="123"/>
      <c r="N12" s="129" t="s">
        <v>90</v>
      </c>
      <c r="O12" s="123"/>
      <c r="P12" s="123"/>
      <c r="Q12" s="123" t="s">
        <v>91</v>
      </c>
      <c r="R12" s="123" t="s">
        <v>89</v>
      </c>
      <c r="S12" s="125">
        <f t="shared" si="1"/>
        <v>5.5</v>
      </c>
      <c r="T12" s="272">
        <f t="shared" si="2"/>
        <v>528</v>
      </c>
      <c r="U12" s="28">
        <f>+H53</f>
        <v>421</v>
      </c>
      <c r="V12" s="29">
        <f t="shared" si="3"/>
        <v>52.625</v>
      </c>
      <c r="W12" s="30">
        <f t="shared" si="4"/>
        <v>0.79734848484848486</v>
      </c>
      <c r="X12" s="31">
        <f>+K53</f>
        <v>386.45</v>
      </c>
      <c r="Y12" s="44">
        <f t="shared" si="5"/>
        <v>48.306249999999999</v>
      </c>
      <c r="Z12" s="47">
        <f t="shared" si="6"/>
        <v>0.73191287878787881</v>
      </c>
      <c r="AA12" s="48">
        <f t="shared" si="7"/>
        <v>39.867424242424242</v>
      </c>
      <c r="AB12" s="49">
        <f t="shared" si="8"/>
        <v>39.852656250000003</v>
      </c>
      <c r="AC12" s="139">
        <f t="shared" si="9"/>
        <v>79.720080492424245</v>
      </c>
      <c r="AD12" s="50" t="s">
        <v>180</v>
      </c>
      <c r="AE12" s="36"/>
      <c r="AF12" s="37"/>
      <c r="AG12" s="38"/>
      <c r="AI12" s="39"/>
      <c r="AJ12" s="40"/>
      <c r="AL12" s="41"/>
      <c r="AM12" s="41"/>
      <c r="AN12" s="41"/>
      <c r="AP12" s="269">
        <f t="shared" si="11"/>
        <v>-8</v>
      </c>
      <c r="AQ12" s="42"/>
    </row>
    <row r="13" spans="2:52" s="269" customFormat="1" ht="36" customHeight="1" x14ac:dyDescent="0.3">
      <c r="B13" s="422" t="s">
        <v>39</v>
      </c>
      <c r="C13" s="423"/>
      <c r="D13" s="423"/>
      <c r="E13" s="424"/>
      <c r="F13" s="43">
        <f>SUM(F7:F12)</f>
        <v>58.34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 t="shared" si="1"/>
        <v>0</v>
      </c>
      <c r="T13" s="52">
        <f>SUM(T7:T12)</f>
        <v>3850.44</v>
      </c>
      <c r="U13" s="53">
        <f>SUM(U7:U12)</f>
        <v>2660</v>
      </c>
      <c r="V13" s="54">
        <f>U13/F13</f>
        <v>45.594789166952346</v>
      </c>
      <c r="W13" s="45">
        <f t="shared" si="4"/>
        <v>0.69083013889321743</v>
      </c>
      <c r="X13" s="55">
        <f>SUM(X7:X12)</f>
        <v>2999.79</v>
      </c>
      <c r="Y13" s="44">
        <f>X13/F13</f>
        <v>51.419094960575933</v>
      </c>
      <c r="Z13" s="47">
        <f t="shared" si="6"/>
        <v>0.77907719637236261</v>
      </c>
      <c r="AA13" s="56">
        <f>U13/T13*AA4</f>
        <v>34.541506944660874</v>
      </c>
      <c r="AB13" s="57">
        <f>X13/T13*AB4</f>
        <v>42.420753342475145</v>
      </c>
      <c r="AC13" s="140">
        <f t="shared" si="9"/>
        <v>76.962260287136019</v>
      </c>
      <c r="AD13" s="58" t="str">
        <f t="shared" si="10"/>
        <v xml:space="preserve"> 사유?→</v>
      </c>
      <c r="AE13" s="43"/>
      <c r="AF13" s="37">
        <f>AG13-F13</f>
        <v>-58.34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9.7233333333333345</v>
      </c>
      <c r="G14" s="270"/>
      <c r="H14" s="270"/>
      <c r="I14" s="270"/>
      <c r="J14" s="270"/>
      <c r="K14" s="270"/>
      <c r="L14" s="270"/>
      <c r="M14" s="270"/>
      <c r="N14" s="270"/>
      <c r="O14" s="270"/>
      <c r="P14" s="270"/>
      <c r="Q14" s="270"/>
      <c r="R14" s="270"/>
      <c r="S14" s="270"/>
      <c r="T14" s="270"/>
      <c r="U14" s="61">
        <f>V14*F14</f>
        <v>443.33333333333337</v>
      </c>
      <c r="V14" s="62">
        <f>U13/F13</f>
        <v>45.594789166952346</v>
      </c>
      <c r="W14" s="63">
        <f>IFERROR(U14/#REF!,0)</f>
        <v>0</v>
      </c>
      <c r="X14" s="64">
        <f>X13/F13*F14</f>
        <v>499.96500000000003</v>
      </c>
      <c r="Y14" s="62">
        <f>IF(F14=0,"휴무",X14/F14)</f>
        <v>51.419094960575933</v>
      </c>
      <c r="Z14" s="65">
        <f>IFERROR(X14/#REF!,0)</f>
        <v>0</v>
      </c>
      <c r="AA14" s="60">
        <f>AVERAGE(AA7:AA12)</f>
        <v>34.623706803953496</v>
      </c>
      <c r="AB14" s="60">
        <f>AVERAGE(AB7:AB12)</f>
        <v>41.560395663431393</v>
      </c>
      <c r="AC14" s="141">
        <f>AA14+AB14</f>
        <v>76.184102467384889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269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  <c r="AE19" s="464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75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-59.17</v>
      </c>
    </row>
    <row r="23" spans="2:43" s="269" customFormat="1" ht="99" customHeight="1" thickTop="1" x14ac:dyDescent="0.3">
      <c r="B23" s="420">
        <f>+B7</f>
        <v>4</v>
      </c>
      <c r="C23" s="24">
        <f t="shared" ref="C23:C28" si="12">+C7</f>
        <v>20</v>
      </c>
      <c r="D23" s="25" t="s">
        <v>7</v>
      </c>
      <c r="E23" s="26" t="s">
        <v>28</v>
      </c>
      <c r="F23" s="25">
        <f>11-0.83</f>
        <v>10.17</v>
      </c>
      <c r="G23" s="128">
        <v>548</v>
      </c>
      <c r="H23" s="128">
        <f t="shared" ref="H23:H28" si="13">(G23/U23)*100</f>
        <v>88.387096774193552</v>
      </c>
      <c r="I23" s="123" t="s">
        <v>78</v>
      </c>
      <c r="J23" s="123" t="s">
        <v>88</v>
      </c>
      <c r="K23" s="123" t="s">
        <v>92</v>
      </c>
      <c r="L23" s="123" t="s">
        <v>84</v>
      </c>
      <c r="M23" s="123"/>
      <c r="N23" s="129" t="s">
        <v>90</v>
      </c>
      <c r="O23" s="123" t="s">
        <v>74</v>
      </c>
      <c r="P23" s="123" t="s">
        <v>169</v>
      </c>
      <c r="Q23" s="123" t="s">
        <v>91</v>
      </c>
      <c r="R23" s="123" t="s">
        <v>89</v>
      </c>
      <c r="S23" s="124">
        <f t="shared" ref="S23:S28" si="14">COUNTA(I23:M23)+COUNTA(N23:R23)/2</f>
        <v>6.5</v>
      </c>
      <c r="T23" s="27">
        <f t="shared" ref="T23:T28" si="15">F23*$D$4*$U$4</f>
        <v>671.22</v>
      </c>
      <c r="U23" s="28">
        <f>+H58</f>
        <v>620</v>
      </c>
      <c r="V23" s="29">
        <f t="shared" ref="V23:V28" si="16">IF(F23=0,"휴무",U23/F23)</f>
        <v>60.96361848574238</v>
      </c>
      <c r="W23" s="30">
        <f t="shared" ref="W23:W29" si="17">IFERROR(U23/T23,0)</f>
        <v>0.92369118917791482</v>
      </c>
      <c r="X23" s="31">
        <f>+K58</f>
        <v>481.56</v>
      </c>
      <c r="Y23" s="29">
        <f t="shared" ref="Y23:Y28" si="18">IF(F23=0,"휴무",X23/F23)</f>
        <v>47.35103244837758</v>
      </c>
      <c r="Z23" s="32">
        <f t="shared" ref="Z23:Z29" si="19">IFERROR(X23/T23,0)</f>
        <v>0.71743988558147853</v>
      </c>
      <c r="AA23" s="33">
        <f t="shared" ref="AA23:AA28" si="20">IF(F23=0,"휴무",U23/T23*$AA$4)</f>
        <v>46.184559458895741</v>
      </c>
      <c r="AB23" s="34">
        <f t="shared" ref="AB23:AB28" si="21">IF(F23=0,"휴무",X23/T23*$AB$4)</f>
        <v>39.064601769911505</v>
      </c>
      <c r="AC23" s="138">
        <f t="shared" ref="AC23:AC29" si="22">IF(F23=0,"휴무",AA23+AB23)</f>
        <v>85.249161228807253</v>
      </c>
      <c r="AD23" s="35" t="str">
        <f t="shared" ref="AD23:AD29" si="23">IF(F23=0,"휴무",IF(AC23&gt;=100,"좋아요",IF(AC23&gt;=90,"90~99",IF(AC23&gt;=80,"80~89"," 사유?→"))))</f>
        <v>80~89</v>
      </c>
      <c r="AE23" s="36"/>
      <c r="AF23" s="37">
        <f>AG23-F23</f>
        <v>-10.17</v>
      </c>
      <c r="AG23" s="38">
        <f>AN23</f>
        <v>0</v>
      </c>
      <c r="AH23" s="269" t="s">
        <v>29</v>
      </c>
      <c r="AI23" s="39"/>
      <c r="AJ23" s="40">
        <f>IFERROR(Z23/W23*1000,"")</f>
        <v>776.70967741935488</v>
      </c>
      <c r="AK23" s="39"/>
      <c r="AL23" s="41"/>
      <c r="AM23" s="41"/>
      <c r="AN23" s="41"/>
      <c r="AP23" s="269">
        <f t="shared" ref="AP23:AP28" si="24">AO23-F23</f>
        <v>-10.17</v>
      </c>
      <c r="AQ23" s="42"/>
    </row>
    <row r="24" spans="2:43" s="269" customFormat="1" ht="99.75" customHeight="1" x14ac:dyDescent="0.3">
      <c r="B24" s="421"/>
      <c r="C24" s="24">
        <f t="shared" si="12"/>
        <v>21</v>
      </c>
      <c r="D24" s="43" t="s">
        <v>30</v>
      </c>
      <c r="E24" s="26" t="s">
        <v>28</v>
      </c>
      <c r="F24" s="25">
        <v>11</v>
      </c>
      <c r="G24" s="125">
        <v>539</v>
      </c>
      <c r="H24" s="125">
        <f t="shared" si="13"/>
        <v>86.516853932584269</v>
      </c>
      <c r="I24" s="123" t="s">
        <v>78</v>
      </c>
      <c r="J24" s="123" t="s">
        <v>88</v>
      </c>
      <c r="K24" s="123" t="s">
        <v>92</v>
      </c>
      <c r="L24" s="123" t="s">
        <v>84</v>
      </c>
      <c r="M24" s="123"/>
      <c r="N24" s="129" t="s">
        <v>90</v>
      </c>
      <c r="O24" s="123" t="s">
        <v>74</v>
      </c>
      <c r="P24" s="123" t="s">
        <v>169</v>
      </c>
      <c r="Q24" s="123" t="s">
        <v>91</v>
      </c>
      <c r="R24" s="123" t="s">
        <v>89</v>
      </c>
      <c r="S24" s="124">
        <f t="shared" si="14"/>
        <v>6.5</v>
      </c>
      <c r="T24" s="27">
        <f t="shared" si="15"/>
        <v>726</v>
      </c>
      <c r="U24" s="28">
        <f>+H61</f>
        <v>623</v>
      </c>
      <c r="V24" s="44">
        <f t="shared" si="16"/>
        <v>56.636363636363633</v>
      </c>
      <c r="W24" s="45">
        <f t="shared" si="17"/>
        <v>0.85812672176308535</v>
      </c>
      <c r="X24" s="46">
        <f>+K61</f>
        <v>560.26</v>
      </c>
      <c r="Y24" s="29">
        <f t="shared" si="18"/>
        <v>50.93272727272727</v>
      </c>
      <c r="Z24" s="47">
        <f t="shared" si="19"/>
        <v>0.77170798898071624</v>
      </c>
      <c r="AA24" s="48">
        <f t="shared" si="20"/>
        <v>42.906336088154269</v>
      </c>
      <c r="AB24" s="49">
        <f t="shared" si="21"/>
        <v>42.019500000000001</v>
      </c>
      <c r="AC24" s="139">
        <f t="shared" si="22"/>
        <v>84.92583608815427</v>
      </c>
      <c r="AD24" s="80" t="str">
        <f t="shared" si="23"/>
        <v>80~89</v>
      </c>
      <c r="AE24" s="36"/>
      <c r="AF24" s="37">
        <f>AG24-F24</f>
        <v>-11</v>
      </c>
      <c r="AG24" s="38">
        <f>AN24</f>
        <v>0</v>
      </c>
      <c r="AH24" s="269" t="s">
        <v>34</v>
      </c>
      <c r="AI24" s="39"/>
      <c r="AJ24" s="40">
        <f>IFERROR(Z24/W24*1000,"")</f>
        <v>899.2937399678973</v>
      </c>
      <c r="AK24" s="39"/>
      <c r="AL24" s="41"/>
      <c r="AM24" s="41"/>
      <c r="AN24" s="41"/>
      <c r="AP24" s="269">
        <f t="shared" si="24"/>
        <v>-11</v>
      </c>
      <c r="AQ24" s="42"/>
    </row>
    <row r="25" spans="2:43" s="269" customFormat="1" ht="97.5" customHeight="1" x14ac:dyDescent="0.3">
      <c r="B25" s="421"/>
      <c r="C25" s="24">
        <f t="shared" si="12"/>
        <v>22</v>
      </c>
      <c r="D25" s="43" t="s">
        <v>32</v>
      </c>
      <c r="E25" s="26" t="s">
        <v>29</v>
      </c>
      <c r="F25" s="25">
        <v>8</v>
      </c>
      <c r="G25" s="124">
        <v>376</v>
      </c>
      <c r="H25" s="124">
        <f t="shared" si="13"/>
        <v>80.68669527896995</v>
      </c>
      <c r="I25" s="123" t="s">
        <v>78</v>
      </c>
      <c r="J25" s="123" t="s">
        <v>88</v>
      </c>
      <c r="K25" s="123" t="s">
        <v>92</v>
      </c>
      <c r="L25" s="123" t="s">
        <v>84</v>
      </c>
      <c r="M25" s="123"/>
      <c r="N25" s="129" t="s">
        <v>90</v>
      </c>
      <c r="O25" s="123" t="s">
        <v>74</v>
      </c>
      <c r="P25" s="123" t="s">
        <v>169</v>
      </c>
      <c r="Q25" s="123" t="s">
        <v>91</v>
      </c>
      <c r="R25" s="123" t="s">
        <v>89</v>
      </c>
      <c r="S25" s="124">
        <f t="shared" si="14"/>
        <v>6.5</v>
      </c>
      <c r="T25" s="27">
        <f t="shared" si="15"/>
        <v>528</v>
      </c>
      <c r="U25" s="28">
        <f>+H64</f>
        <v>466</v>
      </c>
      <c r="V25" s="44">
        <f t="shared" si="16"/>
        <v>58.25</v>
      </c>
      <c r="W25" s="45">
        <f t="shared" si="17"/>
        <v>0.88257575757575757</v>
      </c>
      <c r="X25" s="46">
        <f>+K64</f>
        <v>385.58</v>
      </c>
      <c r="Y25" s="29">
        <f t="shared" si="18"/>
        <v>48.197499999999998</v>
      </c>
      <c r="Z25" s="47">
        <f t="shared" si="19"/>
        <v>0.73026515151515148</v>
      </c>
      <c r="AA25" s="48">
        <f t="shared" si="20"/>
        <v>44.128787878787875</v>
      </c>
      <c r="AB25" s="49">
        <f t="shared" si="21"/>
        <v>39.7629375</v>
      </c>
      <c r="AC25" s="139">
        <f t="shared" si="22"/>
        <v>83.891725378787868</v>
      </c>
      <c r="AD25" s="50" t="str">
        <f t="shared" si="23"/>
        <v>80~89</v>
      </c>
      <c r="AE25" s="36"/>
      <c r="AF25" s="37">
        <f>AG25-F25</f>
        <v>-8</v>
      </c>
      <c r="AG25" s="38">
        <f>AN25</f>
        <v>0</v>
      </c>
      <c r="AH25" s="269" t="s">
        <v>36</v>
      </c>
      <c r="AI25" s="39"/>
      <c r="AJ25" s="40">
        <f>IFERROR(Z25/W25*1000,"")</f>
        <v>827.42489270386261</v>
      </c>
      <c r="AK25" s="39"/>
      <c r="AL25" s="41"/>
      <c r="AM25" s="41"/>
      <c r="AN25" s="41"/>
      <c r="AP25" s="269">
        <f t="shared" si="24"/>
        <v>-8</v>
      </c>
      <c r="AQ25" s="42"/>
    </row>
    <row r="26" spans="2:43" s="269" customFormat="1" ht="115.5" customHeight="1" x14ac:dyDescent="0.3">
      <c r="B26" s="421"/>
      <c r="C26" s="24">
        <f t="shared" si="12"/>
        <v>23</v>
      </c>
      <c r="D26" s="43" t="s">
        <v>35</v>
      </c>
      <c r="E26" s="26" t="s">
        <v>28</v>
      </c>
      <c r="F26" s="25">
        <v>11</v>
      </c>
      <c r="G26" s="124">
        <v>685</v>
      </c>
      <c r="H26" s="124">
        <f t="shared" si="13"/>
        <v>98.988439306358373</v>
      </c>
      <c r="I26" s="123" t="s">
        <v>78</v>
      </c>
      <c r="J26" s="123" t="s">
        <v>88</v>
      </c>
      <c r="K26" s="123" t="s">
        <v>92</v>
      </c>
      <c r="L26" s="123" t="s">
        <v>84</v>
      </c>
      <c r="M26" s="123"/>
      <c r="N26" s="129" t="s">
        <v>90</v>
      </c>
      <c r="O26" s="123" t="s">
        <v>74</v>
      </c>
      <c r="P26" s="123" t="s">
        <v>169</v>
      </c>
      <c r="Q26" s="123" t="s">
        <v>91</v>
      </c>
      <c r="R26" s="123" t="s">
        <v>89</v>
      </c>
      <c r="S26" s="124">
        <f t="shared" si="14"/>
        <v>6.5</v>
      </c>
      <c r="T26" s="27">
        <f t="shared" si="15"/>
        <v>726</v>
      </c>
      <c r="U26" s="28">
        <f>+H67</f>
        <v>692</v>
      </c>
      <c r="V26" s="44">
        <f t="shared" si="16"/>
        <v>62.909090909090907</v>
      </c>
      <c r="W26" s="45">
        <f t="shared" si="17"/>
        <v>0.95316804407713496</v>
      </c>
      <c r="X26" s="46">
        <f>+K67</f>
        <v>656</v>
      </c>
      <c r="Y26" s="44">
        <f t="shared" si="18"/>
        <v>59.636363636363633</v>
      </c>
      <c r="Z26" s="47">
        <f t="shared" si="19"/>
        <v>0.90358126721763088</v>
      </c>
      <c r="AA26" s="48">
        <f t="shared" si="20"/>
        <v>47.658402203856745</v>
      </c>
      <c r="AB26" s="49">
        <f t="shared" si="21"/>
        <v>49.2</v>
      </c>
      <c r="AC26" s="139">
        <f t="shared" si="22"/>
        <v>96.858402203856741</v>
      </c>
      <c r="AD26" s="50" t="str">
        <f t="shared" si="23"/>
        <v>90~99</v>
      </c>
      <c r="AE26" s="36"/>
      <c r="AF26" s="37">
        <f>AG26-F26</f>
        <v>-11</v>
      </c>
      <c r="AG26" s="38">
        <f>AN26</f>
        <v>0</v>
      </c>
      <c r="AH26" s="269" t="s">
        <v>33</v>
      </c>
      <c r="AI26" s="39"/>
      <c r="AJ26" s="40">
        <f>IFERROR(Z26/W26*1000,"")</f>
        <v>947.97687861271686</v>
      </c>
      <c r="AK26" s="39"/>
      <c r="AL26" s="41"/>
      <c r="AM26" s="41"/>
      <c r="AN26" s="41"/>
      <c r="AP26" s="269">
        <f t="shared" si="24"/>
        <v>-11</v>
      </c>
      <c r="AQ26" s="42"/>
    </row>
    <row r="27" spans="2:43" s="269" customFormat="1" ht="104.25" customHeight="1" x14ac:dyDescent="0.3">
      <c r="B27" s="421"/>
      <c r="C27" s="24">
        <f t="shared" si="12"/>
        <v>24</v>
      </c>
      <c r="D27" s="43" t="s">
        <v>37</v>
      </c>
      <c r="E27" s="26" t="s">
        <v>28</v>
      </c>
      <c r="F27" s="25">
        <v>11</v>
      </c>
      <c r="G27" s="125">
        <v>542</v>
      </c>
      <c r="H27" s="130">
        <f t="shared" si="13"/>
        <v>79.705882352941188</v>
      </c>
      <c r="I27" s="123" t="s">
        <v>78</v>
      </c>
      <c r="J27" s="123" t="s">
        <v>88</v>
      </c>
      <c r="K27" s="123" t="s">
        <v>92</v>
      </c>
      <c r="L27" s="123" t="s">
        <v>84</v>
      </c>
      <c r="M27" s="123"/>
      <c r="N27" s="129" t="s">
        <v>90</v>
      </c>
      <c r="O27" s="123" t="s">
        <v>74</v>
      </c>
      <c r="P27" s="123" t="s">
        <v>169</v>
      </c>
      <c r="Q27" s="123" t="s">
        <v>91</v>
      </c>
      <c r="R27" s="123" t="s">
        <v>89</v>
      </c>
      <c r="S27" s="125">
        <f t="shared" si="14"/>
        <v>6.5</v>
      </c>
      <c r="T27" s="27">
        <f t="shared" si="15"/>
        <v>726</v>
      </c>
      <c r="U27" s="28">
        <f>+H70</f>
        <v>680</v>
      </c>
      <c r="V27" s="44">
        <f t="shared" si="16"/>
        <v>61.81818181818182</v>
      </c>
      <c r="W27" s="45">
        <f t="shared" si="17"/>
        <v>0.9366391184573003</v>
      </c>
      <c r="X27" s="46">
        <f>+K70</f>
        <v>672.54</v>
      </c>
      <c r="Y27" s="44">
        <f t="shared" si="18"/>
        <v>61.139999999999993</v>
      </c>
      <c r="Z27" s="47">
        <f t="shared" si="19"/>
        <v>0.92636363636363628</v>
      </c>
      <c r="AA27" s="48">
        <f t="shared" si="20"/>
        <v>46.831955922865014</v>
      </c>
      <c r="AB27" s="49">
        <f t="shared" si="21"/>
        <v>50.4405</v>
      </c>
      <c r="AC27" s="139">
        <f t="shared" si="22"/>
        <v>97.272455922865021</v>
      </c>
      <c r="AD27" s="50" t="str">
        <f t="shared" si="23"/>
        <v>90~99</v>
      </c>
      <c r="AE27" s="36"/>
      <c r="AF27" s="37">
        <f>AG27-F27</f>
        <v>-11</v>
      </c>
      <c r="AG27" s="38">
        <f>AN27</f>
        <v>0</v>
      </c>
      <c r="AH27" s="269" t="s">
        <v>46</v>
      </c>
      <c r="AI27" s="39"/>
      <c r="AJ27" s="40">
        <f>IFERROR(Z27/W27*1000,"")</f>
        <v>989.02941176470574</v>
      </c>
      <c r="AL27" s="41"/>
      <c r="AM27" s="41"/>
      <c r="AN27" s="41"/>
      <c r="AP27" s="269">
        <f t="shared" si="24"/>
        <v>-11</v>
      </c>
      <c r="AQ27" s="42"/>
    </row>
    <row r="28" spans="2:43" s="269" customFormat="1" ht="104.25" customHeight="1" x14ac:dyDescent="0.3">
      <c r="B28" s="421"/>
      <c r="C28" s="24">
        <f t="shared" si="12"/>
        <v>25</v>
      </c>
      <c r="D28" s="43" t="s">
        <v>47</v>
      </c>
      <c r="E28" s="26" t="s">
        <v>36</v>
      </c>
      <c r="F28" s="25">
        <v>8</v>
      </c>
      <c r="G28" s="124">
        <v>335</v>
      </c>
      <c r="H28" s="124">
        <f t="shared" si="13"/>
        <v>88.624338624338634</v>
      </c>
      <c r="I28" s="123" t="s">
        <v>78</v>
      </c>
      <c r="J28" s="123" t="s">
        <v>88</v>
      </c>
      <c r="K28" s="123" t="s">
        <v>92</v>
      </c>
      <c r="L28" s="123" t="s">
        <v>84</v>
      </c>
      <c r="M28" s="123"/>
      <c r="N28" s="129" t="s">
        <v>90</v>
      </c>
      <c r="O28" s="123"/>
      <c r="P28" s="123"/>
      <c r="Q28" s="123" t="s">
        <v>91</v>
      </c>
      <c r="R28" s="123" t="s">
        <v>89</v>
      </c>
      <c r="S28" s="124">
        <f t="shared" si="14"/>
        <v>5.5</v>
      </c>
      <c r="T28" s="272">
        <f t="shared" si="15"/>
        <v>528</v>
      </c>
      <c r="U28" s="28">
        <f>+H73</f>
        <v>378</v>
      </c>
      <c r="V28" s="29">
        <f t="shared" si="16"/>
        <v>47.25</v>
      </c>
      <c r="W28" s="30">
        <f t="shared" si="17"/>
        <v>0.71590909090909094</v>
      </c>
      <c r="X28" s="31">
        <f>+K73</f>
        <v>434.59</v>
      </c>
      <c r="Y28" s="44">
        <f t="shared" si="18"/>
        <v>54.323749999999997</v>
      </c>
      <c r="Z28" s="47">
        <f t="shared" si="19"/>
        <v>0.82308712121212113</v>
      </c>
      <c r="AA28" s="48">
        <f t="shared" si="20"/>
        <v>35.795454545454547</v>
      </c>
      <c r="AB28" s="49">
        <f t="shared" si="21"/>
        <v>44.817093749999998</v>
      </c>
      <c r="AC28" s="139">
        <f t="shared" si="22"/>
        <v>80.612548295454545</v>
      </c>
      <c r="AD28" s="50" t="str">
        <f t="shared" si="23"/>
        <v>80~89</v>
      </c>
      <c r="AE28" s="36"/>
      <c r="AF28" s="37"/>
      <c r="AG28" s="38"/>
      <c r="AI28" s="39"/>
      <c r="AJ28" s="40"/>
      <c r="AL28" s="41"/>
      <c r="AM28" s="41"/>
      <c r="AN28" s="41"/>
      <c r="AP28" s="269">
        <f t="shared" si="24"/>
        <v>-8</v>
      </c>
      <c r="AQ28" s="42"/>
    </row>
    <row r="29" spans="2:43" s="269" customFormat="1" ht="36" customHeight="1" x14ac:dyDescent="0.3">
      <c r="B29" s="422" t="s">
        <v>39</v>
      </c>
      <c r="C29" s="423"/>
      <c r="D29" s="423"/>
      <c r="E29" s="424"/>
      <c r="F29" s="43">
        <f>SUM(F23:F28)</f>
        <v>59.17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3905.2200000000003</v>
      </c>
      <c r="U29" s="53">
        <f>SUM(U23:U28)</f>
        <v>3459</v>
      </c>
      <c r="V29" s="54">
        <f>U29/F29</f>
        <v>58.458678384316372</v>
      </c>
      <c r="W29" s="45">
        <f t="shared" si="17"/>
        <v>0.88573755127752085</v>
      </c>
      <c r="X29" s="55">
        <f>SUM(X23:X28)</f>
        <v>3190.5299999999997</v>
      </c>
      <c r="Y29" s="44">
        <f>X29/F29</f>
        <v>53.921412878147706</v>
      </c>
      <c r="Z29" s="47">
        <f t="shared" si="19"/>
        <v>0.81699110421435917</v>
      </c>
      <c r="AA29" s="56">
        <f>U29/T29*AA20</f>
        <v>44.28687756387604</v>
      </c>
      <c r="AB29" s="57">
        <f>X29/T29*AB20</f>
        <v>44.485165624471861</v>
      </c>
      <c r="AC29" s="140">
        <f t="shared" si="22"/>
        <v>88.772043188347908</v>
      </c>
      <c r="AD29" s="58" t="str">
        <f t="shared" si="23"/>
        <v>80~89</v>
      </c>
      <c r="AE29" s="43"/>
      <c r="AF29" s="37">
        <f>AG29-F29</f>
        <v>-59.17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9.8616666666666664</v>
      </c>
      <c r="G30" s="270"/>
      <c r="H30" s="270"/>
      <c r="I30" s="270"/>
      <c r="J30" s="270"/>
      <c r="K30" s="270"/>
      <c r="L30" s="270"/>
      <c r="M30" s="270"/>
      <c r="N30" s="270"/>
      <c r="O30" s="270"/>
      <c r="P30" s="270"/>
      <c r="Q30" s="270"/>
      <c r="R30" s="270"/>
      <c r="S30" s="270"/>
      <c r="T30" s="270"/>
      <c r="U30" s="61">
        <f>V30*F30</f>
        <v>576.49999999999989</v>
      </c>
      <c r="V30" s="62">
        <f>U29/F29</f>
        <v>58.458678384316372</v>
      </c>
      <c r="W30" s="63">
        <f>IFERROR(U30/#REF!,0)</f>
        <v>0</v>
      </c>
      <c r="X30" s="64">
        <f>X29/F29*F30</f>
        <v>531.755</v>
      </c>
      <c r="Y30" s="62">
        <f>IF(F30=0,"휴무",X30/F30)</f>
        <v>53.921412878147713</v>
      </c>
      <c r="Z30" s="65">
        <f>IFERROR(X30/#REF!,0)</f>
        <v>0</v>
      </c>
      <c r="AA30" s="60">
        <f>AVERAGE(AA23:AA28)</f>
        <v>43.917582683002365</v>
      </c>
      <c r="AB30" s="60">
        <f>AVERAGE(AB23:AB28)</f>
        <v>44.217438836651922</v>
      </c>
      <c r="AC30" s="141">
        <f>AA30+AB30</f>
        <v>88.135021519654288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269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20</v>
      </c>
      <c r="F36" s="455" t="s">
        <v>7</v>
      </c>
      <c r="G36" s="82" t="s">
        <v>48</v>
      </c>
      <c r="H36" s="83">
        <v>208</v>
      </c>
      <c r="I36" s="84"/>
      <c r="J36" s="85"/>
      <c r="K36" s="86">
        <f>450.28-152.53</f>
        <v>297.75</v>
      </c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>
        <v>100</v>
      </c>
      <c r="I37" s="84"/>
      <c r="J37" s="85"/>
      <c r="K37" s="86">
        <v>152.53</v>
      </c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408</v>
      </c>
      <c r="I38" s="88"/>
      <c r="J38" s="89"/>
      <c r="K38" s="90">
        <f>+K36+K37*2</f>
        <v>602.80999999999995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21</v>
      </c>
      <c r="F39" s="455" t="s">
        <v>52</v>
      </c>
      <c r="G39" s="82" t="s">
        <v>48</v>
      </c>
      <c r="H39" s="83">
        <f>247-186</f>
        <v>61</v>
      </c>
      <c r="I39" s="84"/>
      <c r="J39" s="85"/>
      <c r="K39" s="86">
        <f>361.21-254.22</f>
        <v>106.98999999999998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>
        <v>186</v>
      </c>
      <c r="I40" s="84"/>
      <c r="J40" s="85"/>
      <c r="K40" s="86">
        <v>254.22</v>
      </c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433</v>
      </c>
      <c r="I41" s="88"/>
      <c r="J41" s="89"/>
      <c r="K41" s="90">
        <f>+K39+K40*2</f>
        <v>615.42999999999995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22</v>
      </c>
      <c r="F42" s="455" t="s">
        <v>53</v>
      </c>
      <c r="G42" s="82" t="s">
        <v>48</v>
      </c>
      <c r="H42" s="83">
        <f>229-64</f>
        <v>165</v>
      </c>
      <c r="I42" s="84"/>
      <c r="J42" s="85"/>
      <c r="K42" s="86">
        <f>190.56-60.32</f>
        <v>130.24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>
        <v>64</v>
      </c>
      <c r="I43" s="84"/>
      <c r="J43" s="85"/>
      <c r="K43" s="86">
        <v>60.32</v>
      </c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293</v>
      </c>
      <c r="I44" s="88"/>
      <c r="J44" s="89"/>
      <c r="K44" s="90">
        <f>+K42+K43*2</f>
        <v>250.88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23</v>
      </c>
      <c r="F45" s="455" t="s">
        <v>55</v>
      </c>
      <c r="G45" s="82" t="s">
        <v>48</v>
      </c>
      <c r="H45" s="83">
        <f>442-73</f>
        <v>369</v>
      </c>
      <c r="I45" s="84"/>
      <c r="J45" s="85"/>
      <c r="K45" s="86">
        <f>447.46-117.53</f>
        <v>329.92999999999995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>
        <v>73</v>
      </c>
      <c r="I46" s="84"/>
      <c r="J46" s="85"/>
      <c r="K46" s="86">
        <v>117.53</v>
      </c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515</v>
      </c>
      <c r="I47" s="88"/>
      <c r="J47" s="89"/>
      <c r="K47" s="90">
        <f>+K45+K46*2</f>
        <v>564.99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24</v>
      </c>
      <c r="F48" s="455" t="s">
        <v>56</v>
      </c>
      <c r="G48" s="82" t="s">
        <v>48</v>
      </c>
      <c r="H48" s="83">
        <f>509-81</f>
        <v>428</v>
      </c>
      <c r="I48" s="84"/>
      <c r="J48" s="85"/>
      <c r="K48" s="86">
        <f>439.58-139.65</f>
        <v>299.92999999999995</v>
      </c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>
        <v>81</v>
      </c>
      <c r="I49" s="84"/>
      <c r="J49" s="85"/>
      <c r="K49" s="86">
        <v>139.65</v>
      </c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590</v>
      </c>
      <c r="I50" s="88"/>
      <c r="J50" s="89"/>
      <c r="K50" s="90">
        <f>+K48+K49*2</f>
        <v>579.23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25</v>
      </c>
      <c r="F51" s="455" t="s">
        <v>38</v>
      </c>
      <c r="G51" s="82" t="s">
        <v>48</v>
      </c>
      <c r="H51" s="83">
        <f>374-47</f>
        <v>327</v>
      </c>
      <c r="I51" s="84"/>
      <c r="J51" s="85"/>
      <c r="K51" s="86">
        <f>345.38-41.07</f>
        <v>304.31</v>
      </c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>
        <v>47</v>
      </c>
      <c r="I52" s="84"/>
      <c r="J52" s="85"/>
      <c r="K52" s="86">
        <v>41.07</v>
      </c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421</v>
      </c>
      <c r="I53" s="88"/>
      <c r="J53" s="89"/>
      <c r="K53" s="90">
        <f>+K51+K52*2</f>
        <v>386.45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20</v>
      </c>
      <c r="F56" s="455" t="s">
        <v>7</v>
      </c>
      <c r="G56" s="82" t="s">
        <v>48</v>
      </c>
      <c r="H56" s="83">
        <f>574-46</f>
        <v>528</v>
      </c>
      <c r="I56" s="84"/>
      <c r="J56" s="85"/>
      <c r="K56" s="86">
        <f>436.56-45</f>
        <v>391.56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>
        <v>46</v>
      </c>
      <c r="I57" s="84"/>
      <c r="J57" s="85"/>
      <c r="K57" s="86">
        <v>45</v>
      </c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620</v>
      </c>
      <c r="I58" s="88"/>
      <c r="J58" s="89"/>
      <c r="K58" s="90">
        <f>+K56+K57*2</f>
        <v>481.56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21</v>
      </c>
      <c r="F59" s="455" t="s">
        <v>52</v>
      </c>
      <c r="G59" s="82" t="s">
        <v>48</v>
      </c>
      <c r="H59" s="83">
        <f>548-75</f>
        <v>473</v>
      </c>
      <c r="I59" s="84"/>
      <c r="J59" s="85"/>
      <c r="K59" s="86">
        <f>500.6-59.66</f>
        <v>440.94000000000005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>
        <v>75</v>
      </c>
      <c r="I60" s="84"/>
      <c r="J60" s="85"/>
      <c r="K60" s="86">
        <v>59.66</v>
      </c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623</v>
      </c>
      <c r="I61" s="88"/>
      <c r="J61" s="89"/>
      <c r="K61" s="90">
        <f>+K59+K60*2</f>
        <v>560.26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22</v>
      </c>
      <c r="F62" s="455" t="s">
        <v>53</v>
      </c>
      <c r="G62" s="82" t="s">
        <v>48</v>
      </c>
      <c r="H62" s="83">
        <f>382-84</f>
        <v>298</v>
      </c>
      <c r="I62" s="84"/>
      <c r="J62" s="85"/>
      <c r="K62" s="86">
        <f>329.15-56.43</f>
        <v>272.71999999999997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>
        <v>84</v>
      </c>
      <c r="I63" s="84"/>
      <c r="J63" s="85"/>
      <c r="K63" s="86">
        <v>56.43</v>
      </c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466</v>
      </c>
      <c r="I64" s="88"/>
      <c r="J64" s="89"/>
      <c r="K64" s="90">
        <f>+K62+K63*2</f>
        <v>385.58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23</v>
      </c>
      <c r="F65" s="455" t="s">
        <v>55</v>
      </c>
      <c r="G65" s="82" t="s">
        <v>48</v>
      </c>
      <c r="H65" s="83">
        <v>680</v>
      </c>
      <c r="I65" s="84"/>
      <c r="J65" s="85"/>
      <c r="K65" s="86">
        <f>643.64-12.36</f>
        <v>631.28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>
        <v>6</v>
      </c>
      <c r="I66" s="84"/>
      <c r="J66" s="85"/>
      <c r="K66" s="86">
        <v>12.36</v>
      </c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692</v>
      </c>
      <c r="I67" s="88"/>
      <c r="J67" s="89"/>
      <c r="K67" s="90">
        <f>+K65+K66*2</f>
        <v>656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24</v>
      </c>
      <c r="F68" s="455" t="s">
        <v>56</v>
      </c>
      <c r="G68" s="82" t="s">
        <v>48</v>
      </c>
      <c r="H68" s="83">
        <f>542-138</f>
        <v>404</v>
      </c>
      <c r="I68" s="84"/>
      <c r="J68" s="85"/>
      <c r="K68" s="86">
        <f>482.15-190.39</f>
        <v>291.76</v>
      </c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>
        <v>138</v>
      </c>
      <c r="I69" s="84"/>
      <c r="J69" s="85"/>
      <c r="K69" s="86">
        <v>190.39</v>
      </c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680</v>
      </c>
      <c r="I70" s="88"/>
      <c r="J70" s="89"/>
      <c r="K70" s="90">
        <f>+K68+K69*2</f>
        <v>672.54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25</v>
      </c>
      <c r="F71" s="455" t="s">
        <v>38</v>
      </c>
      <c r="G71" s="82" t="s">
        <v>48</v>
      </c>
      <c r="H71" s="83">
        <f>338-40</f>
        <v>298</v>
      </c>
      <c r="I71" s="84"/>
      <c r="J71" s="85"/>
      <c r="K71" s="86">
        <f>409.4-25.19</f>
        <v>384.21</v>
      </c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>
        <v>40</v>
      </c>
      <c r="I72" s="84"/>
      <c r="J72" s="85"/>
      <c r="K72" s="86">
        <v>25.19</v>
      </c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378</v>
      </c>
      <c r="I73" s="88"/>
      <c r="J73" s="89"/>
      <c r="K73" s="90">
        <f>+K71+K72*2</f>
        <v>434.59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271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5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6">IF(F80=0,"휴무",AA80+AB80)</f>
        <v>#REF!</v>
      </c>
      <c r="AD80" s="103" t="e">
        <f t="shared" ref="AD80:AD85" si="27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269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269"/>
      <c r="AP80" s="269">
        <f>AO80-F80</f>
        <v>-10</v>
      </c>
    </row>
    <row r="81" spans="2:42" ht="98.25" customHeight="1" x14ac:dyDescent="0.3">
      <c r="B81" s="459"/>
      <c r="C81" s="92">
        <v>20</v>
      </c>
      <c r="D81" s="265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5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6"/>
        <v>#REF!</v>
      </c>
      <c r="AD81" s="108" t="e">
        <f t="shared" si="27"/>
        <v>#REF!</v>
      </c>
      <c r="AE81" s="109"/>
      <c r="AF81" s="37">
        <f>AG81-F81</f>
        <v>-10</v>
      </c>
      <c r="AG81" s="38">
        <f>AN81</f>
        <v>0</v>
      </c>
      <c r="AH81" s="269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269"/>
      <c r="AP81" s="269">
        <f>AO81-F81</f>
        <v>-10</v>
      </c>
    </row>
    <row r="82" spans="2:42" ht="98.25" customHeight="1" x14ac:dyDescent="0.3">
      <c r="B82" s="459"/>
      <c r="C82" s="92">
        <v>21</v>
      </c>
      <c r="D82" s="265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5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6"/>
        <v>#REF!</v>
      </c>
      <c r="AD82" s="108" t="e">
        <f t="shared" si="27"/>
        <v>#REF!</v>
      </c>
      <c r="AE82" s="109"/>
      <c r="AF82" s="37">
        <f>AG82-F82</f>
        <v>-10</v>
      </c>
      <c r="AG82" s="38">
        <f>AN82</f>
        <v>0</v>
      </c>
      <c r="AH82" s="269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269"/>
      <c r="AP82" s="269">
        <f>AO82-F82</f>
        <v>-10</v>
      </c>
    </row>
    <row r="83" spans="2:42" ht="98.25" customHeight="1" x14ac:dyDescent="0.3">
      <c r="B83" s="459"/>
      <c r="C83" s="92">
        <v>22</v>
      </c>
      <c r="D83" s="265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5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6"/>
        <v>#REF!</v>
      </c>
      <c r="AD83" s="110" t="e">
        <f t="shared" si="27"/>
        <v>#REF!</v>
      </c>
      <c r="AE83" s="104"/>
      <c r="AF83" s="37">
        <f>AG83-F83</f>
        <v>-10</v>
      </c>
      <c r="AG83" s="38">
        <f>AN83</f>
        <v>0</v>
      </c>
      <c r="AH83" s="269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269"/>
      <c r="AP83" s="269">
        <f>AO83-F83</f>
        <v>-10</v>
      </c>
    </row>
    <row r="84" spans="2:42" ht="98.25" customHeight="1" x14ac:dyDescent="0.3">
      <c r="B84" s="459"/>
      <c r="C84" s="92">
        <v>23</v>
      </c>
      <c r="D84" s="265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5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6"/>
        <v>#REF!</v>
      </c>
      <c r="AD84" s="110" t="e">
        <f t="shared" si="27"/>
        <v>#REF!</v>
      </c>
      <c r="AE84" s="104"/>
      <c r="AF84" s="37">
        <f>AG84-F84</f>
        <v>-10</v>
      </c>
      <c r="AG84" s="38">
        <f>AN84</f>
        <v>0</v>
      </c>
      <c r="AH84" s="269" t="s">
        <v>46</v>
      </c>
      <c r="AI84" s="39"/>
      <c r="AJ84" s="40" t="str">
        <f>IFERROR(Z84/W84*1000,"")</f>
        <v/>
      </c>
      <c r="AK84" s="269"/>
      <c r="AL84" s="41"/>
      <c r="AM84" s="41"/>
      <c r="AN84" s="41"/>
      <c r="AO84" s="269"/>
      <c r="AP84" s="269">
        <f>AO84-F84</f>
        <v>-10</v>
      </c>
    </row>
    <row r="85" spans="2:42" ht="98.25" customHeight="1" x14ac:dyDescent="0.3">
      <c r="B85" s="459"/>
      <c r="C85" s="92">
        <v>25</v>
      </c>
      <c r="D85" s="265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270"/>
      <c r="H85" s="270"/>
      <c r="I85" s="270"/>
      <c r="J85" s="270"/>
      <c r="K85" s="270"/>
      <c r="L85" s="270"/>
      <c r="M85" s="270"/>
      <c r="N85" s="270"/>
      <c r="O85" s="270"/>
      <c r="P85" s="270"/>
      <c r="Q85" s="270"/>
      <c r="R85" s="270"/>
      <c r="S85" s="270"/>
      <c r="T85" s="270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5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6"/>
        <v>휴무</v>
      </c>
      <c r="AD85" s="110" t="str">
        <f t="shared" si="27"/>
        <v>휴무</v>
      </c>
      <c r="AE85" s="104"/>
      <c r="AF85" s="37"/>
      <c r="AG85" s="38"/>
      <c r="AH85" s="269"/>
      <c r="AI85" s="39"/>
      <c r="AJ85" s="40"/>
      <c r="AK85" s="269"/>
      <c r="AL85" s="41"/>
      <c r="AM85" s="41"/>
      <c r="AN85" s="41"/>
      <c r="AO85" s="269"/>
      <c r="AP85" s="269"/>
    </row>
    <row r="86" spans="2:42" ht="36" customHeight="1" x14ac:dyDescent="0.3">
      <c r="B86" s="460" t="s">
        <v>39</v>
      </c>
      <c r="C86" s="461"/>
      <c r="D86" s="461"/>
      <c r="E86" s="462"/>
      <c r="F86" s="265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265"/>
      <c r="AB86" s="266"/>
      <c r="AC86" s="114"/>
      <c r="AD86" s="115"/>
      <c r="AE86" s="267"/>
      <c r="AF86" s="37">
        <f>AG86-F86</f>
        <v>-50</v>
      </c>
      <c r="AG86" s="38">
        <f>SUM(AG80:AG85)</f>
        <v>0</v>
      </c>
      <c r="AH86" s="269"/>
      <c r="AI86" s="269"/>
      <c r="AJ86" s="40"/>
      <c r="AK86" s="269"/>
      <c r="AL86" s="59"/>
      <c r="AM86" s="59"/>
      <c r="AN86" s="59"/>
      <c r="AO86" s="269"/>
      <c r="AP86" s="269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270"/>
      <c r="H87" s="270"/>
      <c r="I87" s="270"/>
      <c r="J87" s="270"/>
      <c r="K87" s="270"/>
      <c r="L87" s="270"/>
      <c r="M87" s="270"/>
      <c r="N87" s="270"/>
      <c r="O87" s="270"/>
      <c r="P87" s="270"/>
      <c r="Q87" s="270"/>
      <c r="R87" s="270"/>
      <c r="S87" s="270"/>
      <c r="T87" s="270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269"/>
      <c r="AE88" s="269"/>
      <c r="AF88" s="269"/>
      <c r="AG88" s="269"/>
      <c r="AH88" s="269"/>
      <c r="AI88" s="269"/>
      <c r="AJ88" s="269"/>
      <c r="AK88" s="269"/>
      <c r="AL88" s="59"/>
      <c r="AM88" s="59"/>
      <c r="AN88" s="59"/>
      <c r="AO88" s="269"/>
      <c r="AP88" s="269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265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265" t="s">
        <v>63</v>
      </c>
      <c r="D117" s="466" t="s">
        <v>12</v>
      </c>
      <c r="E117" s="466"/>
      <c r="F117" s="265" t="s">
        <v>64</v>
      </c>
      <c r="G117" s="265"/>
      <c r="H117" s="265"/>
      <c r="I117" s="265"/>
      <c r="J117" s="265"/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265"/>
      <c r="G118" s="265"/>
      <c r="H118" s="265"/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265"/>
      <c r="G120" s="265"/>
      <c r="H120" s="265"/>
      <c r="I120" s="265"/>
      <c r="J120" s="265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265"/>
      <c r="G121" s="265"/>
      <c r="H121" s="265"/>
      <c r="I121" s="265"/>
      <c r="J121" s="265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265"/>
      <c r="G122" s="265"/>
      <c r="H122" s="265"/>
      <c r="I122" s="265"/>
      <c r="J122" s="265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265"/>
      <c r="G123" s="265"/>
      <c r="H123" s="265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117"/>
      <c r="W123" s="118"/>
      <c r="X123" s="116"/>
      <c r="Y123" s="117"/>
      <c r="Z123" s="116"/>
      <c r="AA123" s="116"/>
    </row>
    <row r="124" spans="3:27" x14ac:dyDescent="0.3">
      <c r="C124" s="265"/>
      <c r="D124" s="460"/>
      <c r="E124" s="462"/>
      <c r="F124" s="265"/>
      <c r="G124" s="265"/>
      <c r="H124" s="265"/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265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265" t="s">
        <v>63</v>
      </c>
      <c r="D127" s="466" t="s">
        <v>12</v>
      </c>
      <c r="E127" s="466"/>
      <c r="F127" s="265" t="s">
        <v>64</v>
      </c>
      <c r="G127" s="265"/>
      <c r="H127" s="265"/>
      <c r="I127" s="265"/>
      <c r="J127" s="265"/>
      <c r="K127" s="265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265"/>
      <c r="G128" s="265"/>
      <c r="H128" s="265"/>
      <c r="I128" s="265"/>
      <c r="J128" s="265"/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265"/>
      <c r="G129" s="265"/>
      <c r="H129" s="265"/>
      <c r="I129" s="265"/>
      <c r="J129" s="265"/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265"/>
      <c r="G130" s="265"/>
      <c r="H130" s="265"/>
      <c r="I130" s="265"/>
      <c r="J130" s="265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265"/>
      <c r="G131" s="265"/>
      <c r="H131" s="265"/>
      <c r="I131" s="265"/>
      <c r="J131" s="265"/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265"/>
      <c r="G132" s="265"/>
      <c r="H132" s="265"/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265"/>
      <c r="G133" s="265"/>
      <c r="H133" s="265"/>
      <c r="I133" s="265"/>
      <c r="J133" s="265"/>
      <c r="K133" s="265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117"/>
      <c r="W133" s="118"/>
      <c r="X133" s="116"/>
      <c r="Y133" s="117"/>
      <c r="Z133" s="116"/>
      <c r="AA133" s="116"/>
    </row>
    <row r="134" spans="3:27" x14ac:dyDescent="0.3">
      <c r="C134" s="265"/>
      <c r="D134" s="460"/>
      <c r="E134" s="462"/>
      <c r="F134" s="265"/>
      <c r="G134" s="265"/>
      <c r="H134" s="265"/>
      <c r="I134" s="265"/>
      <c r="J134" s="265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265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265" t="s">
        <v>63</v>
      </c>
      <c r="D137" s="466" t="s">
        <v>12</v>
      </c>
      <c r="E137" s="466"/>
      <c r="F137" s="265" t="s">
        <v>64</v>
      </c>
      <c r="G137" s="265"/>
      <c r="H137" s="265"/>
      <c r="I137" s="265"/>
      <c r="J137" s="265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265"/>
      <c r="G138" s="265"/>
      <c r="H138" s="265"/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265"/>
      <c r="G139" s="265"/>
      <c r="H139" s="265"/>
      <c r="I139" s="265"/>
      <c r="J139" s="265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265"/>
      <c r="G140" s="265"/>
      <c r="H140" s="265"/>
      <c r="I140" s="265"/>
      <c r="J140" s="265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</row>
    <row r="141" spans="3:27" x14ac:dyDescent="0.3">
      <c r="C141" s="119">
        <v>45078</v>
      </c>
      <c r="D141" s="466"/>
      <c r="E141" s="466"/>
      <c r="F141" s="265"/>
      <c r="G141" s="265"/>
      <c r="H141" s="265"/>
      <c r="I141" s="265"/>
      <c r="J141" s="265"/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</row>
    <row r="142" spans="3:27" x14ac:dyDescent="0.3">
      <c r="C142" s="119">
        <v>45079</v>
      </c>
      <c r="D142" s="466"/>
      <c r="E142" s="466"/>
      <c r="F142" s="265"/>
      <c r="G142" s="265"/>
      <c r="H142" s="265"/>
      <c r="I142" s="265"/>
      <c r="J142" s="265"/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</row>
    <row r="143" spans="3:27" x14ac:dyDescent="0.3">
      <c r="C143" s="119">
        <v>45080</v>
      </c>
      <c r="D143" s="466"/>
      <c r="E143" s="466"/>
      <c r="F143" s="265"/>
      <c r="G143" s="265"/>
      <c r="H143" s="265"/>
      <c r="I143" s="265"/>
      <c r="J143" s="265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</row>
    <row r="144" spans="3:27" x14ac:dyDescent="0.3">
      <c r="C144" s="265"/>
      <c r="D144" s="460"/>
      <c r="E144" s="462"/>
      <c r="F144" s="265"/>
      <c r="G144" s="265"/>
      <c r="H144" s="265"/>
      <c r="I144" s="265"/>
      <c r="J144" s="265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</row>
  </sheetData>
  <mergeCells count="113">
    <mergeCell ref="U5:W5"/>
    <mergeCell ref="X5:Z5"/>
    <mergeCell ref="AC5:AC6"/>
    <mergeCell ref="AD5:AD6"/>
    <mergeCell ref="AE5:AE6"/>
    <mergeCell ref="B7:B12"/>
    <mergeCell ref="B2:AE2"/>
    <mergeCell ref="B3:AE3"/>
    <mergeCell ref="B5:C6"/>
    <mergeCell ref="D5:D6"/>
    <mergeCell ref="E5:E6"/>
    <mergeCell ref="F5:F6"/>
    <mergeCell ref="G5:G6"/>
    <mergeCell ref="H5:H6"/>
    <mergeCell ref="I5:S5"/>
    <mergeCell ref="T5:T6"/>
    <mergeCell ref="B13:E13"/>
    <mergeCell ref="B14:E14"/>
    <mergeCell ref="B19:AE19"/>
    <mergeCell ref="B21:B22"/>
    <mergeCell ref="C21:C22"/>
    <mergeCell ref="D21:D22"/>
    <mergeCell ref="E21:E22"/>
    <mergeCell ref="F21:F22"/>
    <mergeCell ref="G21:G22"/>
    <mergeCell ref="H21:H22"/>
    <mergeCell ref="AC21:AC22"/>
    <mergeCell ref="AD21:AD22"/>
    <mergeCell ref="AE21:AE22"/>
    <mergeCell ref="B23:B28"/>
    <mergeCell ref="B29:E29"/>
    <mergeCell ref="B30:E30"/>
    <mergeCell ref="I21:S21"/>
    <mergeCell ref="T21:T22"/>
    <mergeCell ref="U21:W21"/>
    <mergeCell ref="X21:Z21"/>
    <mergeCell ref="AA21:AA22"/>
    <mergeCell ref="AB21:AB22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AE78:AE79"/>
    <mergeCell ref="B80:B85"/>
    <mergeCell ref="B86:E86"/>
    <mergeCell ref="B87:E87"/>
    <mergeCell ref="E92:E94"/>
    <mergeCell ref="F92:F94"/>
    <mergeCell ref="B76:AE76"/>
    <mergeCell ref="B78:B79"/>
    <mergeCell ref="C78:C79"/>
    <mergeCell ref="D78:D79"/>
    <mergeCell ref="E78:E79"/>
    <mergeCell ref="F78:F79"/>
    <mergeCell ref="U78:W78"/>
    <mergeCell ref="X78:Z78"/>
    <mergeCell ref="AC78:AC79"/>
    <mergeCell ref="AD78:AD79"/>
    <mergeCell ref="E104:E106"/>
    <mergeCell ref="F104:F106"/>
    <mergeCell ref="E107:E109"/>
    <mergeCell ref="F107:F109"/>
    <mergeCell ref="C114:U114"/>
    <mergeCell ref="D117:E117"/>
    <mergeCell ref="E95:E97"/>
    <mergeCell ref="F95:F97"/>
    <mergeCell ref="E98:E100"/>
    <mergeCell ref="F98:F100"/>
    <mergeCell ref="E101:E103"/>
    <mergeCell ref="F101:F103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</mergeCells>
  <phoneticPr fontId="4" type="noConversion"/>
  <dataValidations count="3">
    <dataValidation type="list" allowBlank="1" showInputMessage="1" showErrorMessage="1" sqref="E7:E8 E23:E24 E10:E12 E26:E28">
      <formula1>$U$7:$U$12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 E25 E9">
      <formula1>$AH$7:$AH$12</formula1>
    </dataValidation>
  </dataValidations>
  <pageMargins left="0.62992125984251968" right="0.62992125984251968" top="0.94488188976377963" bottom="0.55118110236220474" header="0.31496062992125984" footer="0.31496062992125984"/>
  <pageSetup paperSize="9" scale="28" orientation="landscape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80" zoomScaleNormal="80" workbookViewId="0">
      <pane xSplit="4" ySplit="6" topLeftCell="E25" activePane="bottomRight" state="frozen"/>
      <selection pane="topRight" activeCell="D1" sqref="D1"/>
      <selection pane="bottomLeft" activeCell="A6" sqref="A6"/>
      <selection pane="bottomRight" activeCell="I27" sqref="I27:R27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61.375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11.75" hidden="1" customWidth="1"/>
    <col min="44" max="44" width="3.25" customWidth="1"/>
  </cols>
  <sheetData>
    <row r="2" spans="2:52" ht="20.25" x14ac:dyDescent="0.3">
      <c r="B2" s="425" t="s">
        <v>166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258" t="s">
        <v>1</v>
      </c>
      <c r="AY2" s="258" t="s">
        <v>2</v>
      </c>
      <c r="AZ2" s="3" t="s">
        <v>3</v>
      </c>
    </row>
    <row r="3" spans="2:52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E3" s="464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261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75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261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-55</v>
      </c>
    </row>
    <row r="7" spans="2:52" s="259" customFormat="1" ht="99" customHeight="1" thickTop="1" x14ac:dyDescent="0.3">
      <c r="B7" s="420">
        <v>4</v>
      </c>
      <c r="C7" s="24">
        <v>13</v>
      </c>
      <c r="D7" s="25" t="s">
        <v>7</v>
      </c>
      <c r="E7" s="26" t="s">
        <v>29</v>
      </c>
      <c r="F7" s="25">
        <v>8.5</v>
      </c>
      <c r="G7" s="128">
        <v>226</v>
      </c>
      <c r="H7" s="128">
        <f t="shared" ref="H7:H12" si="0">(G7/U7)*100</f>
        <v>56.499999999999993</v>
      </c>
      <c r="I7" s="123" t="s">
        <v>85</v>
      </c>
      <c r="J7" s="123" t="s">
        <v>86</v>
      </c>
      <c r="K7" s="123" t="s">
        <v>73</v>
      </c>
      <c r="L7" s="123" t="s">
        <v>87</v>
      </c>
      <c r="M7" s="123"/>
      <c r="N7" s="129" t="s">
        <v>90</v>
      </c>
      <c r="O7" s="123" t="s">
        <v>74</v>
      </c>
      <c r="P7" s="123" t="s">
        <v>169</v>
      </c>
      <c r="Q7" s="123" t="s">
        <v>91</v>
      </c>
      <c r="R7" s="123" t="s">
        <v>89</v>
      </c>
      <c r="S7" s="125">
        <f t="shared" ref="S7:S13" si="1">COUNTA(I7:M7)+COUNTA(N7:R7)/2</f>
        <v>6.5</v>
      </c>
      <c r="T7" s="27">
        <f t="shared" ref="T7:T12" si="2">F7*$D$4*$U$4</f>
        <v>561</v>
      </c>
      <c r="U7" s="28">
        <f>+H38</f>
        <v>400</v>
      </c>
      <c r="V7" s="29">
        <f t="shared" ref="V7:V12" si="3">IF(F7=0,"휴무",U7/F7)</f>
        <v>47.058823529411768</v>
      </c>
      <c r="W7" s="30">
        <f t="shared" ref="W7:W13" si="4">IFERROR(U7/T7,0)</f>
        <v>0.71301247771836007</v>
      </c>
      <c r="X7" s="31">
        <f>+K38</f>
        <v>610.02</v>
      </c>
      <c r="Y7" s="29">
        <f t="shared" ref="Y7:Y12" si="5">IF(F7=0,"휴무",X7/F7)</f>
        <v>71.76705882352941</v>
      </c>
      <c r="Z7" s="32">
        <f t="shared" ref="Z7:Z13" si="6">IFERROR(X7/T7,0)</f>
        <v>1.087379679144385</v>
      </c>
      <c r="AA7" s="33">
        <f t="shared" ref="AA7:AA12" si="7">IF(F7=0,"휴무",U7/T7*$AA$4)</f>
        <v>35.650623885918002</v>
      </c>
      <c r="AB7" s="34">
        <f t="shared" ref="AB7:AB12" si="8">IF(F7=0,"휴무",X7/T7*$AB$4)</f>
        <v>59.207823529411769</v>
      </c>
      <c r="AC7" s="138">
        <f t="shared" ref="AC7:AC13" si="9">IF(F7=0,"휴무",AA7+AB7)</f>
        <v>94.858447415329778</v>
      </c>
      <c r="AD7" s="35" t="str">
        <f t="shared" ref="AD7:AD13" si="10">IF(F7=0,"휴무",IF(AC7&gt;=100,"좋아요",IF(AC7&gt;=90,"90~99",IF(AC7&gt;=80,"80~89"," 사유?→"))))</f>
        <v>90~99</v>
      </c>
      <c r="AE7" s="36" t="s">
        <v>168</v>
      </c>
      <c r="AF7" s="37">
        <f>AG7-F7</f>
        <v>-8.5</v>
      </c>
      <c r="AG7" s="38">
        <f>AN7</f>
        <v>0</v>
      </c>
      <c r="AH7" s="259" t="s">
        <v>29</v>
      </c>
      <c r="AI7" s="39"/>
      <c r="AJ7" s="40">
        <f>IFERROR(Z7/W7*1000,"")</f>
        <v>1525.05</v>
      </c>
      <c r="AK7" s="39"/>
      <c r="AL7" s="41"/>
      <c r="AM7" s="41"/>
      <c r="AN7" s="41"/>
      <c r="AP7" s="259">
        <f t="shared" ref="AP7:AP12" si="11">AO7-F7</f>
        <v>-8.5</v>
      </c>
      <c r="AQ7" s="42"/>
    </row>
    <row r="8" spans="2:52" s="259" customFormat="1" ht="99.75" customHeight="1" x14ac:dyDescent="0.3">
      <c r="B8" s="421"/>
      <c r="C8" s="24">
        <f>+C7+1</f>
        <v>14</v>
      </c>
      <c r="D8" s="43" t="s">
        <v>30</v>
      </c>
      <c r="E8" s="26" t="s">
        <v>29</v>
      </c>
      <c r="F8" s="25">
        <v>8.5</v>
      </c>
      <c r="G8" s="125">
        <v>355</v>
      </c>
      <c r="H8" s="125">
        <f t="shared" si="0"/>
        <v>99.439775910364148</v>
      </c>
      <c r="I8" s="123" t="s">
        <v>85</v>
      </c>
      <c r="J8" s="123" t="s">
        <v>86</v>
      </c>
      <c r="K8" s="123" t="s">
        <v>73</v>
      </c>
      <c r="L8" s="123" t="s">
        <v>87</v>
      </c>
      <c r="M8" s="123"/>
      <c r="N8" s="129" t="s">
        <v>90</v>
      </c>
      <c r="O8" s="123" t="s">
        <v>74</v>
      </c>
      <c r="P8" s="123" t="s">
        <v>169</v>
      </c>
      <c r="Q8" s="123" t="s">
        <v>91</v>
      </c>
      <c r="R8" s="123" t="s">
        <v>89</v>
      </c>
      <c r="S8" s="125">
        <f t="shared" si="1"/>
        <v>6.5</v>
      </c>
      <c r="T8" s="27">
        <f t="shared" si="2"/>
        <v>561</v>
      </c>
      <c r="U8" s="28">
        <f>+H41</f>
        <v>357</v>
      </c>
      <c r="V8" s="44">
        <f t="shared" si="3"/>
        <v>42</v>
      </c>
      <c r="W8" s="45">
        <f t="shared" si="4"/>
        <v>0.63636363636363635</v>
      </c>
      <c r="X8" s="46">
        <f>+K41</f>
        <v>450.73</v>
      </c>
      <c r="Y8" s="29">
        <f t="shared" si="5"/>
        <v>53.027058823529416</v>
      </c>
      <c r="Z8" s="47">
        <f t="shared" si="6"/>
        <v>0.80344028520499111</v>
      </c>
      <c r="AA8" s="48">
        <f t="shared" si="7"/>
        <v>31.818181818181817</v>
      </c>
      <c r="AB8" s="49">
        <f t="shared" si="8"/>
        <v>43.747323529411766</v>
      </c>
      <c r="AC8" s="139">
        <f t="shared" si="9"/>
        <v>75.565505347593586</v>
      </c>
      <c r="AD8" s="161" t="str">
        <f t="shared" si="10"/>
        <v xml:space="preserve"> 사유?→</v>
      </c>
      <c r="AE8" s="160" t="s">
        <v>170</v>
      </c>
      <c r="AF8" s="37">
        <f>AG8-F8</f>
        <v>-8.5</v>
      </c>
      <c r="AG8" s="38">
        <f>AN8</f>
        <v>0</v>
      </c>
      <c r="AH8" s="259" t="s">
        <v>31</v>
      </c>
      <c r="AI8" s="39"/>
      <c r="AJ8" s="40">
        <f>IFERROR(Z8/W8*1000,"")</f>
        <v>1262.5490196078433</v>
      </c>
      <c r="AK8" s="39"/>
      <c r="AL8" s="41"/>
      <c r="AM8" s="41"/>
      <c r="AN8" s="41"/>
      <c r="AP8" s="259">
        <f t="shared" si="11"/>
        <v>-8.5</v>
      </c>
      <c r="AQ8" s="42"/>
    </row>
    <row r="9" spans="2:52" s="259" customFormat="1" ht="97.5" customHeight="1" x14ac:dyDescent="0.3">
      <c r="B9" s="421"/>
      <c r="C9" s="24">
        <f>+C8+1</f>
        <v>15</v>
      </c>
      <c r="D9" s="43" t="s">
        <v>32</v>
      </c>
      <c r="E9" s="26" t="s">
        <v>29</v>
      </c>
      <c r="F9" s="25">
        <v>8</v>
      </c>
      <c r="G9" s="125">
        <v>323</v>
      </c>
      <c r="H9" s="125">
        <f t="shared" si="0"/>
        <v>99.079754601226995</v>
      </c>
      <c r="I9" s="123" t="s">
        <v>85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169</v>
      </c>
      <c r="Q9" s="123" t="s">
        <v>91</v>
      </c>
      <c r="R9" s="123" t="s">
        <v>89</v>
      </c>
      <c r="S9" s="125">
        <f t="shared" si="1"/>
        <v>6.5</v>
      </c>
      <c r="T9" s="27">
        <f t="shared" si="2"/>
        <v>528</v>
      </c>
      <c r="U9" s="51">
        <f>+H44</f>
        <v>326</v>
      </c>
      <c r="V9" s="44">
        <f t="shared" si="3"/>
        <v>40.75</v>
      </c>
      <c r="W9" s="45">
        <f t="shared" si="4"/>
        <v>0.61742424242424243</v>
      </c>
      <c r="X9" s="46">
        <f>+K44</f>
        <v>402.7</v>
      </c>
      <c r="Y9" s="44">
        <f t="shared" si="5"/>
        <v>50.337499999999999</v>
      </c>
      <c r="Z9" s="47">
        <f t="shared" si="6"/>
        <v>0.76268939393939394</v>
      </c>
      <c r="AA9" s="48">
        <f t="shared" si="7"/>
        <v>30.871212121212121</v>
      </c>
      <c r="AB9" s="49">
        <f t="shared" si="8"/>
        <v>41.528437500000003</v>
      </c>
      <c r="AC9" s="139">
        <f t="shared" si="9"/>
        <v>72.39964962121212</v>
      </c>
      <c r="AD9" s="161" t="str">
        <f t="shared" si="10"/>
        <v xml:space="preserve"> 사유?→</v>
      </c>
      <c r="AE9" s="160" t="s">
        <v>172</v>
      </c>
      <c r="AF9" s="37">
        <f>AG9-F9</f>
        <v>-8</v>
      </c>
      <c r="AG9" s="38">
        <f>AN9</f>
        <v>0</v>
      </c>
      <c r="AH9" s="259" t="s">
        <v>34</v>
      </c>
      <c r="AI9" s="39"/>
      <c r="AJ9" s="40">
        <f>IFERROR(Z9/W9*1000,"")</f>
        <v>1235.2760736196319</v>
      </c>
      <c r="AK9" s="39"/>
      <c r="AL9" s="41"/>
      <c r="AM9" s="41"/>
      <c r="AN9" s="41"/>
      <c r="AP9" s="259">
        <f t="shared" si="11"/>
        <v>-8</v>
      </c>
      <c r="AQ9" s="42"/>
    </row>
    <row r="10" spans="2:52" s="259" customFormat="1" ht="95.25" customHeight="1" x14ac:dyDescent="0.3">
      <c r="B10" s="421"/>
      <c r="C10" s="24">
        <f>+C9+1</f>
        <v>16</v>
      </c>
      <c r="D10" s="43" t="s">
        <v>35</v>
      </c>
      <c r="E10" s="26" t="s">
        <v>28</v>
      </c>
      <c r="F10" s="25">
        <v>11</v>
      </c>
      <c r="G10" s="125">
        <v>517</v>
      </c>
      <c r="H10" s="125">
        <f t="shared" si="0"/>
        <v>97.916666666666657</v>
      </c>
      <c r="I10" s="123" t="s">
        <v>85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74</v>
      </c>
      <c r="P10" s="123" t="s">
        <v>169</v>
      </c>
      <c r="Q10" s="123" t="s">
        <v>91</v>
      </c>
      <c r="R10" s="123" t="s">
        <v>89</v>
      </c>
      <c r="S10" s="125">
        <f t="shared" si="1"/>
        <v>6.5</v>
      </c>
      <c r="T10" s="27">
        <f t="shared" si="2"/>
        <v>726</v>
      </c>
      <c r="U10" s="28">
        <f>+H47</f>
        <v>528</v>
      </c>
      <c r="V10" s="44">
        <f t="shared" si="3"/>
        <v>48</v>
      </c>
      <c r="W10" s="45">
        <f t="shared" si="4"/>
        <v>0.72727272727272729</v>
      </c>
      <c r="X10" s="46">
        <f>+K47</f>
        <v>582.34</v>
      </c>
      <c r="Y10" s="29">
        <f t="shared" si="5"/>
        <v>52.940000000000005</v>
      </c>
      <c r="Z10" s="47">
        <f t="shared" si="6"/>
        <v>0.80212121212121212</v>
      </c>
      <c r="AA10" s="48">
        <f t="shared" si="7"/>
        <v>36.363636363636367</v>
      </c>
      <c r="AB10" s="49">
        <f t="shared" si="8"/>
        <v>43.6755</v>
      </c>
      <c r="AC10" s="139">
        <f t="shared" si="9"/>
        <v>80.039136363636374</v>
      </c>
      <c r="AD10" s="50" t="str">
        <f t="shared" si="10"/>
        <v>80~89</v>
      </c>
      <c r="AE10" s="36"/>
      <c r="AF10" s="37">
        <f>AG10-F10</f>
        <v>-11</v>
      </c>
      <c r="AG10" s="38">
        <f>AN10</f>
        <v>0</v>
      </c>
      <c r="AH10" s="259" t="s">
        <v>36</v>
      </c>
      <c r="AI10" s="39"/>
      <c r="AJ10" s="40">
        <f>IFERROR(Z10/W10*1000,"")</f>
        <v>1102.9166666666665</v>
      </c>
      <c r="AK10" s="39"/>
      <c r="AL10" s="41"/>
      <c r="AM10" s="41"/>
      <c r="AN10" s="41"/>
      <c r="AP10" s="259">
        <f t="shared" si="11"/>
        <v>-11</v>
      </c>
      <c r="AQ10" s="42"/>
    </row>
    <row r="11" spans="2:52" s="259" customFormat="1" ht="102.75" customHeight="1" x14ac:dyDescent="0.3">
      <c r="B11" s="421"/>
      <c r="C11" s="24">
        <f>+C10+1</f>
        <v>17</v>
      </c>
      <c r="D11" s="43" t="s">
        <v>37</v>
      </c>
      <c r="E11" s="26" t="s">
        <v>28</v>
      </c>
      <c r="F11" s="25">
        <v>11</v>
      </c>
      <c r="G11" s="125">
        <v>578</v>
      </c>
      <c r="H11" s="125">
        <f t="shared" si="0"/>
        <v>98.972602739726028</v>
      </c>
      <c r="I11" s="123" t="s">
        <v>85</v>
      </c>
      <c r="J11" s="123" t="s">
        <v>86</v>
      </c>
      <c r="K11" s="123" t="s">
        <v>73</v>
      </c>
      <c r="L11" s="123" t="s">
        <v>87</v>
      </c>
      <c r="M11" s="123"/>
      <c r="N11" s="129" t="s">
        <v>90</v>
      </c>
      <c r="O11" s="123" t="s">
        <v>74</v>
      </c>
      <c r="P11" s="123" t="s">
        <v>169</v>
      </c>
      <c r="Q11" s="123" t="s">
        <v>91</v>
      </c>
      <c r="R11" s="123" t="s">
        <v>89</v>
      </c>
      <c r="S11" s="125">
        <f t="shared" si="1"/>
        <v>6.5</v>
      </c>
      <c r="T11" s="27">
        <f t="shared" si="2"/>
        <v>726</v>
      </c>
      <c r="U11" s="28">
        <f>+H50</f>
        <v>584</v>
      </c>
      <c r="V11" s="44">
        <f t="shared" si="3"/>
        <v>53.090909090909093</v>
      </c>
      <c r="W11" s="45">
        <f t="shared" si="4"/>
        <v>0.80440771349862261</v>
      </c>
      <c r="X11" s="46">
        <f>+K50</f>
        <v>541.99</v>
      </c>
      <c r="Y11" s="44">
        <f t="shared" si="5"/>
        <v>49.271818181818183</v>
      </c>
      <c r="Z11" s="47">
        <f t="shared" si="6"/>
        <v>0.74654269972451792</v>
      </c>
      <c r="AA11" s="48">
        <f t="shared" si="7"/>
        <v>40.22038567493113</v>
      </c>
      <c r="AB11" s="49">
        <f t="shared" si="8"/>
        <v>40.649250000000002</v>
      </c>
      <c r="AC11" s="139">
        <f t="shared" si="9"/>
        <v>80.869635674931132</v>
      </c>
      <c r="AD11" s="50" t="str">
        <f t="shared" si="10"/>
        <v>80~89</v>
      </c>
      <c r="AE11" s="36"/>
      <c r="AF11" s="37">
        <f>AG11-F11</f>
        <v>-11</v>
      </c>
      <c r="AG11" s="38">
        <f>AN11</f>
        <v>0</v>
      </c>
      <c r="AH11" s="259" t="s">
        <v>33</v>
      </c>
      <c r="AI11" s="39"/>
      <c r="AJ11" s="40">
        <f>IFERROR(Z11/W11*1000,"")</f>
        <v>928.06506849315065</v>
      </c>
      <c r="AL11" s="41"/>
      <c r="AM11" s="41"/>
      <c r="AN11" s="41"/>
      <c r="AP11" s="259">
        <f t="shared" si="11"/>
        <v>-11</v>
      </c>
      <c r="AQ11" s="42"/>
    </row>
    <row r="12" spans="2:52" s="259" customFormat="1" ht="102.75" customHeight="1" x14ac:dyDescent="0.3">
      <c r="B12" s="421"/>
      <c r="C12" s="24">
        <f>+C11+1</f>
        <v>18</v>
      </c>
      <c r="D12" s="43" t="s">
        <v>38</v>
      </c>
      <c r="E12" s="26" t="s">
        <v>36</v>
      </c>
      <c r="F12" s="25">
        <v>8</v>
      </c>
      <c r="G12" s="125">
        <v>363</v>
      </c>
      <c r="H12" s="125">
        <f t="shared" si="0"/>
        <v>98.641304347826093</v>
      </c>
      <c r="I12" s="123" t="s">
        <v>85</v>
      </c>
      <c r="J12" s="123" t="s">
        <v>86</v>
      </c>
      <c r="K12" s="123" t="s">
        <v>73</v>
      </c>
      <c r="L12" s="123" t="s">
        <v>87</v>
      </c>
      <c r="M12" s="123"/>
      <c r="N12" s="129" t="s">
        <v>90</v>
      </c>
      <c r="O12" s="123" t="s">
        <v>74</v>
      </c>
      <c r="P12" s="123"/>
      <c r="Q12" s="123" t="s">
        <v>91</v>
      </c>
      <c r="R12" s="123" t="s">
        <v>89</v>
      </c>
      <c r="S12" s="125">
        <f t="shared" si="1"/>
        <v>6</v>
      </c>
      <c r="T12" s="262">
        <f t="shared" si="2"/>
        <v>528</v>
      </c>
      <c r="U12" s="28">
        <f>+H53</f>
        <v>368</v>
      </c>
      <c r="V12" s="29">
        <f t="shared" si="3"/>
        <v>46</v>
      </c>
      <c r="W12" s="30">
        <f t="shared" si="4"/>
        <v>0.69696969696969702</v>
      </c>
      <c r="X12" s="31">
        <f>+K53</f>
        <v>391.34</v>
      </c>
      <c r="Y12" s="44">
        <f t="shared" si="5"/>
        <v>48.917499999999997</v>
      </c>
      <c r="Z12" s="47">
        <f t="shared" si="6"/>
        <v>0.74117424242424235</v>
      </c>
      <c r="AA12" s="48">
        <f t="shared" si="7"/>
        <v>34.848484848484851</v>
      </c>
      <c r="AB12" s="49">
        <f t="shared" si="8"/>
        <v>40.356937500000001</v>
      </c>
      <c r="AC12" s="139">
        <f t="shared" si="9"/>
        <v>75.205422348484859</v>
      </c>
      <c r="AD12" s="161" t="str">
        <f t="shared" si="10"/>
        <v xml:space="preserve"> 사유?→</v>
      </c>
      <c r="AE12" s="160" t="s">
        <v>174</v>
      </c>
      <c r="AF12" s="37"/>
      <c r="AG12" s="38"/>
      <c r="AI12" s="39"/>
      <c r="AJ12" s="40"/>
      <c r="AL12" s="41"/>
      <c r="AM12" s="41"/>
      <c r="AN12" s="41"/>
      <c r="AP12" s="259">
        <f t="shared" si="11"/>
        <v>-8</v>
      </c>
      <c r="AQ12" s="42"/>
    </row>
    <row r="13" spans="2:52" s="259" customFormat="1" ht="36" customHeight="1" x14ac:dyDescent="0.3">
      <c r="B13" s="422" t="s">
        <v>39</v>
      </c>
      <c r="C13" s="423"/>
      <c r="D13" s="423"/>
      <c r="E13" s="424"/>
      <c r="F13" s="43">
        <f>SUM(F7:F12)</f>
        <v>55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 t="shared" si="1"/>
        <v>0</v>
      </c>
      <c r="T13" s="52">
        <f>SUM(T7:T12)</f>
        <v>3630</v>
      </c>
      <c r="U13" s="53">
        <f>SUM(U7:U12)</f>
        <v>2563</v>
      </c>
      <c r="V13" s="54">
        <f>U13/F13</f>
        <v>46.6</v>
      </c>
      <c r="W13" s="45">
        <f t="shared" si="4"/>
        <v>0.70606060606060606</v>
      </c>
      <c r="X13" s="55">
        <f>SUM(X7:X12)</f>
        <v>2979.12</v>
      </c>
      <c r="Y13" s="44">
        <f>X13/F13</f>
        <v>54.165818181818182</v>
      </c>
      <c r="Z13" s="47">
        <f t="shared" si="6"/>
        <v>0.820694214876033</v>
      </c>
      <c r="AA13" s="56">
        <f>U13/T13*AA4</f>
        <v>35.303030303030305</v>
      </c>
      <c r="AB13" s="57">
        <f>X13/T13*AB4</f>
        <v>44.686799999999998</v>
      </c>
      <c r="AC13" s="140">
        <f t="shared" si="9"/>
        <v>79.989830303030303</v>
      </c>
      <c r="AD13" s="58" t="str">
        <f t="shared" si="10"/>
        <v xml:space="preserve"> 사유?→</v>
      </c>
      <c r="AE13" s="43"/>
      <c r="AF13" s="37">
        <f>AG13-F13</f>
        <v>-55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9.1666666666666661</v>
      </c>
      <c r="G14" s="260"/>
      <c r="H14" s="260"/>
      <c r="I14" s="260"/>
      <c r="J14" s="260"/>
      <c r="K14" s="260"/>
      <c r="L14" s="260"/>
      <c r="M14" s="260"/>
      <c r="N14" s="260"/>
      <c r="O14" s="260"/>
      <c r="P14" s="263"/>
      <c r="Q14" s="260"/>
      <c r="R14" s="260"/>
      <c r="S14" s="260"/>
      <c r="T14" s="260"/>
      <c r="U14" s="61">
        <f>V14*F14</f>
        <v>427.16666666666663</v>
      </c>
      <c r="V14" s="62">
        <f>U13/F13</f>
        <v>46.6</v>
      </c>
      <c r="W14" s="63">
        <f>IFERROR(U14/#REF!,0)</f>
        <v>0</v>
      </c>
      <c r="X14" s="64">
        <f>X13/F13*F14</f>
        <v>496.52</v>
      </c>
      <c r="Y14" s="62">
        <f>IF(F14=0,"휴무",X14/F14)</f>
        <v>54.165818181818182</v>
      </c>
      <c r="Z14" s="65">
        <f>IFERROR(X14/#REF!,0)</f>
        <v>0</v>
      </c>
      <c r="AA14" s="60">
        <f>AVERAGE(AA7:AA12)</f>
        <v>34.962087452060715</v>
      </c>
      <c r="AB14" s="60">
        <f>AVERAGE(AB7:AB12)</f>
        <v>44.860878676470584</v>
      </c>
      <c r="AC14" s="141">
        <f>AA14+AB14</f>
        <v>79.822966128531306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259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  <c r="AE19" s="464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75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-55</v>
      </c>
    </row>
    <row r="23" spans="2:43" s="259" customFormat="1" ht="99" customHeight="1" thickTop="1" x14ac:dyDescent="0.3">
      <c r="B23" s="420">
        <f>+B7</f>
        <v>4</v>
      </c>
      <c r="C23" s="24">
        <f t="shared" ref="C23:C28" si="12">+C7</f>
        <v>13</v>
      </c>
      <c r="D23" s="25" t="s">
        <v>7</v>
      </c>
      <c r="E23" s="26" t="s">
        <v>29</v>
      </c>
      <c r="F23" s="25">
        <v>8.5</v>
      </c>
      <c r="G23" s="128">
        <v>254</v>
      </c>
      <c r="H23" s="128">
        <f t="shared" ref="H23:H28" si="13">(G23/U23)*100</f>
        <v>47.654784240150093</v>
      </c>
      <c r="I23" s="123" t="s">
        <v>78</v>
      </c>
      <c r="J23" s="123" t="s">
        <v>88</v>
      </c>
      <c r="K23" s="123" t="s">
        <v>92</v>
      </c>
      <c r="L23" s="123" t="s">
        <v>84</v>
      </c>
      <c r="M23" s="123"/>
      <c r="N23" s="129" t="s">
        <v>90</v>
      </c>
      <c r="O23" s="123" t="s">
        <v>74</v>
      </c>
      <c r="P23" s="123" t="s">
        <v>169</v>
      </c>
      <c r="Q23" s="123" t="s">
        <v>91</v>
      </c>
      <c r="R23" s="123" t="s">
        <v>89</v>
      </c>
      <c r="S23" s="124">
        <f t="shared" ref="S23:S28" si="14">COUNTA(I23:M23)+COUNTA(N23:R23)/2</f>
        <v>6.5</v>
      </c>
      <c r="T23" s="27">
        <f t="shared" ref="T23:T28" si="15">F23*$D$4*$U$4</f>
        <v>561</v>
      </c>
      <c r="U23" s="28">
        <f>+H58</f>
        <v>533</v>
      </c>
      <c r="V23" s="29">
        <f t="shared" ref="V23:V28" si="16">IF(F23=0,"휴무",U23/F23)</f>
        <v>62.705882352941174</v>
      </c>
      <c r="W23" s="30">
        <f t="shared" ref="W23:W29" si="17">IFERROR(U23/T23,0)</f>
        <v>0.95008912655971478</v>
      </c>
      <c r="X23" s="31">
        <f>+K58</f>
        <v>436.37</v>
      </c>
      <c r="Y23" s="29">
        <f t="shared" ref="Y23:Y28" si="18">IF(F23=0,"휴무",X23/F23)</f>
        <v>51.337647058823528</v>
      </c>
      <c r="Z23" s="32">
        <f t="shared" ref="Z23:Z29" si="19">IFERROR(X23/T23,0)</f>
        <v>0.77784313725490195</v>
      </c>
      <c r="AA23" s="33">
        <f t="shared" ref="AA23:AA28" si="20">IF(F23=0,"휴무",U23/T23*$AA$4)</f>
        <v>47.504456327985736</v>
      </c>
      <c r="AB23" s="34">
        <f t="shared" ref="AB23:AB28" si="21">IF(F23=0,"휴무",X23/T23*$AB$4)</f>
        <v>42.353558823529411</v>
      </c>
      <c r="AC23" s="138">
        <f t="shared" ref="AC23:AC29" si="22">IF(F23=0,"휴무",AA23+AB23)</f>
        <v>89.858015151515147</v>
      </c>
      <c r="AD23" s="35" t="str">
        <f t="shared" ref="AD23:AD29" si="23">IF(F23=0,"휴무",IF(AC23&gt;=100,"좋아요",IF(AC23&gt;=90,"90~99",IF(AC23&gt;=80,"80~89"," 사유?→"))))</f>
        <v>80~89</v>
      </c>
      <c r="AE23" s="36" t="s">
        <v>168</v>
      </c>
      <c r="AF23" s="37">
        <f>AG23-F23</f>
        <v>-8.5</v>
      </c>
      <c r="AG23" s="38">
        <f>AN23</f>
        <v>0</v>
      </c>
      <c r="AH23" s="259" t="s">
        <v>29</v>
      </c>
      <c r="AI23" s="39"/>
      <c r="AJ23" s="40">
        <f>IFERROR(Z23/W23*1000,"")</f>
        <v>818.70544090056285</v>
      </c>
      <c r="AK23" s="39"/>
      <c r="AL23" s="41"/>
      <c r="AM23" s="41"/>
      <c r="AN23" s="41"/>
      <c r="AP23" s="259">
        <f t="shared" ref="AP23:AP28" si="24">AO23-F23</f>
        <v>-8.5</v>
      </c>
      <c r="AQ23" s="42"/>
    </row>
    <row r="24" spans="2:43" s="259" customFormat="1" ht="99.75" customHeight="1" x14ac:dyDescent="0.3">
      <c r="B24" s="421"/>
      <c r="C24" s="24">
        <f t="shared" si="12"/>
        <v>14</v>
      </c>
      <c r="D24" s="43" t="s">
        <v>30</v>
      </c>
      <c r="E24" s="26" t="s">
        <v>29</v>
      </c>
      <c r="F24" s="25">
        <v>8.5</v>
      </c>
      <c r="G24" s="125">
        <v>377</v>
      </c>
      <c r="H24" s="125">
        <f t="shared" si="13"/>
        <v>94.25</v>
      </c>
      <c r="I24" s="123" t="s">
        <v>78</v>
      </c>
      <c r="J24" s="123" t="s">
        <v>88</v>
      </c>
      <c r="K24" s="123" t="s">
        <v>92</v>
      </c>
      <c r="L24" s="123" t="s">
        <v>84</v>
      </c>
      <c r="M24" s="123"/>
      <c r="N24" s="129" t="s">
        <v>90</v>
      </c>
      <c r="O24" s="123" t="s">
        <v>74</v>
      </c>
      <c r="P24" s="123" t="s">
        <v>169</v>
      </c>
      <c r="Q24" s="123" t="s">
        <v>91</v>
      </c>
      <c r="R24" s="123" t="s">
        <v>89</v>
      </c>
      <c r="S24" s="124">
        <f t="shared" si="14"/>
        <v>6.5</v>
      </c>
      <c r="T24" s="27">
        <f t="shared" si="15"/>
        <v>561</v>
      </c>
      <c r="U24" s="28">
        <f>+H61</f>
        <v>400</v>
      </c>
      <c r="V24" s="44">
        <f t="shared" si="16"/>
        <v>47.058823529411768</v>
      </c>
      <c r="W24" s="45">
        <f t="shared" si="17"/>
        <v>0.71301247771836007</v>
      </c>
      <c r="X24" s="46">
        <f>+K61</f>
        <v>452.37</v>
      </c>
      <c r="Y24" s="29">
        <f t="shared" si="18"/>
        <v>53.22</v>
      </c>
      <c r="Z24" s="47">
        <f t="shared" si="19"/>
        <v>0.80636363636363639</v>
      </c>
      <c r="AA24" s="48">
        <f t="shared" si="20"/>
        <v>35.650623885918002</v>
      </c>
      <c r="AB24" s="49">
        <f t="shared" si="21"/>
        <v>43.906500000000001</v>
      </c>
      <c r="AC24" s="139">
        <v>79</v>
      </c>
      <c r="AD24" s="195" t="str">
        <f t="shared" si="23"/>
        <v xml:space="preserve"> 사유?→</v>
      </c>
      <c r="AE24" s="160" t="s">
        <v>171</v>
      </c>
      <c r="AF24" s="37">
        <f>AG24-F24</f>
        <v>-8.5</v>
      </c>
      <c r="AG24" s="38">
        <f>AN24</f>
        <v>0</v>
      </c>
      <c r="AH24" s="259" t="s">
        <v>34</v>
      </c>
      <c r="AI24" s="39"/>
      <c r="AJ24" s="40">
        <f>IFERROR(Z24/W24*1000,"")</f>
        <v>1130.925</v>
      </c>
      <c r="AK24" s="39"/>
      <c r="AL24" s="41"/>
      <c r="AM24" s="41"/>
      <c r="AN24" s="41"/>
      <c r="AP24" s="259">
        <f t="shared" si="24"/>
        <v>-8.5</v>
      </c>
      <c r="AQ24" s="42"/>
    </row>
    <row r="25" spans="2:43" s="259" customFormat="1" ht="97.5" customHeight="1" x14ac:dyDescent="0.3">
      <c r="B25" s="421"/>
      <c r="C25" s="24">
        <f t="shared" si="12"/>
        <v>15</v>
      </c>
      <c r="D25" s="43" t="s">
        <v>32</v>
      </c>
      <c r="E25" s="26" t="s">
        <v>29</v>
      </c>
      <c r="F25" s="25">
        <v>8</v>
      </c>
      <c r="G25" s="124">
        <v>426</v>
      </c>
      <c r="H25" s="124">
        <f t="shared" si="13"/>
        <v>89.684210526315795</v>
      </c>
      <c r="I25" s="123" t="s">
        <v>78</v>
      </c>
      <c r="J25" s="123" t="s">
        <v>88</v>
      </c>
      <c r="K25" s="123" t="s">
        <v>92</v>
      </c>
      <c r="L25" s="123" t="s">
        <v>84</v>
      </c>
      <c r="M25" s="123"/>
      <c r="N25" s="129" t="s">
        <v>90</v>
      </c>
      <c r="O25" s="123" t="s">
        <v>74</v>
      </c>
      <c r="P25" s="123" t="s">
        <v>169</v>
      </c>
      <c r="Q25" s="123" t="s">
        <v>91</v>
      </c>
      <c r="R25" s="123" t="s">
        <v>89</v>
      </c>
      <c r="S25" s="124">
        <f t="shared" si="14"/>
        <v>6.5</v>
      </c>
      <c r="T25" s="27">
        <f t="shared" si="15"/>
        <v>528</v>
      </c>
      <c r="U25" s="28">
        <f>+H64</f>
        <v>475</v>
      </c>
      <c r="V25" s="44">
        <f t="shared" si="16"/>
        <v>59.375</v>
      </c>
      <c r="W25" s="45">
        <f t="shared" si="17"/>
        <v>0.89962121212121215</v>
      </c>
      <c r="X25" s="46">
        <f>+K64</f>
        <v>333.41</v>
      </c>
      <c r="Y25" s="29">
        <f t="shared" si="18"/>
        <v>41.676250000000003</v>
      </c>
      <c r="Z25" s="47">
        <f t="shared" si="19"/>
        <v>0.63145833333333334</v>
      </c>
      <c r="AA25" s="48">
        <f t="shared" si="20"/>
        <v>44.981060606060609</v>
      </c>
      <c r="AB25" s="49">
        <f t="shared" si="21"/>
        <v>34.382906250000005</v>
      </c>
      <c r="AC25" s="139">
        <f t="shared" si="22"/>
        <v>79.363966856060614</v>
      </c>
      <c r="AD25" s="161" t="str">
        <f t="shared" si="23"/>
        <v xml:space="preserve"> 사유?→</v>
      </c>
      <c r="AE25" s="160" t="s">
        <v>173</v>
      </c>
      <c r="AF25" s="37">
        <f>AG25-F25</f>
        <v>-8</v>
      </c>
      <c r="AG25" s="38">
        <f>AN25</f>
        <v>0</v>
      </c>
      <c r="AH25" s="259" t="s">
        <v>36</v>
      </c>
      <c r="AI25" s="39"/>
      <c r="AJ25" s="40">
        <f>IFERROR(Z25/W25*1000,"")</f>
        <v>701.91578947368419</v>
      </c>
      <c r="AK25" s="39"/>
      <c r="AL25" s="41"/>
      <c r="AM25" s="41"/>
      <c r="AN25" s="41"/>
      <c r="AP25" s="259">
        <f t="shared" si="24"/>
        <v>-8</v>
      </c>
      <c r="AQ25" s="42"/>
    </row>
    <row r="26" spans="2:43" s="259" customFormat="1" ht="115.5" customHeight="1" x14ac:dyDescent="0.3">
      <c r="B26" s="421"/>
      <c r="C26" s="24">
        <f t="shared" si="12"/>
        <v>16</v>
      </c>
      <c r="D26" s="43" t="s">
        <v>35</v>
      </c>
      <c r="E26" s="26" t="s">
        <v>28</v>
      </c>
      <c r="F26" s="25">
        <v>11</v>
      </c>
      <c r="G26" s="124">
        <v>410</v>
      </c>
      <c r="H26" s="124">
        <f t="shared" si="13"/>
        <v>69.023569023569024</v>
      </c>
      <c r="I26" s="123" t="s">
        <v>78</v>
      </c>
      <c r="J26" s="123" t="s">
        <v>88</v>
      </c>
      <c r="K26" s="123" t="s">
        <v>92</v>
      </c>
      <c r="L26" s="123" t="s">
        <v>84</v>
      </c>
      <c r="M26" s="123"/>
      <c r="N26" s="129" t="s">
        <v>90</v>
      </c>
      <c r="O26" s="123" t="s">
        <v>74</v>
      </c>
      <c r="P26" s="123" t="s">
        <v>169</v>
      </c>
      <c r="Q26" s="123" t="s">
        <v>91</v>
      </c>
      <c r="R26" s="123" t="s">
        <v>89</v>
      </c>
      <c r="S26" s="124">
        <f t="shared" si="14"/>
        <v>6.5</v>
      </c>
      <c r="T26" s="27">
        <f t="shared" si="15"/>
        <v>726</v>
      </c>
      <c r="U26" s="28">
        <f>+H67</f>
        <v>594</v>
      </c>
      <c r="V26" s="44">
        <f t="shared" si="16"/>
        <v>54</v>
      </c>
      <c r="W26" s="45">
        <f t="shared" si="17"/>
        <v>0.81818181818181823</v>
      </c>
      <c r="X26" s="46">
        <f>+K67</f>
        <v>679.04</v>
      </c>
      <c r="Y26" s="44">
        <f t="shared" si="18"/>
        <v>61.730909090909087</v>
      </c>
      <c r="Z26" s="47">
        <f t="shared" si="19"/>
        <v>0.93531680440771348</v>
      </c>
      <c r="AA26" s="48">
        <f t="shared" si="20"/>
        <v>40.909090909090914</v>
      </c>
      <c r="AB26" s="49">
        <f t="shared" si="21"/>
        <v>50.928000000000004</v>
      </c>
      <c r="AC26" s="139">
        <f t="shared" si="22"/>
        <v>91.837090909090918</v>
      </c>
      <c r="AD26" s="50" t="str">
        <f t="shared" si="23"/>
        <v>90~99</v>
      </c>
      <c r="AE26" s="36"/>
      <c r="AF26" s="37">
        <f>AG26-F26</f>
        <v>-11</v>
      </c>
      <c r="AG26" s="38">
        <f>AN26</f>
        <v>0</v>
      </c>
      <c r="AH26" s="259" t="s">
        <v>33</v>
      </c>
      <c r="AI26" s="39"/>
      <c r="AJ26" s="40">
        <f>IFERROR(Z26/W26*1000,"")</f>
        <v>1143.1649831649831</v>
      </c>
      <c r="AK26" s="39"/>
      <c r="AL26" s="41"/>
      <c r="AM26" s="41"/>
      <c r="AN26" s="41"/>
      <c r="AP26" s="259">
        <f t="shared" si="24"/>
        <v>-11</v>
      </c>
      <c r="AQ26" s="42"/>
    </row>
    <row r="27" spans="2:43" s="259" customFormat="1" ht="104.25" customHeight="1" x14ac:dyDescent="0.3">
      <c r="B27" s="421"/>
      <c r="C27" s="24">
        <f t="shared" si="12"/>
        <v>17</v>
      </c>
      <c r="D27" s="43" t="s">
        <v>37</v>
      </c>
      <c r="E27" s="26" t="s">
        <v>28</v>
      </c>
      <c r="F27" s="25">
        <v>11</v>
      </c>
      <c r="G27" s="125">
        <v>410</v>
      </c>
      <c r="H27" s="130">
        <f t="shared" si="13"/>
        <v>49.878345498783453</v>
      </c>
      <c r="I27" s="123" t="s">
        <v>78</v>
      </c>
      <c r="J27" s="123" t="s">
        <v>88</v>
      </c>
      <c r="K27" s="123" t="s">
        <v>92</v>
      </c>
      <c r="L27" s="123" t="s">
        <v>84</v>
      </c>
      <c r="M27" s="123"/>
      <c r="N27" s="129" t="s">
        <v>90</v>
      </c>
      <c r="O27" s="123" t="s">
        <v>74</v>
      </c>
      <c r="P27" s="123" t="s">
        <v>169</v>
      </c>
      <c r="Q27" s="123" t="s">
        <v>91</v>
      </c>
      <c r="R27" s="123" t="s">
        <v>89</v>
      </c>
      <c r="S27" s="125">
        <f t="shared" si="14"/>
        <v>6.5</v>
      </c>
      <c r="T27" s="27">
        <f t="shared" si="15"/>
        <v>726</v>
      </c>
      <c r="U27" s="28">
        <f>+H70</f>
        <v>822</v>
      </c>
      <c r="V27" s="44">
        <f t="shared" si="16"/>
        <v>74.727272727272734</v>
      </c>
      <c r="W27" s="45">
        <f t="shared" si="17"/>
        <v>1.1322314049586777</v>
      </c>
      <c r="X27" s="46">
        <f>+K70</f>
        <v>504.8</v>
      </c>
      <c r="Y27" s="44">
        <f t="shared" si="18"/>
        <v>45.890909090909091</v>
      </c>
      <c r="Z27" s="47">
        <f t="shared" si="19"/>
        <v>0.69531680440771348</v>
      </c>
      <c r="AA27" s="48">
        <f t="shared" si="20"/>
        <v>56.611570247933884</v>
      </c>
      <c r="AB27" s="49">
        <f t="shared" si="21"/>
        <v>37.86</v>
      </c>
      <c r="AC27" s="139">
        <f t="shared" si="22"/>
        <v>94.471570247933883</v>
      </c>
      <c r="AD27" s="50" t="str">
        <f t="shared" si="23"/>
        <v>90~99</v>
      </c>
      <c r="AE27" s="36"/>
      <c r="AF27" s="37">
        <f>AG27-F27</f>
        <v>-11</v>
      </c>
      <c r="AG27" s="38">
        <f>AN27</f>
        <v>0</v>
      </c>
      <c r="AH27" s="259" t="s">
        <v>46</v>
      </c>
      <c r="AI27" s="39"/>
      <c r="AJ27" s="40">
        <f>IFERROR(Z27/W27*1000,"")</f>
        <v>614.11192214111918</v>
      </c>
      <c r="AL27" s="41"/>
      <c r="AM27" s="41"/>
      <c r="AN27" s="41"/>
      <c r="AP27" s="259">
        <f t="shared" si="24"/>
        <v>-11</v>
      </c>
      <c r="AQ27" s="42"/>
    </row>
    <row r="28" spans="2:43" s="259" customFormat="1" ht="104.25" customHeight="1" x14ac:dyDescent="0.3">
      <c r="B28" s="421"/>
      <c r="C28" s="24">
        <f t="shared" si="12"/>
        <v>18</v>
      </c>
      <c r="D28" s="43" t="s">
        <v>47</v>
      </c>
      <c r="E28" s="26" t="s">
        <v>36</v>
      </c>
      <c r="F28" s="25">
        <v>8</v>
      </c>
      <c r="G28" s="124">
        <v>352</v>
      </c>
      <c r="H28" s="124">
        <f t="shared" si="13"/>
        <v>70.399999999999991</v>
      </c>
      <c r="I28" s="123" t="s">
        <v>78</v>
      </c>
      <c r="J28" s="123" t="s">
        <v>88</v>
      </c>
      <c r="K28" s="123" t="s">
        <v>92</v>
      </c>
      <c r="L28" s="123" t="s">
        <v>84</v>
      </c>
      <c r="M28" s="123"/>
      <c r="N28" s="129" t="s">
        <v>90</v>
      </c>
      <c r="O28" s="123" t="s">
        <v>74</v>
      </c>
      <c r="P28" s="123"/>
      <c r="Q28" s="123" t="s">
        <v>91</v>
      </c>
      <c r="R28" s="123" t="s">
        <v>89</v>
      </c>
      <c r="S28" s="124">
        <f t="shared" si="14"/>
        <v>6</v>
      </c>
      <c r="T28" s="262">
        <f t="shared" si="15"/>
        <v>528</v>
      </c>
      <c r="U28" s="28">
        <f>+H73</f>
        <v>500</v>
      </c>
      <c r="V28" s="29">
        <f t="shared" si="16"/>
        <v>62.5</v>
      </c>
      <c r="W28" s="30">
        <f t="shared" si="17"/>
        <v>0.94696969696969702</v>
      </c>
      <c r="X28" s="31">
        <f>+K73</f>
        <v>293.62</v>
      </c>
      <c r="Y28" s="44">
        <f t="shared" si="18"/>
        <v>36.702500000000001</v>
      </c>
      <c r="Z28" s="47">
        <f t="shared" si="19"/>
        <v>0.5560984848484849</v>
      </c>
      <c r="AA28" s="48">
        <f t="shared" si="20"/>
        <v>47.348484848484851</v>
      </c>
      <c r="AB28" s="49">
        <f t="shared" si="21"/>
        <v>30.279562500000004</v>
      </c>
      <c r="AC28" s="139">
        <f t="shared" si="22"/>
        <v>77.628047348484856</v>
      </c>
      <c r="AD28" s="161" t="str">
        <f t="shared" si="23"/>
        <v xml:space="preserve"> 사유?→</v>
      </c>
      <c r="AE28" s="160" t="s">
        <v>175</v>
      </c>
      <c r="AF28" s="37"/>
      <c r="AG28" s="38"/>
      <c r="AI28" s="39"/>
      <c r="AJ28" s="40"/>
      <c r="AL28" s="41"/>
      <c r="AM28" s="41"/>
      <c r="AN28" s="41"/>
      <c r="AP28" s="259">
        <f t="shared" si="24"/>
        <v>-8</v>
      </c>
      <c r="AQ28" s="42"/>
    </row>
    <row r="29" spans="2:43" s="259" customFormat="1" ht="36" customHeight="1" x14ac:dyDescent="0.3">
      <c r="B29" s="422" t="s">
        <v>39</v>
      </c>
      <c r="C29" s="423"/>
      <c r="D29" s="423"/>
      <c r="E29" s="424"/>
      <c r="F29" s="43">
        <f>SUM(F23:F28)</f>
        <v>55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3630</v>
      </c>
      <c r="U29" s="53">
        <f>SUM(U23:U28)</f>
        <v>3324</v>
      </c>
      <c r="V29" s="54">
        <f>U29/F29</f>
        <v>60.436363636363637</v>
      </c>
      <c r="W29" s="45">
        <f t="shared" si="17"/>
        <v>0.91570247933884297</v>
      </c>
      <c r="X29" s="55">
        <f>SUM(X23:X28)</f>
        <v>2699.61</v>
      </c>
      <c r="Y29" s="44">
        <f>X29/F29</f>
        <v>49.083818181818181</v>
      </c>
      <c r="Z29" s="47">
        <f t="shared" si="19"/>
        <v>0.74369421487603304</v>
      </c>
      <c r="AA29" s="56">
        <f>U29/T29*AA20</f>
        <v>45.785123966942152</v>
      </c>
      <c r="AB29" s="57">
        <f>X29/T29*AB20</f>
        <v>40.494150000000005</v>
      </c>
      <c r="AC29" s="140">
        <f t="shared" si="22"/>
        <v>86.279273966942156</v>
      </c>
      <c r="AD29" s="58" t="str">
        <f t="shared" si="23"/>
        <v>80~89</v>
      </c>
      <c r="AE29" s="43"/>
      <c r="AF29" s="37">
        <f>AG29-F29</f>
        <v>-55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9.1666666666666661</v>
      </c>
      <c r="G30" s="260"/>
      <c r="H30" s="260"/>
      <c r="I30" s="260"/>
      <c r="J30" s="260"/>
      <c r="K30" s="260"/>
      <c r="L30" s="260"/>
      <c r="M30" s="260"/>
      <c r="N30" s="260"/>
      <c r="O30" s="260"/>
      <c r="P30" s="263"/>
      <c r="Q30" s="260"/>
      <c r="R30" s="260"/>
      <c r="S30" s="260"/>
      <c r="T30" s="260"/>
      <c r="U30" s="61">
        <f>V30*F30</f>
        <v>554</v>
      </c>
      <c r="V30" s="62">
        <f>U29/F29</f>
        <v>60.436363636363637</v>
      </c>
      <c r="W30" s="63">
        <f>IFERROR(U30/#REF!,0)</f>
        <v>0</v>
      </c>
      <c r="X30" s="64">
        <f>X29/F29*F30</f>
        <v>449.93499999999995</v>
      </c>
      <c r="Y30" s="62">
        <f>IF(F30=0,"휴무",X30/F30)</f>
        <v>49.083818181818181</v>
      </c>
      <c r="Z30" s="65">
        <f>IFERROR(X30/#REF!,0)</f>
        <v>0</v>
      </c>
      <c r="AA30" s="60">
        <f>AVERAGE(AA23:AA28)</f>
        <v>45.500881137579</v>
      </c>
      <c r="AB30" s="60">
        <f>AVERAGE(AB23:AB28)</f>
        <v>39.951754595588234</v>
      </c>
      <c r="AC30" s="141">
        <f>AA30+AB30</f>
        <v>85.452635733167227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259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13</v>
      </c>
      <c r="F36" s="455" t="s">
        <v>7</v>
      </c>
      <c r="G36" s="82" t="s">
        <v>48</v>
      </c>
      <c r="H36" s="83">
        <v>400</v>
      </c>
      <c r="I36" s="84"/>
      <c r="J36" s="85"/>
      <c r="K36" s="86">
        <v>610.02</v>
      </c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400</v>
      </c>
      <c r="I38" s="88"/>
      <c r="J38" s="89"/>
      <c r="K38" s="90">
        <f>+K36+K37*2</f>
        <v>610.02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14</v>
      </c>
      <c r="F39" s="455" t="s">
        <v>52</v>
      </c>
      <c r="G39" s="82" t="s">
        <v>48</v>
      </c>
      <c r="H39" s="83">
        <v>357</v>
      </c>
      <c r="I39" s="84"/>
      <c r="J39" s="85"/>
      <c r="K39" s="86">
        <v>450.73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357</v>
      </c>
      <c r="I41" s="88"/>
      <c r="J41" s="89"/>
      <c r="K41" s="90">
        <f>+K39+K40*2</f>
        <v>450.73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15</v>
      </c>
      <c r="F42" s="455" t="s">
        <v>53</v>
      </c>
      <c r="G42" s="82" t="s">
        <v>48</v>
      </c>
      <c r="H42" s="83">
        <v>326</v>
      </c>
      <c r="I42" s="84"/>
      <c r="J42" s="85"/>
      <c r="K42" s="86">
        <v>402.7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326</v>
      </c>
      <c r="I44" s="88"/>
      <c r="J44" s="89"/>
      <c r="K44" s="90">
        <f>+K42+K43*2</f>
        <v>402.7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16</v>
      </c>
      <c r="F45" s="455" t="s">
        <v>55</v>
      </c>
      <c r="G45" s="82" t="s">
        <v>48</v>
      </c>
      <c r="H45" s="83">
        <v>528</v>
      </c>
      <c r="I45" s="84"/>
      <c r="J45" s="85"/>
      <c r="K45" s="86">
        <v>582.34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528</v>
      </c>
      <c r="I47" s="88"/>
      <c r="J47" s="89"/>
      <c r="K47" s="90">
        <f>+K45+K46*2</f>
        <v>582.34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17</v>
      </c>
      <c r="F48" s="455" t="s">
        <v>56</v>
      </c>
      <c r="G48" s="82" t="s">
        <v>48</v>
      </c>
      <c r="H48" s="83">
        <v>584</v>
      </c>
      <c r="I48" s="84"/>
      <c r="J48" s="85"/>
      <c r="K48" s="86">
        <v>541.99</v>
      </c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584</v>
      </c>
      <c r="I50" s="88"/>
      <c r="J50" s="89"/>
      <c r="K50" s="90">
        <f>+K48+K49*2</f>
        <v>541.99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18</v>
      </c>
      <c r="F51" s="455" t="s">
        <v>38</v>
      </c>
      <c r="G51" s="82" t="s">
        <v>48</v>
      </c>
      <c r="H51" s="83">
        <v>368</v>
      </c>
      <c r="I51" s="84"/>
      <c r="J51" s="85"/>
      <c r="K51" s="86">
        <v>391.34</v>
      </c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368</v>
      </c>
      <c r="I53" s="88"/>
      <c r="J53" s="89"/>
      <c r="K53" s="90">
        <f>+K51+K52*2</f>
        <v>391.34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13</v>
      </c>
      <c r="F56" s="455" t="s">
        <v>7</v>
      </c>
      <c r="G56" s="82" t="s">
        <v>48</v>
      </c>
      <c r="H56" s="83">
        <v>433</v>
      </c>
      <c r="I56" s="84"/>
      <c r="J56" s="85"/>
      <c r="K56" s="86">
        <f>353.37-83</f>
        <v>270.37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>
        <v>50</v>
      </c>
      <c r="I57" s="84"/>
      <c r="J57" s="85"/>
      <c r="K57" s="86">
        <v>83</v>
      </c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533</v>
      </c>
      <c r="I58" s="88"/>
      <c r="J58" s="89"/>
      <c r="K58" s="90">
        <f>+K56+K57*2</f>
        <v>436.37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14</v>
      </c>
      <c r="F59" s="455" t="s">
        <v>52</v>
      </c>
      <c r="G59" s="82" t="s">
        <v>48</v>
      </c>
      <c r="H59" s="83">
        <f>378-22</f>
        <v>356</v>
      </c>
      <c r="I59" s="84"/>
      <c r="J59" s="85"/>
      <c r="K59" s="86">
        <f>393.98-58.39</f>
        <v>335.59000000000003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>
        <v>22</v>
      </c>
      <c r="I60" s="84"/>
      <c r="J60" s="85"/>
      <c r="K60" s="86">
        <v>58.39</v>
      </c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400</v>
      </c>
      <c r="I61" s="88"/>
      <c r="J61" s="89"/>
      <c r="K61" s="90">
        <f>+K59+K60*2</f>
        <v>452.37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15</v>
      </c>
      <c r="F62" s="455" t="s">
        <v>53</v>
      </c>
      <c r="G62" s="82" t="s">
        <v>48</v>
      </c>
      <c r="H62" s="83">
        <f>426-49</f>
        <v>377</v>
      </c>
      <c r="I62" s="84"/>
      <c r="J62" s="85"/>
      <c r="K62" s="86">
        <f>282.43-50.98</f>
        <v>231.45000000000002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>
        <v>49</v>
      </c>
      <c r="I63" s="84"/>
      <c r="J63" s="85"/>
      <c r="K63" s="86">
        <v>50.98</v>
      </c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475</v>
      </c>
      <c r="I64" s="88"/>
      <c r="J64" s="89"/>
      <c r="K64" s="90">
        <f>+K62+K63*2</f>
        <v>333.41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16</v>
      </c>
      <c r="F65" s="455" t="s">
        <v>55</v>
      </c>
      <c r="G65" s="82" t="s">
        <v>48</v>
      </c>
      <c r="H65" s="83">
        <f>414-180</f>
        <v>234</v>
      </c>
      <c r="I65" s="84"/>
      <c r="J65" s="85"/>
      <c r="K65" s="86">
        <f>461.68-217.36</f>
        <v>244.32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>
        <v>180</v>
      </c>
      <c r="I66" s="84"/>
      <c r="J66" s="85"/>
      <c r="K66" s="86">
        <v>217.36</v>
      </c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594</v>
      </c>
      <c r="I67" s="88"/>
      <c r="J67" s="89"/>
      <c r="K67" s="90">
        <f>+K65+K66*2</f>
        <v>679.04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17</v>
      </c>
      <c r="F68" s="455" t="s">
        <v>56</v>
      </c>
      <c r="G68" s="82" t="s">
        <v>48</v>
      </c>
      <c r="H68" s="83"/>
      <c r="I68" s="84"/>
      <c r="J68" s="85"/>
      <c r="K68" s="86"/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>
        <v>411</v>
      </c>
      <c r="I69" s="84"/>
      <c r="J69" s="85"/>
      <c r="K69" s="86">
        <v>252.4</v>
      </c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822</v>
      </c>
      <c r="I70" s="88"/>
      <c r="J70" s="89"/>
      <c r="K70" s="90">
        <f>+K68+K69*2</f>
        <v>504.8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18</v>
      </c>
      <c r="F71" s="455" t="s">
        <v>38</v>
      </c>
      <c r="G71" s="82" t="s">
        <v>48</v>
      </c>
      <c r="H71" s="83">
        <f>329-171</f>
        <v>158</v>
      </c>
      <c r="I71" s="84"/>
      <c r="J71" s="85"/>
      <c r="K71" s="86">
        <f>238.45-55.17</f>
        <v>183.27999999999997</v>
      </c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>
        <v>171</v>
      </c>
      <c r="I72" s="84"/>
      <c r="J72" s="85"/>
      <c r="K72" s="86">
        <v>55.17</v>
      </c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500</v>
      </c>
      <c r="I73" s="88"/>
      <c r="J73" s="89"/>
      <c r="K73" s="90">
        <f>+K71+K72*2</f>
        <v>293.62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261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5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6">IF(F80=0,"휴무",AA80+AB80)</f>
        <v>#REF!</v>
      </c>
      <c r="AD80" s="103" t="e">
        <f t="shared" ref="AD80:AD85" si="27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259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259"/>
      <c r="AP80" s="259">
        <f>AO80-F80</f>
        <v>-10</v>
      </c>
    </row>
    <row r="81" spans="2:42" ht="98.25" customHeight="1" x14ac:dyDescent="0.3">
      <c r="B81" s="459"/>
      <c r="C81" s="92">
        <v>20</v>
      </c>
      <c r="D81" s="255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5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6"/>
        <v>#REF!</v>
      </c>
      <c r="AD81" s="108" t="e">
        <f t="shared" si="27"/>
        <v>#REF!</v>
      </c>
      <c r="AE81" s="109"/>
      <c r="AF81" s="37">
        <f>AG81-F81</f>
        <v>-10</v>
      </c>
      <c r="AG81" s="38">
        <f>AN81</f>
        <v>0</v>
      </c>
      <c r="AH81" s="259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259"/>
      <c r="AP81" s="259">
        <f>AO81-F81</f>
        <v>-10</v>
      </c>
    </row>
    <row r="82" spans="2:42" ht="98.25" customHeight="1" x14ac:dyDescent="0.3">
      <c r="B82" s="459"/>
      <c r="C82" s="92">
        <v>21</v>
      </c>
      <c r="D82" s="255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5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6"/>
        <v>#REF!</v>
      </c>
      <c r="AD82" s="108" t="e">
        <f t="shared" si="27"/>
        <v>#REF!</v>
      </c>
      <c r="AE82" s="109"/>
      <c r="AF82" s="37">
        <f>AG82-F82</f>
        <v>-10</v>
      </c>
      <c r="AG82" s="38">
        <f>AN82</f>
        <v>0</v>
      </c>
      <c r="AH82" s="259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259"/>
      <c r="AP82" s="259">
        <f>AO82-F82</f>
        <v>-10</v>
      </c>
    </row>
    <row r="83" spans="2:42" ht="98.25" customHeight="1" x14ac:dyDescent="0.3">
      <c r="B83" s="459"/>
      <c r="C83" s="92">
        <v>22</v>
      </c>
      <c r="D83" s="255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5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6"/>
        <v>#REF!</v>
      </c>
      <c r="AD83" s="110" t="e">
        <f t="shared" si="27"/>
        <v>#REF!</v>
      </c>
      <c r="AE83" s="104"/>
      <c r="AF83" s="37">
        <f>AG83-F83</f>
        <v>-10</v>
      </c>
      <c r="AG83" s="38">
        <f>AN83</f>
        <v>0</v>
      </c>
      <c r="AH83" s="259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259"/>
      <c r="AP83" s="259">
        <f>AO83-F83</f>
        <v>-10</v>
      </c>
    </row>
    <row r="84" spans="2:42" ht="98.25" customHeight="1" x14ac:dyDescent="0.3">
      <c r="B84" s="459"/>
      <c r="C84" s="92">
        <v>23</v>
      </c>
      <c r="D84" s="255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5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6"/>
        <v>#REF!</v>
      </c>
      <c r="AD84" s="110" t="e">
        <f t="shared" si="27"/>
        <v>#REF!</v>
      </c>
      <c r="AE84" s="104"/>
      <c r="AF84" s="37">
        <f>AG84-F84</f>
        <v>-10</v>
      </c>
      <c r="AG84" s="38">
        <f>AN84</f>
        <v>0</v>
      </c>
      <c r="AH84" s="259" t="s">
        <v>46</v>
      </c>
      <c r="AI84" s="39"/>
      <c r="AJ84" s="40" t="str">
        <f>IFERROR(Z84/W84*1000,"")</f>
        <v/>
      </c>
      <c r="AK84" s="259"/>
      <c r="AL84" s="41"/>
      <c r="AM84" s="41"/>
      <c r="AN84" s="41"/>
      <c r="AO84" s="259"/>
      <c r="AP84" s="259">
        <f>AO84-F84</f>
        <v>-10</v>
      </c>
    </row>
    <row r="85" spans="2:42" ht="98.25" customHeight="1" x14ac:dyDescent="0.3">
      <c r="B85" s="459"/>
      <c r="C85" s="92">
        <v>25</v>
      </c>
      <c r="D85" s="255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260"/>
      <c r="H85" s="260"/>
      <c r="I85" s="260"/>
      <c r="J85" s="260"/>
      <c r="K85" s="260"/>
      <c r="L85" s="260"/>
      <c r="M85" s="260"/>
      <c r="N85" s="260"/>
      <c r="O85" s="260"/>
      <c r="P85" s="263"/>
      <c r="Q85" s="260"/>
      <c r="R85" s="260"/>
      <c r="S85" s="260"/>
      <c r="T85" s="260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5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6"/>
        <v>휴무</v>
      </c>
      <c r="AD85" s="110" t="str">
        <f t="shared" si="27"/>
        <v>휴무</v>
      </c>
      <c r="AE85" s="104"/>
      <c r="AF85" s="37"/>
      <c r="AG85" s="38"/>
      <c r="AH85" s="259"/>
      <c r="AI85" s="39"/>
      <c r="AJ85" s="40"/>
      <c r="AK85" s="259"/>
      <c r="AL85" s="41"/>
      <c r="AM85" s="41"/>
      <c r="AN85" s="41"/>
      <c r="AO85" s="259"/>
      <c r="AP85" s="259"/>
    </row>
    <row r="86" spans="2:42" ht="36" customHeight="1" x14ac:dyDescent="0.3">
      <c r="B86" s="460" t="s">
        <v>39</v>
      </c>
      <c r="C86" s="461"/>
      <c r="D86" s="461"/>
      <c r="E86" s="462"/>
      <c r="F86" s="255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255"/>
      <c r="AB86" s="256"/>
      <c r="AC86" s="114"/>
      <c r="AD86" s="115"/>
      <c r="AE86" s="257"/>
      <c r="AF86" s="37">
        <f>AG86-F86</f>
        <v>-50</v>
      </c>
      <c r="AG86" s="38">
        <f>SUM(AG80:AG85)</f>
        <v>0</v>
      </c>
      <c r="AH86" s="259"/>
      <c r="AI86" s="259"/>
      <c r="AJ86" s="40"/>
      <c r="AK86" s="259"/>
      <c r="AL86" s="59"/>
      <c r="AM86" s="59"/>
      <c r="AN86" s="59"/>
      <c r="AO86" s="259"/>
      <c r="AP86" s="259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260"/>
      <c r="H87" s="260"/>
      <c r="I87" s="260"/>
      <c r="J87" s="260"/>
      <c r="K87" s="260"/>
      <c r="L87" s="260"/>
      <c r="M87" s="260"/>
      <c r="N87" s="260"/>
      <c r="O87" s="260"/>
      <c r="P87" s="263"/>
      <c r="Q87" s="260"/>
      <c r="R87" s="260"/>
      <c r="S87" s="260"/>
      <c r="T87" s="260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259"/>
      <c r="AE88" s="259"/>
      <c r="AF88" s="259"/>
      <c r="AG88" s="259"/>
      <c r="AH88" s="259"/>
      <c r="AI88" s="259"/>
      <c r="AJ88" s="259"/>
      <c r="AK88" s="259"/>
      <c r="AL88" s="59"/>
      <c r="AM88" s="59"/>
      <c r="AN88" s="59"/>
      <c r="AO88" s="259"/>
      <c r="AP88" s="259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255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255" t="s">
        <v>63</v>
      </c>
      <c r="D117" s="466" t="s">
        <v>12</v>
      </c>
      <c r="E117" s="466"/>
      <c r="F117" s="255" t="s">
        <v>64</v>
      </c>
      <c r="G117" s="255"/>
      <c r="H117" s="255"/>
      <c r="I117" s="255"/>
      <c r="J117" s="255"/>
      <c r="K117" s="255"/>
      <c r="L117" s="255"/>
      <c r="M117" s="255"/>
      <c r="N117" s="255"/>
      <c r="O117" s="255"/>
      <c r="P117" s="264"/>
      <c r="Q117" s="255"/>
      <c r="R117" s="255"/>
      <c r="S117" s="255"/>
      <c r="T117" s="255"/>
      <c r="U117" s="255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64"/>
      <c r="Q118" s="255"/>
      <c r="R118" s="255"/>
      <c r="S118" s="255"/>
      <c r="T118" s="255"/>
      <c r="U118" s="255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64"/>
      <c r="Q119" s="255"/>
      <c r="R119" s="255"/>
      <c r="S119" s="255"/>
      <c r="T119" s="255"/>
      <c r="U119" s="255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64"/>
      <c r="Q120" s="255"/>
      <c r="R120" s="255"/>
      <c r="S120" s="255"/>
      <c r="T120" s="255"/>
      <c r="U120" s="255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64"/>
      <c r="Q121" s="255"/>
      <c r="R121" s="255"/>
      <c r="S121" s="255"/>
      <c r="T121" s="255"/>
      <c r="U121" s="255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255"/>
      <c r="G122" s="255"/>
      <c r="H122" s="255"/>
      <c r="I122" s="255"/>
      <c r="J122" s="255"/>
      <c r="K122" s="255"/>
      <c r="L122" s="255"/>
      <c r="M122" s="255"/>
      <c r="N122" s="255"/>
      <c r="O122" s="255"/>
      <c r="P122" s="264"/>
      <c r="Q122" s="255"/>
      <c r="R122" s="255"/>
      <c r="S122" s="255"/>
      <c r="T122" s="255"/>
      <c r="U122" s="255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64"/>
      <c r="Q123" s="255"/>
      <c r="R123" s="255"/>
      <c r="S123" s="255"/>
      <c r="T123" s="255"/>
      <c r="U123" s="255"/>
      <c r="V123" s="117"/>
      <c r="W123" s="118"/>
      <c r="X123" s="116"/>
      <c r="Y123" s="117"/>
      <c r="Z123" s="116"/>
      <c r="AA123" s="116"/>
    </row>
    <row r="124" spans="3:27" x14ac:dyDescent="0.3">
      <c r="C124" s="255"/>
      <c r="D124" s="460"/>
      <c r="E124" s="462"/>
      <c r="F124" s="255"/>
      <c r="G124" s="255"/>
      <c r="H124" s="255"/>
      <c r="I124" s="255"/>
      <c r="J124" s="255"/>
      <c r="K124" s="255"/>
      <c r="L124" s="255"/>
      <c r="M124" s="255"/>
      <c r="N124" s="255"/>
      <c r="O124" s="255"/>
      <c r="P124" s="264"/>
      <c r="Q124" s="255"/>
      <c r="R124" s="255"/>
      <c r="S124" s="255"/>
      <c r="T124" s="255"/>
      <c r="U124" s="255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255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255" t="s">
        <v>63</v>
      </c>
      <c r="D127" s="466" t="s">
        <v>12</v>
      </c>
      <c r="E127" s="466"/>
      <c r="F127" s="255" t="s">
        <v>64</v>
      </c>
      <c r="G127" s="255"/>
      <c r="H127" s="255"/>
      <c r="I127" s="255"/>
      <c r="J127" s="255"/>
      <c r="K127" s="255"/>
      <c r="L127" s="255"/>
      <c r="M127" s="255"/>
      <c r="N127" s="255"/>
      <c r="O127" s="255"/>
      <c r="P127" s="264"/>
      <c r="Q127" s="255"/>
      <c r="R127" s="255"/>
      <c r="S127" s="255"/>
      <c r="T127" s="255"/>
      <c r="U127" s="255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64"/>
      <c r="Q128" s="255"/>
      <c r="R128" s="255"/>
      <c r="S128" s="255"/>
      <c r="T128" s="255"/>
      <c r="U128" s="255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64"/>
      <c r="Q129" s="255"/>
      <c r="R129" s="255"/>
      <c r="S129" s="255"/>
      <c r="T129" s="255"/>
      <c r="U129" s="255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255"/>
      <c r="G130" s="255"/>
      <c r="H130" s="255"/>
      <c r="I130" s="255"/>
      <c r="J130" s="255"/>
      <c r="K130" s="255"/>
      <c r="L130" s="255"/>
      <c r="M130" s="255"/>
      <c r="N130" s="255"/>
      <c r="O130" s="255"/>
      <c r="P130" s="264"/>
      <c r="Q130" s="255"/>
      <c r="R130" s="255"/>
      <c r="S130" s="255"/>
      <c r="T130" s="255"/>
      <c r="U130" s="255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255"/>
      <c r="G131" s="255"/>
      <c r="H131" s="255"/>
      <c r="I131" s="255"/>
      <c r="J131" s="255"/>
      <c r="K131" s="255"/>
      <c r="L131" s="255"/>
      <c r="M131" s="255"/>
      <c r="N131" s="255"/>
      <c r="O131" s="255"/>
      <c r="P131" s="264"/>
      <c r="Q131" s="255"/>
      <c r="R131" s="255"/>
      <c r="S131" s="255"/>
      <c r="T131" s="255"/>
      <c r="U131" s="255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64"/>
      <c r="Q132" s="255"/>
      <c r="R132" s="255"/>
      <c r="S132" s="255"/>
      <c r="T132" s="255"/>
      <c r="U132" s="255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64"/>
      <c r="Q133" s="255"/>
      <c r="R133" s="255"/>
      <c r="S133" s="255"/>
      <c r="T133" s="255"/>
      <c r="U133" s="255"/>
      <c r="V133" s="117"/>
      <c r="W133" s="118"/>
      <c r="X133" s="116"/>
      <c r="Y133" s="117"/>
      <c r="Z133" s="116"/>
      <c r="AA133" s="116"/>
    </row>
    <row r="134" spans="3:27" x14ac:dyDescent="0.3">
      <c r="C134" s="255"/>
      <c r="D134" s="460"/>
      <c r="E134" s="462"/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64"/>
      <c r="Q134" s="255"/>
      <c r="R134" s="255"/>
      <c r="S134" s="255"/>
      <c r="T134" s="255"/>
      <c r="U134" s="255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255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255" t="s">
        <v>63</v>
      </c>
      <c r="D137" s="466" t="s">
        <v>12</v>
      </c>
      <c r="E137" s="466"/>
      <c r="F137" s="255" t="s">
        <v>64</v>
      </c>
      <c r="G137" s="255"/>
      <c r="H137" s="255"/>
      <c r="I137" s="255"/>
      <c r="J137" s="255"/>
      <c r="K137" s="255"/>
      <c r="L137" s="255"/>
      <c r="M137" s="255"/>
      <c r="N137" s="255"/>
      <c r="O137" s="255"/>
      <c r="P137" s="264"/>
      <c r="Q137" s="255"/>
      <c r="R137" s="255"/>
      <c r="S137" s="255"/>
      <c r="T137" s="255"/>
      <c r="U137" s="255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255"/>
      <c r="G138" s="255"/>
      <c r="H138" s="255"/>
      <c r="I138" s="255"/>
      <c r="J138" s="255"/>
      <c r="K138" s="255"/>
      <c r="L138" s="255"/>
      <c r="M138" s="255"/>
      <c r="N138" s="255"/>
      <c r="O138" s="255"/>
      <c r="P138" s="264"/>
      <c r="Q138" s="255"/>
      <c r="R138" s="255"/>
      <c r="S138" s="255"/>
      <c r="T138" s="255"/>
      <c r="U138" s="255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255"/>
      <c r="G139" s="255"/>
      <c r="H139" s="255"/>
      <c r="I139" s="255"/>
      <c r="J139" s="255"/>
      <c r="K139" s="255"/>
      <c r="L139" s="255"/>
      <c r="M139" s="255"/>
      <c r="N139" s="255"/>
      <c r="O139" s="255"/>
      <c r="P139" s="264"/>
      <c r="Q139" s="255"/>
      <c r="R139" s="255"/>
      <c r="S139" s="255"/>
      <c r="T139" s="255"/>
      <c r="U139" s="255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255"/>
      <c r="G140" s="255"/>
      <c r="H140" s="255"/>
      <c r="I140" s="255"/>
      <c r="J140" s="255"/>
      <c r="K140" s="255"/>
      <c r="L140" s="255"/>
      <c r="M140" s="255"/>
      <c r="N140" s="255"/>
      <c r="O140" s="255"/>
      <c r="P140" s="264"/>
      <c r="Q140" s="255"/>
      <c r="R140" s="255"/>
      <c r="S140" s="255"/>
      <c r="T140" s="255"/>
      <c r="U140" s="255"/>
    </row>
    <row r="141" spans="3:27" x14ac:dyDescent="0.3">
      <c r="C141" s="119">
        <v>45078</v>
      </c>
      <c r="D141" s="466"/>
      <c r="E141" s="466"/>
      <c r="F141" s="255"/>
      <c r="G141" s="255"/>
      <c r="H141" s="255"/>
      <c r="I141" s="255"/>
      <c r="J141" s="255"/>
      <c r="K141" s="255"/>
      <c r="L141" s="255"/>
      <c r="M141" s="255"/>
      <c r="N141" s="255"/>
      <c r="O141" s="255"/>
      <c r="P141" s="264"/>
      <c r="Q141" s="255"/>
      <c r="R141" s="255"/>
      <c r="S141" s="255"/>
      <c r="T141" s="255"/>
      <c r="U141" s="255"/>
    </row>
    <row r="142" spans="3:27" x14ac:dyDescent="0.3">
      <c r="C142" s="119">
        <v>45079</v>
      </c>
      <c r="D142" s="466"/>
      <c r="E142" s="466"/>
      <c r="F142" s="255"/>
      <c r="G142" s="255"/>
      <c r="H142" s="255"/>
      <c r="I142" s="255"/>
      <c r="J142" s="255"/>
      <c r="K142" s="255"/>
      <c r="L142" s="255"/>
      <c r="M142" s="255"/>
      <c r="N142" s="255"/>
      <c r="O142" s="255"/>
      <c r="P142" s="264"/>
      <c r="Q142" s="255"/>
      <c r="R142" s="255"/>
      <c r="S142" s="255"/>
      <c r="T142" s="255"/>
      <c r="U142" s="255"/>
    </row>
    <row r="143" spans="3:27" x14ac:dyDescent="0.3">
      <c r="C143" s="119">
        <v>45080</v>
      </c>
      <c r="D143" s="466"/>
      <c r="E143" s="466"/>
      <c r="F143" s="255"/>
      <c r="G143" s="255"/>
      <c r="H143" s="255"/>
      <c r="I143" s="255"/>
      <c r="J143" s="255"/>
      <c r="K143" s="255"/>
      <c r="L143" s="255"/>
      <c r="M143" s="255"/>
      <c r="N143" s="255"/>
      <c r="O143" s="255"/>
      <c r="P143" s="264"/>
      <c r="Q143" s="255"/>
      <c r="R143" s="255"/>
      <c r="S143" s="255"/>
      <c r="T143" s="255"/>
      <c r="U143" s="255"/>
    </row>
    <row r="144" spans="3:27" x14ac:dyDescent="0.3">
      <c r="C144" s="255"/>
      <c r="D144" s="460"/>
      <c r="E144" s="462"/>
      <c r="F144" s="255"/>
      <c r="G144" s="255"/>
      <c r="H144" s="255"/>
      <c r="I144" s="255"/>
      <c r="J144" s="255"/>
      <c r="K144" s="255"/>
      <c r="L144" s="255"/>
      <c r="M144" s="255"/>
      <c r="N144" s="255"/>
      <c r="O144" s="255"/>
      <c r="P144" s="264"/>
      <c r="Q144" s="255"/>
      <c r="R144" s="255"/>
      <c r="S144" s="255"/>
      <c r="T144" s="255"/>
      <c r="U144" s="255"/>
    </row>
  </sheetData>
  <mergeCells count="113">
    <mergeCell ref="U5:W5"/>
    <mergeCell ref="X5:Z5"/>
    <mergeCell ref="AC5:AC6"/>
    <mergeCell ref="AD5:AD6"/>
    <mergeCell ref="AE5:AE6"/>
    <mergeCell ref="B7:B12"/>
    <mergeCell ref="B2:AE2"/>
    <mergeCell ref="B3:AE3"/>
    <mergeCell ref="B5:C6"/>
    <mergeCell ref="D5:D6"/>
    <mergeCell ref="E5:E6"/>
    <mergeCell ref="F5:F6"/>
    <mergeCell ref="G5:G6"/>
    <mergeCell ref="H5:H6"/>
    <mergeCell ref="I5:S5"/>
    <mergeCell ref="T5:T6"/>
    <mergeCell ref="B13:E13"/>
    <mergeCell ref="B14:E14"/>
    <mergeCell ref="B19:AE19"/>
    <mergeCell ref="B21:B22"/>
    <mergeCell ref="C21:C22"/>
    <mergeCell ref="D21:D22"/>
    <mergeCell ref="E21:E22"/>
    <mergeCell ref="F21:F22"/>
    <mergeCell ref="G21:G22"/>
    <mergeCell ref="H21:H22"/>
    <mergeCell ref="AC21:AC22"/>
    <mergeCell ref="AD21:AD22"/>
    <mergeCell ref="AE21:AE22"/>
    <mergeCell ref="B23:B28"/>
    <mergeCell ref="B29:E29"/>
    <mergeCell ref="B30:E30"/>
    <mergeCell ref="I21:S21"/>
    <mergeCell ref="T21:T22"/>
    <mergeCell ref="U21:W21"/>
    <mergeCell ref="X21:Z21"/>
    <mergeCell ref="AA21:AA22"/>
    <mergeCell ref="AB21:AB22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AE78:AE79"/>
    <mergeCell ref="B80:B85"/>
    <mergeCell ref="B86:E86"/>
    <mergeCell ref="B87:E87"/>
    <mergeCell ref="E92:E94"/>
    <mergeCell ref="F92:F94"/>
    <mergeCell ref="B76:AE76"/>
    <mergeCell ref="B78:B79"/>
    <mergeCell ref="C78:C79"/>
    <mergeCell ref="D78:D79"/>
    <mergeCell ref="E78:E79"/>
    <mergeCell ref="F78:F79"/>
    <mergeCell ref="U78:W78"/>
    <mergeCell ref="X78:Z78"/>
    <mergeCell ref="AC78:AC79"/>
    <mergeCell ref="AD78:AD79"/>
    <mergeCell ref="E104:E106"/>
    <mergeCell ref="F104:F106"/>
    <mergeCell ref="E107:E109"/>
    <mergeCell ref="F107:F109"/>
    <mergeCell ref="C114:U114"/>
    <mergeCell ref="D117:E117"/>
    <mergeCell ref="E95:E97"/>
    <mergeCell ref="F95:F97"/>
    <mergeCell ref="E98:E100"/>
    <mergeCell ref="F98:F100"/>
    <mergeCell ref="E101:E103"/>
    <mergeCell ref="F101:F103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</mergeCells>
  <phoneticPr fontId="4" type="noConversion"/>
  <dataValidations count="3">
    <dataValidation type="list" allowBlank="1" showInputMessage="1" showErrorMessage="1" sqref="E10:E12 E26:E28">
      <formula1>$U$7:$U$12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 E23:E25 E7:E9">
      <formula1>$AH$7:$AH$12</formula1>
    </dataValidation>
  </dataValidations>
  <pageMargins left="0.62992125984251968" right="0.62992125984251968" top="0.94488188976377963" bottom="0.55118110236220474" header="0.31496062992125984" footer="0.31496062992125984"/>
  <pageSetup paperSize="9" scale="28" orientation="landscape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80" zoomScaleNormal="80" workbookViewId="0">
      <pane xSplit="4" ySplit="6" topLeftCell="E28" activePane="bottomRight" state="frozen"/>
      <selection pane="topRight" activeCell="D1" sqref="D1"/>
      <selection pane="bottomLeft" activeCell="A6" sqref="A6"/>
      <selection pane="bottomRight" activeCell="E8" sqref="E8:F8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58.875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11.75" hidden="1" customWidth="1"/>
    <col min="44" max="44" width="3.25" customWidth="1"/>
  </cols>
  <sheetData>
    <row r="2" spans="2:52" ht="20.25" x14ac:dyDescent="0.3">
      <c r="B2" s="425" t="s">
        <v>165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250" t="s">
        <v>1</v>
      </c>
      <c r="AY2" s="250" t="s">
        <v>2</v>
      </c>
      <c r="AZ2" s="3" t="s">
        <v>3</v>
      </c>
    </row>
    <row r="3" spans="2:52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E3" s="464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253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75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253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-54.5</v>
      </c>
    </row>
    <row r="7" spans="2:52" s="251" customFormat="1" ht="99" customHeight="1" thickTop="1" x14ac:dyDescent="0.3">
      <c r="B7" s="420">
        <v>4</v>
      </c>
      <c r="C7" s="24">
        <v>6</v>
      </c>
      <c r="D7" s="25" t="s">
        <v>7</v>
      </c>
      <c r="E7" s="26" t="s">
        <v>29</v>
      </c>
      <c r="F7" s="25">
        <v>8</v>
      </c>
      <c r="G7" s="128">
        <v>352</v>
      </c>
      <c r="H7" s="128">
        <f t="shared" ref="H7:H12" si="0">(G7/U7)*100</f>
        <v>99.435028248587571</v>
      </c>
      <c r="I7" s="123" t="s">
        <v>85</v>
      </c>
      <c r="J7" s="123" t="s">
        <v>86</v>
      </c>
      <c r="K7" s="123" t="s">
        <v>73</v>
      </c>
      <c r="L7" s="123" t="s">
        <v>87</v>
      </c>
      <c r="M7" s="123"/>
      <c r="N7" s="129" t="s">
        <v>90</v>
      </c>
      <c r="O7" s="123" t="s">
        <v>74</v>
      </c>
      <c r="P7" s="123" t="s">
        <v>169</v>
      </c>
      <c r="Q7" s="123" t="s">
        <v>91</v>
      </c>
      <c r="R7" s="123" t="s">
        <v>89</v>
      </c>
      <c r="S7" s="125">
        <f t="shared" ref="S7:S13" si="1">COUNTA(I7:M7)+COUNTA(N7:R7)/2</f>
        <v>6.5</v>
      </c>
      <c r="T7" s="27">
        <f t="shared" ref="T7:T12" si="2">F7*$D$4*$U$4</f>
        <v>528</v>
      </c>
      <c r="U7" s="28">
        <f>+H38</f>
        <v>354</v>
      </c>
      <c r="V7" s="29">
        <f t="shared" ref="V7:V12" si="3">IF(F7=0,"휴무",U7/F7)</f>
        <v>44.25</v>
      </c>
      <c r="W7" s="30">
        <f t="shared" ref="W7:W13" si="4">IFERROR(U7/T7,0)</f>
        <v>0.67045454545454541</v>
      </c>
      <c r="X7" s="31">
        <f>+K38</f>
        <v>522.35</v>
      </c>
      <c r="Y7" s="29">
        <f t="shared" ref="Y7:Y12" si="5">IF(F7=0,"휴무",X7/F7)</f>
        <v>65.293750000000003</v>
      </c>
      <c r="Z7" s="32">
        <f t="shared" ref="Z7:Z13" si="6">IFERROR(X7/T7,0)</f>
        <v>0.9892992424242425</v>
      </c>
      <c r="AA7" s="33">
        <f t="shared" ref="AA7:AA12" si="7">IF(F7=0,"휴무",U7/T7*$AA$4)</f>
        <v>33.522727272727273</v>
      </c>
      <c r="AB7" s="34">
        <f t="shared" ref="AB7:AB12" si="8">IF(F7=0,"휴무",X7/T7*$AB$4)</f>
        <v>53.867343750000003</v>
      </c>
      <c r="AC7" s="138">
        <f t="shared" ref="AC7:AC13" si="9">IF(F7=0,"휴무",AA7+AB7)</f>
        <v>87.390071022727284</v>
      </c>
      <c r="AD7" s="35" t="str">
        <f t="shared" ref="AD7:AD13" si="10">IF(F7=0,"휴무",IF(AC7&gt;=100,"좋아요",IF(AC7&gt;=90,"90~99",IF(AC7&gt;=80,"80~89"," 사유?→"))))</f>
        <v>80~89</v>
      </c>
      <c r="AE7" s="36"/>
      <c r="AF7" s="37">
        <f>AG7-F7</f>
        <v>-8</v>
      </c>
      <c r="AG7" s="38">
        <f>AN7</f>
        <v>0</v>
      </c>
      <c r="AH7" s="251" t="s">
        <v>29</v>
      </c>
      <c r="AI7" s="39"/>
      <c r="AJ7" s="40">
        <f>IFERROR(Z7/W7*1000,"")</f>
        <v>1475.5649717514125</v>
      </c>
      <c r="AK7" s="39"/>
      <c r="AL7" s="41"/>
      <c r="AM7" s="41"/>
      <c r="AN7" s="41"/>
      <c r="AP7" s="251">
        <f t="shared" ref="AP7:AP12" si="11">AO7-F7</f>
        <v>-8</v>
      </c>
      <c r="AQ7" s="42"/>
    </row>
    <row r="8" spans="2:52" s="251" customFormat="1" ht="99.75" customHeight="1" x14ac:dyDescent="0.3">
      <c r="B8" s="421"/>
      <c r="C8" s="24">
        <f>+C7+1</f>
        <v>7</v>
      </c>
      <c r="D8" s="43" t="s">
        <v>30</v>
      </c>
      <c r="E8" s="26" t="s">
        <v>28</v>
      </c>
      <c r="F8" s="25">
        <v>11</v>
      </c>
      <c r="G8" s="125">
        <v>598</v>
      </c>
      <c r="H8" s="125">
        <f t="shared" si="0"/>
        <v>99.833055091819702</v>
      </c>
      <c r="I8" s="123" t="s">
        <v>85</v>
      </c>
      <c r="J8" s="123" t="s">
        <v>86</v>
      </c>
      <c r="K8" s="123" t="s">
        <v>73</v>
      </c>
      <c r="L8" s="123" t="s">
        <v>87</v>
      </c>
      <c r="M8" s="123"/>
      <c r="N8" s="129" t="s">
        <v>90</v>
      </c>
      <c r="O8" s="123" t="s">
        <v>74</v>
      </c>
      <c r="P8" s="123" t="s">
        <v>169</v>
      </c>
      <c r="Q8" s="123" t="s">
        <v>91</v>
      </c>
      <c r="R8" s="123" t="s">
        <v>89</v>
      </c>
      <c r="S8" s="125">
        <f t="shared" si="1"/>
        <v>6.5</v>
      </c>
      <c r="T8" s="27">
        <f t="shared" si="2"/>
        <v>726</v>
      </c>
      <c r="U8" s="28">
        <f>+H41</f>
        <v>599</v>
      </c>
      <c r="V8" s="44">
        <f t="shared" si="3"/>
        <v>54.454545454545453</v>
      </c>
      <c r="W8" s="45">
        <f t="shared" si="4"/>
        <v>0.82506887052341593</v>
      </c>
      <c r="X8" s="46">
        <f>+K41</f>
        <v>524.59</v>
      </c>
      <c r="Y8" s="29">
        <f t="shared" si="5"/>
        <v>47.690000000000005</v>
      </c>
      <c r="Z8" s="47">
        <f t="shared" si="6"/>
        <v>0.72257575757575765</v>
      </c>
      <c r="AA8" s="48">
        <f t="shared" si="7"/>
        <v>41.253443526170798</v>
      </c>
      <c r="AB8" s="49">
        <f t="shared" si="8"/>
        <v>39.344250000000009</v>
      </c>
      <c r="AC8" s="139">
        <f t="shared" si="9"/>
        <v>80.597693526170815</v>
      </c>
      <c r="AD8" s="50" t="str">
        <f t="shared" si="10"/>
        <v>80~89</v>
      </c>
      <c r="AE8" s="36"/>
      <c r="AF8" s="37">
        <f>AG8-F8</f>
        <v>-11</v>
      </c>
      <c r="AG8" s="38">
        <f>AN8</f>
        <v>0</v>
      </c>
      <c r="AH8" s="251" t="s">
        <v>31</v>
      </c>
      <c r="AI8" s="39"/>
      <c r="AJ8" s="40">
        <f>IFERROR(Z8/W8*1000,"")</f>
        <v>875.7762938230386</v>
      </c>
      <c r="AK8" s="39"/>
      <c r="AL8" s="41"/>
      <c r="AM8" s="41"/>
      <c r="AN8" s="41"/>
      <c r="AP8" s="251">
        <f t="shared" si="11"/>
        <v>-11</v>
      </c>
      <c r="AQ8" s="42"/>
    </row>
    <row r="9" spans="2:52" s="251" customFormat="1" ht="97.5" customHeight="1" x14ac:dyDescent="0.3">
      <c r="B9" s="421"/>
      <c r="C9" s="24">
        <f>+C8+1</f>
        <v>8</v>
      </c>
      <c r="D9" s="43" t="s">
        <v>32</v>
      </c>
      <c r="E9" s="26" t="s">
        <v>29</v>
      </c>
      <c r="F9" s="25">
        <v>8.5</v>
      </c>
      <c r="G9" s="125">
        <v>373</v>
      </c>
      <c r="H9" s="125">
        <f t="shared" si="0"/>
        <v>99.466666666666669</v>
      </c>
      <c r="I9" s="123" t="s">
        <v>85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169</v>
      </c>
      <c r="Q9" s="123" t="s">
        <v>91</v>
      </c>
      <c r="R9" s="123" t="s">
        <v>89</v>
      </c>
      <c r="S9" s="125">
        <f t="shared" si="1"/>
        <v>6.5</v>
      </c>
      <c r="T9" s="27">
        <f t="shared" si="2"/>
        <v>561</v>
      </c>
      <c r="U9" s="51">
        <f>+H44</f>
        <v>375</v>
      </c>
      <c r="V9" s="44">
        <f t="shared" si="3"/>
        <v>44.117647058823529</v>
      </c>
      <c r="W9" s="45">
        <f t="shared" si="4"/>
        <v>0.66844919786096257</v>
      </c>
      <c r="X9" s="46">
        <f>+K44</f>
        <v>437.75</v>
      </c>
      <c r="Y9" s="44">
        <f t="shared" si="5"/>
        <v>51.5</v>
      </c>
      <c r="Z9" s="47">
        <f t="shared" si="6"/>
        <v>0.78030303030303028</v>
      </c>
      <c r="AA9" s="48">
        <f t="shared" si="7"/>
        <v>33.422459893048128</v>
      </c>
      <c r="AB9" s="49">
        <f t="shared" si="8"/>
        <v>42.487500000000004</v>
      </c>
      <c r="AC9" s="139">
        <f t="shared" si="9"/>
        <v>75.909959893048125</v>
      </c>
      <c r="AD9" s="161" t="str">
        <f t="shared" si="10"/>
        <v xml:space="preserve"> 사유?→</v>
      </c>
      <c r="AE9" s="160" t="s">
        <v>162</v>
      </c>
      <c r="AF9" s="37">
        <f>AG9-F9</f>
        <v>-8.5</v>
      </c>
      <c r="AG9" s="38">
        <f>AN9</f>
        <v>0</v>
      </c>
      <c r="AH9" s="251" t="s">
        <v>34</v>
      </c>
      <c r="AI9" s="39"/>
      <c r="AJ9" s="40">
        <f>IFERROR(Z9/W9*1000,"")</f>
        <v>1167.3333333333333</v>
      </c>
      <c r="AK9" s="39"/>
      <c r="AL9" s="41"/>
      <c r="AM9" s="41"/>
      <c r="AN9" s="41"/>
      <c r="AP9" s="251">
        <f t="shared" si="11"/>
        <v>-8.5</v>
      </c>
      <c r="AQ9" s="42"/>
    </row>
    <row r="10" spans="2:52" s="251" customFormat="1" ht="95.25" customHeight="1" x14ac:dyDescent="0.3">
      <c r="B10" s="421"/>
      <c r="C10" s="24">
        <f>+C9+1</f>
        <v>9</v>
      </c>
      <c r="D10" s="43" t="s">
        <v>35</v>
      </c>
      <c r="E10" s="26" t="s">
        <v>29</v>
      </c>
      <c r="F10" s="25">
        <v>11</v>
      </c>
      <c r="G10" s="125">
        <v>516</v>
      </c>
      <c r="H10" s="125">
        <f t="shared" si="0"/>
        <v>98.850574712643677</v>
      </c>
      <c r="I10" s="123" t="s">
        <v>85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74</v>
      </c>
      <c r="P10" s="123" t="s">
        <v>169</v>
      </c>
      <c r="Q10" s="123" t="s">
        <v>91</v>
      </c>
      <c r="R10" s="123" t="s">
        <v>89</v>
      </c>
      <c r="S10" s="125">
        <f t="shared" si="1"/>
        <v>6.5</v>
      </c>
      <c r="T10" s="27">
        <f t="shared" si="2"/>
        <v>726</v>
      </c>
      <c r="U10" s="28">
        <f>+H47</f>
        <v>522</v>
      </c>
      <c r="V10" s="44">
        <f t="shared" si="3"/>
        <v>47.454545454545453</v>
      </c>
      <c r="W10" s="45">
        <f t="shared" si="4"/>
        <v>0.71900826446280997</v>
      </c>
      <c r="X10" s="46">
        <f>+K47</f>
        <v>799.15</v>
      </c>
      <c r="Y10" s="29">
        <f t="shared" si="5"/>
        <v>72.649999999999991</v>
      </c>
      <c r="Z10" s="47">
        <f t="shared" si="6"/>
        <v>1.1007575757575758</v>
      </c>
      <c r="AA10" s="48">
        <f t="shared" si="7"/>
        <v>35.950413223140501</v>
      </c>
      <c r="AB10" s="49">
        <f t="shared" si="8"/>
        <v>59.936250000000008</v>
      </c>
      <c r="AC10" s="139">
        <f t="shared" si="9"/>
        <v>95.886663223140516</v>
      </c>
      <c r="AD10" s="50" t="str">
        <f t="shared" si="10"/>
        <v>90~99</v>
      </c>
      <c r="AE10" s="36"/>
      <c r="AF10" s="37">
        <f>AG10-F10</f>
        <v>-11</v>
      </c>
      <c r="AG10" s="38">
        <f>AN10</f>
        <v>0</v>
      </c>
      <c r="AH10" s="251" t="s">
        <v>36</v>
      </c>
      <c r="AI10" s="39"/>
      <c r="AJ10" s="40">
        <f>IFERROR(Z10/W10*1000,"")</f>
        <v>1530.9386973180076</v>
      </c>
      <c r="AK10" s="39"/>
      <c r="AL10" s="41"/>
      <c r="AM10" s="41"/>
      <c r="AN10" s="41"/>
      <c r="AP10" s="251">
        <f t="shared" si="11"/>
        <v>-11</v>
      </c>
      <c r="AQ10" s="42"/>
    </row>
    <row r="11" spans="2:52" s="251" customFormat="1" ht="102.75" customHeight="1" x14ac:dyDescent="0.3">
      <c r="B11" s="421"/>
      <c r="C11" s="24">
        <f>+C10+1</f>
        <v>10</v>
      </c>
      <c r="D11" s="43" t="s">
        <v>37</v>
      </c>
      <c r="E11" s="26" t="s">
        <v>29</v>
      </c>
      <c r="F11" s="25">
        <v>8</v>
      </c>
      <c r="G11" s="125">
        <v>423</v>
      </c>
      <c r="H11" s="125">
        <f t="shared" si="0"/>
        <v>100</v>
      </c>
      <c r="I11" s="123" t="s">
        <v>85</v>
      </c>
      <c r="J11" s="123" t="s">
        <v>86</v>
      </c>
      <c r="K11" s="123" t="s">
        <v>73</v>
      </c>
      <c r="L11" s="123" t="s">
        <v>87</v>
      </c>
      <c r="M11" s="123"/>
      <c r="N11" s="129" t="s">
        <v>90</v>
      </c>
      <c r="O11" s="123" t="s">
        <v>74</v>
      </c>
      <c r="P11" s="123" t="s">
        <v>169</v>
      </c>
      <c r="Q11" s="123" t="s">
        <v>91</v>
      </c>
      <c r="R11" s="123" t="s">
        <v>89</v>
      </c>
      <c r="S11" s="125">
        <f t="shared" si="1"/>
        <v>6.5</v>
      </c>
      <c r="T11" s="27">
        <f t="shared" si="2"/>
        <v>528</v>
      </c>
      <c r="U11" s="28">
        <f>+H50</f>
        <v>423</v>
      </c>
      <c r="V11" s="44">
        <f t="shared" si="3"/>
        <v>52.875</v>
      </c>
      <c r="W11" s="45">
        <f t="shared" si="4"/>
        <v>0.80113636363636365</v>
      </c>
      <c r="X11" s="46">
        <f>+K50</f>
        <v>572.6</v>
      </c>
      <c r="Y11" s="44">
        <f t="shared" si="5"/>
        <v>71.575000000000003</v>
      </c>
      <c r="Z11" s="47">
        <f t="shared" si="6"/>
        <v>1.084469696969697</v>
      </c>
      <c r="AA11" s="48">
        <f t="shared" si="7"/>
        <v>40.05681818181818</v>
      </c>
      <c r="AB11" s="49">
        <f t="shared" si="8"/>
        <v>59.049375000000005</v>
      </c>
      <c r="AC11" s="139">
        <f t="shared" si="9"/>
        <v>99.106193181818185</v>
      </c>
      <c r="AD11" s="50" t="str">
        <f t="shared" si="10"/>
        <v>90~99</v>
      </c>
      <c r="AE11" s="36"/>
      <c r="AF11" s="37">
        <f>AG11-F11</f>
        <v>-8</v>
      </c>
      <c r="AG11" s="38">
        <f>AN11</f>
        <v>0</v>
      </c>
      <c r="AH11" s="251" t="s">
        <v>33</v>
      </c>
      <c r="AI11" s="39"/>
      <c r="AJ11" s="40">
        <f>IFERROR(Z11/W11*1000,"")</f>
        <v>1353.6643026004729</v>
      </c>
      <c r="AL11" s="41"/>
      <c r="AM11" s="41"/>
      <c r="AN11" s="41"/>
      <c r="AP11" s="251">
        <f t="shared" si="11"/>
        <v>-8</v>
      </c>
      <c r="AQ11" s="42"/>
    </row>
    <row r="12" spans="2:52" s="251" customFormat="1" ht="102.75" customHeight="1" x14ac:dyDescent="0.3">
      <c r="B12" s="421"/>
      <c r="C12" s="24">
        <f>+C11+1</f>
        <v>11</v>
      </c>
      <c r="D12" s="43" t="s">
        <v>38</v>
      </c>
      <c r="E12" s="26" t="s">
        <v>36</v>
      </c>
      <c r="F12" s="25">
        <v>8</v>
      </c>
      <c r="G12" s="125">
        <v>398</v>
      </c>
      <c r="H12" s="125">
        <f t="shared" si="0"/>
        <v>97.788697788697789</v>
      </c>
      <c r="I12" s="123" t="s">
        <v>85</v>
      </c>
      <c r="J12" s="123" t="s">
        <v>86</v>
      </c>
      <c r="K12" s="123" t="s">
        <v>73</v>
      </c>
      <c r="L12" s="123" t="s">
        <v>87</v>
      </c>
      <c r="M12" s="123"/>
      <c r="N12" s="129" t="s">
        <v>90</v>
      </c>
      <c r="O12" s="123" t="s">
        <v>74</v>
      </c>
      <c r="P12" s="123"/>
      <c r="Q12" s="123" t="s">
        <v>91</v>
      </c>
      <c r="R12" s="123" t="s">
        <v>89</v>
      </c>
      <c r="S12" s="125">
        <f t="shared" si="1"/>
        <v>6</v>
      </c>
      <c r="T12" s="254">
        <f t="shared" si="2"/>
        <v>528</v>
      </c>
      <c r="U12" s="28">
        <f>+H53</f>
        <v>407</v>
      </c>
      <c r="V12" s="29">
        <f t="shared" si="3"/>
        <v>50.875</v>
      </c>
      <c r="W12" s="30">
        <f t="shared" si="4"/>
        <v>0.77083333333333337</v>
      </c>
      <c r="X12" s="31">
        <f>+K53</f>
        <v>358.96</v>
      </c>
      <c r="Y12" s="44">
        <f t="shared" si="5"/>
        <v>44.87</v>
      </c>
      <c r="Z12" s="47">
        <f t="shared" si="6"/>
        <v>0.67984848484848481</v>
      </c>
      <c r="AA12" s="48">
        <f t="shared" si="7"/>
        <v>38.541666666666671</v>
      </c>
      <c r="AB12" s="49">
        <f t="shared" si="8"/>
        <v>37.017749999999999</v>
      </c>
      <c r="AC12" s="139">
        <f t="shared" si="9"/>
        <v>75.559416666666664</v>
      </c>
      <c r="AD12" s="161" t="str">
        <f t="shared" si="10"/>
        <v xml:space="preserve"> 사유?→</v>
      </c>
      <c r="AE12" s="160" t="s">
        <v>163</v>
      </c>
      <c r="AF12" s="37"/>
      <c r="AG12" s="38"/>
      <c r="AI12" s="39"/>
      <c r="AJ12" s="40"/>
      <c r="AL12" s="41"/>
      <c r="AM12" s="41"/>
      <c r="AN12" s="41"/>
      <c r="AP12" s="251">
        <f t="shared" si="11"/>
        <v>-8</v>
      </c>
      <c r="AQ12" s="42"/>
    </row>
    <row r="13" spans="2:52" s="251" customFormat="1" ht="36" customHeight="1" x14ac:dyDescent="0.3">
      <c r="B13" s="422" t="s">
        <v>39</v>
      </c>
      <c r="C13" s="423"/>
      <c r="D13" s="423"/>
      <c r="E13" s="424"/>
      <c r="F13" s="43">
        <f>SUM(F7:F12)</f>
        <v>54.5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 t="shared" si="1"/>
        <v>0</v>
      </c>
      <c r="T13" s="52">
        <f>SUM(T7:T12)</f>
        <v>3597</v>
      </c>
      <c r="U13" s="53">
        <f>SUM(U7:U12)</f>
        <v>2680</v>
      </c>
      <c r="V13" s="54">
        <f>U13/F13</f>
        <v>49.174311926605505</v>
      </c>
      <c r="W13" s="45">
        <f t="shared" si="4"/>
        <v>0.74506533222129556</v>
      </c>
      <c r="X13" s="55">
        <f>SUM(X7:X12)</f>
        <v>3215.4</v>
      </c>
      <c r="Y13" s="44">
        <f>X13/F13</f>
        <v>58.998165137614677</v>
      </c>
      <c r="Z13" s="47">
        <f t="shared" si="6"/>
        <v>0.89391159299416179</v>
      </c>
      <c r="AA13" s="56">
        <f>U13/T13*AA4</f>
        <v>37.253266611064781</v>
      </c>
      <c r="AB13" s="57">
        <f>X13/T13*AB4</f>
        <v>48.673486238532114</v>
      </c>
      <c r="AC13" s="140">
        <f t="shared" si="9"/>
        <v>85.926752849596895</v>
      </c>
      <c r="AD13" s="58" t="str">
        <f t="shared" si="10"/>
        <v>80~89</v>
      </c>
      <c r="AE13" s="43"/>
      <c r="AF13" s="37">
        <f>AG13-F13</f>
        <v>-54.5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9.0833333333333339</v>
      </c>
      <c r="G14" s="252"/>
      <c r="H14" s="252"/>
      <c r="I14" s="252"/>
      <c r="J14" s="252"/>
      <c r="K14" s="252"/>
      <c r="L14" s="252"/>
      <c r="M14" s="252"/>
      <c r="N14" s="252"/>
      <c r="O14" s="252"/>
      <c r="P14" s="263"/>
      <c r="Q14" s="252"/>
      <c r="R14" s="252"/>
      <c r="S14" s="252"/>
      <c r="T14" s="252"/>
      <c r="U14" s="61">
        <f>V14*F14</f>
        <v>446.66666666666669</v>
      </c>
      <c r="V14" s="62">
        <f>U13/F13</f>
        <v>49.174311926605505</v>
      </c>
      <c r="W14" s="63">
        <f>IFERROR(U14/#REF!,0)</f>
        <v>0</v>
      </c>
      <c r="X14" s="64">
        <f>X13/F13*F14</f>
        <v>535.9</v>
      </c>
      <c r="Y14" s="62">
        <f>IF(F14=0,"휴무",X14/F14)</f>
        <v>58.99816513761467</v>
      </c>
      <c r="Z14" s="65">
        <f>IFERROR(X14/#REF!,0)</f>
        <v>0</v>
      </c>
      <c r="AA14" s="60">
        <f>AVERAGE(AA7:AA12)</f>
        <v>37.124588127261923</v>
      </c>
      <c r="AB14" s="60">
        <f>AVERAGE(AB7:AB12)</f>
        <v>48.617078125000006</v>
      </c>
      <c r="AC14" s="141">
        <f>AA14+AB14</f>
        <v>85.741666252261922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251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  <c r="AE19" s="464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75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-54.5</v>
      </c>
    </row>
    <row r="23" spans="2:43" s="251" customFormat="1" ht="99" customHeight="1" thickTop="1" x14ac:dyDescent="0.3">
      <c r="B23" s="420">
        <f>+B7</f>
        <v>4</v>
      </c>
      <c r="C23" s="24">
        <f t="shared" ref="C23:C28" si="12">+C7</f>
        <v>6</v>
      </c>
      <c r="D23" s="25" t="s">
        <v>7</v>
      </c>
      <c r="E23" s="26" t="s">
        <v>29</v>
      </c>
      <c r="F23" s="25">
        <v>8</v>
      </c>
      <c r="G23" s="128">
        <v>305</v>
      </c>
      <c r="H23" s="128">
        <f t="shared" ref="H23:H28" si="13">(G23/U23)*100</f>
        <v>59.338521400778212</v>
      </c>
      <c r="I23" s="123" t="s">
        <v>78</v>
      </c>
      <c r="J23" s="123" t="s">
        <v>88</v>
      </c>
      <c r="K23" s="123" t="s">
        <v>92</v>
      </c>
      <c r="L23" s="123" t="s">
        <v>84</v>
      </c>
      <c r="M23" s="123"/>
      <c r="N23" s="129" t="s">
        <v>90</v>
      </c>
      <c r="O23" s="123" t="s">
        <v>74</v>
      </c>
      <c r="P23" s="123" t="s">
        <v>169</v>
      </c>
      <c r="Q23" s="123" t="s">
        <v>91</v>
      </c>
      <c r="R23" s="123" t="s">
        <v>89</v>
      </c>
      <c r="S23" s="124">
        <f t="shared" ref="S23:S28" si="14">COUNTA(I23:M23)+COUNTA(N23:R23)/2</f>
        <v>6.5</v>
      </c>
      <c r="T23" s="27">
        <f t="shared" ref="T23:T28" si="15">F23*$D$4*$U$4</f>
        <v>528</v>
      </c>
      <c r="U23" s="28">
        <f>+H58</f>
        <v>514</v>
      </c>
      <c r="V23" s="29">
        <f t="shared" ref="V23:V28" si="16">IF(F23=0,"휴무",U23/F23)</f>
        <v>64.25</v>
      </c>
      <c r="W23" s="30">
        <f t="shared" ref="W23:W29" si="17">IFERROR(U23/T23,0)</f>
        <v>0.97348484848484851</v>
      </c>
      <c r="X23" s="31">
        <f>+K58</f>
        <v>281.71000000000004</v>
      </c>
      <c r="Y23" s="29">
        <f t="shared" ref="Y23:Y28" si="18">IF(F23=0,"휴무",X23/F23)</f>
        <v>35.213750000000005</v>
      </c>
      <c r="Z23" s="32">
        <f t="shared" ref="Z23:Z29" si="19">IFERROR(X23/T23,0)</f>
        <v>0.53354166666666669</v>
      </c>
      <c r="AA23" s="33">
        <f t="shared" ref="AA23:AA28" si="20">IF(F23=0,"휴무",U23/T23*$AA$4)</f>
        <v>48.674242424242422</v>
      </c>
      <c r="AB23" s="34">
        <f t="shared" ref="AB23:AB28" si="21">IF(F23=0,"휴무",X23/T23*$AB$4)</f>
        <v>29.051343750000004</v>
      </c>
      <c r="AC23" s="138">
        <f t="shared" ref="AC23:AC29" si="22">IF(F23=0,"휴무",AA23+AB23)</f>
        <v>77.725586174242423</v>
      </c>
      <c r="AD23" s="159" t="str">
        <f t="shared" ref="AD23:AD29" si="23">IF(F23=0,"휴무",IF(AC23&gt;=100,"좋아요",IF(AC23&gt;=90,"90~99",IF(AC23&gt;=80,"80~89"," 사유?→"))))</f>
        <v xml:space="preserve"> 사유?→</v>
      </c>
      <c r="AE23" s="160" t="s">
        <v>161</v>
      </c>
      <c r="AF23" s="37">
        <f>AG23-F23</f>
        <v>-8</v>
      </c>
      <c r="AG23" s="38">
        <f>AN23</f>
        <v>0</v>
      </c>
      <c r="AH23" s="251" t="s">
        <v>29</v>
      </c>
      <c r="AI23" s="39"/>
      <c r="AJ23" s="40">
        <f>IFERROR(Z23/W23*1000,"")</f>
        <v>548.07392996108945</v>
      </c>
      <c r="AK23" s="39"/>
      <c r="AL23" s="41"/>
      <c r="AM23" s="41"/>
      <c r="AN23" s="41"/>
      <c r="AP23" s="251">
        <f t="shared" ref="AP23:AP28" si="24">AO23-F23</f>
        <v>-8</v>
      </c>
      <c r="AQ23" s="42"/>
    </row>
    <row r="24" spans="2:43" s="251" customFormat="1" ht="99.75" customHeight="1" x14ac:dyDescent="0.3">
      <c r="B24" s="421"/>
      <c r="C24" s="24">
        <f t="shared" si="12"/>
        <v>7</v>
      </c>
      <c r="D24" s="43" t="s">
        <v>30</v>
      </c>
      <c r="E24" s="26" t="s">
        <v>28</v>
      </c>
      <c r="F24" s="25">
        <v>11</v>
      </c>
      <c r="G24" s="125">
        <v>699</v>
      </c>
      <c r="H24" s="125">
        <f t="shared" si="13"/>
        <v>96.280991735537185</v>
      </c>
      <c r="I24" s="123" t="s">
        <v>78</v>
      </c>
      <c r="J24" s="123" t="s">
        <v>88</v>
      </c>
      <c r="K24" s="123" t="s">
        <v>92</v>
      </c>
      <c r="L24" s="123" t="s">
        <v>84</v>
      </c>
      <c r="M24" s="123"/>
      <c r="N24" s="129" t="s">
        <v>90</v>
      </c>
      <c r="O24" s="123" t="s">
        <v>74</v>
      </c>
      <c r="P24" s="123" t="s">
        <v>169</v>
      </c>
      <c r="Q24" s="123" t="s">
        <v>91</v>
      </c>
      <c r="R24" s="123" t="s">
        <v>89</v>
      </c>
      <c r="S24" s="124">
        <f t="shared" si="14"/>
        <v>6.5</v>
      </c>
      <c r="T24" s="27">
        <f t="shared" si="15"/>
        <v>726</v>
      </c>
      <c r="U24" s="28">
        <f>+H61</f>
        <v>726</v>
      </c>
      <c r="V24" s="44">
        <f t="shared" si="16"/>
        <v>66</v>
      </c>
      <c r="W24" s="45">
        <f t="shared" si="17"/>
        <v>1</v>
      </c>
      <c r="X24" s="46">
        <f>+K61</f>
        <v>587.32000000000005</v>
      </c>
      <c r="Y24" s="29">
        <f t="shared" si="18"/>
        <v>53.392727272727278</v>
      </c>
      <c r="Z24" s="47">
        <f t="shared" si="19"/>
        <v>0.80898071625344359</v>
      </c>
      <c r="AA24" s="48">
        <f t="shared" si="20"/>
        <v>50</v>
      </c>
      <c r="AB24" s="49">
        <f t="shared" si="21"/>
        <v>44.049000000000007</v>
      </c>
      <c r="AC24" s="139">
        <f t="shared" si="22"/>
        <v>94.049000000000007</v>
      </c>
      <c r="AD24" s="80" t="str">
        <f t="shared" si="23"/>
        <v>90~99</v>
      </c>
      <c r="AE24" s="36"/>
      <c r="AF24" s="37">
        <f>AG24-F24</f>
        <v>-11</v>
      </c>
      <c r="AG24" s="38">
        <f>AN24</f>
        <v>0</v>
      </c>
      <c r="AH24" s="251" t="s">
        <v>34</v>
      </c>
      <c r="AI24" s="39"/>
      <c r="AJ24" s="40">
        <f>IFERROR(Z24/W24*1000,"")</f>
        <v>808.98071625344357</v>
      </c>
      <c r="AK24" s="39"/>
      <c r="AL24" s="41"/>
      <c r="AM24" s="41"/>
      <c r="AN24" s="41"/>
      <c r="AP24" s="251">
        <f t="shared" si="24"/>
        <v>-11</v>
      </c>
      <c r="AQ24" s="42"/>
    </row>
    <row r="25" spans="2:43" s="251" customFormat="1" ht="97.5" customHeight="1" x14ac:dyDescent="0.3">
      <c r="B25" s="421"/>
      <c r="C25" s="24">
        <f t="shared" si="12"/>
        <v>8</v>
      </c>
      <c r="D25" s="43" t="s">
        <v>32</v>
      </c>
      <c r="E25" s="26" t="s">
        <v>29</v>
      </c>
      <c r="F25" s="25">
        <v>8.5</v>
      </c>
      <c r="G25" s="124">
        <v>326</v>
      </c>
      <c r="H25" s="124">
        <f t="shared" si="13"/>
        <v>100</v>
      </c>
      <c r="I25" s="123" t="s">
        <v>78</v>
      </c>
      <c r="J25" s="123" t="s">
        <v>88</v>
      </c>
      <c r="K25" s="123" t="s">
        <v>92</v>
      </c>
      <c r="L25" s="123" t="s">
        <v>84</v>
      </c>
      <c r="M25" s="123"/>
      <c r="N25" s="129" t="s">
        <v>90</v>
      </c>
      <c r="O25" s="123" t="s">
        <v>74</v>
      </c>
      <c r="P25" s="123" t="s">
        <v>169</v>
      </c>
      <c r="Q25" s="123" t="s">
        <v>91</v>
      </c>
      <c r="R25" s="123" t="s">
        <v>89</v>
      </c>
      <c r="S25" s="124">
        <f t="shared" si="14"/>
        <v>6.5</v>
      </c>
      <c r="T25" s="27">
        <f t="shared" si="15"/>
        <v>561</v>
      </c>
      <c r="U25" s="28">
        <f>+H64</f>
        <v>326</v>
      </c>
      <c r="V25" s="44">
        <f t="shared" si="16"/>
        <v>38.352941176470587</v>
      </c>
      <c r="W25" s="45">
        <f t="shared" si="17"/>
        <v>0.58110516934046341</v>
      </c>
      <c r="X25" s="46">
        <f>+K64</f>
        <v>631.94000000000005</v>
      </c>
      <c r="Y25" s="29">
        <f t="shared" si="18"/>
        <v>74.345882352941189</v>
      </c>
      <c r="Z25" s="47">
        <f t="shared" si="19"/>
        <v>1.1264527629233512</v>
      </c>
      <c r="AA25" s="48">
        <f t="shared" si="20"/>
        <v>29.055258467023172</v>
      </c>
      <c r="AB25" s="49">
        <f t="shared" si="21"/>
        <v>61.335352941176474</v>
      </c>
      <c r="AC25" s="139">
        <f t="shared" si="22"/>
        <v>90.390611408199646</v>
      </c>
      <c r="AD25" s="50" t="str">
        <f t="shared" si="23"/>
        <v>90~99</v>
      </c>
      <c r="AE25" s="36"/>
      <c r="AF25" s="37">
        <f>AG25-F25</f>
        <v>-8.5</v>
      </c>
      <c r="AG25" s="38">
        <f>AN25</f>
        <v>0</v>
      </c>
      <c r="AH25" s="251" t="s">
        <v>36</v>
      </c>
      <c r="AI25" s="39"/>
      <c r="AJ25" s="40">
        <f>IFERROR(Z25/W25*1000,"")</f>
        <v>1938.4662576687117</v>
      </c>
      <c r="AK25" s="39"/>
      <c r="AL25" s="41"/>
      <c r="AM25" s="41"/>
      <c r="AN25" s="41"/>
      <c r="AP25" s="251">
        <f t="shared" si="24"/>
        <v>-8.5</v>
      </c>
      <c r="AQ25" s="42"/>
    </row>
    <row r="26" spans="2:43" s="251" customFormat="1" ht="115.5" customHeight="1" x14ac:dyDescent="0.3">
      <c r="B26" s="421"/>
      <c r="C26" s="24">
        <f t="shared" si="12"/>
        <v>9</v>
      </c>
      <c r="D26" s="43" t="s">
        <v>35</v>
      </c>
      <c r="E26" s="26" t="s">
        <v>29</v>
      </c>
      <c r="F26" s="25">
        <v>11</v>
      </c>
      <c r="G26" s="124">
        <v>472</v>
      </c>
      <c r="H26" s="124">
        <f t="shared" si="13"/>
        <v>92.73084479371316</v>
      </c>
      <c r="I26" s="123" t="s">
        <v>78</v>
      </c>
      <c r="J26" s="123" t="s">
        <v>88</v>
      </c>
      <c r="K26" s="123" t="s">
        <v>92</v>
      </c>
      <c r="L26" s="123" t="s">
        <v>84</v>
      </c>
      <c r="M26" s="123"/>
      <c r="N26" s="129" t="s">
        <v>90</v>
      </c>
      <c r="O26" s="123" t="s">
        <v>74</v>
      </c>
      <c r="P26" s="123" t="s">
        <v>169</v>
      </c>
      <c r="Q26" s="123" t="s">
        <v>91</v>
      </c>
      <c r="R26" s="123" t="s">
        <v>89</v>
      </c>
      <c r="S26" s="124">
        <f t="shared" si="14"/>
        <v>6.5</v>
      </c>
      <c r="T26" s="27">
        <f t="shared" si="15"/>
        <v>726</v>
      </c>
      <c r="U26" s="28">
        <f>+H67</f>
        <v>509</v>
      </c>
      <c r="V26" s="44">
        <f t="shared" si="16"/>
        <v>46.272727272727273</v>
      </c>
      <c r="W26" s="45">
        <f t="shared" si="17"/>
        <v>0.70110192837465568</v>
      </c>
      <c r="X26" s="46">
        <f>+K67</f>
        <v>601.16</v>
      </c>
      <c r="Y26" s="44">
        <f t="shared" si="18"/>
        <v>54.650909090909089</v>
      </c>
      <c r="Z26" s="47">
        <f t="shared" si="19"/>
        <v>0.82804407713498618</v>
      </c>
      <c r="AA26" s="48">
        <f t="shared" si="20"/>
        <v>35.055096418732781</v>
      </c>
      <c r="AB26" s="49">
        <f t="shared" si="21"/>
        <v>45.087000000000003</v>
      </c>
      <c r="AC26" s="139">
        <f t="shared" si="22"/>
        <v>80.142096418732791</v>
      </c>
      <c r="AD26" s="50" t="str">
        <f t="shared" si="23"/>
        <v>80~89</v>
      </c>
      <c r="AE26" s="36"/>
      <c r="AF26" s="37">
        <f>AG26-F26</f>
        <v>-11</v>
      </c>
      <c r="AG26" s="38">
        <f>AN26</f>
        <v>0</v>
      </c>
      <c r="AH26" s="251" t="s">
        <v>33</v>
      </c>
      <c r="AI26" s="39"/>
      <c r="AJ26" s="40">
        <f>IFERROR(Z26/W26*1000,"")</f>
        <v>1181.0609037328093</v>
      </c>
      <c r="AK26" s="39"/>
      <c r="AL26" s="41"/>
      <c r="AM26" s="41"/>
      <c r="AN26" s="41"/>
      <c r="AP26" s="251">
        <f t="shared" si="24"/>
        <v>-11</v>
      </c>
      <c r="AQ26" s="42"/>
    </row>
    <row r="27" spans="2:43" s="251" customFormat="1" ht="104.25" customHeight="1" x14ac:dyDescent="0.3">
      <c r="B27" s="421"/>
      <c r="C27" s="24">
        <f t="shared" si="12"/>
        <v>10</v>
      </c>
      <c r="D27" s="43" t="s">
        <v>37</v>
      </c>
      <c r="E27" s="26" t="s">
        <v>29</v>
      </c>
      <c r="F27" s="25">
        <v>8</v>
      </c>
      <c r="G27" s="125">
        <v>379</v>
      </c>
      <c r="H27" s="130">
        <f t="shared" si="13"/>
        <v>94.51371571072319</v>
      </c>
      <c r="I27" s="123" t="s">
        <v>78</v>
      </c>
      <c r="J27" s="123" t="s">
        <v>88</v>
      </c>
      <c r="K27" s="123" t="s">
        <v>92</v>
      </c>
      <c r="L27" s="123" t="s">
        <v>84</v>
      </c>
      <c r="M27" s="123"/>
      <c r="N27" s="129" t="s">
        <v>90</v>
      </c>
      <c r="O27" s="123" t="s">
        <v>74</v>
      </c>
      <c r="P27" s="123" t="s">
        <v>169</v>
      </c>
      <c r="Q27" s="123" t="s">
        <v>91</v>
      </c>
      <c r="R27" s="123" t="s">
        <v>89</v>
      </c>
      <c r="S27" s="125">
        <f t="shared" si="14"/>
        <v>6.5</v>
      </c>
      <c r="T27" s="27">
        <f t="shared" si="15"/>
        <v>528</v>
      </c>
      <c r="U27" s="28">
        <f>+H70</f>
        <v>401</v>
      </c>
      <c r="V27" s="44">
        <f t="shared" si="16"/>
        <v>50.125</v>
      </c>
      <c r="W27" s="45">
        <f t="shared" si="17"/>
        <v>0.75946969696969702</v>
      </c>
      <c r="X27" s="46">
        <f>+K70</f>
        <v>400.35</v>
      </c>
      <c r="Y27" s="44">
        <f t="shared" si="18"/>
        <v>50.043750000000003</v>
      </c>
      <c r="Z27" s="47">
        <f t="shared" si="19"/>
        <v>0.75823863636363642</v>
      </c>
      <c r="AA27" s="48">
        <f t="shared" si="20"/>
        <v>37.973484848484851</v>
      </c>
      <c r="AB27" s="49">
        <f t="shared" si="21"/>
        <v>41.286093750000006</v>
      </c>
      <c r="AC27" s="139">
        <f t="shared" si="22"/>
        <v>79.259578598484865</v>
      </c>
      <c r="AD27" s="161" t="str">
        <f t="shared" si="23"/>
        <v xml:space="preserve"> 사유?→</v>
      </c>
      <c r="AE27" s="160" t="s">
        <v>164</v>
      </c>
      <c r="AF27" s="37">
        <f>AG27-F27</f>
        <v>-8</v>
      </c>
      <c r="AG27" s="38">
        <f>AN27</f>
        <v>0</v>
      </c>
      <c r="AH27" s="251" t="s">
        <v>46</v>
      </c>
      <c r="AI27" s="39"/>
      <c r="AJ27" s="40">
        <f>IFERROR(Z27/W27*1000,"")</f>
        <v>998.37905236907727</v>
      </c>
      <c r="AL27" s="41"/>
      <c r="AM27" s="41"/>
      <c r="AN27" s="41"/>
      <c r="AP27" s="251">
        <f t="shared" si="24"/>
        <v>-8</v>
      </c>
      <c r="AQ27" s="42"/>
    </row>
    <row r="28" spans="2:43" s="251" customFormat="1" ht="104.25" customHeight="1" x14ac:dyDescent="0.3">
      <c r="B28" s="421"/>
      <c r="C28" s="24">
        <f t="shared" si="12"/>
        <v>11</v>
      </c>
      <c r="D28" s="43" t="s">
        <v>47</v>
      </c>
      <c r="E28" s="26" t="s">
        <v>36</v>
      </c>
      <c r="F28" s="25">
        <v>8</v>
      </c>
      <c r="G28" s="124">
        <v>228</v>
      </c>
      <c r="H28" s="124">
        <f t="shared" si="13"/>
        <v>80.565371024734972</v>
      </c>
      <c r="I28" s="123" t="s">
        <v>78</v>
      </c>
      <c r="J28" s="123" t="s">
        <v>88</v>
      </c>
      <c r="K28" s="123" t="s">
        <v>92</v>
      </c>
      <c r="L28" s="123" t="s">
        <v>84</v>
      </c>
      <c r="M28" s="123"/>
      <c r="N28" s="129" t="s">
        <v>90</v>
      </c>
      <c r="O28" s="123" t="s">
        <v>74</v>
      </c>
      <c r="P28" s="123"/>
      <c r="Q28" s="123" t="s">
        <v>91</v>
      </c>
      <c r="R28" s="123" t="s">
        <v>89</v>
      </c>
      <c r="S28" s="124">
        <f t="shared" si="14"/>
        <v>6</v>
      </c>
      <c r="T28" s="254">
        <f t="shared" si="15"/>
        <v>528</v>
      </c>
      <c r="U28" s="28">
        <f>+H73</f>
        <v>283</v>
      </c>
      <c r="V28" s="29">
        <f t="shared" si="16"/>
        <v>35.375</v>
      </c>
      <c r="W28" s="30">
        <f t="shared" si="17"/>
        <v>0.53598484848484851</v>
      </c>
      <c r="X28" s="31">
        <f>+K73</f>
        <v>578.73</v>
      </c>
      <c r="Y28" s="44">
        <f t="shared" si="18"/>
        <v>72.341250000000002</v>
      </c>
      <c r="Z28" s="47">
        <f t="shared" si="19"/>
        <v>1.0960795454545456</v>
      </c>
      <c r="AA28" s="48">
        <f t="shared" si="20"/>
        <v>26.799242424242426</v>
      </c>
      <c r="AB28" s="49">
        <f t="shared" si="21"/>
        <v>59.681531250000006</v>
      </c>
      <c r="AC28" s="139">
        <f t="shared" si="22"/>
        <v>86.480773674242428</v>
      </c>
      <c r="AD28" s="50" t="str">
        <f t="shared" si="23"/>
        <v>80~89</v>
      </c>
      <c r="AE28" s="36"/>
      <c r="AF28" s="37"/>
      <c r="AG28" s="38"/>
      <c r="AI28" s="39"/>
      <c r="AJ28" s="40"/>
      <c r="AL28" s="41"/>
      <c r="AM28" s="41"/>
      <c r="AN28" s="41"/>
      <c r="AP28" s="251">
        <f t="shared" si="24"/>
        <v>-8</v>
      </c>
      <c r="AQ28" s="42"/>
    </row>
    <row r="29" spans="2:43" s="251" customFormat="1" ht="36" customHeight="1" x14ac:dyDescent="0.3">
      <c r="B29" s="422" t="s">
        <v>39</v>
      </c>
      <c r="C29" s="423"/>
      <c r="D29" s="423"/>
      <c r="E29" s="424"/>
      <c r="F29" s="43">
        <f>SUM(F23:F28)</f>
        <v>54.5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3597</v>
      </c>
      <c r="U29" s="53">
        <f>SUM(U23:U28)</f>
        <v>2759</v>
      </c>
      <c r="V29" s="54">
        <f>U29/F29</f>
        <v>50.623853211009177</v>
      </c>
      <c r="W29" s="45">
        <f t="shared" si="17"/>
        <v>0.7670280789546845</v>
      </c>
      <c r="X29" s="55">
        <f>SUM(X23:X28)</f>
        <v>3081.21</v>
      </c>
      <c r="Y29" s="44">
        <f>X29/F29</f>
        <v>56.535963302752293</v>
      </c>
      <c r="Z29" s="47">
        <f t="shared" si="19"/>
        <v>0.85660550458715601</v>
      </c>
      <c r="AA29" s="56">
        <f>U29/T29*AA20</f>
        <v>38.351403947734227</v>
      </c>
      <c r="AB29" s="57">
        <f>X29/T29*AB20</f>
        <v>46.642169724770646</v>
      </c>
      <c r="AC29" s="140">
        <f t="shared" si="22"/>
        <v>84.99357367250488</v>
      </c>
      <c r="AD29" s="58" t="str">
        <f t="shared" si="23"/>
        <v>80~89</v>
      </c>
      <c r="AE29" s="43"/>
      <c r="AF29" s="37">
        <f>AG29-F29</f>
        <v>-54.5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9.0833333333333339</v>
      </c>
      <c r="G30" s="252"/>
      <c r="H30" s="252"/>
      <c r="I30" s="252"/>
      <c r="J30" s="252"/>
      <c r="K30" s="252"/>
      <c r="L30" s="252"/>
      <c r="M30" s="252"/>
      <c r="N30" s="252"/>
      <c r="O30" s="252"/>
      <c r="P30" s="263"/>
      <c r="Q30" s="252"/>
      <c r="R30" s="252"/>
      <c r="S30" s="252"/>
      <c r="T30" s="252"/>
      <c r="U30" s="61">
        <f>V30*F30</f>
        <v>459.83333333333337</v>
      </c>
      <c r="V30" s="62">
        <f>U29/F29</f>
        <v>50.623853211009177</v>
      </c>
      <c r="W30" s="63">
        <f>IFERROR(U30/#REF!,0)</f>
        <v>0</v>
      </c>
      <c r="X30" s="64">
        <f>X29/F29*F30</f>
        <v>513.53500000000008</v>
      </c>
      <c r="Y30" s="62">
        <f>IF(F30=0,"휴무",X30/F30)</f>
        <v>56.5359633027523</v>
      </c>
      <c r="Z30" s="65">
        <f>IFERROR(X30/#REF!,0)</f>
        <v>0</v>
      </c>
      <c r="AA30" s="60">
        <f>AVERAGE(AA23:AA28)</f>
        <v>37.926220763787605</v>
      </c>
      <c r="AB30" s="60">
        <f>AVERAGE(AB23:AB28)</f>
        <v>46.748386948529422</v>
      </c>
      <c r="AC30" s="141">
        <f>AA30+AB30</f>
        <v>84.674607712317027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251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6</v>
      </c>
      <c r="F36" s="455" t="s">
        <v>7</v>
      </c>
      <c r="G36" s="82" t="s">
        <v>48</v>
      </c>
      <c r="H36" s="83">
        <v>354</v>
      </c>
      <c r="I36" s="84"/>
      <c r="J36" s="85"/>
      <c r="K36" s="86">
        <v>522.35</v>
      </c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354</v>
      </c>
      <c r="I38" s="88"/>
      <c r="J38" s="89"/>
      <c r="K38" s="90">
        <f>+K36+K37*2</f>
        <v>522.35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7</v>
      </c>
      <c r="F39" s="455" t="s">
        <v>52</v>
      </c>
      <c r="G39" s="82" t="s">
        <v>48</v>
      </c>
      <c r="H39" s="83">
        <v>599</v>
      </c>
      <c r="I39" s="84"/>
      <c r="J39" s="85"/>
      <c r="K39" s="86">
        <v>524.59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599</v>
      </c>
      <c r="I41" s="88"/>
      <c r="J41" s="89"/>
      <c r="K41" s="90">
        <f>+K39+K40*2</f>
        <v>524.59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8</v>
      </c>
      <c r="F42" s="455" t="s">
        <v>53</v>
      </c>
      <c r="G42" s="82" t="s">
        <v>48</v>
      </c>
      <c r="H42" s="83">
        <v>375</v>
      </c>
      <c r="I42" s="84"/>
      <c r="J42" s="85"/>
      <c r="K42" s="86">
        <v>437.75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375</v>
      </c>
      <c r="I44" s="88"/>
      <c r="J44" s="89"/>
      <c r="K44" s="90">
        <f>+K42+K43*2</f>
        <v>437.75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9</v>
      </c>
      <c r="F45" s="455" t="s">
        <v>55</v>
      </c>
      <c r="G45" s="82" t="s">
        <v>48</v>
      </c>
      <c r="H45" s="83">
        <v>522</v>
      </c>
      <c r="I45" s="84"/>
      <c r="J45" s="85"/>
      <c r="K45" s="86">
        <v>799.15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522</v>
      </c>
      <c r="I47" s="88"/>
      <c r="J47" s="89"/>
      <c r="K47" s="90">
        <f>+K45+K46*2</f>
        <v>799.15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10</v>
      </c>
      <c r="F48" s="455" t="s">
        <v>56</v>
      </c>
      <c r="G48" s="82" t="s">
        <v>48</v>
      </c>
      <c r="H48" s="83">
        <v>423</v>
      </c>
      <c r="I48" s="84"/>
      <c r="J48" s="85"/>
      <c r="K48" s="86">
        <v>572.6</v>
      </c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423</v>
      </c>
      <c r="I50" s="88"/>
      <c r="J50" s="89"/>
      <c r="K50" s="90">
        <f>+K48+K49*2</f>
        <v>572.6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11</v>
      </c>
      <c r="F51" s="455" t="s">
        <v>38</v>
      </c>
      <c r="G51" s="82" t="s">
        <v>48</v>
      </c>
      <c r="H51" s="83">
        <v>407</v>
      </c>
      <c r="I51" s="84"/>
      <c r="J51" s="85"/>
      <c r="K51" s="86">
        <v>358.96</v>
      </c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407</v>
      </c>
      <c r="I53" s="88"/>
      <c r="J53" s="89"/>
      <c r="K53" s="90">
        <f>+K51+K52*2</f>
        <v>358.96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6</v>
      </c>
      <c r="F56" s="455" t="s">
        <v>7</v>
      </c>
      <c r="G56" s="82" t="s">
        <v>48</v>
      </c>
      <c r="H56" s="83">
        <f>305-209</f>
        <v>96</v>
      </c>
      <c r="I56" s="84"/>
      <c r="J56" s="85"/>
      <c r="K56" s="86">
        <f>205.27-76.44</f>
        <v>128.83000000000001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>
        <v>209</v>
      </c>
      <c r="I57" s="84"/>
      <c r="J57" s="85"/>
      <c r="K57" s="86">
        <v>76.44</v>
      </c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514</v>
      </c>
      <c r="I58" s="88"/>
      <c r="J58" s="89"/>
      <c r="K58" s="90">
        <f>+K56+K57*2</f>
        <v>281.71000000000004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7</v>
      </c>
      <c r="F59" s="455" t="s">
        <v>52</v>
      </c>
      <c r="G59" s="82" t="s">
        <v>48</v>
      </c>
      <c r="H59" s="83">
        <f>701-25</f>
        <v>676</v>
      </c>
      <c r="I59" s="84"/>
      <c r="J59" s="85"/>
      <c r="K59" s="86">
        <f>575.39-11.93</f>
        <v>563.46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>
        <v>25</v>
      </c>
      <c r="I60" s="84"/>
      <c r="J60" s="85"/>
      <c r="K60" s="86">
        <v>11.93</v>
      </c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726</v>
      </c>
      <c r="I61" s="88"/>
      <c r="J61" s="89"/>
      <c r="K61" s="90">
        <f>+K59+K60*2</f>
        <v>587.32000000000005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8</v>
      </c>
      <c r="F62" s="455" t="s">
        <v>53</v>
      </c>
      <c r="G62" s="82" t="s">
        <v>48</v>
      </c>
      <c r="H62" s="83">
        <v>326</v>
      </c>
      <c r="I62" s="84"/>
      <c r="J62" s="85"/>
      <c r="K62" s="86">
        <v>631.94000000000005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/>
      <c r="I63" s="84"/>
      <c r="J63" s="85"/>
      <c r="K63" s="86"/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326</v>
      </c>
      <c r="I64" s="88"/>
      <c r="J64" s="89"/>
      <c r="K64" s="90">
        <f>+K62+K63*2</f>
        <v>631.94000000000005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9</v>
      </c>
      <c r="F65" s="455" t="s">
        <v>55</v>
      </c>
      <c r="G65" s="82" t="s">
        <v>48</v>
      </c>
      <c r="H65" s="83">
        <f>473-36</f>
        <v>437</v>
      </c>
      <c r="I65" s="84"/>
      <c r="J65" s="85"/>
      <c r="K65" s="86">
        <f>559.2-41.96</f>
        <v>517.24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>
        <v>36</v>
      </c>
      <c r="I66" s="84"/>
      <c r="J66" s="85"/>
      <c r="K66" s="86">
        <v>41.96</v>
      </c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509</v>
      </c>
      <c r="I67" s="88"/>
      <c r="J67" s="89"/>
      <c r="K67" s="90">
        <f>+K65+K66*2</f>
        <v>601.16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10</v>
      </c>
      <c r="F68" s="455" t="s">
        <v>56</v>
      </c>
      <c r="G68" s="82" t="s">
        <v>48</v>
      </c>
      <c r="H68" s="83">
        <v>377</v>
      </c>
      <c r="I68" s="84"/>
      <c r="J68" s="85"/>
      <c r="K68" s="86">
        <f>393.01-3.38-3.96</f>
        <v>385.67</v>
      </c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>
        <v>12</v>
      </c>
      <c r="I69" s="84"/>
      <c r="J69" s="85"/>
      <c r="K69" s="86">
        <f>3.38+3.96</f>
        <v>7.34</v>
      </c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401</v>
      </c>
      <c r="I70" s="88"/>
      <c r="J70" s="89"/>
      <c r="K70" s="90">
        <f>+K68+K69*2</f>
        <v>400.35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11</v>
      </c>
      <c r="F71" s="455" t="s">
        <v>38</v>
      </c>
      <c r="G71" s="82" t="s">
        <v>48</v>
      </c>
      <c r="H71" s="83">
        <f>230-53</f>
        <v>177</v>
      </c>
      <c r="I71" s="84"/>
      <c r="J71" s="85"/>
      <c r="K71" s="86">
        <f>361.96-216.77</f>
        <v>145.18999999999997</v>
      </c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>
        <v>53</v>
      </c>
      <c r="I72" s="84"/>
      <c r="J72" s="85"/>
      <c r="K72" s="86">
        <v>216.77</v>
      </c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283</v>
      </c>
      <c r="I73" s="88"/>
      <c r="J73" s="89"/>
      <c r="K73" s="90">
        <f>+K71+K72*2</f>
        <v>578.73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253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5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6">IF(F80=0,"휴무",AA80+AB80)</f>
        <v>#REF!</v>
      </c>
      <c r="AD80" s="103" t="e">
        <f t="shared" ref="AD80:AD85" si="27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251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251"/>
      <c r="AP80" s="251">
        <f>AO80-F80</f>
        <v>-10</v>
      </c>
    </row>
    <row r="81" spans="2:42" ht="98.25" customHeight="1" x14ac:dyDescent="0.3">
      <c r="B81" s="459"/>
      <c r="C81" s="92">
        <v>20</v>
      </c>
      <c r="D81" s="247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5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6"/>
        <v>#REF!</v>
      </c>
      <c r="AD81" s="108" t="e">
        <f t="shared" si="27"/>
        <v>#REF!</v>
      </c>
      <c r="AE81" s="109"/>
      <c r="AF81" s="37">
        <f>AG81-F81</f>
        <v>-10</v>
      </c>
      <c r="AG81" s="38">
        <f>AN81</f>
        <v>0</v>
      </c>
      <c r="AH81" s="251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251"/>
      <c r="AP81" s="251">
        <f>AO81-F81</f>
        <v>-10</v>
      </c>
    </row>
    <row r="82" spans="2:42" ht="98.25" customHeight="1" x14ac:dyDescent="0.3">
      <c r="B82" s="459"/>
      <c r="C82" s="92">
        <v>21</v>
      </c>
      <c r="D82" s="247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5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6"/>
        <v>#REF!</v>
      </c>
      <c r="AD82" s="108" t="e">
        <f t="shared" si="27"/>
        <v>#REF!</v>
      </c>
      <c r="AE82" s="109"/>
      <c r="AF82" s="37">
        <f>AG82-F82</f>
        <v>-10</v>
      </c>
      <c r="AG82" s="38">
        <f>AN82</f>
        <v>0</v>
      </c>
      <c r="AH82" s="251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251"/>
      <c r="AP82" s="251">
        <f>AO82-F82</f>
        <v>-10</v>
      </c>
    </row>
    <row r="83" spans="2:42" ht="98.25" customHeight="1" x14ac:dyDescent="0.3">
      <c r="B83" s="459"/>
      <c r="C83" s="92">
        <v>22</v>
      </c>
      <c r="D83" s="247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5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6"/>
        <v>#REF!</v>
      </c>
      <c r="AD83" s="110" t="e">
        <f t="shared" si="27"/>
        <v>#REF!</v>
      </c>
      <c r="AE83" s="104"/>
      <c r="AF83" s="37">
        <f>AG83-F83</f>
        <v>-10</v>
      </c>
      <c r="AG83" s="38">
        <f>AN83</f>
        <v>0</v>
      </c>
      <c r="AH83" s="251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251"/>
      <c r="AP83" s="251">
        <f>AO83-F83</f>
        <v>-10</v>
      </c>
    </row>
    <row r="84" spans="2:42" ht="98.25" customHeight="1" x14ac:dyDescent="0.3">
      <c r="B84" s="459"/>
      <c r="C84" s="92">
        <v>23</v>
      </c>
      <c r="D84" s="247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5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6"/>
        <v>#REF!</v>
      </c>
      <c r="AD84" s="110" t="e">
        <f t="shared" si="27"/>
        <v>#REF!</v>
      </c>
      <c r="AE84" s="104"/>
      <c r="AF84" s="37">
        <f>AG84-F84</f>
        <v>-10</v>
      </c>
      <c r="AG84" s="38">
        <f>AN84</f>
        <v>0</v>
      </c>
      <c r="AH84" s="251" t="s">
        <v>46</v>
      </c>
      <c r="AI84" s="39"/>
      <c r="AJ84" s="40" t="str">
        <f>IFERROR(Z84/W84*1000,"")</f>
        <v/>
      </c>
      <c r="AK84" s="251"/>
      <c r="AL84" s="41"/>
      <c r="AM84" s="41"/>
      <c r="AN84" s="41"/>
      <c r="AO84" s="251"/>
      <c r="AP84" s="251">
        <f>AO84-F84</f>
        <v>-10</v>
      </c>
    </row>
    <row r="85" spans="2:42" ht="98.25" customHeight="1" x14ac:dyDescent="0.3">
      <c r="B85" s="459"/>
      <c r="C85" s="92">
        <v>25</v>
      </c>
      <c r="D85" s="247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252"/>
      <c r="H85" s="252"/>
      <c r="I85" s="252"/>
      <c r="J85" s="252"/>
      <c r="K85" s="252"/>
      <c r="L85" s="252"/>
      <c r="M85" s="252"/>
      <c r="N85" s="252"/>
      <c r="O85" s="252"/>
      <c r="P85" s="263"/>
      <c r="Q85" s="252"/>
      <c r="R85" s="252"/>
      <c r="S85" s="252"/>
      <c r="T85" s="252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5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6"/>
        <v>휴무</v>
      </c>
      <c r="AD85" s="110" t="str">
        <f t="shared" si="27"/>
        <v>휴무</v>
      </c>
      <c r="AE85" s="104"/>
      <c r="AF85" s="37"/>
      <c r="AG85" s="38"/>
      <c r="AH85" s="251"/>
      <c r="AI85" s="39"/>
      <c r="AJ85" s="40"/>
      <c r="AK85" s="251"/>
      <c r="AL85" s="41"/>
      <c r="AM85" s="41"/>
      <c r="AN85" s="41"/>
      <c r="AO85" s="251"/>
      <c r="AP85" s="251"/>
    </row>
    <row r="86" spans="2:42" ht="36" customHeight="1" x14ac:dyDescent="0.3">
      <c r="B86" s="460" t="s">
        <v>39</v>
      </c>
      <c r="C86" s="461"/>
      <c r="D86" s="461"/>
      <c r="E86" s="462"/>
      <c r="F86" s="247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247"/>
      <c r="AB86" s="248"/>
      <c r="AC86" s="114"/>
      <c r="AD86" s="115"/>
      <c r="AE86" s="249"/>
      <c r="AF86" s="37">
        <f>AG86-F86</f>
        <v>-50</v>
      </c>
      <c r="AG86" s="38">
        <f>SUM(AG80:AG85)</f>
        <v>0</v>
      </c>
      <c r="AH86" s="251"/>
      <c r="AI86" s="251"/>
      <c r="AJ86" s="40"/>
      <c r="AK86" s="251"/>
      <c r="AL86" s="59"/>
      <c r="AM86" s="59"/>
      <c r="AN86" s="59"/>
      <c r="AO86" s="251"/>
      <c r="AP86" s="251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252"/>
      <c r="H87" s="252"/>
      <c r="I87" s="252"/>
      <c r="J87" s="252"/>
      <c r="K87" s="252"/>
      <c r="L87" s="252"/>
      <c r="M87" s="252"/>
      <c r="N87" s="252"/>
      <c r="O87" s="252"/>
      <c r="P87" s="263"/>
      <c r="Q87" s="252"/>
      <c r="R87" s="252"/>
      <c r="S87" s="252"/>
      <c r="T87" s="252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251"/>
      <c r="AE88" s="251"/>
      <c r="AF88" s="251"/>
      <c r="AG88" s="251"/>
      <c r="AH88" s="251"/>
      <c r="AI88" s="251"/>
      <c r="AJ88" s="251"/>
      <c r="AK88" s="251"/>
      <c r="AL88" s="59"/>
      <c r="AM88" s="59"/>
      <c r="AN88" s="59"/>
      <c r="AO88" s="251"/>
      <c r="AP88" s="251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247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247" t="s">
        <v>63</v>
      </c>
      <c r="D117" s="466" t="s">
        <v>12</v>
      </c>
      <c r="E117" s="466"/>
      <c r="F117" s="247" t="s">
        <v>64</v>
      </c>
      <c r="G117" s="247"/>
      <c r="H117" s="247"/>
      <c r="I117" s="247"/>
      <c r="J117" s="247"/>
      <c r="K117" s="247"/>
      <c r="L117" s="247"/>
      <c r="M117" s="247"/>
      <c r="N117" s="247"/>
      <c r="O117" s="247"/>
      <c r="P117" s="264"/>
      <c r="Q117" s="247"/>
      <c r="R117" s="247"/>
      <c r="S117" s="247"/>
      <c r="T117" s="247"/>
      <c r="U117" s="247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247"/>
      <c r="G118" s="247"/>
      <c r="H118" s="247"/>
      <c r="I118" s="247"/>
      <c r="J118" s="247"/>
      <c r="K118" s="247"/>
      <c r="L118" s="247"/>
      <c r="M118" s="247"/>
      <c r="N118" s="247"/>
      <c r="O118" s="247"/>
      <c r="P118" s="264"/>
      <c r="Q118" s="247"/>
      <c r="R118" s="247"/>
      <c r="S118" s="247"/>
      <c r="T118" s="247"/>
      <c r="U118" s="247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247"/>
      <c r="G119" s="247"/>
      <c r="H119" s="247"/>
      <c r="I119" s="247"/>
      <c r="J119" s="247"/>
      <c r="K119" s="247"/>
      <c r="L119" s="247"/>
      <c r="M119" s="247"/>
      <c r="N119" s="247"/>
      <c r="O119" s="247"/>
      <c r="P119" s="264"/>
      <c r="Q119" s="247"/>
      <c r="R119" s="247"/>
      <c r="S119" s="247"/>
      <c r="T119" s="247"/>
      <c r="U119" s="247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247"/>
      <c r="G120" s="247"/>
      <c r="H120" s="247"/>
      <c r="I120" s="247"/>
      <c r="J120" s="247"/>
      <c r="K120" s="247"/>
      <c r="L120" s="247"/>
      <c r="M120" s="247"/>
      <c r="N120" s="247"/>
      <c r="O120" s="247"/>
      <c r="P120" s="264"/>
      <c r="Q120" s="247"/>
      <c r="R120" s="247"/>
      <c r="S120" s="247"/>
      <c r="T120" s="247"/>
      <c r="U120" s="247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247"/>
      <c r="G121" s="247"/>
      <c r="H121" s="247"/>
      <c r="I121" s="247"/>
      <c r="J121" s="247"/>
      <c r="K121" s="247"/>
      <c r="L121" s="247"/>
      <c r="M121" s="247"/>
      <c r="N121" s="247"/>
      <c r="O121" s="247"/>
      <c r="P121" s="264"/>
      <c r="Q121" s="247"/>
      <c r="R121" s="247"/>
      <c r="S121" s="247"/>
      <c r="T121" s="247"/>
      <c r="U121" s="247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247"/>
      <c r="G122" s="247"/>
      <c r="H122" s="247"/>
      <c r="I122" s="247"/>
      <c r="J122" s="247"/>
      <c r="K122" s="247"/>
      <c r="L122" s="247"/>
      <c r="M122" s="247"/>
      <c r="N122" s="247"/>
      <c r="O122" s="247"/>
      <c r="P122" s="264"/>
      <c r="Q122" s="247"/>
      <c r="R122" s="247"/>
      <c r="S122" s="247"/>
      <c r="T122" s="247"/>
      <c r="U122" s="247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247"/>
      <c r="G123" s="247"/>
      <c r="H123" s="247"/>
      <c r="I123" s="247"/>
      <c r="J123" s="247"/>
      <c r="K123" s="247"/>
      <c r="L123" s="247"/>
      <c r="M123" s="247"/>
      <c r="N123" s="247"/>
      <c r="O123" s="247"/>
      <c r="P123" s="264"/>
      <c r="Q123" s="247"/>
      <c r="R123" s="247"/>
      <c r="S123" s="247"/>
      <c r="T123" s="247"/>
      <c r="U123" s="247"/>
      <c r="V123" s="117"/>
      <c r="W123" s="118"/>
      <c r="X123" s="116"/>
      <c r="Y123" s="117"/>
      <c r="Z123" s="116"/>
      <c r="AA123" s="116"/>
    </row>
    <row r="124" spans="3:27" x14ac:dyDescent="0.3">
      <c r="C124" s="247"/>
      <c r="D124" s="460"/>
      <c r="E124" s="462"/>
      <c r="F124" s="247"/>
      <c r="G124" s="247"/>
      <c r="H124" s="247"/>
      <c r="I124" s="247"/>
      <c r="J124" s="247"/>
      <c r="K124" s="247"/>
      <c r="L124" s="247"/>
      <c r="M124" s="247"/>
      <c r="N124" s="247"/>
      <c r="O124" s="247"/>
      <c r="P124" s="264"/>
      <c r="Q124" s="247"/>
      <c r="R124" s="247"/>
      <c r="S124" s="247"/>
      <c r="T124" s="247"/>
      <c r="U124" s="247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247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247" t="s">
        <v>63</v>
      </c>
      <c r="D127" s="466" t="s">
        <v>12</v>
      </c>
      <c r="E127" s="466"/>
      <c r="F127" s="247" t="s">
        <v>64</v>
      </c>
      <c r="G127" s="247"/>
      <c r="H127" s="247"/>
      <c r="I127" s="247"/>
      <c r="J127" s="247"/>
      <c r="K127" s="247"/>
      <c r="L127" s="247"/>
      <c r="M127" s="247"/>
      <c r="N127" s="247"/>
      <c r="O127" s="247"/>
      <c r="P127" s="264"/>
      <c r="Q127" s="247"/>
      <c r="R127" s="247"/>
      <c r="S127" s="247"/>
      <c r="T127" s="247"/>
      <c r="U127" s="247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247"/>
      <c r="G128" s="247"/>
      <c r="H128" s="247"/>
      <c r="I128" s="247"/>
      <c r="J128" s="247"/>
      <c r="K128" s="247"/>
      <c r="L128" s="247"/>
      <c r="M128" s="247"/>
      <c r="N128" s="247"/>
      <c r="O128" s="247"/>
      <c r="P128" s="264"/>
      <c r="Q128" s="247"/>
      <c r="R128" s="247"/>
      <c r="S128" s="247"/>
      <c r="T128" s="247"/>
      <c r="U128" s="247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247"/>
      <c r="G129" s="247"/>
      <c r="H129" s="247"/>
      <c r="I129" s="247"/>
      <c r="J129" s="247"/>
      <c r="K129" s="247"/>
      <c r="L129" s="247"/>
      <c r="M129" s="247"/>
      <c r="N129" s="247"/>
      <c r="O129" s="247"/>
      <c r="P129" s="264"/>
      <c r="Q129" s="247"/>
      <c r="R129" s="247"/>
      <c r="S129" s="247"/>
      <c r="T129" s="247"/>
      <c r="U129" s="247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247"/>
      <c r="G130" s="247"/>
      <c r="H130" s="247"/>
      <c r="I130" s="247"/>
      <c r="J130" s="247"/>
      <c r="K130" s="247"/>
      <c r="L130" s="247"/>
      <c r="M130" s="247"/>
      <c r="N130" s="247"/>
      <c r="O130" s="247"/>
      <c r="P130" s="264"/>
      <c r="Q130" s="247"/>
      <c r="R130" s="247"/>
      <c r="S130" s="247"/>
      <c r="T130" s="247"/>
      <c r="U130" s="247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247"/>
      <c r="G131" s="247"/>
      <c r="H131" s="247"/>
      <c r="I131" s="247"/>
      <c r="J131" s="247"/>
      <c r="K131" s="247"/>
      <c r="L131" s="247"/>
      <c r="M131" s="247"/>
      <c r="N131" s="247"/>
      <c r="O131" s="247"/>
      <c r="P131" s="264"/>
      <c r="Q131" s="247"/>
      <c r="R131" s="247"/>
      <c r="S131" s="247"/>
      <c r="T131" s="247"/>
      <c r="U131" s="247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247"/>
      <c r="G132" s="247"/>
      <c r="H132" s="247"/>
      <c r="I132" s="247"/>
      <c r="J132" s="247"/>
      <c r="K132" s="247"/>
      <c r="L132" s="247"/>
      <c r="M132" s="247"/>
      <c r="N132" s="247"/>
      <c r="O132" s="247"/>
      <c r="P132" s="264"/>
      <c r="Q132" s="247"/>
      <c r="R132" s="247"/>
      <c r="S132" s="247"/>
      <c r="T132" s="247"/>
      <c r="U132" s="247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247"/>
      <c r="G133" s="247"/>
      <c r="H133" s="247"/>
      <c r="I133" s="247"/>
      <c r="J133" s="247"/>
      <c r="K133" s="247"/>
      <c r="L133" s="247"/>
      <c r="M133" s="247"/>
      <c r="N133" s="247"/>
      <c r="O133" s="247"/>
      <c r="P133" s="264"/>
      <c r="Q133" s="247"/>
      <c r="R133" s="247"/>
      <c r="S133" s="247"/>
      <c r="T133" s="247"/>
      <c r="U133" s="247"/>
      <c r="V133" s="117"/>
      <c r="W133" s="118"/>
      <c r="X133" s="116"/>
      <c r="Y133" s="117"/>
      <c r="Z133" s="116"/>
      <c r="AA133" s="116"/>
    </row>
    <row r="134" spans="3:27" x14ac:dyDescent="0.3">
      <c r="C134" s="247"/>
      <c r="D134" s="460"/>
      <c r="E134" s="462"/>
      <c r="F134" s="247"/>
      <c r="G134" s="247"/>
      <c r="H134" s="247"/>
      <c r="I134" s="247"/>
      <c r="J134" s="247"/>
      <c r="K134" s="247"/>
      <c r="L134" s="247"/>
      <c r="M134" s="247"/>
      <c r="N134" s="247"/>
      <c r="O134" s="247"/>
      <c r="P134" s="264"/>
      <c r="Q134" s="247"/>
      <c r="R134" s="247"/>
      <c r="S134" s="247"/>
      <c r="T134" s="247"/>
      <c r="U134" s="247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247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247" t="s">
        <v>63</v>
      </c>
      <c r="D137" s="466" t="s">
        <v>12</v>
      </c>
      <c r="E137" s="466"/>
      <c r="F137" s="247" t="s">
        <v>64</v>
      </c>
      <c r="G137" s="247"/>
      <c r="H137" s="247"/>
      <c r="I137" s="247"/>
      <c r="J137" s="247"/>
      <c r="K137" s="247"/>
      <c r="L137" s="247"/>
      <c r="M137" s="247"/>
      <c r="N137" s="247"/>
      <c r="O137" s="247"/>
      <c r="P137" s="264"/>
      <c r="Q137" s="247"/>
      <c r="R137" s="247"/>
      <c r="S137" s="247"/>
      <c r="T137" s="247"/>
      <c r="U137" s="247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247"/>
      <c r="G138" s="247"/>
      <c r="H138" s="247"/>
      <c r="I138" s="247"/>
      <c r="J138" s="247"/>
      <c r="K138" s="247"/>
      <c r="L138" s="247"/>
      <c r="M138" s="247"/>
      <c r="N138" s="247"/>
      <c r="O138" s="247"/>
      <c r="P138" s="264"/>
      <c r="Q138" s="247"/>
      <c r="R138" s="247"/>
      <c r="S138" s="247"/>
      <c r="T138" s="247"/>
      <c r="U138" s="247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247"/>
      <c r="G139" s="247"/>
      <c r="H139" s="247"/>
      <c r="I139" s="247"/>
      <c r="J139" s="247"/>
      <c r="K139" s="247"/>
      <c r="L139" s="247"/>
      <c r="M139" s="247"/>
      <c r="N139" s="247"/>
      <c r="O139" s="247"/>
      <c r="P139" s="264"/>
      <c r="Q139" s="247"/>
      <c r="R139" s="247"/>
      <c r="S139" s="247"/>
      <c r="T139" s="247"/>
      <c r="U139" s="247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247"/>
      <c r="G140" s="247"/>
      <c r="H140" s="247"/>
      <c r="I140" s="247"/>
      <c r="J140" s="247"/>
      <c r="K140" s="247"/>
      <c r="L140" s="247"/>
      <c r="M140" s="247"/>
      <c r="N140" s="247"/>
      <c r="O140" s="247"/>
      <c r="P140" s="264"/>
      <c r="Q140" s="247"/>
      <c r="R140" s="247"/>
      <c r="S140" s="247"/>
      <c r="T140" s="247"/>
      <c r="U140" s="247"/>
    </row>
    <row r="141" spans="3:27" x14ac:dyDescent="0.3">
      <c r="C141" s="119">
        <v>45078</v>
      </c>
      <c r="D141" s="466"/>
      <c r="E141" s="466"/>
      <c r="F141" s="247"/>
      <c r="G141" s="247"/>
      <c r="H141" s="247"/>
      <c r="I141" s="247"/>
      <c r="J141" s="247"/>
      <c r="K141" s="247"/>
      <c r="L141" s="247"/>
      <c r="M141" s="247"/>
      <c r="N141" s="247"/>
      <c r="O141" s="247"/>
      <c r="P141" s="264"/>
      <c r="Q141" s="247"/>
      <c r="R141" s="247"/>
      <c r="S141" s="247"/>
      <c r="T141" s="247"/>
      <c r="U141" s="247"/>
    </row>
    <row r="142" spans="3:27" x14ac:dyDescent="0.3">
      <c r="C142" s="119">
        <v>45079</v>
      </c>
      <c r="D142" s="466"/>
      <c r="E142" s="466"/>
      <c r="F142" s="247"/>
      <c r="G142" s="247"/>
      <c r="H142" s="247"/>
      <c r="I142" s="247"/>
      <c r="J142" s="247"/>
      <c r="K142" s="247"/>
      <c r="L142" s="247"/>
      <c r="M142" s="247"/>
      <c r="N142" s="247"/>
      <c r="O142" s="247"/>
      <c r="P142" s="264"/>
      <c r="Q142" s="247"/>
      <c r="R142" s="247"/>
      <c r="S142" s="247"/>
      <c r="T142" s="247"/>
      <c r="U142" s="247"/>
    </row>
    <row r="143" spans="3:27" x14ac:dyDescent="0.3">
      <c r="C143" s="119">
        <v>45080</v>
      </c>
      <c r="D143" s="466"/>
      <c r="E143" s="466"/>
      <c r="F143" s="247"/>
      <c r="G143" s="247"/>
      <c r="H143" s="247"/>
      <c r="I143" s="247"/>
      <c r="J143" s="247"/>
      <c r="K143" s="247"/>
      <c r="L143" s="247"/>
      <c r="M143" s="247"/>
      <c r="N143" s="247"/>
      <c r="O143" s="247"/>
      <c r="P143" s="264"/>
      <c r="Q143" s="247"/>
      <c r="R143" s="247"/>
      <c r="S143" s="247"/>
      <c r="T143" s="247"/>
      <c r="U143" s="247"/>
    </row>
    <row r="144" spans="3:27" x14ac:dyDescent="0.3">
      <c r="C144" s="247"/>
      <c r="D144" s="460"/>
      <c r="E144" s="462"/>
      <c r="F144" s="247"/>
      <c r="G144" s="247"/>
      <c r="H144" s="247"/>
      <c r="I144" s="247"/>
      <c r="J144" s="247"/>
      <c r="K144" s="247"/>
      <c r="L144" s="247"/>
      <c r="M144" s="247"/>
      <c r="N144" s="247"/>
      <c r="O144" s="247"/>
      <c r="P144" s="264"/>
      <c r="Q144" s="247"/>
      <c r="R144" s="247"/>
      <c r="S144" s="247"/>
      <c r="T144" s="247"/>
      <c r="U144" s="247"/>
    </row>
  </sheetData>
  <mergeCells count="113">
    <mergeCell ref="U5:W5"/>
    <mergeCell ref="X5:Z5"/>
    <mergeCell ref="AC5:AC6"/>
    <mergeCell ref="AD5:AD6"/>
    <mergeCell ref="AE5:AE6"/>
    <mergeCell ref="B7:B12"/>
    <mergeCell ref="B2:AE2"/>
    <mergeCell ref="B3:AE3"/>
    <mergeCell ref="B5:C6"/>
    <mergeCell ref="D5:D6"/>
    <mergeCell ref="E5:E6"/>
    <mergeCell ref="F5:F6"/>
    <mergeCell ref="G5:G6"/>
    <mergeCell ref="H5:H6"/>
    <mergeCell ref="I5:S5"/>
    <mergeCell ref="T5:T6"/>
    <mergeCell ref="B13:E13"/>
    <mergeCell ref="B14:E14"/>
    <mergeCell ref="B19:AE19"/>
    <mergeCell ref="B21:B22"/>
    <mergeCell ref="C21:C22"/>
    <mergeCell ref="D21:D22"/>
    <mergeCell ref="E21:E22"/>
    <mergeCell ref="F21:F22"/>
    <mergeCell ref="G21:G22"/>
    <mergeCell ref="H21:H22"/>
    <mergeCell ref="AC21:AC22"/>
    <mergeCell ref="AD21:AD22"/>
    <mergeCell ref="AE21:AE22"/>
    <mergeCell ref="B23:B28"/>
    <mergeCell ref="B29:E29"/>
    <mergeCell ref="B30:E30"/>
    <mergeCell ref="I21:S21"/>
    <mergeCell ref="T21:T22"/>
    <mergeCell ref="U21:W21"/>
    <mergeCell ref="X21:Z21"/>
    <mergeCell ref="AA21:AA22"/>
    <mergeCell ref="AB21:AB22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AE78:AE79"/>
    <mergeCell ref="B80:B85"/>
    <mergeCell ref="B86:E86"/>
    <mergeCell ref="B87:E87"/>
    <mergeCell ref="E92:E94"/>
    <mergeCell ref="F92:F94"/>
    <mergeCell ref="B76:AE76"/>
    <mergeCell ref="B78:B79"/>
    <mergeCell ref="C78:C79"/>
    <mergeCell ref="D78:D79"/>
    <mergeCell ref="E78:E79"/>
    <mergeCell ref="F78:F79"/>
    <mergeCell ref="U78:W78"/>
    <mergeCell ref="X78:Z78"/>
    <mergeCell ref="AC78:AC79"/>
    <mergeCell ref="AD78:AD79"/>
    <mergeCell ref="E104:E106"/>
    <mergeCell ref="F104:F106"/>
    <mergeCell ref="E107:E109"/>
    <mergeCell ref="F107:F109"/>
    <mergeCell ref="C114:U114"/>
    <mergeCell ref="D117:E117"/>
    <mergeCell ref="E95:E97"/>
    <mergeCell ref="F95:F97"/>
    <mergeCell ref="E98:E100"/>
    <mergeCell ref="F98:F100"/>
    <mergeCell ref="E101:E103"/>
    <mergeCell ref="F101:F103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</mergeCells>
  <phoneticPr fontId="4" type="noConversion"/>
  <dataValidations count="3">
    <dataValidation type="list" allowBlank="1" showInputMessage="1" showErrorMessage="1" sqref="E12 E28 E8 E24">
      <formula1>$U$7:$U$12</formula1>
    </dataValidation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 E9:E11 E7 E23 E25:E27">
      <formula1>$AH$7:$AH$12</formula1>
    </dataValidation>
  </dataValidations>
  <pageMargins left="0.62992125984251968" right="0.62992125984251968" top="0.94488188976377963" bottom="0.55118110236220474" header="0.31496062992125984" footer="0.31496062992125984"/>
  <pageSetup paperSize="9" scale="26" orientation="landscape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Z144"/>
  <sheetViews>
    <sheetView showGridLines="0" zoomScale="70" zoomScaleNormal="70" workbookViewId="0">
      <pane xSplit="4" ySplit="6" topLeftCell="E25" activePane="bottomRight" state="frozen"/>
      <selection pane="topRight" activeCell="D1" sqref="D1"/>
      <selection pane="bottomLeft" activeCell="A6" sqref="A6"/>
      <selection pane="bottomRight" activeCell="X25" sqref="X25:X27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20" width="8.625" style="8" customWidth="1"/>
    <col min="21" max="21" width="10.75" style="75" customWidth="1"/>
    <col min="22" max="22" width="10.875" style="10" customWidth="1"/>
    <col min="23" max="23" width="7.375" style="11" customWidth="1"/>
    <col min="24" max="24" width="12.25" customWidth="1"/>
    <col min="25" max="25" width="7.75" style="10" customWidth="1"/>
    <col min="26" max="26" width="10.375" customWidth="1"/>
    <col min="27" max="27" width="9.5" customWidth="1"/>
    <col min="28" max="28" width="10" customWidth="1"/>
    <col min="29" max="29" width="7.125" customWidth="1"/>
    <col min="30" max="30" width="8.375" customWidth="1"/>
    <col min="31" max="31" width="56.375" customWidth="1"/>
    <col min="32" max="33" width="9.125" hidden="1" customWidth="1"/>
    <col min="34" max="34" width="8.75" hidden="1" customWidth="1"/>
    <col min="35" max="35" width="2.75" hidden="1" customWidth="1"/>
    <col min="36" max="36" width="9.125" hidden="1" customWidth="1"/>
    <col min="37" max="37" width="0" hidden="1" customWidth="1"/>
    <col min="38" max="40" width="9.125" style="1" hidden="1" customWidth="1"/>
    <col min="41" max="42" width="0" hidden="1" customWidth="1"/>
    <col min="43" max="43" width="11.75" hidden="1" customWidth="1"/>
    <col min="44" max="44" width="3.25" customWidth="1"/>
  </cols>
  <sheetData>
    <row r="2" spans="2:52" ht="20.25" x14ac:dyDescent="0.3">
      <c r="B2" s="425" t="s">
        <v>160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E2" s="425"/>
      <c r="AW2" s="2" t="s">
        <v>0</v>
      </c>
      <c r="AX2" s="238" t="s">
        <v>1</v>
      </c>
      <c r="AY2" s="238" t="s">
        <v>2</v>
      </c>
      <c r="AZ2" s="3" t="s">
        <v>3</v>
      </c>
    </row>
    <row r="3" spans="2:52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E3" s="464"/>
      <c r="AW3" s="4"/>
      <c r="AX3" s="5"/>
      <c r="AY3" s="5"/>
      <c r="AZ3" s="6"/>
    </row>
    <row r="4" spans="2:52" x14ac:dyDescent="0.3">
      <c r="B4" t="s">
        <v>5</v>
      </c>
      <c r="D4" s="7">
        <v>55</v>
      </c>
      <c r="F4" s="8" t="s">
        <v>6</v>
      </c>
      <c r="U4" s="9">
        <v>1.2</v>
      </c>
      <c r="AA4" s="12">
        <v>50</v>
      </c>
      <c r="AB4" s="11">
        <f>50*10.89/10</f>
        <v>54.45</v>
      </c>
      <c r="AC4" s="12"/>
      <c r="AE4" s="8"/>
    </row>
    <row r="5" spans="2:52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7"/>
      <c r="S5" s="438"/>
      <c r="T5" s="439" t="s">
        <v>11</v>
      </c>
      <c r="U5" s="441" t="s">
        <v>12</v>
      </c>
      <c r="V5" s="418"/>
      <c r="W5" s="442"/>
      <c r="X5" s="446" t="s">
        <v>13</v>
      </c>
      <c r="Y5" s="418"/>
      <c r="Z5" s="418"/>
      <c r="AA5" s="13"/>
      <c r="AB5" s="14"/>
      <c r="AC5" s="447" t="s">
        <v>14</v>
      </c>
      <c r="AD5" s="449" t="s">
        <v>15</v>
      </c>
      <c r="AE5" s="418" t="s">
        <v>16</v>
      </c>
    </row>
    <row r="6" spans="2:52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236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75</v>
      </c>
      <c r="Q6" s="18" t="s">
        <v>76</v>
      </c>
      <c r="R6" s="18" t="s">
        <v>77</v>
      </c>
      <c r="S6" s="127" t="s">
        <v>80</v>
      </c>
      <c r="T6" s="440"/>
      <c r="U6" s="15" t="s">
        <v>12</v>
      </c>
      <c r="V6" s="16" t="s">
        <v>17</v>
      </c>
      <c r="W6" s="17" t="s">
        <v>18</v>
      </c>
      <c r="X6" s="18" t="s">
        <v>13</v>
      </c>
      <c r="Y6" s="16" t="s">
        <v>19</v>
      </c>
      <c r="Z6" s="19" t="s">
        <v>18</v>
      </c>
      <c r="AA6" s="236" t="s">
        <v>20</v>
      </c>
      <c r="AB6" s="20" t="s">
        <v>21</v>
      </c>
      <c r="AC6" s="448"/>
      <c r="AD6" s="450"/>
      <c r="AE6" s="419"/>
      <c r="AF6" s="21" t="s">
        <v>22</v>
      </c>
      <c r="AG6" s="21" t="s">
        <v>23</v>
      </c>
      <c r="AJ6" s="22" t="s">
        <v>24</v>
      </c>
      <c r="AL6" s="23" t="s">
        <v>25</v>
      </c>
      <c r="AM6" s="23" t="s">
        <v>26</v>
      </c>
      <c r="AN6" s="23" t="s">
        <v>27</v>
      </c>
      <c r="AP6" s="22">
        <f>SUM(AP7:AP12)</f>
        <v>-39.25</v>
      </c>
    </row>
    <row r="7" spans="2:52" s="242" customFormat="1" ht="99" customHeight="1" thickTop="1" x14ac:dyDescent="0.3">
      <c r="B7" s="420">
        <v>3</v>
      </c>
      <c r="C7" s="24">
        <v>30</v>
      </c>
      <c r="D7" s="25" t="s">
        <v>7</v>
      </c>
      <c r="E7" s="26" t="s">
        <v>29</v>
      </c>
      <c r="F7" s="25">
        <v>8</v>
      </c>
      <c r="G7" s="128">
        <v>454</v>
      </c>
      <c r="H7" s="128">
        <f>(G7/U7)*100</f>
        <v>99.780219780219781</v>
      </c>
      <c r="I7" s="123" t="s">
        <v>85</v>
      </c>
      <c r="J7" s="123" t="s">
        <v>86</v>
      </c>
      <c r="K7" s="123" t="s">
        <v>73</v>
      </c>
      <c r="L7" s="123" t="s">
        <v>87</v>
      </c>
      <c r="M7" s="123"/>
      <c r="N7" s="129" t="s">
        <v>90</v>
      </c>
      <c r="O7" s="123" t="s">
        <v>74</v>
      </c>
      <c r="P7" s="123" t="s">
        <v>74</v>
      </c>
      <c r="Q7" s="123" t="s">
        <v>91</v>
      </c>
      <c r="R7" s="123" t="s">
        <v>89</v>
      </c>
      <c r="S7" s="125">
        <f t="shared" ref="S7:S13" si="0">COUNTA(I7:M7)+COUNTA(N7:R7)/2</f>
        <v>6.5</v>
      </c>
      <c r="T7" s="27">
        <f t="shared" ref="T7:T12" si="1">F7*$D$4*$U$4</f>
        <v>528</v>
      </c>
      <c r="U7" s="28">
        <f>+H38</f>
        <v>455</v>
      </c>
      <c r="V7" s="29">
        <f t="shared" ref="V7:V12" si="2">IF(F7=0,"휴무",U7/F7)</f>
        <v>56.875</v>
      </c>
      <c r="W7" s="30">
        <f t="shared" ref="W7:W13" si="3">IFERROR(U7/T7,0)</f>
        <v>0.8617424242424242</v>
      </c>
      <c r="X7" s="31">
        <f>+K38</f>
        <v>365.79</v>
      </c>
      <c r="Y7" s="29">
        <f t="shared" ref="Y7:Y12" si="4">IF(F7=0,"휴무",X7/F7)</f>
        <v>45.723750000000003</v>
      </c>
      <c r="Z7" s="32">
        <f t="shared" ref="Z7:Z13" si="5">IFERROR(X7/T7,0)</f>
        <v>0.69278409090909099</v>
      </c>
      <c r="AA7" s="33">
        <f t="shared" ref="AA7:AA12" si="6">IF(F7=0,"휴무",U7/T7*$AA$4)</f>
        <v>43.087121212121211</v>
      </c>
      <c r="AB7" s="34">
        <f t="shared" ref="AB7:AB12" si="7">IF(F7=0,"휴무",X7/T7*$AB$4)</f>
        <v>37.722093750000006</v>
      </c>
      <c r="AC7" s="138">
        <f t="shared" ref="AC7:AC13" si="8">IF(F7=0,"휴무",AA7+AB7)</f>
        <v>80.809214962121217</v>
      </c>
      <c r="AD7" s="35" t="str">
        <f t="shared" ref="AD7:AD13" si="9">IF(F7=0,"휴무",IF(AC7&gt;=100,"좋아요",IF(AC7&gt;=90,"90~99",IF(AC7&gt;=80,"80~89"," 사유?→"))))</f>
        <v>80~89</v>
      </c>
      <c r="AE7" s="36"/>
      <c r="AF7" s="37">
        <f>AG7-F7</f>
        <v>-8</v>
      </c>
      <c r="AG7" s="38">
        <f>AN7</f>
        <v>0</v>
      </c>
      <c r="AH7" s="242" t="s">
        <v>29</v>
      </c>
      <c r="AI7" s="39"/>
      <c r="AJ7" s="40">
        <f>IFERROR(Z7/W7*1000,"")</f>
        <v>803.93406593406598</v>
      </c>
      <c r="AK7" s="39"/>
      <c r="AL7" s="41"/>
      <c r="AM7" s="41"/>
      <c r="AN7" s="41"/>
      <c r="AP7" s="242">
        <f t="shared" ref="AP7:AP12" si="10">AO7-F7</f>
        <v>-8</v>
      </c>
      <c r="AQ7" s="42"/>
    </row>
    <row r="8" spans="2:52" s="242" customFormat="1" ht="99.75" customHeight="1" x14ac:dyDescent="0.3">
      <c r="B8" s="468"/>
      <c r="C8" s="24">
        <f>+C7+1</f>
        <v>31</v>
      </c>
      <c r="D8" s="43" t="s">
        <v>30</v>
      </c>
      <c r="E8" s="26" t="s">
        <v>29</v>
      </c>
      <c r="F8" s="25">
        <v>8</v>
      </c>
      <c r="G8" s="125">
        <v>55</v>
      </c>
      <c r="H8" s="125">
        <f>(G8/U8)*100</f>
        <v>12.614678899082568</v>
      </c>
      <c r="I8" s="123" t="s">
        <v>85</v>
      </c>
      <c r="J8" s="123" t="s">
        <v>86</v>
      </c>
      <c r="K8" s="123" t="s">
        <v>73</v>
      </c>
      <c r="L8" s="123" t="s">
        <v>87</v>
      </c>
      <c r="M8" s="123"/>
      <c r="N8" s="129" t="s">
        <v>90</v>
      </c>
      <c r="O8" s="123" t="s">
        <v>74</v>
      </c>
      <c r="P8" s="123" t="s">
        <v>74</v>
      </c>
      <c r="Q8" s="123" t="s">
        <v>91</v>
      </c>
      <c r="R8" s="123" t="s">
        <v>89</v>
      </c>
      <c r="S8" s="125">
        <f t="shared" si="0"/>
        <v>6.5</v>
      </c>
      <c r="T8" s="27">
        <f t="shared" si="1"/>
        <v>528</v>
      </c>
      <c r="U8" s="28">
        <f>+H41</f>
        <v>436</v>
      </c>
      <c r="V8" s="44">
        <f t="shared" si="2"/>
        <v>54.5</v>
      </c>
      <c r="W8" s="45">
        <f t="shared" si="3"/>
        <v>0.8257575757575758</v>
      </c>
      <c r="X8" s="46">
        <f>+K41</f>
        <v>368.78</v>
      </c>
      <c r="Y8" s="29">
        <f t="shared" si="4"/>
        <v>46.097499999999997</v>
      </c>
      <c r="Z8" s="47">
        <f t="shared" si="5"/>
        <v>0.69844696969696962</v>
      </c>
      <c r="AA8" s="48">
        <f t="shared" si="6"/>
        <v>41.287878787878789</v>
      </c>
      <c r="AB8" s="49">
        <f t="shared" si="7"/>
        <v>38.030437499999998</v>
      </c>
      <c r="AC8" s="139">
        <f t="shared" si="8"/>
        <v>79.318316287878787</v>
      </c>
      <c r="AD8" s="161" t="str">
        <f t="shared" si="9"/>
        <v xml:space="preserve"> 사유?→</v>
      </c>
      <c r="AE8" s="160" t="s">
        <v>156</v>
      </c>
      <c r="AF8" s="37">
        <f>AG8-F8</f>
        <v>-8</v>
      </c>
      <c r="AG8" s="38">
        <f>AN8</f>
        <v>0</v>
      </c>
      <c r="AH8" s="242" t="s">
        <v>31</v>
      </c>
      <c r="AI8" s="39"/>
      <c r="AJ8" s="40">
        <f>IFERROR(Z8/W8*1000,"")</f>
        <v>845.8256880733943</v>
      </c>
      <c r="AK8" s="39"/>
      <c r="AL8" s="41"/>
      <c r="AM8" s="41"/>
      <c r="AN8" s="41"/>
      <c r="AP8" s="242">
        <f t="shared" si="10"/>
        <v>-8</v>
      </c>
      <c r="AQ8" s="42"/>
    </row>
    <row r="9" spans="2:52" s="242" customFormat="1" ht="97.5" customHeight="1" x14ac:dyDescent="0.3">
      <c r="B9" s="421">
        <v>4</v>
      </c>
      <c r="C9" s="24">
        <v>1</v>
      </c>
      <c r="D9" s="43" t="s">
        <v>32</v>
      </c>
      <c r="E9" s="26" t="s">
        <v>29</v>
      </c>
      <c r="F9" s="25">
        <v>8</v>
      </c>
      <c r="G9" s="125">
        <v>226</v>
      </c>
      <c r="H9" s="125">
        <f>(G9/U9)*100</f>
        <v>52.314814814814817</v>
      </c>
      <c r="I9" s="123" t="s">
        <v>85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169</v>
      </c>
      <c r="Q9" s="123" t="s">
        <v>91</v>
      </c>
      <c r="R9" s="123" t="s">
        <v>89</v>
      </c>
      <c r="S9" s="125">
        <f t="shared" si="0"/>
        <v>6.5</v>
      </c>
      <c r="T9" s="27">
        <f t="shared" si="1"/>
        <v>528</v>
      </c>
      <c r="U9" s="51">
        <f>+H44</f>
        <v>432</v>
      </c>
      <c r="V9" s="44">
        <f t="shared" si="2"/>
        <v>54</v>
      </c>
      <c r="W9" s="45">
        <f t="shared" si="3"/>
        <v>0.81818181818181823</v>
      </c>
      <c r="X9" s="46">
        <f>+K44</f>
        <v>287.83</v>
      </c>
      <c r="Y9" s="44">
        <f t="shared" si="4"/>
        <v>35.978749999999998</v>
      </c>
      <c r="Z9" s="47">
        <f t="shared" si="5"/>
        <v>0.54513257575757568</v>
      </c>
      <c r="AA9" s="48">
        <f t="shared" si="6"/>
        <v>40.909090909090914</v>
      </c>
      <c r="AB9" s="49">
        <f t="shared" si="7"/>
        <v>29.682468749999998</v>
      </c>
      <c r="AC9" s="139">
        <f t="shared" si="8"/>
        <v>70.591559659090905</v>
      </c>
      <c r="AD9" s="161" t="str">
        <f t="shared" si="9"/>
        <v xml:space="preserve"> 사유?→</v>
      </c>
      <c r="AE9" s="160" t="s">
        <v>157</v>
      </c>
      <c r="AF9" s="37">
        <f>AG9-F9</f>
        <v>-8</v>
      </c>
      <c r="AG9" s="38">
        <f>AN9</f>
        <v>0</v>
      </c>
      <c r="AH9" s="242" t="s">
        <v>34</v>
      </c>
      <c r="AI9" s="39"/>
      <c r="AJ9" s="40">
        <f>IFERROR(Z9/W9*1000,"")</f>
        <v>666.27314814814792</v>
      </c>
      <c r="AK9" s="39"/>
      <c r="AL9" s="41"/>
      <c r="AM9" s="41"/>
      <c r="AN9" s="41"/>
      <c r="AP9" s="242">
        <f t="shared" si="10"/>
        <v>-8</v>
      </c>
      <c r="AQ9" s="42"/>
    </row>
    <row r="10" spans="2:52" s="242" customFormat="1" ht="95.25" customHeight="1" x14ac:dyDescent="0.3">
      <c r="B10" s="421"/>
      <c r="C10" s="24">
        <f>+C9+1</f>
        <v>2</v>
      </c>
      <c r="D10" s="43" t="s">
        <v>35</v>
      </c>
      <c r="E10" s="26" t="s">
        <v>29</v>
      </c>
      <c r="F10" s="25">
        <v>7.25</v>
      </c>
      <c r="G10" s="125">
        <v>197</v>
      </c>
      <c r="H10" s="125">
        <f>(G10/U10)*100</f>
        <v>59.696969696969695</v>
      </c>
      <c r="I10" s="123" t="s">
        <v>85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74</v>
      </c>
      <c r="P10" s="123" t="s">
        <v>169</v>
      </c>
      <c r="Q10" s="123" t="s">
        <v>91</v>
      </c>
      <c r="R10" s="123" t="s">
        <v>89</v>
      </c>
      <c r="S10" s="125">
        <f t="shared" si="0"/>
        <v>6.5</v>
      </c>
      <c r="T10" s="27">
        <f t="shared" si="1"/>
        <v>478.5</v>
      </c>
      <c r="U10" s="28">
        <f>+H47</f>
        <v>330</v>
      </c>
      <c r="V10" s="44">
        <f t="shared" si="2"/>
        <v>45.517241379310342</v>
      </c>
      <c r="W10" s="45">
        <f t="shared" si="3"/>
        <v>0.68965517241379315</v>
      </c>
      <c r="X10" s="46">
        <f>+K47</f>
        <v>332.73</v>
      </c>
      <c r="Y10" s="29">
        <f t="shared" si="4"/>
        <v>45.893793103448282</v>
      </c>
      <c r="Z10" s="47">
        <f t="shared" si="5"/>
        <v>0.69536050156739815</v>
      </c>
      <c r="AA10" s="48">
        <f t="shared" si="6"/>
        <v>34.482758620689658</v>
      </c>
      <c r="AB10" s="49">
        <f t="shared" si="7"/>
        <v>37.862379310344828</v>
      </c>
      <c r="AC10" s="139">
        <f t="shared" si="8"/>
        <v>72.345137931034486</v>
      </c>
      <c r="AD10" s="161" t="str">
        <f t="shared" si="9"/>
        <v xml:space="preserve"> 사유?→</v>
      </c>
      <c r="AE10" s="160" t="s">
        <v>159</v>
      </c>
      <c r="AF10" s="37">
        <f>AG10-F10</f>
        <v>-7.25</v>
      </c>
      <c r="AG10" s="38">
        <f>AN10</f>
        <v>0</v>
      </c>
      <c r="AH10" s="242" t="s">
        <v>36</v>
      </c>
      <c r="AI10" s="39"/>
      <c r="AJ10" s="40">
        <f>IFERROR(Z10/W10*1000,"")</f>
        <v>1008.2727272727273</v>
      </c>
      <c r="AK10" s="39"/>
      <c r="AL10" s="41"/>
      <c r="AM10" s="41"/>
      <c r="AN10" s="41"/>
      <c r="AP10" s="242">
        <f t="shared" si="10"/>
        <v>-7.25</v>
      </c>
      <c r="AQ10" s="42"/>
    </row>
    <row r="11" spans="2:52" s="242" customFormat="1" ht="102.75" customHeight="1" x14ac:dyDescent="0.3">
      <c r="B11" s="421"/>
      <c r="C11" s="24">
        <f>+C10+1</f>
        <v>3</v>
      </c>
      <c r="D11" s="43" t="s">
        <v>37</v>
      </c>
      <c r="E11" s="26" t="s">
        <v>29</v>
      </c>
      <c r="F11" s="25">
        <v>8</v>
      </c>
      <c r="G11" s="125">
        <v>443</v>
      </c>
      <c r="H11" s="125">
        <f>(G11/U11)*100</f>
        <v>100</v>
      </c>
      <c r="I11" s="123" t="s">
        <v>85</v>
      </c>
      <c r="J11" s="123" t="s">
        <v>86</v>
      </c>
      <c r="K11" s="123" t="s">
        <v>73</v>
      </c>
      <c r="L11" s="123" t="s">
        <v>87</v>
      </c>
      <c r="M11" s="123"/>
      <c r="N11" s="129" t="s">
        <v>90</v>
      </c>
      <c r="O11" s="123" t="s">
        <v>74</v>
      </c>
      <c r="P11" s="123" t="s">
        <v>169</v>
      </c>
      <c r="Q11" s="123" t="s">
        <v>91</v>
      </c>
      <c r="R11" s="123" t="s">
        <v>89</v>
      </c>
      <c r="S11" s="125">
        <f t="shared" si="0"/>
        <v>6.5</v>
      </c>
      <c r="T11" s="27">
        <f t="shared" si="1"/>
        <v>528</v>
      </c>
      <c r="U11" s="28">
        <f>+H50</f>
        <v>443</v>
      </c>
      <c r="V11" s="44">
        <f t="shared" si="2"/>
        <v>55.375</v>
      </c>
      <c r="W11" s="45">
        <f t="shared" si="3"/>
        <v>0.83901515151515149</v>
      </c>
      <c r="X11" s="46">
        <f>+K50</f>
        <v>358.24</v>
      </c>
      <c r="Y11" s="44">
        <f t="shared" si="4"/>
        <v>44.78</v>
      </c>
      <c r="Z11" s="47">
        <f t="shared" si="5"/>
        <v>0.67848484848484847</v>
      </c>
      <c r="AA11" s="48">
        <f t="shared" si="6"/>
        <v>41.950757575757578</v>
      </c>
      <c r="AB11" s="49">
        <f t="shared" si="7"/>
        <v>36.9435</v>
      </c>
      <c r="AC11" s="139">
        <f t="shared" si="8"/>
        <v>78.894257575757578</v>
      </c>
      <c r="AD11" s="161" t="str">
        <f t="shared" si="9"/>
        <v xml:space="preserve"> 사유?→</v>
      </c>
      <c r="AE11" s="160" t="s">
        <v>158</v>
      </c>
      <c r="AF11" s="37">
        <f>AG11-F11</f>
        <v>-8</v>
      </c>
      <c r="AG11" s="38">
        <f>AN11</f>
        <v>0</v>
      </c>
      <c r="AH11" s="242" t="s">
        <v>33</v>
      </c>
      <c r="AI11" s="39"/>
      <c r="AJ11" s="40">
        <f>IFERROR(Z11/W11*1000,"")</f>
        <v>808.66817155756212</v>
      </c>
      <c r="AL11" s="41"/>
      <c r="AM11" s="41"/>
      <c r="AN11" s="41"/>
      <c r="AP11" s="242">
        <f t="shared" si="10"/>
        <v>-8</v>
      </c>
      <c r="AQ11" s="42"/>
    </row>
    <row r="12" spans="2:52" s="242" customFormat="1" ht="102.75" customHeight="1" x14ac:dyDescent="0.3">
      <c r="B12" s="468"/>
      <c r="C12" s="24">
        <f>+C11+1</f>
        <v>4</v>
      </c>
      <c r="D12" s="43" t="s">
        <v>38</v>
      </c>
      <c r="E12" s="26" t="s">
        <v>33</v>
      </c>
      <c r="F12" s="25">
        <v>0</v>
      </c>
      <c r="G12" s="125"/>
      <c r="H12" s="125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5">
        <f t="shared" si="0"/>
        <v>0</v>
      </c>
      <c r="T12" s="237">
        <f t="shared" si="1"/>
        <v>0</v>
      </c>
      <c r="U12" s="28">
        <f>+H53</f>
        <v>0</v>
      </c>
      <c r="V12" s="29" t="str">
        <f t="shared" si="2"/>
        <v>휴무</v>
      </c>
      <c r="W12" s="30">
        <f t="shared" si="3"/>
        <v>0</v>
      </c>
      <c r="X12" s="31">
        <f>+K53</f>
        <v>0</v>
      </c>
      <c r="Y12" s="44" t="str">
        <f t="shared" si="4"/>
        <v>휴무</v>
      </c>
      <c r="Z12" s="47">
        <f t="shared" si="5"/>
        <v>0</v>
      </c>
      <c r="AA12" s="48" t="str">
        <f t="shared" si="6"/>
        <v>휴무</v>
      </c>
      <c r="AB12" s="49" t="str">
        <f t="shared" si="7"/>
        <v>휴무</v>
      </c>
      <c r="AC12" s="139" t="str">
        <f t="shared" si="8"/>
        <v>휴무</v>
      </c>
      <c r="AD12" s="50" t="str">
        <f t="shared" si="9"/>
        <v>휴무</v>
      </c>
      <c r="AE12" s="36"/>
      <c r="AF12" s="37"/>
      <c r="AG12" s="38"/>
      <c r="AI12" s="39"/>
      <c r="AJ12" s="40"/>
      <c r="AL12" s="41"/>
      <c r="AM12" s="41"/>
      <c r="AN12" s="41"/>
      <c r="AP12" s="242">
        <f t="shared" si="10"/>
        <v>0</v>
      </c>
      <c r="AQ12" s="42"/>
    </row>
    <row r="13" spans="2:52" s="242" customFormat="1" ht="36" customHeight="1" x14ac:dyDescent="0.3">
      <c r="B13" s="422" t="s">
        <v>39</v>
      </c>
      <c r="C13" s="423"/>
      <c r="D13" s="423"/>
      <c r="E13" s="424"/>
      <c r="F13" s="43">
        <f>SUM(F7:F12)</f>
        <v>39.25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5">
        <f t="shared" si="0"/>
        <v>0</v>
      </c>
      <c r="T13" s="52">
        <f>SUM(T7:T12)</f>
        <v>2590.5</v>
      </c>
      <c r="U13" s="53">
        <f>SUM(U7:U12)</f>
        <v>2096</v>
      </c>
      <c r="V13" s="54">
        <f>U13/F13</f>
        <v>53.401273885350321</v>
      </c>
      <c r="W13" s="45">
        <f t="shared" si="3"/>
        <v>0.8091102103840957</v>
      </c>
      <c r="X13" s="55">
        <f>SUM(X7:X12)</f>
        <v>1713.37</v>
      </c>
      <c r="Y13" s="44">
        <f>X13/F13</f>
        <v>43.65273885350318</v>
      </c>
      <c r="Z13" s="47">
        <f t="shared" si="5"/>
        <v>0.66140513414398761</v>
      </c>
      <c r="AA13" s="56">
        <f>U13/T13*AA4</f>
        <v>40.455510519204786</v>
      </c>
      <c r="AB13" s="57">
        <f>X13/T13*AB4</f>
        <v>36.013509554140128</v>
      </c>
      <c r="AC13" s="140">
        <f t="shared" si="8"/>
        <v>76.469020073344922</v>
      </c>
      <c r="AD13" s="58" t="str">
        <f t="shared" si="9"/>
        <v xml:space="preserve"> 사유?→</v>
      </c>
      <c r="AE13" s="43"/>
      <c r="AF13" s="37">
        <f>AG13-F13</f>
        <v>-39.25</v>
      </c>
      <c r="AG13" s="38">
        <f>SUM(AG7:AG12)</f>
        <v>0</v>
      </c>
      <c r="AJ13" s="40"/>
      <c r="AL13" s="59"/>
      <c r="AM13" s="59"/>
      <c r="AN13" s="59"/>
    </row>
    <row r="14" spans="2:52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6.541666666666667</v>
      </c>
      <c r="G14" s="240"/>
      <c r="H14" s="240"/>
      <c r="I14" s="240"/>
      <c r="J14" s="240"/>
      <c r="K14" s="240"/>
      <c r="L14" s="240"/>
      <c r="M14" s="240"/>
      <c r="N14" s="240"/>
      <c r="O14" s="240"/>
      <c r="P14" s="263"/>
      <c r="Q14" s="240"/>
      <c r="R14" s="240"/>
      <c r="S14" s="240"/>
      <c r="T14" s="240"/>
      <c r="U14" s="61">
        <f>V14*F14</f>
        <v>349.33333333333337</v>
      </c>
      <c r="V14" s="62">
        <f>U13/F13</f>
        <v>53.401273885350321</v>
      </c>
      <c r="W14" s="63">
        <f>IFERROR(U14/#REF!,0)</f>
        <v>0</v>
      </c>
      <c r="X14" s="64">
        <f>X13/F13*F14</f>
        <v>285.56166666666667</v>
      </c>
      <c r="Y14" s="62">
        <f>IF(F14=0,"휴무",X14/F14)</f>
        <v>43.65273885350318</v>
      </c>
      <c r="Z14" s="65">
        <f>IFERROR(X14/#REF!,0)</f>
        <v>0</v>
      </c>
      <c r="AA14" s="60">
        <f>AVERAGE(AA7:AA12)</f>
        <v>40.343521421107631</v>
      </c>
      <c r="AB14" s="60">
        <f>AVERAGE(AB7:AB12)</f>
        <v>36.048175862068966</v>
      </c>
      <c r="AC14" s="141">
        <f>AA14+AB14</f>
        <v>76.391697283176597</v>
      </c>
      <c r="AD14" s="67"/>
      <c r="AE14" s="68"/>
      <c r="AJ14" s="40" t="str">
        <f>IFERROR(Z14/W14*1000,"")</f>
        <v/>
      </c>
      <c r="AL14" s="10"/>
      <c r="AM14" s="10"/>
      <c r="AN14" s="10"/>
    </row>
    <row r="15" spans="2:52" s="242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22"/>
      <c r="V15" s="10"/>
      <c r="W15" s="73">
        <f>W14*60</f>
        <v>0</v>
      </c>
      <c r="X15" s="74"/>
      <c r="Y15" s="73"/>
      <c r="Z15" s="74">
        <f>Z14*40</f>
        <v>0</v>
      </c>
      <c r="AC15" s="142">
        <f>W15+Z15</f>
        <v>0</v>
      </c>
      <c r="AL15" s="59"/>
      <c r="AM15" s="59"/>
      <c r="AN15" s="59"/>
    </row>
    <row r="16" spans="2:52" ht="17.25" thickBot="1" x14ac:dyDescent="0.35">
      <c r="B16" s="70"/>
    </row>
    <row r="17" spans="2:43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3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  <c r="AE19" s="464"/>
    </row>
    <row r="20" spans="2:43" x14ac:dyDescent="0.3">
      <c r="B20" t="s">
        <v>5</v>
      </c>
      <c r="D20" s="7">
        <v>55</v>
      </c>
      <c r="F20" s="8" t="s">
        <v>6</v>
      </c>
      <c r="U20" s="9">
        <v>1.2</v>
      </c>
      <c r="AA20" s="12">
        <f>AA4</f>
        <v>50</v>
      </c>
      <c r="AB20" s="11">
        <f>AB4</f>
        <v>54.45</v>
      </c>
      <c r="AC20" s="12"/>
      <c r="AE20" s="8"/>
    </row>
    <row r="21" spans="2:43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7"/>
      <c r="S21" s="438"/>
      <c r="T21" s="439" t="s">
        <v>11</v>
      </c>
      <c r="U21" s="441" t="s">
        <v>12</v>
      </c>
      <c r="V21" s="418"/>
      <c r="W21" s="442"/>
      <c r="X21" s="446" t="s">
        <v>13</v>
      </c>
      <c r="Y21" s="418"/>
      <c r="Z21" s="418"/>
      <c r="AA21" s="451" t="s">
        <v>20</v>
      </c>
      <c r="AB21" s="453" t="s">
        <v>21</v>
      </c>
      <c r="AC21" s="447" t="s">
        <v>14</v>
      </c>
      <c r="AD21" s="449" t="s">
        <v>15</v>
      </c>
      <c r="AE21" s="418" t="s">
        <v>16</v>
      </c>
    </row>
    <row r="22" spans="2:43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75</v>
      </c>
      <c r="Q22" s="18" t="s">
        <v>76</v>
      </c>
      <c r="R22" s="18" t="s">
        <v>77</v>
      </c>
      <c r="S22" s="127" t="s">
        <v>80</v>
      </c>
      <c r="T22" s="440"/>
      <c r="U22" s="15" t="s">
        <v>12</v>
      </c>
      <c r="V22" s="16" t="s">
        <v>17</v>
      </c>
      <c r="W22" s="17" t="s">
        <v>18</v>
      </c>
      <c r="X22" s="18" t="s">
        <v>13</v>
      </c>
      <c r="Y22" s="16" t="s">
        <v>19</v>
      </c>
      <c r="Z22" s="19" t="s">
        <v>18</v>
      </c>
      <c r="AA22" s="452"/>
      <c r="AB22" s="454"/>
      <c r="AC22" s="448"/>
      <c r="AD22" s="450"/>
      <c r="AE22" s="419"/>
      <c r="AF22" s="21" t="s">
        <v>22</v>
      </c>
      <c r="AG22" s="21" t="s">
        <v>23</v>
      </c>
      <c r="AJ22" s="22" t="s">
        <v>24</v>
      </c>
      <c r="AL22" s="23" t="s">
        <v>25</v>
      </c>
      <c r="AM22" s="23" t="s">
        <v>26</v>
      </c>
      <c r="AN22" s="23" t="s">
        <v>27</v>
      </c>
      <c r="AP22" s="22">
        <f>SUM(AP23:AP28)</f>
        <v>-40</v>
      </c>
    </row>
    <row r="23" spans="2:43" s="242" customFormat="1" ht="99" customHeight="1" thickTop="1" x14ac:dyDescent="0.3">
      <c r="B23" s="420">
        <f>+B7</f>
        <v>3</v>
      </c>
      <c r="C23" s="24">
        <f t="shared" ref="C23:C28" si="11">+C7</f>
        <v>30</v>
      </c>
      <c r="D23" s="25" t="s">
        <v>7</v>
      </c>
      <c r="E23" s="26" t="s">
        <v>29</v>
      </c>
      <c r="F23" s="25">
        <v>8</v>
      </c>
      <c r="G23" s="128">
        <v>322</v>
      </c>
      <c r="H23" s="128">
        <f>(G23/U23)*100</f>
        <v>100.31152647975077</v>
      </c>
      <c r="I23" s="123" t="s">
        <v>78</v>
      </c>
      <c r="J23" s="123" t="s">
        <v>88</v>
      </c>
      <c r="K23" s="123" t="s">
        <v>92</v>
      </c>
      <c r="L23" s="123" t="s">
        <v>84</v>
      </c>
      <c r="M23" s="123"/>
      <c r="N23" s="129" t="s">
        <v>90</v>
      </c>
      <c r="O23" s="123" t="s">
        <v>74</v>
      </c>
      <c r="P23" s="123" t="s">
        <v>74</v>
      </c>
      <c r="Q23" s="123" t="s">
        <v>91</v>
      </c>
      <c r="R23" s="123" t="s">
        <v>89</v>
      </c>
      <c r="S23" s="124">
        <f t="shared" ref="S23:S28" si="12">COUNTA(I23:M23)+COUNTA(N23:R23)/2</f>
        <v>6.5</v>
      </c>
      <c r="T23" s="27">
        <f t="shared" ref="T23:T28" si="13">F23*$D$4*$U$4</f>
        <v>528</v>
      </c>
      <c r="U23" s="28">
        <f>+H58</f>
        <v>321</v>
      </c>
      <c r="V23" s="29">
        <f t="shared" ref="V23:V28" si="14">IF(F23=0,"휴무",U23/F23)</f>
        <v>40.125</v>
      </c>
      <c r="W23" s="30">
        <f t="shared" ref="W23:W29" si="15">IFERROR(U23/T23,0)</f>
        <v>0.60795454545454541</v>
      </c>
      <c r="X23" s="31">
        <f>+K58</f>
        <v>546.26</v>
      </c>
      <c r="Y23" s="29">
        <f t="shared" ref="Y23:Y28" si="16">IF(F23=0,"휴무",X23/F23)</f>
        <v>68.282499999999999</v>
      </c>
      <c r="Z23" s="32">
        <f t="shared" ref="Z23:Z29" si="17">IFERROR(X23/T23,0)</f>
        <v>1.0345833333333334</v>
      </c>
      <c r="AA23" s="33">
        <f t="shared" ref="AA23:AA28" si="18">IF(F23=0,"휴무",U23/T23*$AA$4)</f>
        <v>30.39772727272727</v>
      </c>
      <c r="AB23" s="34">
        <f t="shared" ref="AB23:AB28" si="19">IF(F23=0,"휴무",X23/T23*$AB$4)</f>
        <v>56.333062500000004</v>
      </c>
      <c r="AC23" s="138">
        <f t="shared" ref="AC23:AC29" si="20">IF(F23=0,"휴무",AA23+AB23)</f>
        <v>86.730789772727277</v>
      </c>
      <c r="AD23" s="35" t="str">
        <f t="shared" ref="AD23:AD29" si="21">IF(F23=0,"휴무",IF(AC23&gt;=100,"좋아요",IF(AC23&gt;=90,"90~99",IF(AC23&gt;=80,"80~89"," 사유?→"))))</f>
        <v>80~89</v>
      </c>
      <c r="AE23" s="36"/>
      <c r="AF23" s="37">
        <f>AG23-F23</f>
        <v>-8</v>
      </c>
      <c r="AG23" s="38">
        <f>AN23</f>
        <v>0</v>
      </c>
      <c r="AH23" s="242" t="s">
        <v>29</v>
      </c>
      <c r="AI23" s="39"/>
      <c r="AJ23" s="40">
        <f>IFERROR(Z23/W23*1000,"")</f>
        <v>1701.7445482866046</v>
      </c>
      <c r="AK23" s="39"/>
      <c r="AL23" s="41"/>
      <c r="AM23" s="41"/>
      <c r="AN23" s="41"/>
      <c r="AP23" s="242">
        <f t="shared" ref="AP23:AP28" si="22">AO23-F23</f>
        <v>-8</v>
      </c>
      <c r="AQ23" s="42"/>
    </row>
    <row r="24" spans="2:43" s="242" customFormat="1" ht="99.75" customHeight="1" x14ac:dyDescent="0.3">
      <c r="B24" s="468"/>
      <c r="C24" s="24">
        <f t="shared" si="11"/>
        <v>31</v>
      </c>
      <c r="D24" s="43" t="s">
        <v>30</v>
      </c>
      <c r="E24" s="26" t="s">
        <v>29</v>
      </c>
      <c r="F24" s="25">
        <v>8</v>
      </c>
      <c r="G24" s="125">
        <v>71</v>
      </c>
      <c r="H24" s="125">
        <f>(G24/U24)*100</f>
        <v>12.909090909090908</v>
      </c>
      <c r="I24" s="123" t="s">
        <v>78</v>
      </c>
      <c r="J24" s="123" t="s">
        <v>88</v>
      </c>
      <c r="K24" s="123" t="s">
        <v>92</v>
      </c>
      <c r="L24" s="123" t="s">
        <v>84</v>
      </c>
      <c r="M24" s="123"/>
      <c r="N24" s="129" t="s">
        <v>90</v>
      </c>
      <c r="O24" s="123" t="s">
        <v>74</v>
      </c>
      <c r="P24" s="123" t="s">
        <v>74</v>
      </c>
      <c r="Q24" s="123" t="s">
        <v>91</v>
      </c>
      <c r="R24" s="123" t="s">
        <v>89</v>
      </c>
      <c r="S24" s="124">
        <f t="shared" si="12"/>
        <v>6.5</v>
      </c>
      <c r="T24" s="27">
        <f t="shared" si="13"/>
        <v>528</v>
      </c>
      <c r="U24" s="28">
        <f>+H61</f>
        <v>550</v>
      </c>
      <c r="V24" s="44">
        <f t="shared" si="14"/>
        <v>68.75</v>
      </c>
      <c r="W24" s="45">
        <f t="shared" si="15"/>
        <v>1.0416666666666667</v>
      </c>
      <c r="X24" s="46">
        <f>+K61</f>
        <v>506.17</v>
      </c>
      <c r="Y24" s="29">
        <f t="shared" si="16"/>
        <v>63.271250000000002</v>
      </c>
      <c r="Z24" s="47">
        <f t="shared" si="17"/>
        <v>0.95865530303030311</v>
      </c>
      <c r="AA24" s="48">
        <f t="shared" si="18"/>
        <v>52.083333333333336</v>
      </c>
      <c r="AB24" s="49">
        <f t="shared" si="19"/>
        <v>52.19878125000001</v>
      </c>
      <c r="AC24" s="139">
        <f t="shared" si="20"/>
        <v>104.28211458333334</v>
      </c>
      <c r="AD24" s="80" t="str">
        <f t="shared" si="21"/>
        <v>좋아요</v>
      </c>
      <c r="AE24" s="36"/>
      <c r="AF24" s="37">
        <f>AG24-F24</f>
        <v>-8</v>
      </c>
      <c r="AG24" s="38">
        <f>AN24</f>
        <v>0</v>
      </c>
      <c r="AH24" s="242" t="s">
        <v>34</v>
      </c>
      <c r="AI24" s="39"/>
      <c r="AJ24" s="40">
        <f>IFERROR(Z24/W24*1000,"")</f>
        <v>920.30909090909097</v>
      </c>
      <c r="AK24" s="39"/>
      <c r="AL24" s="41"/>
      <c r="AM24" s="41"/>
      <c r="AN24" s="41"/>
      <c r="AP24" s="242">
        <f t="shared" si="22"/>
        <v>-8</v>
      </c>
      <c r="AQ24" s="42"/>
    </row>
    <row r="25" spans="2:43" s="242" customFormat="1" ht="97.5" customHeight="1" x14ac:dyDescent="0.3">
      <c r="B25" s="421">
        <v>4</v>
      </c>
      <c r="C25" s="24">
        <f t="shared" si="11"/>
        <v>1</v>
      </c>
      <c r="D25" s="43" t="s">
        <v>32</v>
      </c>
      <c r="E25" s="26" t="s">
        <v>29</v>
      </c>
      <c r="F25" s="25">
        <v>8</v>
      </c>
      <c r="G25" s="124">
        <v>56</v>
      </c>
      <c r="H25" s="124">
        <f>(G25/U25)*100</f>
        <v>10.294117647058822</v>
      </c>
      <c r="I25" s="123" t="s">
        <v>78</v>
      </c>
      <c r="J25" s="123" t="s">
        <v>88</v>
      </c>
      <c r="K25" s="123" t="s">
        <v>92</v>
      </c>
      <c r="L25" s="123" t="s">
        <v>84</v>
      </c>
      <c r="M25" s="123"/>
      <c r="N25" s="129" t="s">
        <v>90</v>
      </c>
      <c r="O25" s="123" t="s">
        <v>74</v>
      </c>
      <c r="P25" s="123" t="s">
        <v>169</v>
      </c>
      <c r="Q25" s="123" t="s">
        <v>91</v>
      </c>
      <c r="R25" s="123" t="s">
        <v>89</v>
      </c>
      <c r="S25" s="124">
        <f t="shared" si="12"/>
        <v>6.5</v>
      </c>
      <c r="T25" s="27">
        <f t="shared" si="13"/>
        <v>528</v>
      </c>
      <c r="U25" s="28">
        <f>+H64</f>
        <v>544</v>
      </c>
      <c r="V25" s="44">
        <f t="shared" si="14"/>
        <v>68</v>
      </c>
      <c r="W25" s="45">
        <f t="shared" si="15"/>
        <v>1.0303030303030303</v>
      </c>
      <c r="X25" s="46">
        <f>+K64</f>
        <v>398.11</v>
      </c>
      <c r="Y25" s="29">
        <f t="shared" si="16"/>
        <v>49.763750000000002</v>
      </c>
      <c r="Z25" s="47">
        <f t="shared" si="17"/>
        <v>0.75399621212121215</v>
      </c>
      <c r="AA25" s="48">
        <f t="shared" si="18"/>
        <v>51.515151515151516</v>
      </c>
      <c r="AB25" s="49">
        <f t="shared" si="19"/>
        <v>41.055093750000005</v>
      </c>
      <c r="AC25" s="139">
        <f t="shared" si="20"/>
        <v>92.570245265151527</v>
      </c>
      <c r="AD25" s="50" t="str">
        <f t="shared" si="21"/>
        <v>90~99</v>
      </c>
      <c r="AE25" s="36"/>
      <c r="AF25" s="37">
        <f>AG25-F25</f>
        <v>-8</v>
      </c>
      <c r="AG25" s="38">
        <f>AN25</f>
        <v>0</v>
      </c>
      <c r="AH25" s="242" t="s">
        <v>36</v>
      </c>
      <c r="AI25" s="39"/>
      <c r="AJ25" s="40">
        <f>IFERROR(Z25/W25*1000,"")</f>
        <v>731.81985294117646</v>
      </c>
      <c r="AK25" s="39"/>
      <c r="AL25" s="41"/>
      <c r="AM25" s="41"/>
      <c r="AN25" s="41"/>
      <c r="AP25" s="242">
        <f t="shared" si="22"/>
        <v>-8</v>
      </c>
      <c r="AQ25" s="42"/>
    </row>
    <row r="26" spans="2:43" s="242" customFormat="1" ht="115.5" customHeight="1" x14ac:dyDescent="0.3">
      <c r="B26" s="421"/>
      <c r="C26" s="24">
        <f t="shared" si="11"/>
        <v>2</v>
      </c>
      <c r="D26" s="43" t="s">
        <v>35</v>
      </c>
      <c r="E26" s="26" t="s">
        <v>29</v>
      </c>
      <c r="F26" s="25">
        <v>8</v>
      </c>
      <c r="G26" s="124">
        <v>205</v>
      </c>
      <c r="H26" s="124">
        <f>(G26/U26)*100</f>
        <v>47.018348623853214</v>
      </c>
      <c r="I26" s="123" t="s">
        <v>78</v>
      </c>
      <c r="J26" s="123" t="s">
        <v>88</v>
      </c>
      <c r="K26" s="123" t="s">
        <v>92</v>
      </c>
      <c r="L26" s="123" t="s">
        <v>84</v>
      </c>
      <c r="M26" s="123"/>
      <c r="N26" s="129" t="s">
        <v>90</v>
      </c>
      <c r="O26" s="123" t="s">
        <v>74</v>
      </c>
      <c r="P26" s="123" t="s">
        <v>169</v>
      </c>
      <c r="Q26" s="123" t="s">
        <v>91</v>
      </c>
      <c r="R26" s="123" t="s">
        <v>89</v>
      </c>
      <c r="S26" s="124">
        <f t="shared" si="12"/>
        <v>6.5</v>
      </c>
      <c r="T26" s="27">
        <f t="shared" si="13"/>
        <v>528</v>
      </c>
      <c r="U26" s="28">
        <f>+H67</f>
        <v>436</v>
      </c>
      <c r="V26" s="44">
        <f t="shared" si="14"/>
        <v>54.5</v>
      </c>
      <c r="W26" s="45">
        <f t="shared" si="15"/>
        <v>0.8257575757575758</v>
      </c>
      <c r="X26" s="46">
        <f>+K67</f>
        <v>389.56</v>
      </c>
      <c r="Y26" s="44">
        <f t="shared" si="16"/>
        <v>48.695</v>
      </c>
      <c r="Z26" s="47">
        <f t="shared" si="17"/>
        <v>0.73780303030303029</v>
      </c>
      <c r="AA26" s="48">
        <f t="shared" si="18"/>
        <v>41.287878787878789</v>
      </c>
      <c r="AB26" s="49">
        <f t="shared" si="19"/>
        <v>40.173375</v>
      </c>
      <c r="AC26" s="139">
        <f t="shared" si="20"/>
        <v>81.461253787878789</v>
      </c>
      <c r="AD26" s="50" t="str">
        <f t="shared" si="21"/>
        <v>80~89</v>
      </c>
      <c r="AE26" s="36"/>
      <c r="AF26" s="37">
        <f>AG26-F26</f>
        <v>-8</v>
      </c>
      <c r="AG26" s="38">
        <f>AN26</f>
        <v>0</v>
      </c>
      <c r="AH26" s="242" t="s">
        <v>33</v>
      </c>
      <c r="AI26" s="39"/>
      <c r="AJ26" s="40">
        <f>IFERROR(Z26/W26*1000,"")</f>
        <v>893.48623853211006</v>
      </c>
      <c r="AK26" s="39"/>
      <c r="AL26" s="41"/>
      <c r="AM26" s="41"/>
      <c r="AN26" s="41"/>
      <c r="AP26" s="242">
        <f t="shared" si="22"/>
        <v>-8</v>
      </c>
      <c r="AQ26" s="42"/>
    </row>
    <row r="27" spans="2:43" s="242" customFormat="1" ht="104.25" customHeight="1" x14ac:dyDescent="0.3">
      <c r="B27" s="421"/>
      <c r="C27" s="24">
        <f t="shared" si="11"/>
        <v>3</v>
      </c>
      <c r="D27" s="43" t="s">
        <v>37</v>
      </c>
      <c r="E27" s="26" t="s">
        <v>29</v>
      </c>
      <c r="F27" s="25">
        <v>8</v>
      </c>
      <c r="G27" s="125">
        <v>380</v>
      </c>
      <c r="H27" s="130">
        <f>(G27/U27)*100</f>
        <v>83.516483516483518</v>
      </c>
      <c r="I27" s="123" t="s">
        <v>78</v>
      </c>
      <c r="J27" s="123" t="s">
        <v>88</v>
      </c>
      <c r="K27" s="123" t="s">
        <v>92</v>
      </c>
      <c r="L27" s="123" t="s">
        <v>84</v>
      </c>
      <c r="M27" s="123"/>
      <c r="N27" s="129" t="s">
        <v>90</v>
      </c>
      <c r="O27" s="123" t="s">
        <v>74</v>
      </c>
      <c r="P27" s="123" t="s">
        <v>169</v>
      </c>
      <c r="Q27" s="123" t="s">
        <v>91</v>
      </c>
      <c r="R27" s="123" t="s">
        <v>89</v>
      </c>
      <c r="S27" s="125">
        <f t="shared" si="12"/>
        <v>6.5</v>
      </c>
      <c r="T27" s="27">
        <f t="shared" si="13"/>
        <v>528</v>
      </c>
      <c r="U27" s="28">
        <f>+H70</f>
        <v>455</v>
      </c>
      <c r="V27" s="44">
        <f t="shared" si="14"/>
        <v>56.875</v>
      </c>
      <c r="W27" s="45">
        <f t="shared" si="15"/>
        <v>0.8617424242424242</v>
      </c>
      <c r="X27" s="46">
        <f>+K70</f>
        <v>466.71999999999997</v>
      </c>
      <c r="Y27" s="44">
        <f t="shared" si="16"/>
        <v>58.339999999999996</v>
      </c>
      <c r="Z27" s="47">
        <f t="shared" si="17"/>
        <v>0.88393939393939391</v>
      </c>
      <c r="AA27" s="48">
        <f t="shared" si="18"/>
        <v>43.087121212121211</v>
      </c>
      <c r="AB27" s="49">
        <f t="shared" si="19"/>
        <v>48.130499999999998</v>
      </c>
      <c r="AC27" s="139">
        <f t="shared" si="20"/>
        <v>91.217621212121202</v>
      </c>
      <c r="AD27" s="50" t="str">
        <f t="shared" si="21"/>
        <v>90~99</v>
      </c>
      <c r="AE27" s="36"/>
      <c r="AF27" s="37">
        <f>AG27-F27</f>
        <v>-8</v>
      </c>
      <c r="AG27" s="38">
        <f>AN27</f>
        <v>0</v>
      </c>
      <c r="AH27" s="242" t="s">
        <v>46</v>
      </c>
      <c r="AI27" s="39"/>
      <c r="AJ27" s="40">
        <f>IFERROR(Z27/W27*1000,"")</f>
        <v>1025.7582417582419</v>
      </c>
      <c r="AL27" s="41"/>
      <c r="AM27" s="41"/>
      <c r="AN27" s="41"/>
      <c r="AP27" s="242">
        <f t="shared" si="22"/>
        <v>-8</v>
      </c>
      <c r="AQ27" s="42"/>
    </row>
    <row r="28" spans="2:43" s="242" customFormat="1" ht="104.25" customHeight="1" x14ac:dyDescent="0.3">
      <c r="B28" s="468"/>
      <c r="C28" s="24">
        <f t="shared" si="11"/>
        <v>4</v>
      </c>
      <c r="D28" s="43" t="s">
        <v>47</v>
      </c>
      <c r="E28" s="26" t="s">
        <v>33</v>
      </c>
      <c r="F28" s="25">
        <v>0</v>
      </c>
      <c r="G28" s="124"/>
      <c r="H28" s="124"/>
      <c r="I28" s="123"/>
      <c r="J28" s="123"/>
      <c r="K28" s="123"/>
      <c r="L28" s="123"/>
      <c r="M28" s="121"/>
      <c r="N28" s="123"/>
      <c r="O28" s="121"/>
      <c r="P28" s="121"/>
      <c r="Q28" s="123"/>
      <c r="R28" s="123"/>
      <c r="S28" s="124">
        <f t="shared" si="12"/>
        <v>0</v>
      </c>
      <c r="T28" s="237">
        <f t="shared" si="13"/>
        <v>0</v>
      </c>
      <c r="U28" s="28">
        <f>+H73</f>
        <v>0</v>
      </c>
      <c r="V28" s="29" t="str">
        <f t="shared" si="14"/>
        <v>휴무</v>
      </c>
      <c r="W28" s="30">
        <f t="shared" si="15"/>
        <v>0</v>
      </c>
      <c r="X28" s="31">
        <f>+K73</f>
        <v>0</v>
      </c>
      <c r="Y28" s="44" t="str">
        <f t="shared" si="16"/>
        <v>휴무</v>
      </c>
      <c r="Z28" s="47">
        <f t="shared" si="17"/>
        <v>0</v>
      </c>
      <c r="AA28" s="48" t="str">
        <f t="shared" si="18"/>
        <v>휴무</v>
      </c>
      <c r="AB28" s="49" t="str">
        <f t="shared" si="19"/>
        <v>휴무</v>
      </c>
      <c r="AC28" s="139" t="str">
        <f t="shared" si="20"/>
        <v>휴무</v>
      </c>
      <c r="AD28" s="50" t="str">
        <f t="shared" si="21"/>
        <v>휴무</v>
      </c>
      <c r="AE28" s="36"/>
      <c r="AF28" s="37"/>
      <c r="AG28" s="38"/>
      <c r="AI28" s="39"/>
      <c r="AJ28" s="40"/>
      <c r="AL28" s="41"/>
      <c r="AM28" s="41"/>
      <c r="AN28" s="41"/>
      <c r="AP28" s="242">
        <f t="shared" si="22"/>
        <v>0</v>
      </c>
      <c r="AQ28" s="42"/>
    </row>
    <row r="29" spans="2:43" s="242" customFormat="1" ht="36" customHeight="1" x14ac:dyDescent="0.3">
      <c r="B29" s="422" t="s">
        <v>39</v>
      </c>
      <c r="C29" s="423"/>
      <c r="D29" s="423"/>
      <c r="E29" s="424"/>
      <c r="F29" s="43">
        <f>SUM(F23:F28)</f>
        <v>40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6"/>
      <c r="T29" s="52">
        <f>SUM(T23:T28)</f>
        <v>2640</v>
      </c>
      <c r="U29" s="53">
        <f>SUM(U23:U28)</f>
        <v>2306</v>
      </c>
      <c r="V29" s="54">
        <f>U29/F29</f>
        <v>57.65</v>
      </c>
      <c r="W29" s="45">
        <f t="shared" si="15"/>
        <v>0.87348484848484853</v>
      </c>
      <c r="X29" s="55">
        <f>SUM(X23:X28)</f>
        <v>2306.8199999999997</v>
      </c>
      <c r="Y29" s="44">
        <f>X29/F29</f>
        <v>57.67049999999999</v>
      </c>
      <c r="Z29" s="47">
        <f t="shared" si="17"/>
        <v>0.87379545454545449</v>
      </c>
      <c r="AA29" s="56">
        <f>U29/T29*AA20</f>
        <v>43.674242424242429</v>
      </c>
      <c r="AB29" s="57">
        <f>X29/T29*AB20</f>
        <v>47.578162499999998</v>
      </c>
      <c r="AC29" s="140">
        <f t="shared" si="20"/>
        <v>91.252404924242427</v>
      </c>
      <c r="AD29" s="58" t="str">
        <f t="shared" si="21"/>
        <v>90~99</v>
      </c>
      <c r="AE29" s="43"/>
      <c r="AF29" s="37">
        <f>AG29-F29</f>
        <v>-40</v>
      </c>
      <c r="AG29" s="38">
        <f>SUM(AG23:AG28)</f>
        <v>0</v>
      </c>
      <c r="AJ29" s="40"/>
      <c r="AL29" s="59"/>
      <c r="AM29" s="59"/>
      <c r="AN29" s="59"/>
    </row>
    <row r="30" spans="2:43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6.666666666666667</v>
      </c>
      <c r="G30" s="240"/>
      <c r="H30" s="240"/>
      <c r="I30" s="240"/>
      <c r="J30" s="240"/>
      <c r="K30" s="240"/>
      <c r="L30" s="240"/>
      <c r="M30" s="240"/>
      <c r="N30" s="240"/>
      <c r="O30" s="240"/>
      <c r="P30" s="263"/>
      <c r="Q30" s="240"/>
      <c r="R30" s="240"/>
      <c r="S30" s="240"/>
      <c r="T30" s="240"/>
      <c r="U30" s="61">
        <f>V30*F30</f>
        <v>384.33333333333331</v>
      </c>
      <c r="V30" s="62">
        <f>U29/F29</f>
        <v>57.65</v>
      </c>
      <c r="W30" s="63">
        <f>IFERROR(U30/#REF!,0)</f>
        <v>0</v>
      </c>
      <c r="X30" s="64">
        <f>X29/F29*F30</f>
        <v>384.46999999999997</v>
      </c>
      <c r="Y30" s="62">
        <f>IF(F30=0,"휴무",X30/F30)</f>
        <v>57.67049999999999</v>
      </c>
      <c r="Z30" s="65">
        <f>IFERROR(X30/#REF!,0)</f>
        <v>0</v>
      </c>
      <c r="AA30" s="60">
        <f>AVERAGE(AA23:AA28)</f>
        <v>43.674242424242422</v>
      </c>
      <c r="AB30" s="60">
        <f>AVERAGE(AB23:AB28)</f>
        <v>47.578162499999998</v>
      </c>
      <c r="AC30" s="141">
        <f>AA30+AB30</f>
        <v>91.252404924242427</v>
      </c>
      <c r="AD30" s="67"/>
      <c r="AE30" s="68"/>
      <c r="AJ30" s="40" t="str">
        <f>IFERROR(Z30/W30*1000,"")</f>
        <v/>
      </c>
      <c r="AL30" s="10"/>
      <c r="AM30" s="10"/>
      <c r="AN30" s="10"/>
    </row>
    <row r="31" spans="2:43" s="242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22"/>
      <c r="V31" s="10"/>
      <c r="W31" s="73">
        <f>W30*60</f>
        <v>0</v>
      </c>
      <c r="X31" s="74"/>
      <c r="Y31" s="73"/>
      <c r="Z31" s="74">
        <f>Z30*40</f>
        <v>0</v>
      </c>
      <c r="AA31" s="81"/>
      <c r="AB31" s="81"/>
      <c r="AC31" s="142">
        <f>W31+Z31</f>
        <v>0</v>
      </c>
      <c r="AL31" s="59"/>
      <c r="AM31" s="59"/>
      <c r="AN31" s="59"/>
    </row>
    <row r="32" spans="2:43" x14ac:dyDescent="0.3">
      <c r="B32" s="120" t="s">
        <v>67</v>
      </c>
      <c r="V32" s="10">
        <v>8.8000000000000007</v>
      </c>
    </row>
    <row r="33" spans="2:43" ht="17.25" thickBot="1" x14ac:dyDescent="0.35">
      <c r="B33" s="70"/>
    </row>
    <row r="34" spans="2:43" ht="17.25" thickBot="1" x14ac:dyDescent="0.35">
      <c r="B34" s="76" t="s">
        <v>42</v>
      </c>
      <c r="C34" s="77"/>
      <c r="D34" s="78" t="s">
        <v>43</v>
      </c>
      <c r="E34" s="78"/>
      <c r="F34" s="79"/>
      <c r="Y34" s="10">
        <v>50</v>
      </c>
    </row>
    <row r="36" spans="2:43" s="10" customFormat="1" x14ac:dyDescent="0.3">
      <c r="B36"/>
      <c r="C36"/>
      <c r="D36"/>
      <c r="E36" s="455">
        <f>+C7</f>
        <v>30</v>
      </c>
      <c r="F36" s="455" t="s">
        <v>7</v>
      </c>
      <c r="G36" s="82" t="s">
        <v>48</v>
      </c>
      <c r="H36" s="83">
        <v>455</v>
      </c>
      <c r="I36" s="84"/>
      <c r="J36" s="85"/>
      <c r="K36" s="86">
        <v>365.79</v>
      </c>
      <c r="L36" s="135"/>
      <c r="N36" s="136"/>
      <c r="O36" s="136"/>
      <c r="P36" s="136"/>
      <c r="Q36" s="136"/>
      <c r="R36" s="136"/>
      <c r="S36" s="136"/>
      <c r="T36" s="136"/>
      <c r="Z36"/>
      <c r="AA36"/>
      <c r="AB36"/>
      <c r="AC36"/>
      <c r="AD36"/>
      <c r="AE36"/>
      <c r="AF36"/>
      <c r="AG36"/>
      <c r="AH36"/>
      <c r="AI36"/>
      <c r="AJ36"/>
      <c r="AK36"/>
      <c r="AL36" s="1"/>
      <c r="AM36" s="1"/>
      <c r="AN36" s="1"/>
      <c r="AO36"/>
      <c r="AP36"/>
      <c r="AQ36"/>
    </row>
    <row r="37" spans="2:43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T37" s="136"/>
      <c r="Z37"/>
      <c r="AA37"/>
      <c r="AB37"/>
      <c r="AC37"/>
      <c r="AD37"/>
      <c r="AE37"/>
      <c r="AF37"/>
      <c r="AG37"/>
      <c r="AH37"/>
      <c r="AI37"/>
      <c r="AJ37"/>
      <c r="AK37"/>
      <c r="AL37" s="1"/>
      <c r="AM37" s="1"/>
      <c r="AN37" s="1"/>
      <c r="AO37"/>
      <c r="AP37"/>
      <c r="AQ37"/>
    </row>
    <row r="38" spans="2:43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455</v>
      </c>
      <c r="I38" s="88"/>
      <c r="J38" s="89"/>
      <c r="K38" s="90">
        <f>+K36+K37*2</f>
        <v>365.79</v>
      </c>
      <c r="L38" s="135"/>
      <c r="N38" s="136"/>
      <c r="O38" s="136"/>
      <c r="P38" s="136"/>
      <c r="Q38" s="136"/>
      <c r="R38" s="136"/>
      <c r="S38" s="136"/>
      <c r="T38" s="136"/>
      <c r="Z38"/>
      <c r="AA38"/>
      <c r="AB38"/>
      <c r="AC38"/>
      <c r="AD38"/>
      <c r="AE38"/>
      <c r="AF38"/>
      <c r="AG38"/>
      <c r="AH38"/>
      <c r="AI38"/>
      <c r="AJ38"/>
      <c r="AK38"/>
      <c r="AL38" s="1"/>
      <c r="AM38" s="1"/>
      <c r="AN38" s="1"/>
      <c r="AO38"/>
      <c r="AP38"/>
      <c r="AQ38"/>
    </row>
    <row r="39" spans="2:43" s="10" customFormat="1" x14ac:dyDescent="0.3">
      <c r="B39"/>
      <c r="C39"/>
      <c r="D39"/>
      <c r="E39" s="455">
        <f>+C8</f>
        <v>31</v>
      </c>
      <c r="F39" s="455" t="s">
        <v>52</v>
      </c>
      <c r="G39" s="82" t="s">
        <v>48</v>
      </c>
      <c r="H39" s="83">
        <v>436</v>
      </c>
      <c r="I39" s="84"/>
      <c r="J39" s="85"/>
      <c r="K39" s="86">
        <v>368.78</v>
      </c>
      <c r="L39" s="135"/>
      <c r="N39" s="136"/>
      <c r="O39" s="136"/>
      <c r="P39" s="136"/>
      <c r="Q39" s="136"/>
      <c r="R39" s="136"/>
      <c r="S39" s="136"/>
      <c r="T39" s="136"/>
      <c r="Z39"/>
      <c r="AA39"/>
      <c r="AB39"/>
      <c r="AC39"/>
      <c r="AD39"/>
      <c r="AE39"/>
      <c r="AF39"/>
      <c r="AG39"/>
      <c r="AH39"/>
      <c r="AI39"/>
      <c r="AJ39"/>
      <c r="AK39"/>
      <c r="AL39" s="1"/>
      <c r="AM39" s="1"/>
      <c r="AN39" s="1"/>
      <c r="AO39"/>
      <c r="AP39"/>
      <c r="AQ39"/>
    </row>
    <row r="40" spans="2:43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T40" s="136"/>
      <c r="Z40"/>
      <c r="AA40"/>
      <c r="AB40"/>
      <c r="AC40"/>
      <c r="AD40"/>
      <c r="AE40"/>
      <c r="AF40"/>
      <c r="AG40"/>
      <c r="AH40"/>
      <c r="AI40"/>
      <c r="AJ40"/>
      <c r="AK40"/>
      <c r="AL40" s="1"/>
      <c r="AM40" s="1"/>
      <c r="AN40" s="1"/>
      <c r="AO40"/>
      <c r="AP40"/>
      <c r="AQ40"/>
    </row>
    <row r="41" spans="2:43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436</v>
      </c>
      <c r="I41" s="88"/>
      <c r="J41" s="89"/>
      <c r="K41" s="90">
        <f>+K39+K40*2</f>
        <v>368.78</v>
      </c>
      <c r="L41" s="135"/>
      <c r="N41" s="136"/>
      <c r="O41" s="136"/>
      <c r="P41" s="136"/>
      <c r="Q41" s="136"/>
      <c r="R41" s="136"/>
      <c r="S41" s="136"/>
      <c r="T41" s="136"/>
      <c r="Z41"/>
      <c r="AA41"/>
      <c r="AB41"/>
      <c r="AC41"/>
      <c r="AD41"/>
      <c r="AE41"/>
      <c r="AF41"/>
      <c r="AG41"/>
      <c r="AH41"/>
      <c r="AI41"/>
      <c r="AJ41"/>
      <c r="AK41"/>
      <c r="AL41" s="1"/>
      <c r="AM41" s="1"/>
      <c r="AN41" s="1"/>
      <c r="AO41"/>
      <c r="AP41"/>
      <c r="AQ41"/>
    </row>
    <row r="42" spans="2:43" s="10" customFormat="1" x14ac:dyDescent="0.3">
      <c r="B42"/>
      <c r="C42"/>
      <c r="D42"/>
      <c r="E42" s="455">
        <f>+C9</f>
        <v>1</v>
      </c>
      <c r="F42" s="455" t="s">
        <v>53</v>
      </c>
      <c r="G42" s="82" t="s">
        <v>48</v>
      </c>
      <c r="H42" s="83">
        <v>432</v>
      </c>
      <c r="I42" s="84"/>
      <c r="J42" s="85"/>
      <c r="K42" s="86">
        <v>287.83</v>
      </c>
      <c r="L42" s="135"/>
      <c r="N42" s="136"/>
      <c r="O42" s="136"/>
      <c r="P42" s="136"/>
      <c r="Q42" s="136"/>
      <c r="R42" s="136"/>
      <c r="S42" s="136"/>
      <c r="T42" s="136"/>
      <c r="Z42"/>
      <c r="AA42"/>
      <c r="AB42"/>
      <c r="AC42"/>
      <c r="AD42"/>
      <c r="AE42"/>
      <c r="AF42"/>
      <c r="AG42"/>
      <c r="AH42"/>
      <c r="AI42"/>
      <c r="AJ42"/>
      <c r="AK42"/>
      <c r="AL42" s="1"/>
      <c r="AM42" s="1"/>
      <c r="AN42" s="1"/>
      <c r="AO42"/>
      <c r="AP42"/>
      <c r="AQ42"/>
    </row>
    <row r="43" spans="2:43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T43" s="136"/>
      <c r="Z43"/>
      <c r="AA43"/>
      <c r="AB43"/>
      <c r="AC43"/>
      <c r="AD43"/>
      <c r="AE43"/>
      <c r="AF43"/>
      <c r="AG43"/>
      <c r="AH43"/>
      <c r="AI43"/>
      <c r="AJ43"/>
      <c r="AK43"/>
      <c r="AL43" s="1"/>
      <c r="AM43" s="1"/>
      <c r="AN43" s="1"/>
      <c r="AO43"/>
      <c r="AP43"/>
      <c r="AQ43"/>
    </row>
    <row r="44" spans="2:43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432</v>
      </c>
      <c r="I44" s="88"/>
      <c r="J44" s="89"/>
      <c r="K44" s="90">
        <f>+K42+K43*2</f>
        <v>287.83</v>
      </c>
      <c r="L44" s="137" t="s">
        <v>54</v>
      </c>
      <c r="N44" s="136"/>
      <c r="O44" s="136"/>
      <c r="P44" s="136"/>
      <c r="Q44" s="136"/>
      <c r="R44" s="136"/>
      <c r="S44" s="136"/>
      <c r="T44" s="136"/>
      <c r="Z44"/>
      <c r="AA44"/>
      <c r="AB44"/>
      <c r="AC44"/>
      <c r="AD44"/>
      <c r="AF44"/>
      <c r="AG44"/>
      <c r="AH44"/>
      <c r="AI44"/>
      <c r="AJ44"/>
      <c r="AK44"/>
      <c r="AL44" s="1"/>
      <c r="AM44" s="1"/>
      <c r="AN44" s="1"/>
      <c r="AO44"/>
      <c r="AP44"/>
      <c r="AQ44"/>
    </row>
    <row r="45" spans="2:43" s="10" customFormat="1" x14ac:dyDescent="0.3">
      <c r="B45"/>
      <c r="C45"/>
      <c r="D45"/>
      <c r="E45" s="455">
        <f>+C10</f>
        <v>2</v>
      </c>
      <c r="F45" s="455" t="s">
        <v>55</v>
      </c>
      <c r="G45" s="82" t="s">
        <v>48</v>
      </c>
      <c r="H45" s="83">
        <v>330</v>
      </c>
      <c r="I45" s="84"/>
      <c r="J45" s="85"/>
      <c r="K45" s="86">
        <v>332.73</v>
      </c>
      <c r="L45" s="135"/>
      <c r="N45" s="136"/>
      <c r="O45" s="136"/>
      <c r="P45" s="136"/>
      <c r="Q45" s="136"/>
      <c r="R45" s="136"/>
      <c r="S45" s="136"/>
      <c r="T45" s="136"/>
      <c r="Z45"/>
      <c r="AA45"/>
      <c r="AB45"/>
      <c r="AC45"/>
      <c r="AD45"/>
      <c r="AE45"/>
      <c r="AF45"/>
      <c r="AG45"/>
      <c r="AH45"/>
      <c r="AI45"/>
      <c r="AJ45"/>
      <c r="AK45"/>
      <c r="AL45" s="1"/>
      <c r="AM45" s="1"/>
      <c r="AN45" s="1"/>
      <c r="AO45"/>
      <c r="AP45"/>
      <c r="AQ45"/>
    </row>
    <row r="46" spans="2:43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T46" s="136"/>
      <c r="Z46"/>
      <c r="AA46"/>
      <c r="AB46"/>
      <c r="AC46"/>
      <c r="AD46"/>
      <c r="AE46"/>
      <c r="AF46"/>
      <c r="AG46"/>
      <c r="AH46"/>
      <c r="AI46"/>
      <c r="AJ46"/>
      <c r="AK46"/>
      <c r="AL46" s="1"/>
      <c r="AM46" s="1"/>
      <c r="AN46" s="1"/>
      <c r="AO46"/>
      <c r="AP46"/>
      <c r="AQ46"/>
    </row>
    <row r="47" spans="2:43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330</v>
      </c>
      <c r="I47" s="88"/>
      <c r="J47" s="89"/>
      <c r="K47" s="90">
        <f>+K45+K46*2</f>
        <v>332.73</v>
      </c>
      <c r="L47" s="135"/>
      <c r="N47" s="136"/>
      <c r="O47" s="136"/>
      <c r="P47" s="136"/>
      <c r="Q47" s="136"/>
      <c r="R47" s="136"/>
      <c r="S47" s="136"/>
      <c r="T47" s="136"/>
      <c r="Z47"/>
      <c r="AA47"/>
      <c r="AB47"/>
      <c r="AC47"/>
      <c r="AD47"/>
      <c r="AE47"/>
      <c r="AF47"/>
      <c r="AG47"/>
      <c r="AH47"/>
      <c r="AI47"/>
      <c r="AJ47"/>
      <c r="AK47"/>
      <c r="AL47" s="1"/>
      <c r="AM47" s="1"/>
      <c r="AN47" s="1"/>
      <c r="AO47"/>
      <c r="AP47"/>
      <c r="AQ47"/>
    </row>
    <row r="48" spans="2:43" s="10" customFormat="1" x14ac:dyDescent="0.3">
      <c r="B48"/>
      <c r="C48"/>
      <c r="D48"/>
      <c r="E48" s="455">
        <f>+C11</f>
        <v>3</v>
      </c>
      <c r="F48" s="455" t="s">
        <v>56</v>
      </c>
      <c r="G48" s="82" t="s">
        <v>48</v>
      </c>
      <c r="H48" s="83">
        <v>443</v>
      </c>
      <c r="I48" s="84"/>
      <c r="J48" s="85"/>
      <c r="K48" s="86">
        <v>358.24</v>
      </c>
      <c r="L48" s="135"/>
      <c r="N48" s="136"/>
      <c r="O48" s="136"/>
      <c r="P48" s="136"/>
      <c r="Q48" s="136"/>
      <c r="R48" s="136"/>
      <c r="S48" s="136"/>
      <c r="T48" s="136"/>
      <c r="Z48"/>
      <c r="AA48"/>
      <c r="AB48"/>
      <c r="AC48"/>
      <c r="AD48"/>
      <c r="AE48"/>
      <c r="AF48"/>
      <c r="AG48"/>
      <c r="AH48"/>
      <c r="AI48"/>
      <c r="AJ48"/>
      <c r="AK48"/>
      <c r="AL48" s="1"/>
      <c r="AM48" s="1"/>
      <c r="AN48" s="1"/>
      <c r="AO48"/>
      <c r="AP48"/>
      <c r="AQ48"/>
    </row>
    <row r="49" spans="2:43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T49" s="136"/>
      <c r="Z49"/>
      <c r="AA49"/>
      <c r="AB49"/>
      <c r="AC49"/>
      <c r="AD49"/>
      <c r="AE49"/>
      <c r="AF49"/>
      <c r="AG49"/>
      <c r="AH49"/>
      <c r="AI49"/>
      <c r="AJ49"/>
      <c r="AK49"/>
      <c r="AL49" s="1"/>
      <c r="AM49" s="1"/>
      <c r="AN49" s="1"/>
      <c r="AO49"/>
      <c r="AP49"/>
      <c r="AQ49"/>
    </row>
    <row r="50" spans="2:43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443</v>
      </c>
      <c r="I50" s="88"/>
      <c r="J50" s="89"/>
      <c r="K50" s="90">
        <f>+K48+K49*2</f>
        <v>358.24</v>
      </c>
      <c r="L50" s="135"/>
      <c r="N50" s="136"/>
      <c r="O50" s="136"/>
      <c r="P50" s="136"/>
      <c r="Q50" s="136"/>
      <c r="R50" s="136"/>
      <c r="S50" s="136"/>
      <c r="T50" s="136"/>
      <c r="Z50"/>
      <c r="AA50"/>
      <c r="AB50"/>
      <c r="AC50"/>
      <c r="AD50"/>
      <c r="AE50"/>
      <c r="AF50"/>
      <c r="AG50"/>
      <c r="AH50"/>
      <c r="AI50"/>
      <c r="AJ50"/>
      <c r="AK50"/>
      <c r="AL50" s="1"/>
      <c r="AM50" s="1"/>
      <c r="AN50" s="1"/>
      <c r="AO50"/>
      <c r="AP50"/>
      <c r="AQ50"/>
    </row>
    <row r="51" spans="2:43" s="10" customFormat="1" x14ac:dyDescent="0.3">
      <c r="B51"/>
      <c r="C51"/>
      <c r="D51"/>
      <c r="E51" s="455">
        <f>+C12</f>
        <v>4</v>
      </c>
      <c r="F51" s="455" t="s">
        <v>38</v>
      </c>
      <c r="G51" s="82" t="s">
        <v>48</v>
      </c>
      <c r="H51" s="83"/>
      <c r="I51" s="84"/>
      <c r="J51" s="85"/>
      <c r="K51" s="86"/>
      <c r="L51" s="135"/>
      <c r="N51" s="136"/>
      <c r="O51" s="136"/>
      <c r="P51" s="136"/>
      <c r="Q51" s="136"/>
      <c r="R51" s="136"/>
      <c r="S51" s="136"/>
      <c r="T51" s="136"/>
      <c r="Z51"/>
      <c r="AA51"/>
      <c r="AB51"/>
      <c r="AC51"/>
      <c r="AD51"/>
      <c r="AE51"/>
      <c r="AF51"/>
      <c r="AG51"/>
      <c r="AH51"/>
      <c r="AI51"/>
      <c r="AJ51"/>
      <c r="AK51"/>
      <c r="AL51" s="1"/>
      <c r="AM51" s="1"/>
      <c r="AN51" s="1"/>
      <c r="AO51"/>
      <c r="AP51"/>
      <c r="AQ51"/>
    </row>
    <row r="52" spans="2:43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T52" s="136"/>
      <c r="Z52"/>
      <c r="AA52"/>
      <c r="AB52"/>
      <c r="AC52"/>
      <c r="AD52"/>
      <c r="AE52"/>
      <c r="AF52"/>
      <c r="AG52"/>
      <c r="AH52"/>
      <c r="AI52"/>
      <c r="AJ52"/>
      <c r="AK52"/>
      <c r="AL52" s="1"/>
      <c r="AM52" s="1"/>
      <c r="AN52" s="1"/>
      <c r="AO52"/>
      <c r="AP52"/>
      <c r="AQ52"/>
    </row>
    <row r="53" spans="2:43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0</v>
      </c>
      <c r="I53" s="88"/>
      <c r="J53" s="89"/>
      <c r="K53" s="90">
        <f>+K51+K52*2</f>
        <v>0</v>
      </c>
      <c r="L53" s="135"/>
      <c r="N53" s="136"/>
      <c r="O53" s="136"/>
      <c r="P53" s="136"/>
      <c r="Q53" s="136"/>
      <c r="R53" s="136"/>
      <c r="S53" s="136"/>
      <c r="T53" s="136"/>
      <c r="Z53"/>
      <c r="AA53"/>
      <c r="AB53"/>
      <c r="AC53"/>
      <c r="AD53"/>
      <c r="AE53"/>
      <c r="AF53"/>
      <c r="AG53"/>
      <c r="AH53"/>
      <c r="AI53"/>
      <c r="AJ53"/>
      <c r="AK53"/>
      <c r="AL53" s="1"/>
      <c r="AM53" s="1"/>
      <c r="AN53" s="1"/>
      <c r="AO53"/>
      <c r="AP53"/>
      <c r="AQ53"/>
    </row>
    <row r="54" spans="2:43" x14ac:dyDescent="0.3">
      <c r="H54" s="75"/>
      <c r="I54" s="10"/>
      <c r="J54" s="11"/>
      <c r="K54"/>
    </row>
    <row r="55" spans="2:43" x14ac:dyDescent="0.3">
      <c r="H55" s="75"/>
      <c r="I55" s="10"/>
      <c r="J55" s="11"/>
      <c r="K55"/>
    </row>
    <row r="56" spans="2:43" s="10" customFormat="1" x14ac:dyDescent="0.3">
      <c r="B56"/>
      <c r="C56"/>
      <c r="D56"/>
      <c r="E56" s="455">
        <f>+E36</f>
        <v>30</v>
      </c>
      <c r="F56" s="455" t="s">
        <v>7</v>
      </c>
      <c r="G56" s="82" t="s">
        <v>48</v>
      </c>
      <c r="H56" s="83">
        <f>313-8</f>
        <v>305</v>
      </c>
      <c r="I56" s="84"/>
      <c r="J56" s="85"/>
      <c r="K56" s="86">
        <f>542.66-3.6</f>
        <v>539.05999999999995</v>
      </c>
      <c r="L56" s="135"/>
      <c r="N56" s="136"/>
      <c r="O56" s="136"/>
      <c r="P56" s="136"/>
      <c r="Q56" s="136"/>
      <c r="R56" s="136"/>
      <c r="S56" s="136"/>
      <c r="T56" s="136"/>
      <c r="Z56"/>
      <c r="AA56"/>
      <c r="AB56"/>
      <c r="AC56"/>
      <c r="AD56"/>
      <c r="AE56"/>
      <c r="AF56"/>
      <c r="AG56"/>
      <c r="AH56"/>
      <c r="AI56"/>
      <c r="AJ56"/>
      <c r="AK56"/>
      <c r="AL56" s="1"/>
      <c r="AM56" s="1"/>
      <c r="AN56" s="1"/>
      <c r="AO56"/>
      <c r="AP56"/>
      <c r="AQ56"/>
    </row>
    <row r="57" spans="2:43" s="10" customFormat="1" x14ac:dyDescent="0.3">
      <c r="B57"/>
      <c r="C57" t="s">
        <v>57</v>
      </c>
      <c r="D57"/>
      <c r="E57" s="456"/>
      <c r="F57" s="456"/>
      <c r="G57" s="82" t="s">
        <v>50</v>
      </c>
      <c r="H57" s="83">
        <v>8</v>
      </c>
      <c r="I57" s="84"/>
      <c r="J57" s="85"/>
      <c r="K57" s="86">
        <v>3.6</v>
      </c>
      <c r="L57" s="135"/>
      <c r="N57" s="136"/>
      <c r="O57" s="136"/>
      <c r="P57" s="136"/>
      <c r="Q57" s="136"/>
      <c r="R57" s="136"/>
      <c r="S57" s="136"/>
      <c r="T57" s="136"/>
      <c r="Z57"/>
      <c r="AA57"/>
      <c r="AB57"/>
      <c r="AC57"/>
      <c r="AD57"/>
      <c r="AE57"/>
      <c r="AF57"/>
      <c r="AG57"/>
      <c r="AH57"/>
      <c r="AI57"/>
      <c r="AJ57"/>
      <c r="AK57"/>
      <c r="AL57" s="1"/>
      <c r="AM57" s="1"/>
      <c r="AN57" s="1"/>
      <c r="AO57"/>
      <c r="AP57"/>
      <c r="AQ57"/>
    </row>
    <row r="58" spans="2:43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321</v>
      </c>
      <c r="I58" s="88"/>
      <c r="J58" s="89"/>
      <c r="K58" s="90">
        <f>+K56+K57*2</f>
        <v>546.26</v>
      </c>
      <c r="L58" s="135"/>
      <c r="N58" s="136"/>
      <c r="O58" s="136"/>
      <c r="P58" s="136"/>
      <c r="Q58" s="136"/>
      <c r="R58" s="136"/>
      <c r="S58" s="136"/>
      <c r="T58" s="136"/>
      <c r="Z58"/>
      <c r="AA58"/>
      <c r="AB58"/>
      <c r="AC58"/>
      <c r="AD58"/>
      <c r="AE58"/>
      <c r="AF58"/>
      <c r="AG58"/>
      <c r="AH58"/>
      <c r="AI58"/>
      <c r="AJ58"/>
      <c r="AK58"/>
      <c r="AL58" s="1"/>
      <c r="AM58" s="1"/>
      <c r="AN58" s="1"/>
      <c r="AO58"/>
      <c r="AP58"/>
      <c r="AQ58"/>
    </row>
    <row r="59" spans="2:43" s="10" customFormat="1" x14ac:dyDescent="0.3">
      <c r="B59"/>
      <c r="C59"/>
      <c r="D59"/>
      <c r="E59" s="455">
        <f>+E39</f>
        <v>31</v>
      </c>
      <c r="F59" s="455" t="s">
        <v>52</v>
      </c>
      <c r="G59" s="82" t="s">
        <v>48</v>
      </c>
      <c r="H59" s="83">
        <v>550</v>
      </c>
      <c r="I59" s="84"/>
      <c r="J59" s="85"/>
      <c r="K59" s="86">
        <v>506.17</v>
      </c>
      <c r="L59" s="135"/>
      <c r="N59" s="136"/>
      <c r="O59" s="136"/>
      <c r="P59" s="136"/>
      <c r="Q59" s="136"/>
      <c r="R59" s="136"/>
      <c r="S59" s="136"/>
      <c r="T59" s="136"/>
      <c r="Z59"/>
      <c r="AA59"/>
      <c r="AB59"/>
      <c r="AC59"/>
      <c r="AD59"/>
      <c r="AE59"/>
      <c r="AF59"/>
      <c r="AG59"/>
      <c r="AH59"/>
      <c r="AI59"/>
      <c r="AJ59"/>
      <c r="AK59"/>
      <c r="AL59" s="1"/>
      <c r="AM59" s="1"/>
      <c r="AN59" s="1"/>
      <c r="AO59"/>
      <c r="AP59"/>
      <c r="AQ59"/>
    </row>
    <row r="60" spans="2:43" s="10" customFormat="1" x14ac:dyDescent="0.3">
      <c r="B60"/>
      <c r="C60"/>
      <c r="D60"/>
      <c r="E60" s="456"/>
      <c r="F60" s="456"/>
      <c r="G60" s="82" t="s">
        <v>50</v>
      </c>
      <c r="H60" s="83"/>
      <c r="I60" s="84"/>
      <c r="J60" s="85"/>
      <c r="K60" s="86"/>
      <c r="L60" s="135"/>
      <c r="N60" s="136"/>
      <c r="O60" s="136"/>
      <c r="P60" s="136"/>
      <c r="Q60" s="136"/>
      <c r="R60" s="136"/>
      <c r="S60" s="136"/>
      <c r="T60" s="136"/>
      <c r="Z60"/>
      <c r="AA60"/>
      <c r="AB60"/>
      <c r="AC60"/>
      <c r="AD60"/>
      <c r="AE60"/>
      <c r="AF60"/>
      <c r="AG60"/>
      <c r="AH60"/>
      <c r="AI60"/>
      <c r="AJ60"/>
      <c r="AK60"/>
      <c r="AL60" s="1"/>
      <c r="AM60" s="1"/>
      <c r="AN60" s="1"/>
      <c r="AO60"/>
      <c r="AP60"/>
      <c r="AQ60"/>
    </row>
    <row r="61" spans="2:43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550</v>
      </c>
      <c r="I61" s="88"/>
      <c r="J61" s="89"/>
      <c r="K61" s="90">
        <f>+K59+K60*2</f>
        <v>506.17</v>
      </c>
      <c r="L61" s="135"/>
      <c r="N61" s="136"/>
      <c r="O61" s="136"/>
      <c r="P61" s="136"/>
      <c r="Q61" s="136"/>
      <c r="R61" s="136"/>
      <c r="S61" s="136"/>
      <c r="T61" s="136"/>
      <c r="Z61"/>
      <c r="AA61"/>
      <c r="AB61"/>
      <c r="AC61"/>
      <c r="AD61"/>
      <c r="AE61"/>
      <c r="AF61"/>
      <c r="AG61"/>
      <c r="AH61"/>
      <c r="AI61"/>
      <c r="AJ61"/>
      <c r="AK61"/>
      <c r="AL61" s="1"/>
      <c r="AM61" s="1"/>
      <c r="AN61" s="1"/>
      <c r="AO61"/>
      <c r="AP61"/>
      <c r="AQ61"/>
    </row>
    <row r="62" spans="2:43" s="10" customFormat="1" x14ac:dyDescent="0.3">
      <c r="B62"/>
      <c r="C62"/>
      <c r="D62"/>
      <c r="E62" s="455">
        <f>+E42</f>
        <v>1</v>
      </c>
      <c r="F62" s="455" t="s">
        <v>53</v>
      </c>
      <c r="G62" s="82" t="s">
        <v>48</v>
      </c>
      <c r="H62" s="83">
        <v>544</v>
      </c>
      <c r="I62" s="84"/>
      <c r="J62" s="85"/>
      <c r="K62" s="86">
        <v>398.11</v>
      </c>
      <c r="L62" s="135"/>
      <c r="N62" s="136"/>
      <c r="O62" s="136"/>
      <c r="P62" s="136"/>
      <c r="Q62" s="136"/>
      <c r="R62" s="136"/>
      <c r="S62" s="136"/>
      <c r="T62" s="136"/>
      <c r="Z62"/>
      <c r="AA62"/>
      <c r="AB62"/>
      <c r="AC62"/>
      <c r="AD62"/>
      <c r="AE62"/>
      <c r="AF62"/>
      <c r="AG62"/>
      <c r="AH62"/>
      <c r="AI62"/>
      <c r="AJ62"/>
      <c r="AK62"/>
      <c r="AL62" s="1"/>
      <c r="AM62" s="1"/>
      <c r="AN62" s="1"/>
      <c r="AO62"/>
      <c r="AP62"/>
      <c r="AQ62"/>
    </row>
    <row r="63" spans="2:43" s="10" customFormat="1" x14ac:dyDescent="0.3">
      <c r="B63"/>
      <c r="C63"/>
      <c r="D63"/>
      <c r="E63" s="456"/>
      <c r="F63" s="456"/>
      <c r="G63" s="82" t="s">
        <v>50</v>
      </c>
      <c r="H63" s="83"/>
      <c r="I63" s="84"/>
      <c r="J63" s="85"/>
      <c r="K63" s="86"/>
      <c r="L63" s="135"/>
      <c r="N63" s="136"/>
      <c r="O63" s="136"/>
      <c r="P63" s="136"/>
      <c r="Q63" s="136"/>
      <c r="R63" s="136"/>
      <c r="S63" s="136"/>
      <c r="T63" s="136"/>
      <c r="Z63"/>
      <c r="AA63"/>
      <c r="AB63"/>
      <c r="AC63"/>
      <c r="AD63"/>
      <c r="AE63"/>
      <c r="AF63"/>
      <c r="AG63"/>
      <c r="AH63"/>
      <c r="AI63"/>
      <c r="AJ63"/>
      <c r="AK63"/>
      <c r="AL63" s="1"/>
      <c r="AM63" s="1"/>
      <c r="AN63" s="1"/>
      <c r="AO63"/>
      <c r="AP63"/>
      <c r="AQ63"/>
    </row>
    <row r="64" spans="2:43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544</v>
      </c>
      <c r="I64" s="88"/>
      <c r="J64" s="89"/>
      <c r="K64" s="90">
        <f>+K62+K63*2</f>
        <v>398.11</v>
      </c>
      <c r="L64" s="137" t="s">
        <v>54</v>
      </c>
      <c r="N64" s="136"/>
      <c r="O64" s="136"/>
      <c r="P64" s="136"/>
      <c r="Q64" s="136"/>
      <c r="R64" s="136"/>
      <c r="S64" s="136"/>
      <c r="T64" s="136"/>
      <c r="Z64"/>
      <c r="AA64"/>
      <c r="AB64"/>
      <c r="AC64"/>
      <c r="AD64"/>
      <c r="AF64"/>
      <c r="AG64"/>
      <c r="AH64"/>
      <c r="AI64"/>
      <c r="AJ64"/>
      <c r="AK64"/>
      <c r="AL64" s="1"/>
      <c r="AM64" s="1"/>
      <c r="AN64" s="1"/>
      <c r="AO64"/>
      <c r="AP64"/>
      <c r="AQ64"/>
    </row>
    <row r="65" spans="2:43" s="10" customFormat="1" x14ac:dyDescent="0.3">
      <c r="B65"/>
      <c r="C65"/>
      <c r="D65"/>
      <c r="E65" s="455">
        <f>+E45</f>
        <v>2</v>
      </c>
      <c r="F65" s="455" t="s">
        <v>55</v>
      </c>
      <c r="G65" s="82" t="s">
        <v>48</v>
      </c>
      <c r="H65" s="83">
        <v>436</v>
      </c>
      <c r="I65" s="84"/>
      <c r="J65" s="85"/>
      <c r="K65" s="86">
        <v>389.56</v>
      </c>
      <c r="L65" s="135"/>
      <c r="N65" s="136"/>
      <c r="O65" s="136"/>
      <c r="P65" s="136"/>
      <c r="Q65" s="136"/>
      <c r="R65" s="136"/>
      <c r="S65" s="136"/>
      <c r="T65" s="136"/>
      <c r="Z65"/>
      <c r="AA65"/>
      <c r="AB65"/>
      <c r="AC65"/>
      <c r="AD65"/>
      <c r="AE65"/>
      <c r="AF65"/>
      <c r="AG65"/>
      <c r="AH65"/>
      <c r="AI65"/>
      <c r="AJ65"/>
      <c r="AK65"/>
      <c r="AL65" s="1"/>
      <c r="AM65" s="1"/>
      <c r="AN65" s="1"/>
      <c r="AO65"/>
      <c r="AP65"/>
      <c r="AQ65"/>
    </row>
    <row r="66" spans="2:43" s="10" customFormat="1" x14ac:dyDescent="0.3">
      <c r="B66"/>
      <c r="C66"/>
      <c r="D66"/>
      <c r="E66" s="456"/>
      <c r="F66" s="456"/>
      <c r="G66" s="82" t="s">
        <v>50</v>
      </c>
      <c r="H66" s="83"/>
      <c r="I66" s="84"/>
      <c r="J66" s="85"/>
      <c r="K66" s="86"/>
      <c r="L66" s="135"/>
      <c r="N66" s="136"/>
      <c r="O66" s="136"/>
      <c r="P66" s="136"/>
      <c r="Q66" s="136"/>
      <c r="R66" s="136"/>
      <c r="S66" s="136"/>
      <c r="T66" s="136"/>
      <c r="Z66"/>
      <c r="AA66"/>
      <c r="AB66"/>
      <c r="AC66"/>
      <c r="AD66"/>
      <c r="AE66"/>
      <c r="AF66"/>
      <c r="AG66"/>
      <c r="AH66"/>
      <c r="AI66"/>
      <c r="AJ66"/>
      <c r="AK66"/>
      <c r="AL66" s="1"/>
      <c r="AM66" s="1"/>
      <c r="AN66" s="1"/>
      <c r="AO66"/>
      <c r="AP66"/>
      <c r="AQ66"/>
    </row>
    <row r="67" spans="2:43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436</v>
      </c>
      <c r="I67" s="88"/>
      <c r="J67" s="89"/>
      <c r="K67" s="90">
        <f>+K65+K66*2</f>
        <v>389.56</v>
      </c>
      <c r="L67" s="135"/>
      <c r="N67" s="136"/>
      <c r="O67" s="136"/>
      <c r="P67" s="136"/>
      <c r="Q67" s="136"/>
      <c r="R67" s="136"/>
      <c r="S67" s="136"/>
      <c r="T67" s="136"/>
      <c r="Z67"/>
      <c r="AA67"/>
      <c r="AB67"/>
      <c r="AC67"/>
      <c r="AD67"/>
      <c r="AE67"/>
      <c r="AF67"/>
      <c r="AG67"/>
      <c r="AH67"/>
      <c r="AI67"/>
      <c r="AJ67"/>
      <c r="AK67"/>
      <c r="AL67" s="1"/>
      <c r="AM67" s="1"/>
      <c r="AN67" s="1"/>
      <c r="AO67"/>
      <c r="AP67"/>
      <c r="AQ67"/>
    </row>
    <row r="68" spans="2:43" s="10" customFormat="1" x14ac:dyDescent="0.3">
      <c r="B68"/>
      <c r="C68"/>
      <c r="D68"/>
      <c r="E68" s="455">
        <f>+E48</f>
        <v>3</v>
      </c>
      <c r="F68" s="455" t="s">
        <v>56</v>
      </c>
      <c r="G68" s="82" t="s">
        <v>48</v>
      </c>
      <c r="H68" s="83">
        <v>315</v>
      </c>
      <c r="I68" s="84"/>
      <c r="J68" s="85"/>
      <c r="K68" s="86">
        <f>386.12-80.6</f>
        <v>305.52</v>
      </c>
      <c r="L68" s="135"/>
      <c r="N68" s="136"/>
      <c r="O68" s="136"/>
      <c r="P68" s="136"/>
      <c r="Q68" s="136"/>
      <c r="R68" s="136"/>
      <c r="S68" s="136"/>
      <c r="T68" s="136"/>
      <c r="Z68"/>
      <c r="AA68"/>
      <c r="AB68"/>
      <c r="AC68"/>
      <c r="AD68"/>
      <c r="AE68"/>
      <c r="AF68"/>
      <c r="AG68"/>
      <c r="AH68"/>
      <c r="AI68"/>
      <c r="AJ68"/>
      <c r="AK68"/>
      <c r="AL68" s="1"/>
      <c r="AM68" s="1"/>
      <c r="AN68" s="1"/>
      <c r="AO68"/>
      <c r="AP68"/>
      <c r="AQ68"/>
    </row>
    <row r="69" spans="2:43" s="10" customFormat="1" x14ac:dyDescent="0.3">
      <c r="B69"/>
      <c r="C69"/>
      <c r="D69"/>
      <c r="E69" s="456"/>
      <c r="F69" s="456"/>
      <c r="G69" s="82" t="s">
        <v>50</v>
      </c>
      <c r="H69" s="83">
        <v>70</v>
      </c>
      <c r="I69" s="84"/>
      <c r="J69" s="85"/>
      <c r="K69" s="86">
        <v>80.599999999999994</v>
      </c>
      <c r="L69" s="135"/>
      <c r="N69" s="136"/>
      <c r="O69" s="136"/>
      <c r="P69" s="136"/>
      <c r="Q69" s="136"/>
      <c r="R69" s="136"/>
      <c r="S69" s="136"/>
      <c r="T69" s="136"/>
      <c r="Z69"/>
      <c r="AA69"/>
      <c r="AB69"/>
      <c r="AC69"/>
      <c r="AD69"/>
      <c r="AE69"/>
      <c r="AF69"/>
      <c r="AG69"/>
      <c r="AH69"/>
      <c r="AI69"/>
      <c r="AJ69"/>
      <c r="AK69"/>
      <c r="AL69" s="1"/>
      <c r="AM69" s="1"/>
      <c r="AN69" s="1"/>
      <c r="AO69"/>
      <c r="AP69"/>
      <c r="AQ69"/>
    </row>
    <row r="70" spans="2:43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455</v>
      </c>
      <c r="I70" s="88"/>
      <c r="J70" s="89"/>
      <c r="K70" s="90">
        <f>+K68+K69*2</f>
        <v>466.71999999999997</v>
      </c>
      <c r="L70" s="135"/>
      <c r="N70" s="136"/>
      <c r="O70" s="136"/>
      <c r="P70" s="136"/>
      <c r="Q70" s="136"/>
      <c r="R70" s="136"/>
      <c r="S70" s="136"/>
      <c r="T70" s="136"/>
      <c r="Z70"/>
      <c r="AA70"/>
      <c r="AB70"/>
      <c r="AC70"/>
      <c r="AD70"/>
      <c r="AE70"/>
      <c r="AF70"/>
      <c r="AG70"/>
      <c r="AH70"/>
      <c r="AI70"/>
      <c r="AJ70"/>
      <c r="AK70"/>
      <c r="AL70" s="1"/>
      <c r="AM70" s="1"/>
      <c r="AN70" s="1"/>
      <c r="AO70"/>
      <c r="AP70"/>
      <c r="AQ70"/>
    </row>
    <row r="71" spans="2:43" s="10" customFormat="1" x14ac:dyDescent="0.3">
      <c r="B71"/>
      <c r="C71"/>
      <c r="D71"/>
      <c r="E71" s="455">
        <f>+E51</f>
        <v>4</v>
      </c>
      <c r="F71" s="455" t="s">
        <v>38</v>
      </c>
      <c r="G71" s="82" t="s">
        <v>48</v>
      </c>
      <c r="H71" s="83"/>
      <c r="I71" s="84"/>
      <c r="J71" s="85"/>
      <c r="K71" s="86"/>
      <c r="L71" s="135"/>
      <c r="N71" s="136"/>
      <c r="O71" s="136"/>
      <c r="P71" s="136"/>
      <c r="Q71" s="136"/>
      <c r="R71" s="136"/>
      <c r="S71" s="136"/>
      <c r="T71" s="136"/>
      <c r="Z71"/>
      <c r="AA71"/>
      <c r="AB71"/>
      <c r="AC71"/>
      <c r="AD71"/>
      <c r="AE71"/>
      <c r="AF71"/>
      <c r="AG71"/>
      <c r="AH71"/>
      <c r="AI71"/>
      <c r="AJ71"/>
      <c r="AK71"/>
      <c r="AL71" s="1"/>
      <c r="AM71" s="1"/>
      <c r="AN71" s="1"/>
      <c r="AO71"/>
      <c r="AP71"/>
      <c r="AQ71"/>
    </row>
    <row r="72" spans="2:43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T72" s="136"/>
      <c r="Z72"/>
      <c r="AA72"/>
      <c r="AB72"/>
      <c r="AC72"/>
      <c r="AD72"/>
      <c r="AE72"/>
      <c r="AF72"/>
      <c r="AG72"/>
      <c r="AH72"/>
      <c r="AI72"/>
      <c r="AJ72"/>
      <c r="AK72"/>
      <c r="AL72" s="1"/>
      <c r="AM72" s="1"/>
      <c r="AN72" s="1"/>
      <c r="AO72"/>
      <c r="AP72"/>
      <c r="AQ72"/>
    </row>
    <row r="73" spans="2:43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0</v>
      </c>
      <c r="I73" s="88"/>
      <c r="J73" s="89"/>
      <c r="K73" s="90">
        <f>+K71+K72*2</f>
        <v>0</v>
      </c>
      <c r="L73" s="135"/>
      <c r="N73" s="136"/>
      <c r="O73" s="136"/>
      <c r="P73" s="136"/>
      <c r="Q73" s="136"/>
      <c r="R73" s="136"/>
      <c r="S73" s="136"/>
      <c r="T73" s="136"/>
      <c r="Z73"/>
      <c r="AA73"/>
      <c r="AB73"/>
      <c r="AC73"/>
      <c r="AD73"/>
      <c r="AE73"/>
      <c r="AF73"/>
      <c r="AG73"/>
      <c r="AH73"/>
      <c r="AI73"/>
      <c r="AJ73"/>
      <c r="AK73"/>
      <c r="AL73" s="1"/>
      <c r="AM73" s="1"/>
      <c r="AN73" s="1"/>
      <c r="AO73"/>
      <c r="AP73"/>
      <c r="AQ73"/>
    </row>
    <row r="76" spans="2:43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  <c r="AE76" s="464"/>
    </row>
    <row r="77" spans="2:43" ht="18" customHeight="1" x14ac:dyDescent="0.3">
      <c r="B77" t="s">
        <v>5</v>
      </c>
      <c r="D77" s="7">
        <v>55</v>
      </c>
      <c r="F77" s="8" t="s">
        <v>6</v>
      </c>
      <c r="U77" s="9">
        <v>1.2</v>
      </c>
      <c r="AA77" s="12">
        <f>AA61</f>
        <v>0</v>
      </c>
      <c r="AB77" s="11">
        <f>AB61</f>
        <v>0</v>
      </c>
      <c r="AC77" s="12"/>
      <c r="AE77" s="8"/>
    </row>
    <row r="78" spans="2:43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441" t="s">
        <v>12</v>
      </c>
      <c r="V78" s="418"/>
      <c r="W78" s="442"/>
      <c r="X78" s="446" t="s">
        <v>13</v>
      </c>
      <c r="Y78" s="418"/>
      <c r="Z78" s="418"/>
      <c r="AA78" s="13"/>
      <c r="AB78" s="14"/>
      <c r="AC78" s="447" t="s">
        <v>14</v>
      </c>
      <c r="AD78" s="449" t="s">
        <v>15</v>
      </c>
      <c r="AE78" s="418" t="s">
        <v>16</v>
      </c>
    </row>
    <row r="79" spans="2:43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5" t="s">
        <v>12</v>
      </c>
      <c r="V79" s="16" t="s">
        <v>17</v>
      </c>
      <c r="W79" s="17" t="s">
        <v>18</v>
      </c>
      <c r="X79" s="18" t="s">
        <v>13</v>
      </c>
      <c r="Y79" s="16" t="s">
        <v>19</v>
      </c>
      <c r="Z79" s="19" t="s">
        <v>18</v>
      </c>
      <c r="AA79" s="236" t="s">
        <v>20</v>
      </c>
      <c r="AB79" s="20" t="s">
        <v>21</v>
      </c>
      <c r="AC79" s="448"/>
      <c r="AD79" s="450"/>
      <c r="AE79" s="419"/>
      <c r="AF79" s="21" t="s">
        <v>22</v>
      </c>
      <c r="AG79" s="21" t="s">
        <v>23</v>
      </c>
      <c r="AH79" s="22"/>
      <c r="AI79" s="22"/>
      <c r="AJ79" s="22" t="s">
        <v>24</v>
      </c>
      <c r="AK79" s="22"/>
      <c r="AL79" s="23" t="s">
        <v>25</v>
      </c>
      <c r="AM79" s="23" t="s">
        <v>26</v>
      </c>
      <c r="AN79" s="23" t="s">
        <v>27</v>
      </c>
      <c r="AO79" s="22"/>
      <c r="AP79" s="22">
        <f>SUM(AP80:AP85)</f>
        <v>-50</v>
      </c>
    </row>
    <row r="80" spans="2:43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95">
        <f>+U94</f>
        <v>0</v>
      </c>
      <c r="V80" s="96">
        <f>IF(F80=0,"휴무",U80/F80)</f>
        <v>0</v>
      </c>
      <c r="W80" s="97">
        <f>IFERROR(U80/#REF!,0)</f>
        <v>0</v>
      </c>
      <c r="X80" s="98">
        <f>+X94</f>
        <v>0</v>
      </c>
      <c r="Y80" s="96">
        <f t="shared" ref="Y80:Y85" si="23">IF(F80=0,"휴무",X80/F80)</f>
        <v>0</v>
      </c>
      <c r="Z80" s="99">
        <f>IFERROR(X80/#REF!,0)</f>
        <v>0</v>
      </c>
      <c r="AA80" s="100" t="e">
        <f>IF(F80=0,"휴무",U80/#REF!*$AA$4)</f>
        <v>#REF!</v>
      </c>
      <c r="AB80" s="101" t="e">
        <f>IF(F80=0,"휴무",X80/#REF!*$AB$4)</f>
        <v>#REF!</v>
      </c>
      <c r="AC80" s="102" t="e">
        <f t="shared" ref="AC80:AC85" si="24">IF(F80=0,"휴무",AA80+AB80)</f>
        <v>#REF!</v>
      </c>
      <c r="AD80" s="103" t="e">
        <f t="shared" ref="AD80:AD85" si="25">IF(F80=0,"휴무",IF(AC80&gt;=100,"좋아요",IF(AC80&gt;=90,"90~99",IF(AC80&gt;=80,"80~89"," 사유?→"))))</f>
        <v>#REF!</v>
      </c>
      <c r="AE80" s="104"/>
      <c r="AF80" s="37">
        <f>AG80-F80</f>
        <v>-10</v>
      </c>
      <c r="AG80" s="38">
        <f>AN80</f>
        <v>0</v>
      </c>
      <c r="AH80" s="242" t="s">
        <v>29</v>
      </c>
      <c r="AI80" s="39"/>
      <c r="AJ80" s="40" t="str">
        <f>IFERROR(Z80/W80*1000,"")</f>
        <v/>
      </c>
      <c r="AK80" s="39"/>
      <c r="AL80" s="41"/>
      <c r="AM80" s="41"/>
      <c r="AN80" s="41"/>
      <c r="AO80" s="242"/>
      <c r="AP80" s="242">
        <f>AO80-F80</f>
        <v>-10</v>
      </c>
    </row>
    <row r="81" spans="2:42" ht="98.25" customHeight="1" x14ac:dyDescent="0.3">
      <c r="B81" s="459"/>
      <c r="C81" s="92">
        <v>20</v>
      </c>
      <c r="D81" s="243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95">
        <f>+U97</f>
        <v>0</v>
      </c>
      <c r="V81" s="62">
        <f>IF(F81=0,"휴무",U81/F81)</f>
        <v>0</v>
      </c>
      <c r="W81" s="63">
        <f>IFERROR(U81/#REF!,0)</f>
        <v>0</v>
      </c>
      <c r="X81" s="105">
        <f>+X97</f>
        <v>0</v>
      </c>
      <c r="Y81" s="96">
        <f t="shared" si="23"/>
        <v>0</v>
      </c>
      <c r="Z81" s="65">
        <f>IFERROR(X81/#REF!,0)</f>
        <v>0</v>
      </c>
      <c r="AA81" s="106" t="e">
        <f>IF(F81=0,"휴무",U81/#REF!*$AA$4)</f>
        <v>#REF!</v>
      </c>
      <c r="AB81" s="107" t="e">
        <f>IF(F81=0,"휴무",X81/#REF!*$AB$4)</f>
        <v>#REF!</v>
      </c>
      <c r="AC81" s="66" t="e">
        <f t="shared" si="24"/>
        <v>#REF!</v>
      </c>
      <c r="AD81" s="108" t="e">
        <f t="shared" si="25"/>
        <v>#REF!</v>
      </c>
      <c r="AE81" s="109"/>
      <c r="AF81" s="37">
        <f>AG81-F81</f>
        <v>-10</v>
      </c>
      <c r="AG81" s="38">
        <f>AN81</f>
        <v>0</v>
      </c>
      <c r="AH81" s="242" t="s">
        <v>34</v>
      </c>
      <c r="AI81" s="39"/>
      <c r="AJ81" s="40" t="str">
        <f>IFERROR(Z81/W81*1000,"")</f>
        <v/>
      </c>
      <c r="AK81" s="39"/>
      <c r="AL81" s="41"/>
      <c r="AM81" s="41"/>
      <c r="AN81" s="41"/>
      <c r="AO81" s="242"/>
      <c r="AP81" s="242">
        <f>AO81-F81</f>
        <v>-10</v>
      </c>
    </row>
    <row r="82" spans="2:42" ht="98.25" customHeight="1" x14ac:dyDescent="0.3">
      <c r="B82" s="459"/>
      <c r="C82" s="92">
        <v>21</v>
      </c>
      <c r="D82" s="243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95">
        <f>+U100</f>
        <v>0</v>
      </c>
      <c r="V82" s="62">
        <f>IF(F82=0,"휴무",U82/F82)</f>
        <v>0</v>
      </c>
      <c r="W82" s="63">
        <f>IFERROR(U82/#REF!,0)</f>
        <v>0</v>
      </c>
      <c r="X82" s="105">
        <f>+X100</f>
        <v>0</v>
      </c>
      <c r="Y82" s="96">
        <f t="shared" si="23"/>
        <v>0</v>
      </c>
      <c r="Z82" s="65">
        <f>IFERROR(X82/#REF!,0)</f>
        <v>0</v>
      </c>
      <c r="AA82" s="106" t="e">
        <f>IF(F82=0,"휴무",U82/#REF!*$AA$4)</f>
        <v>#REF!</v>
      </c>
      <c r="AB82" s="107" t="e">
        <f>IF(F82=0,"휴무",X82/#REF!*$AB$4)</f>
        <v>#REF!</v>
      </c>
      <c r="AC82" s="66" t="e">
        <f t="shared" si="24"/>
        <v>#REF!</v>
      </c>
      <c r="AD82" s="108" t="e">
        <f t="shared" si="25"/>
        <v>#REF!</v>
      </c>
      <c r="AE82" s="109"/>
      <c r="AF82" s="37">
        <f>AG82-F82</f>
        <v>-10</v>
      </c>
      <c r="AG82" s="38">
        <f>AN82</f>
        <v>0</v>
      </c>
      <c r="AH82" s="242" t="s">
        <v>36</v>
      </c>
      <c r="AI82" s="39"/>
      <c r="AJ82" s="40" t="str">
        <f>IFERROR(Z82/W82*1000,"")</f>
        <v/>
      </c>
      <c r="AK82" s="39"/>
      <c r="AL82" s="41"/>
      <c r="AM82" s="41"/>
      <c r="AN82" s="41"/>
      <c r="AO82" s="242"/>
      <c r="AP82" s="242">
        <f>AO82-F82</f>
        <v>-10</v>
      </c>
    </row>
    <row r="83" spans="2:42" ht="98.25" customHeight="1" x14ac:dyDescent="0.3">
      <c r="B83" s="459"/>
      <c r="C83" s="92">
        <v>22</v>
      </c>
      <c r="D83" s="243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95">
        <f>+U103</f>
        <v>0</v>
      </c>
      <c r="V83" s="62">
        <f>IF(F83=0,"휴무",U83/F83)</f>
        <v>0</v>
      </c>
      <c r="W83" s="63">
        <f>IFERROR(U83/#REF!,0)</f>
        <v>0</v>
      </c>
      <c r="X83" s="105">
        <f>+X103</f>
        <v>0</v>
      </c>
      <c r="Y83" s="62">
        <f t="shared" si="23"/>
        <v>0</v>
      </c>
      <c r="Z83" s="65">
        <f>IFERROR(X83/#REF!,0)</f>
        <v>0</v>
      </c>
      <c r="AA83" s="106" t="e">
        <f>IF(F83=0,"휴무",U83/#REF!*$AA$4)</f>
        <v>#REF!</v>
      </c>
      <c r="AB83" s="107" t="e">
        <f>IF(F83=0,"휴무",X83/#REF!*$AB$4)</f>
        <v>#REF!</v>
      </c>
      <c r="AC83" s="66" t="e">
        <f t="shared" si="24"/>
        <v>#REF!</v>
      </c>
      <c r="AD83" s="110" t="e">
        <f t="shared" si="25"/>
        <v>#REF!</v>
      </c>
      <c r="AE83" s="104"/>
      <c r="AF83" s="37">
        <f>AG83-F83</f>
        <v>-10</v>
      </c>
      <c r="AG83" s="38">
        <f>AN83</f>
        <v>0</v>
      </c>
      <c r="AH83" s="242" t="s">
        <v>33</v>
      </c>
      <c r="AI83" s="39"/>
      <c r="AJ83" s="40" t="str">
        <f>IFERROR(Z83/W83*1000,"")</f>
        <v/>
      </c>
      <c r="AK83" s="39"/>
      <c r="AL83" s="41"/>
      <c r="AM83" s="41"/>
      <c r="AN83" s="41"/>
      <c r="AO83" s="242"/>
      <c r="AP83" s="242">
        <f>AO83-F83</f>
        <v>-10</v>
      </c>
    </row>
    <row r="84" spans="2:42" ht="98.25" customHeight="1" x14ac:dyDescent="0.3">
      <c r="B84" s="459"/>
      <c r="C84" s="92">
        <v>23</v>
      </c>
      <c r="D84" s="243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95">
        <f>+U104</f>
        <v>0</v>
      </c>
      <c r="V84" s="62">
        <f>IF(F84=0,"휴무",U84/F84)</f>
        <v>0</v>
      </c>
      <c r="W84" s="63">
        <f>IFERROR(U84/#REF!,0)</f>
        <v>0</v>
      </c>
      <c r="X84" s="105">
        <f>+X104</f>
        <v>0</v>
      </c>
      <c r="Y84" s="62">
        <f t="shared" si="23"/>
        <v>0</v>
      </c>
      <c r="Z84" s="65">
        <f>IFERROR(X84/#REF!,0)</f>
        <v>0</v>
      </c>
      <c r="AA84" s="106" t="e">
        <f>IF(F84=0,"휴무",U84/#REF!*$AA$4)</f>
        <v>#REF!</v>
      </c>
      <c r="AB84" s="107" t="e">
        <f>IF(F84=0,"휴무",X84/#REF!*$AB$4)</f>
        <v>#REF!</v>
      </c>
      <c r="AC84" s="66" t="e">
        <f t="shared" si="24"/>
        <v>#REF!</v>
      </c>
      <c r="AD84" s="110" t="e">
        <f t="shared" si="25"/>
        <v>#REF!</v>
      </c>
      <c r="AE84" s="104"/>
      <c r="AF84" s="37">
        <f>AG84-F84</f>
        <v>-10</v>
      </c>
      <c r="AG84" s="38">
        <f>AN84</f>
        <v>0</v>
      </c>
      <c r="AH84" s="242" t="s">
        <v>46</v>
      </c>
      <c r="AI84" s="39"/>
      <c r="AJ84" s="40" t="str">
        <f>IFERROR(Z84/W84*1000,"")</f>
        <v/>
      </c>
      <c r="AK84" s="242"/>
      <c r="AL84" s="41"/>
      <c r="AM84" s="41"/>
      <c r="AN84" s="41"/>
      <c r="AO84" s="242"/>
      <c r="AP84" s="242">
        <f>AO84-F84</f>
        <v>-10</v>
      </c>
    </row>
    <row r="85" spans="2:42" ht="98.25" customHeight="1" x14ac:dyDescent="0.3">
      <c r="B85" s="459"/>
      <c r="C85" s="92">
        <v>25</v>
      </c>
      <c r="D85" s="243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240"/>
      <c r="H85" s="240"/>
      <c r="I85" s="240"/>
      <c r="J85" s="240"/>
      <c r="K85" s="240"/>
      <c r="L85" s="240"/>
      <c r="M85" s="240"/>
      <c r="N85" s="240"/>
      <c r="O85" s="240"/>
      <c r="P85" s="263"/>
      <c r="Q85" s="240"/>
      <c r="R85" s="240"/>
      <c r="S85" s="240"/>
      <c r="T85" s="240"/>
      <c r="U85" s="95">
        <f>U109</f>
        <v>0</v>
      </c>
      <c r="V85" s="96">
        <v>58.924999999999997</v>
      </c>
      <c r="W85" s="97">
        <v>0.89280303030303021</v>
      </c>
      <c r="X85" s="98">
        <f>X109</f>
        <v>0</v>
      </c>
      <c r="Y85" s="62" t="str">
        <f t="shared" si="23"/>
        <v>휴무</v>
      </c>
      <c r="Z85" s="65">
        <f>IFERROR(X85/#REF!,0)</f>
        <v>0</v>
      </c>
      <c r="AA85" s="106" t="str">
        <f>IF(F85=0,"휴무",U85/#REF!*$AA$4)</f>
        <v>휴무</v>
      </c>
      <c r="AB85" s="107" t="str">
        <f>IF(F85=0,"휴무",X85/#REF!*$AB$4)</f>
        <v>휴무</v>
      </c>
      <c r="AC85" s="66" t="str">
        <f t="shared" si="24"/>
        <v>휴무</v>
      </c>
      <c r="AD85" s="110" t="str">
        <f t="shared" si="25"/>
        <v>휴무</v>
      </c>
      <c r="AE85" s="104"/>
      <c r="AF85" s="37"/>
      <c r="AG85" s="38"/>
      <c r="AH85" s="242"/>
      <c r="AI85" s="39"/>
      <c r="AJ85" s="40"/>
      <c r="AK85" s="242"/>
      <c r="AL85" s="41"/>
      <c r="AM85" s="41"/>
      <c r="AN85" s="41"/>
      <c r="AO85" s="242"/>
      <c r="AP85" s="242"/>
    </row>
    <row r="86" spans="2:42" ht="36" customHeight="1" x14ac:dyDescent="0.3">
      <c r="B86" s="460" t="s">
        <v>39</v>
      </c>
      <c r="C86" s="461"/>
      <c r="D86" s="461"/>
      <c r="E86" s="462"/>
      <c r="F86" s="243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11">
        <f>SUM(U80:U85)</f>
        <v>0</v>
      </c>
      <c r="V86" s="112"/>
      <c r="W86" s="63">
        <f>IFERROR(U86/#REF!,0)</f>
        <v>0</v>
      </c>
      <c r="X86" s="113">
        <f>SUM(X80:X85)</f>
        <v>0</v>
      </c>
      <c r="Y86" s="62"/>
      <c r="Z86" s="65">
        <f>IFERROR(X86/#REF!,0)</f>
        <v>0</v>
      </c>
      <c r="AA86" s="243"/>
      <c r="AB86" s="239"/>
      <c r="AC86" s="114"/>
      <c r="AD86" s="115"/>
      <c r="AE86" s="241"/>
      <c r="AF86" s="37">
        <f>AG86-F86</f>
        <v>-50</v>
      </c>
      <c r="AG86" s="38">
        <f>SUM(AG80:AG85)</f>
        <v>0</v>
      </c>
      <c r="AH86" s="242"/>
      <c r="AI86" s="242"/>
      <c r="AJ86" s="40"/>
      <c r="AK86" s="242"/>
      <c r="AL86" s="59"/>
      <c r="AM86" s="59"/>
      <c r="AN86" s="59"/>
      <c r="AO86" s="242"/>
      <c r="AP86" s="242"/>
    </row>
    <row r="87" spans="2:42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240"/>
      <c r="H87" s="240"/>
      <c r="I87" s="240"/>
      <c r="J87" s="240"/>
      <c r="K87" s="240"/>
      <c r="L87" s="240"/>
      <c r="M87" s="240"/>
      <c r="N87" s="240"/>
      <c r="O87" s="240"/>
      <c r="P87" s="263"/>
      <c r="Q87" s="240"/>
      <c r="R87" s="240"/>
      <c r="S87" s="240"/>
      <c r="T87" s="240"/>
      <c r="U87" s="61">
        <f>V87*F87</f>
        <v>0</v>
      </c>
      <c r="V87" s="62">
        <f>U86/F86</f>
        <v>0</v>
      </c>
      <c r="W87" s="63">
        <f>IFERROR(U87/#REF!,0)</f>
        <v>0</v>
      </c>
      <c r="X87" s="64">
        <f>X86/F86*F87</f>
        <v>0</v>
      </c>
      <c r="Y87" s="62">
        <f>IF(F87=0,"휴무",X87/F87)</f>
        <v>0</v>
      </c>
      <c r="Z87" s="65">
        <f>IFERROR(X87/#REF!,0)</f>
        <v>0</v>
      </c>
      <c r="AA87" s="60" t="e">
        <f>AVERAGE(AA80:AA85)</f>
        <v>#REF!</v>
      </c>
      <c r="AB87" s="60" t="e">
        <f>AVERAGE(AB80:AB85)</f>
        <v>#REF!</v>
      </c>
      <c r="AC87" s="66" t="e">
        <f>AA87+AB87</f>
        <v>#REF!</v>
      </c>
      <c r="AD87" s="115" t="e">
        <f>IF(F87=0,"휴무",IF(AC87&gt;=100,"좋아요",IF(AC87&gt;=90,"90~99",IF(AC87&gt;=80,"80~89"," 사유?→"))))</f>
        <v>#REF!</v>
      </c>
      <c r="AE87" s="68"/>
      <c r="AF87" s="69"/>
      <c r="AG87" s="69"/>
      <c r="AH87" s="69"/>
      <c r="AI87" s="69"/>
      <c r="AJ87" s="40" t="str">
        <f>IFERROR(Z87/W87*1000,"")</f>
        <v/>
      </c>
      <c r="AK87" s="69"/>
      <c r="AL87" s="10"/>
      <c r="AM87" s="10"/>
      <c r="AN87" s="10"/>
      <c r="AO87" s="69"/>
      <c r="AP87" s="69"/>
    </row>
    <row r="88" spans="2:42" x14ac:dyDescent="0.3">
      <c r="B88" s="70" t="s">
        <v>41</v>
      </c>
      <c r="C88" s="71"/>
      <c r="D88" s="71"/>
      <c r="E88" s="72"/>
      <c r="U88" s="22"/>
      <c r="W88" s="73">
        <f>W87*60</f>
        <v>0</v>
      </c>
      <c r="X88" s="74"/>
      <c r="Y88" s="73"/>
      <c r="Z88" s="74">
        <f>Z87*40</f>
        <v>0</v>
      </c>
      <c r="AA88" s="81"/>
      <c r="AB88" s="81"/>
      <c r="AC88" s="74">
        <f>W88+Z88</f>
        <v>0</v>
      </c>
      <c r="AD88" s="242"/>
      <c r="AE88" s="242"/>
      <c r="AF88" s="242"/>
      <c r="AG88" s="242"/>
      <c r="AH88" s="242"/>
      <c r="AI88" s="242"/>
      <c r="AJ88" s="242"/>
      <c r="AK88" s="242"/>
      <c r="AL88" s="59"/>
      <c r="AM88" s="59"/>
      <c r="AN88" s="59"/>
      <c r="AO88" s="242"/>
      <c r="AP88" s="242"/>
    </row>
    <row r="89" spans="2:42" ht="17.25" thickBot="1" x14ac:dyDescent="0.35">
      <c r="B89" s="70" t="s">
        <v>61</v>
      </c>
      <c r="V89" s="10">
        <v>8.8000000000000007</v>
      </c>
    </row>
    <row r="90" spans="2:42" ht="17.25" thickBot="1" x14ac:dyDescent="0.35">
      <c r="B90" s="76" t="s">
        <v>42</v>
      </c>
      <c r="C90" s="77"/>
      <c r="D90" s="78" t="s">
        <v>43</v>
      </c>
      <c r="E90" s="78"/>
      <c r="F90" s="79"/>
      <c r="Y90" s="10">
        <v>50</v>
      </c>
    </row>
    <row r="92" spans="2:42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3"/>
      <c r="V92" s="84"/>
      <c r="W92" s="85"/>
      <c r="X92" s="86"/>
    </row>
    <row r="93" spans="2:42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3"/>
      <c r="V93" s="84"/>
      <c r="W93" s="85"/>
      <c r="X93" s="86"/>
    </row>
    <row r="94" spans="2:42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7">
        <f>+U92+U93*1.6</f>
        <v>0</v>
      </c>
      <c r="V94" s="88"/>
      <c r="W94" s="89"/>
      <c r="X94" s="90">
        <f>+X92+X93*1.6</f>
        <v>0</v>
      </c>
    </row>
    <row r="95" spans="2:42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3"/>
      <c r="V95" s="84"/>
      <c r="W95" s="85"/>
      <c r="X95" s="86"/>
    </row>
    <row r="96" spans="2:42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3"/>
      <c r="V96" s="84"/>
      <c r="W96" s="85"/>
      <c r="X96" s="86"/>
    </row>
    <row r="97" spans="5:31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91">
        <f>+U95+U96*1.6</f>
        <v>0</v>
      </c>
      <c r="V97" s="88"/>
      <c r="W97" s="89"/>
      <c r="X97" s="90">
        <f>+X95+X96*1.6</f>
        <v>0</v>
      </c>
    </row>
    <row r="98" spans="5:31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3"/>
      <c r="V98" s="84"/>
      <c r="W98" s="85"/>
      <c r="X98" s="86"/>
    </row>
    <row r="99" spans="5:31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3"/>
      <c r="V99" s="84"/>
      <c r="W99" s="85"/>
      <c r="X99" s="86"/>
    </row>
    <row r="100" spans="5:31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7">
        <f>+U98+U99*1.6</f>
        <v>0</v>
      </c>
      <c r="V100" s="88"/>
      <c r="W100" s="89"/>
      <c r="X100" s="90">
        <f>+X98+X99*1.6</f>
        <v>0</v>
      </c>
    </row>
    <row r="101" spans="5:31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3"/>
      <c r="V101" s="84"/>
      <c r="W101" s="85"/>
      <c r="X101" s="86"/>
    </row>
    <row r="102" spans="5:31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3"/>
      <c r="V102" s="84"/>
      <c r="W102" s="85"/>
      <c r="X102" s="86"/>
    </row>
    <row r="103" spans="5:31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7">
        <f>+U101+U102*1.6</f>
        <v>0</v>
      </c>
      <c r="V103" s="88"/>
      <c r="W103" s="89"/>
      <c r="X103" s="90">
        <f>+X101+X102*1.6</f>
        <v>0</v>
      </c>
    </row>
    <row r="104" spans="5:31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3"/>
      <c r="V104" s="84"/>
      <c r="W104" s="85"/>
      <c r="X104" s="86"/>
    </row>
    <row r="105" spans="5:31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3"/>
      <c r="V105" s="84"/>
      <c r="W105" s="85"/>
      <c r="X105" s="86"/>
    </row>
    <row r="106" spans="5:31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7">
        <f>+U104+U105*1.6</f>
        <v>0</v>
      </c>
      <c r="V106" s="88"/>
      <c r="W106" s="89"/>
      <c r="X106" s="90">
        <f>+X104+X105*1.6</f>
        <v>0</v>
      </c>
    </row>
    <row r="107" spans="5:31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3"/>
      <c r="V107" s="84"/>
      <c r="W107" s="85"/>
      <c r="X107" s="86"/>
      <c r="AE107" s="116"/>
    </row>
    <row r="108" spans="5:31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3"/>
      <c r="V108" s="84"/>
      <c r="W108" s="85"/>
      <c r="X108" s="86"/>
    </row>
    <row r="109" spans="5:31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7">
        <f>+U107+U108*1.6</f>
        <v>0</v>
      </c>
      <c r="V109" s="88"/>
      <c r="W109" s="89"/>
      <c r="X109" s="90">
        <f>+X107+X108*1.6</f>
        <v>0</v>
      </c>
    </row>
    <row r="114" spans="3:27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  <c r="U114" s="467"/>
    </row>
    <row r="116" spans="3:27" x14ac:dyDescent="0.3">
      <c r="C116" s="243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117"/>
      <c r="W116" s="118"/>
      <c r="X116" s="116"/>
      <c r="Y116" s="117"/>
      <c r="Z116" s="116"/>
      <c r="AA116" s="116"/>
    </row>
    <row r="117" spans="3:27" x14ac:dyDescent="0.3">
      <c r="C117" s="243" t="s">
        <v>63</v>
      </c>
      <c r="D117" s="466" t="s">
        <v>12</v>
      </c>
      <c r="E117" s="466"/>
      <c r="F117" s="243" t="s">
        <v>64</v>
      </c>
      <c r="G117" s="243"/>
      <c r="H117" s="243"/>
      <c r="I117" s="243"/>
      <c r="J117" s="243"/>
      <c r="K117" s="243"/>
      <c r="L117" s="243"/>
      <c r="M117" s="243"/>
      <c r="N117" s="243"/>
      <c r="O117" s="243"/>
      <c r="P117" s="264"/>
      <c r="Q117" s="243"/>
      <c r="R117" s="243"/>
      <c r="S117" s="243"/>
      <c r="T117" s="243"/>
      <c r="U117" s="243" t="s">
        <v>15</v>
      </c>
      <c r="V117" s="117"/>
      <c r="W117" s="118"/>
      <c r="X117" s="116"/>
      <c r="Y117" s="117"/>
      <c r="Z117" s="116"/>
      <c r="AA117" s="116"/>
    </row>
    <row r="118" spans="3:27" x14ac:dyDescent="0.3">
      <c r="C118" s="119">
        <v>45075</v>
      </c>
      <c r="D118" s="466"/>
      <c r="E118" s="466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/>
      <c r="P118" s="264"/>
      <c r="Q118" s="243"/>
      <c r="R118" s="243"/>
      <c r="S118" s="243"/>
      <c r="T118" s="243"/>
      <c r="U118" s="243"/>
      <c r="V118" s="117"/>
      <c r="W118" s="118"/>
      <c r="X118" s="116"/>
      <c r="Y118" s="117"/>
      <c r="Z118" s="116"/>
      <c r="AA118" s="116"/>
    </row>
    <row r="119" spans="3:27" x14ac:dyDescent="0.3">
      <c r="C119" s="119">
        <v>45076</v>
      </c>
      <c r="D119" s="466"/>
      <c r="E119" s="466"/>
      <c r="F119" s="243"/>
      <c r="G119" s="243"/>
      <c r="H119" s="243"/>
      <c r="I119" s="243"/>
      <c r="J119" s="243"/>
      <c r="K119" s="243"/>
      <c r="L119" s="243"/>
      <c r="M119" s="243"/>
      <c r="N119" s="243"/>
      <c r="O119" s="243"/>
      <c r="P119" s="264"/>
      <c r="Q119" s="243"/>
      <c r="R119" s="243"/>
      <c r="S119" s="243"/>
      <c r="T119" s="243"/>
      <c r="U119" s="243"/>
      <c r="V119" s="117"/>
      <c r="W119" s="118"/>
      <c r="X119" s="116"/>
      <c r="Y119" s="117"/>
      <c r="Z119" s="116"/>
      <c r="AA119" s="116"/>
    </row>
    <row r="120" spans="3:27" x14ac:dyDescent="0.3">
      <c r="C120" s="119">
        <v>45077</v>
      </c>
      <c r="D120" s="466"/>
      <c r="E120" s="466"/>
      <c r="F120" s="243"/>
      <c r="G120" s="243"/>
      <c r="H120" s="243"/>
      <c r="I120" s="243"/>
      <c r="J120" s="243"/>
      <c r="K120" s="243"/>
      <c r="L120" s="243"/>
      <c r="M120" s="243"/>
      <c r="N120" s="243"/>
      <c r="O120" s="243"/>
      <c r="P120" s="264"/>
      <c r="Q120" s="243"/>
      <c r="R120" s="243"/>
      <c r="S120" s="243"/>
      <c r="T120" s="243"/>
      <c r="U120" s="243"/>
      <c r="V120" s="117"/>
      <c r="W120" s="118"/>
      <c r="X120" s="116"/>
      <c r="Y120" s="117"/>
      <c r="Z120" s="116"/>
      <c r="AA120" s="116"/>
    </row>
    <row r="121" spans="3:27" x14ac:dyDescent="0.3">
      <c r="C121" s="119">
        <v>45078</v>
      </c>
      <c r="D121" s="466"/>
      <c r="E121" s="466"/>
      <c r="F121" s="243"/>
      <c r="G121" s="243"/>
      <c r="H121" s="243"/>
      <c r="I121" s="243"/>
      <c r="J121" s="243"/>
      <c r="K121" s="243"/>
      <c r="L121" s="243"/>
      <c r="M121" s="243"/>
      <c r="N121" s="243"/>
      <c r="O121" s="243"/>
      <c r="P121" s="264"/>
      <c r="Q121" s="243"/>
      <c r="R121" s="243"/>
      <c r="S121" s="243"/>
      <c r="T121" s="243"/>
      <c r="U121" s="243"/>
      <c r="V121" s="117"/>
      <c r="W121" s="118"/>
      <c r="X121" s="116"/>
      <c r="Y121" s="117"/>
      <c r="Z121" s="116"/>
      <c r="AA121" s="116"/>
    </row>
    <row r="122" spans="3:27" x14ac:dyDescent="0.3">
      <c r="C122" s="119">
        <v>45079</v>
      </c>
      <c r="D122" s="466"/>
      <c r="E122" s="466"/>
      <c r="F122" s="243"/>
      <c r="G122" s="243"/>
      <c r="H122" s="243"/>
      <c r="I122" s="243"/>
      <c r="J122" s="243"/>
      <c r="K122" s="243"/>
      <c r="L122" s="243"/>
      <c r="M122" s="243"/>
      <c r="N122" s="243"/>
      <c r="O122" s="243"/>
      <c r="P122" s="264"/>
      <c r="Q122" s="243"/>
      <c r="R122" s="243"/>
      <c r="S122" s="243"/>
      <c r="T122" s="243"/>
      <c r="U122" s="243"/>
      <c r="V122" s="117"/>
      <c r="W122" s="118"/>
      <c r="X122" s="116"/>
      <c r="Y122" s="117"/>
      <c r="Z122" s="116"/>
      <c r="AA122" s="116"/>
    </row>
    <row r="123" spans="3:27" x14ac:dyDescent="0.3">
      <c r="C123" s="119">
        <v>45080</v>
      </c>
      <c r="D123" s="466"/>
      <c r="E123" s="466"/>
      <c r="F123" s="243"/>
      <c r="G123" s="243"/>
      <c r="H123" s="243"/>
      <c r="I123" s="243"/>
      <c r="J123" s="243"/>
      <c r="K123" s="243"/>
      <c r="L123" s="243"/>
      <c r="M123" s="243"/>
      <c r="N123" s="243"/>
      <c r="O123" s="243"/>
      <c r="P123" s="264"/>
      <c r="Q123" s="243"/>
      <c r="R123" s="243"/>
      <c r="S123" s="243"/>
      <c r="T123" s="243"/>
      <c r="U123" s="243"/>
      <c r="V123" s="117"/>
      <c r="W123" s="118"/>
      <c r="X123" s="116"/>
      <c r="Y123" s="117"/>
      <c r="Z123" s="116"/>
      <c r="AA123" s="116"/>
    </row>
    <row r="124" spans="3:27" x14ac:dyDescent="0.3">
      <c r="C124" s="243"/>
      <c r="D124" s="460"/>
      <c r="E124" s="462"/>
      <c r="F124" s="243"/>
      <c r="G124" s="243"/>
      <c r="H124" s="243"/>
      <c r="I124" s="243"/>
      <c r="J124" s="243"/>
      <c r="K124" s="243"/>
      <c r="L124" s="243"/>
      <c r="M124" s="243"/>
      <c r="N124" s="243"/>
      <c r="O124" s="243"/>
      <c r="P124" s="264"/>
      <c r="Q124" s="243"/>
      <c r="R124" s="243"/>
      <c r="S124" s="243"/>
      <c r="T124" s="243"/>
      <c r="U124" s="243"/>
      <c r="V124" s="117"/>
      <c r="W124" s="118"/>
      <c r="X124" s="116"/>
      <c r="Y124" s="117"/>
      <c r="Z124" s="116"/>
      <c r="AA124" s="116"/>
    </row>
    <row r="125" spans="3:27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117"/>
      <c r="W125" s="118"/>
      <c r="X125" s="116"/>
      <c r="Y125" s="117"/>
      <c r="Z125" s="116"/>
      <c r="AA125" s="116"/>
    </row>
    <row r="126" spans="3:27" x14ac:dyDescent="0.3">
      <c r="C126" s="243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117"/>
      <c r="W126" s="118"/>
      <c r="X126" s="116"/>
      <c r="Y126" s="117"/>
      <c r="Z126" s="116"/>
      <c r="AA126" s="116"/>
    </row>
    <row r="127" spans="3:27" x14ac:dyDescent="0.3">
      <c r="C127" s="243" t="s">
        <v>63</v>
      </c>
      <c r="D127" s="466" t="s">
        <v>12</v>
      </c>
      <c r="E127" s="466"/>
      <c r="F127" s="243" t="s">
        <v>64</v>
      </c>
      <c r="G127" s="243"/>
      <c r="H127" s="243"/>
      <c r="I127" s="243"/>
      <c r="J127" s="243"/>
      <c r="K127" s="243"/>
      <c r="L127" s="243"/>
      <c r="M127" s="243"/>
      <c r="N127" s="243"/>
      <c r="O127" s="243"/>
      <c r="P127" s="264"/>
      <c r="Q127" s="243"/>
      <c r="R127" s="243"/>
      <c r="S127" s="243"/>
      <c r="T127" s="243"/>
      <c r="U127" s="243" t="s">
        <v>15</v>
      </c>
      <c r="V127" s="117"/>
      <c r="W127" s="118"/>
      <c r="X127" s="116"/>
      <c r="Y127" s="117"/>
      <c r="Z127" s="116"/>
      <c r="AA127" s="116"/>
    </row>
    <row r="128" spans="3:27" x14ac:dyDescent="0.3">
      <c r="C128" s="119">
        <v>45075</v>
      </c>
      <c r="D128" s="466"/>
      <c r="E128" s="466"/>
      <c r="F128" s="243"/>
      <c r="G128" s="243"/>
      <c r="H128" s="243"/>
      <c r="I128" s="243"/>
      <c r="J128" s="243"/>
      <c r="K128" s="243"/>
      <c r="L128" s="243"/>
      <c r="M128" s="243"/>
      <c r="N128" s="243"/>
      <c r="O128" s="243"/>
      <c r="P128" s="264"/>
      <c r="Q128" s="243"/>
      <c r="R128" s="243"/>
      <c r="S128" s="243"/>
      <c r="T128" s="243"/>
      <c r="U128" s="243"/>
      <c r="V128" s="117"/>
      <c r="W128" s="118"/>
      <c r="X128" s="116"/>
      <c r="Y128" s="117"/>
      <c r="Z128" s="116"/>
      <c r="AA128" s="116"/>
    </row>
    <row r="129" spans="3:27" x14ac:dyDescent="0.3">
      <c r="C129" s="119">
        <v>45076</v>
      </c>
      <c r="D129" s="466"/>
      <c r="E129" s="466"/>
      <c r="F129" s="243"/>
      <c r="G129" s="243"/>
      <c r="H129" s="243"/>
      <c r="I129" s="243"/>
      <c r="J129" s="243"/>
      <c r="K129" s="243"/>
      <c r="L129" s="243"/>
      <c r="M129" s="243"/>
      <c r="N129" s="243"/>
      <c r="O129" s="243"/>
      <c r="P129" s="264"/>
      <c r="Q129" s="243"/>
      <c r="R129" s="243"/>
      <c r="S129" s="243"/>
      <c r="T129" s="243"/>
      <c r="U129" s="243"/>
      <c r="V129" s="117"/>
      <c r="W129" s="118"/>
      <c r="X129" s="116"/>
      <c r="Y129" s="117"/>
      <c r="Z129" s="116"/>
      <c r="AA129" s="116"/>
    </row>
    <row r="130" spans="3:27" x14ac:dyDescent="0.3">
      <c r="C130" s="119">
        <v>45077</v>
      </c>
      <c r="D130" s="466"/>
      <c r="E130" s="466"/>
      <c r="F130" s="243"/>
      <c r="G130" s="243"/>
      <c r="H130" s="243"/>
      <c r="I130" s="243"/>
      <c r="J130" s="243"/>
      <c r="K130" s="243"/>
      <c r="L130" s="243"/>
      <c r="M130" s="243"/>
      <c r="N130" s="243"/>
      <c r="O130" s="243"/>
      <c r="P130" s="264"/>
      <c r="Q130" s="243"/>
      <c r="R130" s="243"/>
      <c r="S130" s="243"/>
      <c r="T130" s="243"/>
      <c r="U130" s="243"/>
      <c r="V130" s="117"/>
      <c r="W130" s="118"/>
      <c r="X130" s="116"/>
      <c r="Y130" s="117"/>
      <c r="Z130" s="116"/>
      <c r="AA130" s="116"/>
    </row>
    <row r="131" spans="3:27" x14ac:dyDescent="0.3">
      <c r="C131" s="119">
        <v>45078</v>
      </c>
      <c r="D131" s="466"/>
      <c r="E131" s="466"/>
      <c r="F131" s="243"/>
      <c r="G131" s="243"/>
      <c r="H131" s="243"/>
      <c r="I131" s="243"/>
      <c r="J131" s="243"/>
      <c r="K131" s="243"/>
      <c r="L131" s="243"/>
      <c r="M131" s="243"/>
      <c r="N131" s="243"/>
      <c r="O131" s="243"/>
      <c r="P131" s="264"/>
      <c r="Q131" s="243"/>
      <c r="R131" s="243"/>
      <c r="S131" s="243"/>
      <c r="T131" s="243"/>
      <c r="U131" s="243"/>
      <c r="V131" s="117"/>
      <c r="W131" s="118"/>
      <c r="X131" s="116"/>
      <c r="Y131" s="117"/>
      <c r="Z131" s="116"/>
      <c r="AA131" s="116"/>
    </row>
    <row r="132" spans="3:27" x14ac:dyDescent="0.3">
      <c r="C132" s="119">
        <v>45079</v>
      </c>
      <c r="D132" s="466"/>
      <c r="E132" s="466"/>
      <c r="F132" s="243"/>
      <c r="G132" s="243"/>
      <c r="H132" s="243"/>
      <c r="I132" s="243"/>
      <c r="J132" s="243"/>
      <c r="K132" s="243"/>
      <c r="L132" s="243"/>
      <c r="M132" s="243"/>
      <c r="N132" s="243"/>
      <c r="O132" s="243"/>
      <c r="P132" s="264"/>
      <c r="Q132" s="243"/>
      <c r="R132" s="243"/>
      <c r="S132" s="243"/>
      <c r="T132" s="243"/>
      <c r="U132" s="243"/>
      <c r="V132" s="117"/>
      <c r="W132" s="118"/>
      <c r="X132" s="116"/>
      <c r="Y132" s="117"/>
      <c r="Z132" s="116"/>
      <c r="AA132" s="116"/>
    </row>
    <row r="133" spans="3:27" x14ac:dyDescent="0.3">
      <c r="C133" s="119">
        <v>45080</v>
      </c>
      <c r="D133" s="466"/>
      <c r="E133" s="466"/>
      <c r="F133" s="243"/>
      <c r="G133" s="243"/>
      <c r="H133" s="243"/>
      <c r="I133" s="243"/>
      <c r="J133" s="243"/>
      <c r="K133" s="243"/>
      <c r="L133" s="243"/>
      <c r="M133" s="243"/>
      <c r="N133" s="243"/>
      <c r="O133" s="243"/>
      <c r="P133" s="264"/>
      <c r="Q133" s="243"/>
      <c r="R133" s="243"/>
      <c r="S133" s="243"/>
      <c r="T133" s="243"/>
      <c r="U133" s="243"/>
      <c r="V133" s="117"/>
      <c r="W133" s="118"/>
      <c r="X133" s="116"/>
      <c r="Y133" s="117"/>
      <c r="Z133" s="116"/>
      <c r="AA133" s="116"/>
    </row>
    <row r="134" spans="3:27" x14ac:dyDescent="0.3">
      <c r="C134" s="243"/>
      <c r="D134" s="460"/>
      <c r="E134" s="462"/>
      <c r="F134" s="243"/>
      <c r="G134" s="243"/>
      <c r="H134" s="243"/>
      <c r="I134" s="243"/>
      <c r="J134" s="243"/>
      <c r="K134" s="243"/>
      <c r="L134" s="243"/>
      <c r="M134" s="243"/>
      <c r="N134" s="243"/>
      <c r="O134" s="243"/>
      <c r="P134" s="264"/>
      <c r="Q134" s="243"/>
      <c r="R134" s="243"/>
      <c r="S134" s="243"/>
      <c r="T134" s="243"/>
      <c r="U134" s="243"/>
      <c r="V134" s="117"/>
      <c r="W134" s="118"/>
      <c r="X134" s="116"/>
      <c r="Y134" s="117"/>
      <c r="Z134" s="116"/>
      <c r="AA134" s="116"/>
    </row>
    <row r="135" spans="3:27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117"/>
      <c r="W135" s="118"/>
      <c r="X135" s="116"/>
      <c r="Y135" s="117"/>
      <c r="Z135" s="116"/>
      <c r="AA135" s="116"/>
    </row>
    <row r="136" spans="3:27" x14ac:dyDescent="0.3">
      <c r="C136" s="243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117"/>
      <c r="W136" s="118"/>
      <c r="X136" s="116"/>
      <c r="Y136" s="117"/>
      <c r="Z136" s="116"/>
      <c r="AA136" s="116"/>
    </row>
    <row r="137" spans="3:27" x14ac:dyDescent="0.3">
      <c r="C137" s="243" t="s">
        <v>63</v>
      </c>
      <c r="D137" s="466" t="s">
        <v>12</v>
      </c>
      <c r="E137" s="466"/>
      <c r="F137" s="243" t="s">
        <v>64</v>
      </c>
      <c r="G137" s="243"/>
      <c r="H137" s="243"/>
      <c r="I137" s="243"/>
      <c r="J137" s="243"/>
      <c r="K137" s="243"/>
      <c r="L137" s="243"/>
      <c r="M137" s="243"/>
      <c r="N137" s="243"/>
      <c r="O137" s="243"/>
      <c r="P137" s="264"/>
      <c r="Q137" s="243"/>
      <c r="R137" s="243"/>
      <c r="S137" s="243"/>
      <c r="T137" s="243"/>
      <c r="U137" s="243" t="s">
        <v>15</v>
      </c>
      <c r="V137" s="117"/>
      <c r="W137" s="118"/>
      <c r="X137" s="116"/>
      <c r="Y137" s="117"/>
      <c r="Z137" s="116"/>
      <c r="AA137" s="116"/>
    </row>
    <row r="138" spans="3:27" x14ac:dyDescent="0.3">
      <c r="C138" s="119">
        <v>45075</v>
      </c>
      <c r="D138" s="466"/>
      <c r="E138" s="466"/>
      <c r="F138" s="243"/>
      <c r="G138" s="243"/>
      <c r="H138" s="243"/>
      <c r="I138" s="243"/>
      <c r="J138" s="243"/>
      <c r="K138" s="243"/>
      <c r="L138" s="243"/>
      <c r="M138" s="243"/>
      <c r="N138" s="243"/>
      <c r="O138" s="243"/>
      <c r="P138" s="264"/>
      <c r="Q138" s="243"/>
      <c r="R138" s="243"/>
      <c r="S138" s="243"/>
      <c r="T138" s="243"/>
      <c r="U138" s="243"/>
      <c r="V138" s="117"/>
      <c r="W138" s="118"/>
      <c r="X138" s="116"/>
      <c r="Y138" s="117"/>
      <c r="Z138" s="116"/>
      <c r="AA138" s="116"/>
    </row>
    <row r="139" spans="3:27" x14ac:dyDescent="0.3">
      <c r="C139" s="119">
        <v>45076</v>
      </c>
      <c r="D139" s="466"/>
      <c r="E139" s="466"/>
      <c r="F139" s="243"/>
      <c r="G139" s="243"/>
      <c r="H139" s="243"/>
      <c r="I139" s="243"/>
      <c r="J139" s="243"/>
      <c r="K139" s="243"/>
      <c r="L139" s="243"/>
      <c r="M139" s="243"/>
      <c r="N139" s="243"/>
      <c r="O139" s="243"/>
      <c r="P139" s="264"/>
      <c r="Q139" s="243"/>
      <c r="R139" s="243"/>
      <c r="S139" s="243"/>
      <c r="T139" s="243"/>
      <c r="U139" s="243"/>
      <c r="V139" s="117"/>
      <c r="W139" s="118"/>
      <c r="X139" s="116"/>
      <c r="Y139" s="117"/>
      <c r="Z139" s="116"/>
      <c r="AA139" s="116"/>
    </row>
    <row r="140" spans="3:27" x14ac:dyDescent="0.3">
      <c r="C140" s="119">
        <v>45077</v>
      </c>
      <c r="D140" s="466"/>
      <c r="E140" s="466"/>
      <c r="F140" s="243"/>
      <c r="G140" s="243"/>
      <c r="H140" s="243"/>
      <c r="I140" s="243"/>
      <c r="J140" s="243"/>
      <c r="K140" s="243"/>
      <c r="L140" s="243"/>
      <c r="M140" s="243"/>
      <c r="N140" s="243"/>
      <c r="O140" s="243"/>
      <c r="P140" s="264"/>
      <c r="Q140" s="243"/>
      <c r="R140" s="243"/>
      <c r="S140" s="243"/>
      <c r="T140" s="243"/>
      <c r="U140" s="243"/>
    </row>
    <row r="141" spans="3:27" x14ac:dyDescent="0.3">
      <c r="C141" s="119">
        <v>45078</v>
      </c>
      <c r="D141" s="466"/>
      <c r="E141" s="466"/>
      <c r="F141" s="243"/>
      <c r="G141" s="243"/>
      <c r="H141" s="243"/>
      <c r="I141" s="243"/>
      <c r="J141" s="243"/>
      <c r="K141" s="243"/>
      <c r="L141" s="243"/>
      <c r="M141" s="243"/>
      <c r="N141" s="243"/>
      <c r="O141" s="243"/>
      <c r="P141" s="264"/>
      <c r="Q141" s="243"/>
      <c r="R141" s="243"/>
      <c r="S141" s="243"/>
      <c r="T141" s="243"/>
      <c r="U141" s="243"/>
    </row>
    <row r="142" spans="3:27" x14ac:dyDescent="0.3">
      <c r="C142" s="119">
        <v>45079</v>
      </c>
      <c r="D142" s="466"/>
      <c r="E142" s="466"/>
      <c r="F142" s="243"/>
      <c r="G142" s="243"/>
      <c r="H142" s="243"/>
      <c r="I142" s="243"/>
      <c r="J142" s="243"/>
      <c r="K142" s="243"/>
      <c r="L142" s="243"/>
      <c r="M142" s="243"/>
      <c r="N142" s="243"/>
      <c r="O142" s="243"/>
      <c r="P142" s="264"/>
      <c r="Q142" s="243"/>
      <c r="R142" s="243"/>
      <c r="S142" s="243"/>
      <c r="T142" s="243"/>
      <c r="U142" s="243"/>
    </row>
    <row r="143" spans="3:27" x14ac:dyDescent="0.3">
      <c r="C143" s="119">
        <v>45080</v>
      </c>
      <c r="D143" s="466"/>
      <c r="E143" s="466"/>
      <c r="F143" s="243"/>
      <c r="G143" s="243"/>
      <c r="H143" s="243"/>
      <c r="I143" s="243"/>
      <c r="J143" s="243"/>
      <c r="K143" s="243"/>
      <c r="L143" s="243"/>
      <c r="M143" s="243"/>
      <c r="N143" s="243"/>
      <c r="O143" s="243"/>
      <c r="P143" s="264"/>
      <c r="Q143" s="243"/>
      <c r="R143" s="243"/>
      <c r="S143" s="243"/>
      <c r="T143" s="243"/>
      <c r="U143" s="243"/>
    </row>
    <row r="144" spans="3:27" x14ac:dyDescent="0.3">
      <c r="C144" s="243"/>
      <c r="D144" s="460"/>
      <c r="E144" s="462"/>
      <c r="F144" s="243"/>
      <c r="G144" s="243"/>
      <c r="H144" s="243"/>
      <c r="I144" s="243"/>
      <c r="J144" s="243"/>
      <c r="K144" s="243"/>
      <c r="L144" s="243"/>
      <c r="M144" s="243"/>
      <c r="N144" s="243"/>
      <c r="O144" s="243"/>
      <c r="P144" s="264"/>
      <c r="Q144" s="243"/>
      <c r="R144" s="243"/>
      <c r="S144" s="243"/>
      <c r="T144" s="243"/>
      <c r="U144" s="243"/>
    </row>
  </sheetData>
  <mergeCells count="115"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E104:E106"/>
    <mergeCell ref="F104:F106"/>
    <mergeCell ref="E107:E109"/>
    <mergeCell ref="F107:F109"/>
    <mergeCell ref="C114:U114"/>
    <mergeCell ref="D117:E117"/>
    <mergeCell ref="E95:E97"/>
    <mergeCell ref="F95:F97"/>
    <mergeCell ref="E98:E100"/>
    <mergeCell ref="F98:F100"/>
    <mergeCell ref="E101:E103"/>
    <mergeCell ref="F101:F103"/>
    <mergeCell ref="AE78:AE79"/>
    <mergeCell ref="B80:B85"/>
    <mergeCell ref="B86:E86"/>
    <mergeCell ref="B87:E87"/>
    <mergeCell ref="E92:E94"/>
    <mergeCell ref="F92:F94"/>
    <mergeCell ref="B76:AE76"/>
    <mergeCell ref="B78:B79"/>
    <mergeCell ref="C78:C79"/>
    <mergeCell ref="D78:D79"/>
    <mergeCell ref="E78:E79"/>
    <mergeCell ref="F78:F79"/>
    <mergeCell ref="U78:W78"/>
    <mergeCell ref="X78:Z78"/>
    <mergeCell ref="AC78:AC79"/>
    <mergeCell ref="AD78:AD79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B29:E29"/>
    <mergeCell ref="B30:E30"/>
    <mergeCell ref="I21:S21"/>
    <mergeCell ref="T21:T22"/>
    <mergeCell ref="U21:W21"/>
    <mergeCell ref="X21:Z21"/>
    <mergeCell ref="AA21:AA22"/>
    <mergeCell ref="AB21:AB22"/>
    <mergeCell ref="B23:B24"/>
    <mergeCell ref="B25:B28"/>
    <mergeCell ref="B13:E13"/>
    <mergeCell ref="B14:E14"/>
    <mergeCell ref="B19:AE19"/>
    <mergeCell ref="B21:B22"/>
    <mergeCell ref="C21:C22"/>
    <mergeCell ref="D21:D22"/>
    <mergeCell ref="E21:E22"/>
    <mergeCell ref="F21:F22"/>
    <mergeCell ref="G21:G22"/>
    <mergeCell ref="H21:H22"/>
    <mergeCell ref="AC21:AC22"/>
    <mergeCell ref="AD21:AD22"/>
    <mergeCell ref="AE21:AE22"/>
    <mergeCell ref="B7:B8"/>
    <mergeCell ref="B9:B12"/>
    <mergeCell ref="U5:W5"/>
    <mergeCell ref="X5:Z5"/>
    <mergeCell ref="AC5:AC6"/>
    <mergeCell ref="AD5:AD6"/>
    <mergeCell ref="AE5:AE6"/>
    <mergeCell ref="B2:AE2"/>
    <mergeCell ref="B3:AE3"/>
    <mergeCell ref="B5:C6"/>
    <mergeCell ref="D5:D6"/>
    <mergeCell ref="E5:E6"/>
    <mergeCell ref="F5:F6"/>
    <mergeCell ref="G5:G6"/>
    <mergeCell ref="H5:H6"/>
    <mergeCell ref="I5:S5"/>
    <mergeCell ref="T5:T6"/>
  </mergeCells>
  <phoneticPr fontId="4" type="noConversion"/>
  <dataValidations count="3">
    <dataValidation type="list" allowBlank="1" showInputMessage="1" showErrorMessage="1" sqref="AH23:AH25 AH80:AH82 AH10 AH7">
      <formula1>$AE$6:$AE$8</formula1>
    </dataValidation>
    <dataValidation type="list" allowBlank="1" showInputMessage="1" showErrorMessage="1" sqref="E80:E85 E7:E11 E23:E27">
      <formula1>$AH$7:$AH$12</formula1>
    </dataValidation>
    <dataValidation type="list" allowBlank="1" showInputMessage="1" showErrorMessage="1" sqref="E12 E28">
      <formula1>$AG$6:$AG$11</formula1>
    </dataValidation>
  </dataValidations>
  <pageMargins left="0.62992125984251968" right="0.62992125984251968" top="0.94488188976377963" bottom="0.55118110236220474" header="0.31496062992125984" footer="0.31496062992125984"/>
  <pageSetup paperSize="9" scale="26" orientation="landscape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Y144"/>
  <sheetViews>
    <sheetView showGridLines="0" zoomScale="80" zoomScaleNormal="80" workbookViewId="0">
      <pane xSplit="4" ySplit="6" topLeftCell="E7" activePane="bottomRight" state="frozen"/>
      <selection pane="topRight" activeCell="D1" sqref="D1"/>
      <selection pane="bottomLeft" activeCell="A6" sqref="A6"/>
      <selection pane="bottomRight" activeCell="B3" sqref="B3:AD3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19" width="8.625" style="8" customWidth="1"/>
    <col min="20" max="20" width="10.75" style="75" customWidth="1"/>
    <col min="21" max="21" width="10.875" style="10" customWidth="1"/>
    <col min="22" max="22" width="7.375" style="11" customWidth="1"/>
    <col min="23" max="23" width="12.25" customWidth="1"/>
    <col min="24" max="24" width="7.75" style="10" customWidth="1"/>
    <col min="25" max="25" width="10.375" customWidth="1"/>
    <col min="26" max="26" width="9.5" customWidth="1"/>
    <col min="27" max="27" width="10" customWidth="1"/>
    <col min="28" max="28" width="7.125" customWidth="1"/>
    <col min="29" max="29" width="8.375" customWidth="1"/>
    <col min="30" max="30" width="56.375" customWidth="1"/>
    <col min="31" max="32" width="9.125" hidden="1" customWidth="1"/>
    <col min="33" max="33" width="8.75" hidden="1" customWidth="1"/>
    <col min="34" max="34" width="2.75" hidden="1" customWidth="1"/>
    <col min="35" max="35" width="9.125" hidden="1" customWidth="1"/>
    <col min="36" max="36" width="0" hidden="1" customWidth="1"/>
    <col min="37" max="39" width="9.125" style="1" hidden="1" customWidth="1"/>
    <col min="40" max="41" width="0" hidden="1" customWidth="1"/>
    <col min="42" max="42" width="11.75" hidden="1" customWidth="1"/>
    <col min="43" max="43" width="3.25" customWidth="1"/>
  </cols>
  <sheetData>
    <row r="2" spans="2:51" ht="20.25" x14ac:dyDescent="0.3">
      <c r="B2" s="425" t="s">
        <v>167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V2" s="2" t="s">
        <v>0</v>
      </c>
      <c r="AW2" s="238" t="s">
        <v>1</v>
      </c>
      <c r="AX2" s="238" t="s">
        <v>2</v>
      </c>
      <c r="AY2" s="3" t="s">
        <v>3</v>
      </c>
    </row>
    <row r="3" spans="2:51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V3" s="4"/>
      <c r="AW3" s="5"/>
      <c r="AX3" s="5"/>
      <c r="AY3" s="6"/>
    </row>
    <row r="4" spans="2:51" x14ac:dyDescent="0.3">
      <c r="B4" t="s">
        <v>5</v>
      </c>
      <c r="D4" s="7">
        <v>55</v>
      </c>
      <c r="F4" s="8" t="s">
        <v>6</v>
      </c>
      <c r="T4" s="9">
        <v>1.2</v>
      </c>
      <c r="Z4" s="12">
        <v>50</v>
      </c>
      <c r="AA4" s="11">
        <f>50*10.89/10</f>
        <v>54.45</v>
      </c>
      <c r="AB4" s="12"/>
      <c r="AD4" s="8"/>
    </row>
    <row r="5" spans="2:51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8"/>
      <c r="S5" s="439" t="s">
        <v>11</v>
      </c>
      <c r="T5" s="441" t="s">
        <v>12</v>
      </c>
      <c r="U5" s="418"/>
      <c r="V5" s="442"/>
      <c r="W5" s="446" t="s">
        <v>13</v>
      </c>
      <c r="X5" s="418"/>
      <c r="Y5" s="418"/>
      <c r="Z5" s="13"/>
      <c r="AA5" s="14"/>
      <c r="AB5" s="447" t="s">
        <v>14</v>
      </c>
      <c r="AC5" s="449" t="s">
        <v>15</v>
      </c>
      <c r="AD5" s="418" t="s">
        <v>16</v>
      </c>
    </row>
    <row r="6" spans="2:51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236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76</v>
      </c>
      <c r="Q6" s="18" t="s">
        <v>77</v>
      </c>
      <c r="R6" s="127" t="s">
        <v>80</v>
      </c>
      <c r="S6" s="440"/>
      <c r="T6" s="15" t="s">
        <v>12</v>
      </c>
      <c r="U6" s="16" t="s">
        <v>17</v>
      </c>
      <c r="V6" s="17" t="s">
        <v>18</v>
      </c>
      <c r="W6" s="18" t="s">
        <v>13</v>
      </c>
      <c r="X6" s="16" t="s">
        <v>19</v>
      </c>
      <c r="Y6" s="19" t="s">
        <v>18</v>
      </c>
      <c r="Z6" s="236" t="s">
        <v>20</v>
      </c>
      <c r="AA6" s="20" t="s">
        <v>21</v>
      </c>
      <c r="AB6" s="448"/>
      <c r="AC6" s="450"/>
      <c r="AD6" s="419"/>
      <c r="AE6" s="21" t="s">
        <v>22</v>
      </c>
      <c r="AF6" s="21" t="s">
        <v>23</v>
      </c>
      <c r="AI6" s="22" t="s">
        <v>24</v>
      </c>
      <c r="AK6" s="23" t="s">
        <v>25</v>
      </c>
      <c r="AL6" s="23" t="s">
        <v>26</v>
      </c>
      <c r="AM6" s="23" t="s">
        <v>27</v>
      </c>
      <c r="AO6" s="22">
        <f>SUM(AO7:AO12)</f>
        <v>-24</v>
      </c>
    </row>
    <row r="7" spans="2:51" s="242" customFormat="1" ht="99" customHeight="1" thickTop="1" x14ac:dyDescent="0.3">
      <c r="B7" s="420">
        <v>3</v>
      </c>
      <c r="C7" s="24">
        <v>23</v>
      </c>
      <c r="D7" s="25" t="s">
        <v>7</v>
      </c>
      <c r="E7" s="26" t="s">
        <v>33</v>
      </c>
      <c r="F7" s="25">
        <v>0</v>
      </c>
      <c r="G7" s="128"/>
      <c r="H7" s="128" t="e">
        <f t="shared" ref="H7:H12" si="0">(G7/T7)*100</f>
        <v>#DIV/0!</v>
      </c>
      <c r="I7" s="123"/>
      <c r="J7" s="123"/>
      <c r="K7" s="123"/>
      <c r="L7" s="123"/>
      <c r="M7" s="123"/>
      <c r="N7" s="129"/>
      <c r="O7" s="123"/>
      <c r="P7" s="123"/>
      <c r="Q7" s="123"/>
      <c r="R7" s="125">
        <f t="shared" ref="R7:R13" si="1">COUNTA(I7:M7)+COUNTA(N7:Q7)/2</f>
        <v>0</v>
      </c>
      <c r="S7" s="27">
        <f t="shared" ref="S7:S12" si="2">F7*$D$4*$T$4</f>
        <v>0</v>
      </c>
      <c r="T7" s="28">
        <f>+H38</f>
        <v>0</v>
      </c>
      <c r="U7" s="29" t="str">
        <f t="shared" ref="U7:U12" si="3">IF(F7=0,"휴무",T7/F7)</f>
        <v>휴무</v>
      </c>
      <c r="V7" s="30">
        <f t="shared" ref="V7:V13" si="4">IFERROR(T7/S7,0)</f>
        <v>0</v>
      </c>
      <c r="W7" s="31">
        <f>+K38</f>
        <v>0</v>
      </c>
      <c r="X7" s="29" t="str">
        <f t="shared" ref="X7:X12" si="5">IF(F7=0,"휴무",W7/F7)</f>
        <v>휴무</v>
      </c>
      <c r="Y7" s="32">
        <f t="shared" ref="Y7:Y13" si="6">IFERROR(W7/S7,0)</f>
        <v>0</v>
      </c>
      <c r="Z7" s="33" t="str">
        <f t="shared" ref="Z7:Z12" si="7">IF(F7=0,"휴무",T7/S7*$Z$4)</f>
        <v>휴무</v>
      </c>
      <c r="AA7" s="34" t="str">
        <f t="shared" ref="AA7:AA12" si="8">IF(F7=0,"휴무",W7/S7*$AA$4)</f>
        <v>휴무</v>
      </c>
      <c r="AB7" s="138" t="str">
        <f t="shared" ref="AB7:AB13" si="9">IF(F7=0,"휴무",Z7+AA7)</f>
        <v>휴무</v>
      </c>
      <c r="AC7" s="35" t="str">
        <f t="shared" ref="AC7:AC13" si="10">IF(F7=0,"휴무",IF(AB7&gt;=100,"좋아요",IF(AB7&gt;=90,"90~99",IF(AB7&gt;=80,"80~89"," 사유?→"))))</f>
        <v>휴무</v>
      </c>
      <c r="AD7" s="36"/>
      <c r="AE7" s="37">
        <f>AF7-F7</f>
        <v>0</v>
      </c>
      <c r="AF7" s="38">
        <f>AM7</f>
        <v>0</v>
      </c>
      <c r="AG7" s="242" t="s">
        <v>29</v>
      </c>
      <c r="AH7" s="39"/>
      <c r="AI7" s="40" t="str">
        <f>IFERROR(Y7/V7*1000,"")</f>
        <v/>
      </c>
      <c r="AJ7" s="39"/>
      <c r="AK7" s="41"/>
      <c r="AL7" s="41"/>
      <c r="AM7" s="41"/>
      <c r="AO7" s="242">
        <f t="shared" ref="AO7:AO12" si="11">AN7-F7</f>
        <v>0</v>
      </c>
      <c r="AP7" s="42"/>
    </row>
    <row r="8" spans="2:51" s="242" customFormat="1" ht="99.75" customHeight="1" x14ac:dyDescent="0.3">
      <c r="B8" s="421"/>
      <c r="C8" s="24">
        <f>+C7+1</f>
        <v>24</v>
      </c>
      <c r="D8" s="43" t="s">
        <v>30</v>
      </c>
      <c r="E8" s="26" t="s">
        <v>33</v>
      </c>
      <c r="F8" s="25">
        <v>0</v>
      </c>
      <c r="G8" s="125"/>
      <c r="H8" s="125" t="e">
        <f t="shared" si="0"/>
        <v>#DIV/0!</v>
      </c>
      <c r="I8" s="123"/>
      <c r="J8" s="123"/>
      <c r="K8" s="123"/>
      <c r="L8" s="123"/>
      <c r="M8" s="123"/>
      <c r="N8" s="129"/>
      <c r="O8" s="123"/>
      <c r="P8" s="123"/>
      <c r="Q8" s="123"/>
      <c r="R8" s="125">
        <f t="shared" si="1"/>
        <v>0</v>
      </c>
      <c r="S8" s="27">
        <f t="shared" si="2"/>
        <v>0</v>
      </c>
      <c r="T8" s="28">
        <f>+H41</f>
        <v>0</v>
      </c>
      <c r="U8" s="44" t="str">
        <f t="shared" si="3"/>
        <v>휴무</v>
      </c>
      <c r="V8" s="45">
        <f t="shared" si="4"/>
        <v>0</v>
      </c>
      <c r="W8" s="46">
        <f>+K41</f>
        <v>0</v>
      </c>
      <c r="X8" s="29" t="str">
        <f t="shared" si="5"/>
        <v>휴무</v>
      </c>
      <c r="Y8" s="47">
        <f t="shared" si="6"/>
        <v>0</v>
      </c>
      <c r="Z8" s="48" t="str">
        <f t="shared" si="7"/>
        <v>휴무</v>
      </c>
      <c r="AA8" s="49" t="str">
        <f t="shared" si="8"/>
        <v>휴무</v>
      </c>
      <c r="AB8" s="139" t="str">
        <f t="shared" si="9"/>
        <v>휴무</v>
      </c>
      <c r="AC8" s="50" t="str">
        <f t="shared" si="10"/>
        <v>휴무</v>
      </c>
      <c r="AD8" s="36"/>
      <c r="AE8" s="37">
        <f>AF8-F8</f>
        <v>0</v>
      </c>
      <c r="AF8" s="38">
        <f>AM8</f>
        <v>0</v>
      </c>
      <c r="AG8" s="242" t="s">
        <v>31</v>
      </c>
      <c r="AH8" s="39"/>
      <c r="AI8" s="40" t="str">
        <f>IFERROR(Y8/V8*1000,"")</f>
        <v/>
      </c>
      <c r="AJ8" s="39"/>
      <c r="AK8" s="41"/>
      <c r="AL8" s="41"/>
      <c r="AM8" s="41"/>
      <c r="AO8" s="242">
        <f t="shared" si="11"/>
        <v>0</v>
      </c>
      <c r="AP8" s="42"/>
    </row>
    <row r="9" spans="2:51" s="242" customFormat="1" ht="97.5" customHeight="1" x14ac:dyDescent="0.3">
      <c r="B9" s="421"/>
      <c r="C9" s="24">
        <f>+C8+1</f>
        <v>25</v>
      </c>
      <c r="D9" s="43" t="s">
        <v>32</v>
      </c>
      <c r="E9" s="26" t="s">
        <v>29</v>
      </c>
      <c r="F9" s="25">
        <v>8</v>
      </c>
      <c r="G9" s="125">
        <v>332</v>
      </c>
      <c r="H9" s="125">
        <f t="shared" si="0"/>
        <v>97.360703812316714</v>
      </c>
      <c r="I9" s="123" t="s">
        <v>85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91</v>
      </c>
      <c r="Q9" s="123" t="s">
        <v>89</v>
      </c>
      <c r="R9" s="125">
        <f t="shared" si="1"/>
        <v>6</v>
      </c>
      <c r="S9" s="27">
        <f t="shared" si="2"/>
        <v>528</v>
      </c>
      <c r="T9" s="51">
        <f>+H44</f>
        <v>341</v>
      </c>
      <c r="U9" s="44">
        <f t="shared" si="3"/>
        <v>42.625</v>
      </c>
      <c r="V9" s="45">
        <f t="shared" si="4"/>
        <v>0.64583333333333337</v>
      </c>
      <c r="W9" s="46">
        <f>+K44</f>
        <v>503.47</v>
      </c>
      <c r="X9" s="44">
        <f t="shared" si="5"/>
        <v>62.933750000000003</v>
      </c>
      <c r="Y9" s="47">
        <f t="shared" si="6"/>
        <v>0.95354166666666673</v>
      </c>
      <c r="Z9" s="48">
        <f t="shared" si="7"/>
        <v>32.291666666666671</v>
      </c>
      <c r="AA9" s="49">
        <f t="shared" si="8"/>
        <v>51.920343750000008</v>
      </c>
      <c r="AB9" s="139">
        <f t="shared" si="9"/>
        <v>84.212010416666686</v>
      </c>
      <c r="AC9" s="50" t="str">
        <f t="shared" si="10"/>
        <v>80~89</v>
      </c>
      <c r="AD9" s="36"/>
      <c r="AE9" s="37">
        <f>AF9-F9</f>
        <v>-8</v>
      </c>
      <c r="AF9" s="38">
        <f>AM9</f>
        <v>0</v>
      </c>
      <c r="AG9" s="242" t="s">
        <v>34</v>
      </c>
      <c r="AH9" s="39"/>
      <c r="AI9" s="40">
        <f>IFERROR(Y9/V9*1000,"")</f>
        <v>1476.4516129032259</v>
      </c>
      <c r="AJ9" s="39"/>
      <c r="AK9" s="41"/>
      <c r="AL9" s="41"/>
      <c r="AM9" s="41"/>
      <c r="AO9" s="242">
        <f t="shared" si="11"/>
        <v>-8</v>
      </c>
      <c r="AP9" s="42"/>
    </row>
    <row r="10" spans="2:51" s="242" customFormat="1" ht="95.25" customHeight="1" x14ac:dyDescent="0.3">
      <c r="B10" s="421"/>
      <c r="C10" s="24">
        <f>+C9+1</f>
        <v>26</v>
      </c>
      <c r="D10" s="43" t="s">
        <v>35</v>
      </c>
      <c r="E10" s="26" t="s">
        <v>29</v>
      </c>
      <c r="F10" s="25">
        <v>8</v>
      </c>
      <c r="G10" s="125">
        <v>369</v>
      </c>
      <c r="H10" s="125">
        <f t="shared" si="0"/>
        <v>99.729729729729726</v>
      </c>
      <c r="I10" s="123" t="s">
        <v>85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74</v>
      </c>
      <c r="P10" s="123" t="s">
        <v>91</v>
      </c>
      <c r="Q10" s="123" t="s">
        <v>89</v>
      </c>
      <c r="R10" s="125">
        <f t="shared" si="1"/>
        <v>6</v>
      </c>
      <c r="S10" s="27">
        <f t="shared" si="2"/>
        <v>528</v>
      </c>
      <c r="T10" s="28">
        <f>+H47</f>
        <v>370</v>
      </c>
      <c r="U10" s="44">
        <f t="shared" si="3"/>
        <v>46.25</v>
      </c>
      <c r="V10" s="45">
        <f t="shared" si="4"/>
        <v>0.7007575757575758</v>
      </c>
      <c r="W10" s="46">
        <f>+K47</f>
        <v>675.08</v>
      </c>
      <c r="X10" s="29">
        <f t="shared" si="5"/>
        <v>84.385000000000005</v>
      </c>
      <c r="Y10" s="47">
        <f t="shared" si="6"/>
        <v>1.2785606060606061</v>
      </c>
      <c r="Z10" s="48">
        <f t="shared" si="7"/>
        <v>35.037878787878789</v>
      </c>
      <c r="AA10" s="49">
        <f t="shared" si="8"/>
        <v>69.617625000000004</v>
      </c>
      <c r="AB10" s="139">
        <f t="shared" si="9"/>
        <v>104.65550378787879</v>
      </c>
      <c r="AC10" s="50" t="str">
        <f t="shared" si="10"/>
        <v>좋아요</v>
      </c>
      <c r="AD10" s="36"/>
      <c r="AE10" s="37">
        <f>AF10-F10</f>
        <v>-8</v>
      </c>
      <c r="AF10" s="38">
        <f>AM10</f>
        <v>0</v>
      </c>
      <c r="AG10" s="242" t="s">
        <v>36</v>
      </c>
      <c r="AH10" s="39"/>
      <c r="AI10" s="40">
        <f>IFERROR(Y10/V10*1000,"")</f>
        <v>1824.5405405405404</v>
      </c>
      <c r="AJ10" s="39"/>
      <c r="AK10" s="41"/>
      <c r="AL10" s="41"/>
      <c r="AM10" s="41"/>
      <c r="AO10" s="242">
        <f t="shared" si="11"/>
        <v>-8</v>
      </c>
      <c r="AP10" s="42"/>
    </row>
    <row r="11" spans="2:51" s="242" customFormat="1" ht="102.75" customHeight="1" x14ac:dyDescent="0.3">
      <c r="B11" s="421"/>
      <c r="C11" s="24">
        <f>+C10+1</f>
        <v>27</v>
      </c>
      <c r="D11" s="43" t="s">
        <v>37</v>
      </c>
      <c r="E11" s="26" t="s">
        <v>29</v>
      </c>
      <c r="F11" s="25">
        <v>8</v>
      </c>
      <c r="G11" s="125">
        <v>262</v>
      </c>
      <c r="H11" s="125">
        <f t="shared" si="0"/>
        <v>98.867924528301884</v>
      </c>
      <c r="I11" s="123" t="s">
        <v>85</v>
      </c>
      <c r="J11" s="123" t="s">
        <v>86</v>
      </c>
      <c r="K11" s="123" t="s">
        <v>73</v>
      </c>
      <c r="L11" s="123" t="s">
        <v>87</v>
      </c>
      <c r="M11" s="123"/>
      <c r="N11" s="129" t="s">
        <v>90</v>
      </c>
      <c r="O11" s="123" t="s">
        <v>74</v>
      </c>
      <c r="P11" s="123" t="s">
        <v>91</v>
      </c>
      <c r="Q11" s="123" t="s">
        <v>89</v>
      </c>
      <c r="R11" s="125">
        <f t="shared" si="1"/>
        <v>6</v>
      </c>
      <c r="S11" s="27">
        <f t="shared" si="2"/>
        <v>528</v>
      </c>
      <c r="T11" s="28">
        <f>+H50</f>
        <v>265</v>
      </c>
      <c r="U11" s="44">
        <f t="shared" si="3"/>
        <v>33.125</v>
      </c>
      <c r="V11" s="45">
        <f t="shared" si="4"/>
        <v>0.50189393939393945</v>
      </c>
      <c r="W11" s="46">
        <f>+K50</f>
        <v>360.01</v>
      </c>
      <c r="X11" s="44">
        <f t="shared" si="5"/>
        <v>45.001249999999999</v>
      </c>
      <c r="Y11" s="47">
        <f t="shared" si="6"/>
        <v>0.68183712121212114</v>
      </c>
      <c r="Z11" s="48">
        <f t="shared" si="7"/>
        <v>25.094696969696972</v>
      </c>
      <c r="AA11" s="49">
        <f t="shared" si="8"/>
        <v>37.126031249999997</v>
      </c>
      <c r="AB11" s="139">
        <f t="shared" si="9"/>
        <v>62.220728219696966</v>
      </c>
      <c r="AC11" s="161" t="str">
        <f t="shared" si="10"/>
        <v xml:space="preserve"> 사유?→</v>
      </c>
      <c r="AD11" s="160" t="s">
        <v>155</v>
      </c>
      <c r="AE11" s="37">
        <f>AF11-F11</f>
        <v>-8</v>
      </c>
      <c r="AF11" s="38">
        <f>AM11</f>
        <v>0</v>
      </c>
      <c r="AG11" s="242" t="s">
        <v>33</v>
      </c>
      <c r="AH11" s="39"/>
      <c r="AI11" s="40">
        <f>IFERROR(Y11/V11*1000,"")</f>
        <v>1358.5283018867922</v>
      </c>
      <c r="AK11" s="41"/>
      <c r="AL11" s="41"/>
      <c r="AM11" s="41"/>
      <c r="AO11" s="242">
        <f t="shared" si="11"/>
        <v>-8</v>
      </c>
      <c r="AP11" s="42"/>
    </row>
    <row r="12" spans="2:51" s="242" customFormat="1" ht="102.75" customHeight="1" x14ac:dyDescent="0.3">
      <c r="B12" s="421"/>
      <c r="C12" s="24">
        <f>+C11+1</f>
        <v>28</v>
      </c>
      <c r="D12" s="43" t="s">
        <v>38</v>
      </c>
      <c r="E12" s="26" t="s">
        <v>33</v>
      </c>
      <c r="F12" s="25">
        <v>0</v>
      </c>
      <c r="G12" s="125"/>
      <c r="H12" s="125" t="e">
        <f t="shared" si="0"/>
        <v>#DIV/0!</v>
      </c>
      <c r="I12" s="121"/>
      <c r="J12" s="121"/>
      <c r="K12" s="121"/>
      <c r="L12" s="121"/>
      <c r="M12" s="121"/>
      <c r="N12" s="121"/>
      <c r="O12" s="121"/>
      <c r="P12" s="121"/>
      <c r="Q12" s="121"/>
      <c r="R12" s="125">
        <f t="shared" si="1"/>
        <v>0</v>
      </c>
      <c r="S12" s="237">
        <f t="shared" si="2"/>
        <v>0</v>
      </c>
      <c r="T12" s="28">
        <f>+H53</f>
        <v>0</v>
      </c>
      <c r="U12" s="29" t="str">
        <f t="shared" si="3"/>
        <v>휴무</v>
      </c>
      <c r="V12" s="30">
        <f t="shared" si="4"/>
        <v>0</v>
      </c>
      <c r="W12" s="31">
        <f>+K53</f>
        <v>0</v>
      </c>
      <c r="X12" s="44" t="str">
        <f t="shared" si="5"/>
        <v>휴무</v>
      </c>
      <c r="Y12" s="47">
        <f t="shared" si="6"/>
        <v>0</v>
      </c>
      <c r="Z12" s="48" t="str">
        <f t="shared" si="7"/>
        <v>휴무</v>
      </c>
      <c r="AA12" s="49" t="str">
        <f t="shared" si="8"/>
        <v>휴무</v>
      </c>
      <c r="AB12" s="139" t="str">
        <f t="shared" si="9"/>
        <v>휴무</v>
      </c>
      <c r="AC12" s="50" t="str">
        <f t="shared" si="10"/>
        <v>휴무</v>
      </c>
      <c r="AD12" s="36"/>
      <c r="AE12" s="37"/>
      <c r="AF12" s="38"/>
      <c r="AH12" s="39"/>
      <c r="AI12" s="40"/>
      <c r="AK12" s="41"/>
      <c r="AL12" s="41"/>
      <c r="AM12" s="41"/>
      <c r="AO12" s="242">
        <f t="shared" si="11"/>
        <v>0</v>
      </c>
      <c r="AP12" s="42"/>
    </row>
    <row r="13" spans="2:51" s="242" customFormat="1" ht="36" customHeight="1" x14ac:dyDescent="0.3">
      <c r="B13" s="422" t="s">
        <v>39</v>
      </c>
      <c r="C13" s="423"/>
      <c r="D13" s="423"/>
      <c r="E13" s="424"/>
      <c r="F13" s="43">
        <f>SUM(F7:F12)</f>
        <v>24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5">
        <f t="shared" si="1"/>
        <v>0</v>
      </c>
      <c r="S13" s="52">
        <f>SUM(S7:S12)</f>
        <v>1584</v>
      </c>
      <c r="T13" s="53">
        <f>SUM(T7:T12)</f>
        <v>976</v>
      </c>
      <c r="U13" s="54">
        <f>T13/F13</f>
        <v>40.666666666666664</v>
      </c>
      <c r="V13" s="45">
        <f t="shared" si="4"/>
        <v>0.61616161616161613</v>
      </c>
      <c r="W13" s="55">
        <f>SUM(W7:W12)</f>
        <v>1538.5600000000002</v>
      </c>
      <c r="X13" s="44">
        <f>W13/F13</f>
        <v>64.106666666666669</v>
      </c>
      <c r="Y13" s="47">
        <f t="shared" si="6"/>
        <v>0.97131313131313146</v>
      </c>
      <c r="Z13" s="56">
        <f>T13/S13*Z4</f>
        <v>30.808080808080806</v>
      </c>
      <c r="AA13" s="57">
        <f>W13/S13*AA4</f>
        <v>52.888000000000012</v>
      </c>
      <c r="AB13" s="140">
        <f t="shared" si="9"/>
        <v>83.696080808080822</v>
      </c>
      <c r="AC13" s="58" t="str">
        <f t="shared" si="10"/>
        <v>80~89</v>
      </c>
      <c r="AD13" s="43"/>
      <c r="AE13" s="37">
        <f>AF13-F13</f>
        <v>-24</v>
      </c>
      <c r="AF13" s="38">
        <f>SUM(AF7:AF12)</f>
        <v>0</v>
      </c>
      <c r="AI13" s="40"/>
      <c r="AK13" s="59"/>
      <c r="AL13" s="59"/>
      <c r="AM13" s="59"/>
    </row>
    <row r="14" spans="2:51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4</v>
      </c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61">
        <f>U14*F14</f>
        <v>162.66666666666666</v>
      </c>
      <c r="U14" s="62">
        <f>T13/F13</f>
        <v>40.666666666666664</v>
      </c>
      <c r="V14" s="63">
        <f>IFERROR(T14/#REF!,0)</f>
        <v>0</v>
      </c>
      <c r="W14" s="64">
        <f>W13/F13*F14</f>
        <v>256.42666666666668</v>
      </c>
      <c r="X14" s="62">
        <f>IF(F14=0,"휴무",W14/F14)</f>
        <v>64.106666666666669</v>
      </c>
      <c r="Y14" s="65">
        <f>IFERROR(W14/#REF!,0)</f>
        <v>0</v>
      </c>
      <c r="Z14" s="60">
        <f>AVERAGE(Z7:Z12)</f>
        <v>30.808080808080813</v>
      </c>
      <c r="AA14" s="60">
        <f>AVERAGE(AA7:AA12)</f>
        <v>52.887999999999998</v>
      </c>
      <c r="AB14" s="141">
        <f>Z14+AA14</f>
        <v>83.696080808080808</v>
      </c>
      <c r="AC14" s="67"/>
      <c r="AD14" s="68"/>
      <c r="AI14" s="40" t="str">
        <f>IFERROR(Y14/V14*1000,"")</f>
        <v/>
      </c>
      <c r="AK14" s="10"/>
      <c r="AL14" s="10"/>
      <c r="AM14" s="10"/>
    </row>
    <row r="15" spans="2:51" s="242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22"/>
      <c r="U15" s="10"/>
      <c r="V15" s="73">
        <f>V14*60</f>
        <v>0</v>
      </c>
      <c r="W15" s="74"/>
      <c r="X15" s="73"/>
      <c r="Y15" s="74">
        <f>Y14*40</f>
        <v>0</v>
      </c>
      <c r="AB15" s="142">
        <f>V15+Y15</f>
        <v>0</v>
      </c>
      <c r="AK15" s="59"/>
      <c r="AL15" s="59"/>
      <c r="AM15" s="59"/>
    </row>
    <row r="16" spans="2:51" ht="17.25" thickBot="1" x14ac:dyDescent="0.35">
      <c r="B16" s="70"/>
    </row>
    <row r="17" spans="2:42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2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</row>
    <row r="20" spans="2:42" x14ac:dyDescent="0.3">
      <c r="B20" t="s">
        <v>5</v>
      </c>
      <c r="D20" s="7">
        <v>55</v>
      </c>
      <c r="F20" s="8" t="s">
        <v>6</v>
      </c>
      <c r="T20" s="9">
        <v>1.2</v>
      </c>
      <c r="Z20" s="12">
        <f>Z4</f>
        <v>50</v>
      </c>
      <c r="AA20" s="11">
        <f>AA4</f>
        <v>54.45</v>
      </c>
      <c r="AB20" s="12"/>
      <c r="AD20" s="8"/>
    </row>
    <row r="21" spans="2:42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8"/>
      <c r="S21" s="439" t="s">
        <v>11</v>
      </c>
      <c r="T21" s="441" t="s">
        <v>12</v>
      </c>
      <c r="U21" s="418"/>
      <c r="V21" s="442"/>
      <c r="W21" s="446" t="s">
        <v>13</v>
      </c>
      <c r="X21" s="418"/>
      <c r="Y21" s="418"/>
      <c r="Z21" s="451" t="s">
        <v>20</v>
      </c>
      <c r="AA21" s="453" t="s">
        <v>21</v>
      </c>
      <c r="AB21" s="447" t="s">
        <v>14</v>
      </c>
      <c r="AC21" s="449" t="s">
        <v>15</v>
      </c>
      <c r="AD21" s="418" t="s">
        <v>16</v>
      </c>
    </row>
    <row r="22" spans="2:42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76</v>
      </c>
      <c r="Q22" s="18" t="s">
        <v>77</v>
      </c>
      <c r="R22" s="127" t="s">
        <v>80</v>
      </c>
      <c r="S22" s="440"/>
      <c r="T22" s="15" t="s">
        <v>12</v>
      </c>
      <c r="U22" s="16" t="s">
        <v>17</v>
      </c>
      <c r="V22" s="17" t="s">
        <v>18</v>
      </c>
      <c r="W22" s="18" t="s">
        <v>13</v>
      </c>
      <c r="X22" s="16" t="s">
        <v>19</v>
      </c>
      <c r="Y22" s="19" t="s">
        <v>18</v>
      </c>
      <c r="Z22" s="452"/>
      <c r="AA22" s="454"/>
      <c r="AB22" s="448"/>
      <c r="AC22" s="450"/>
      <c r="AD22" s="419"/>
      <c r="AE22" s="21" t="s">
        <v>22</v>
      </c>
      <c r="AF22" s="21" t="s">
        <v>23</v>
      </c>
      <c r="AI22" s="22" t="s">
        <v>24</v>
      </c>
      <c r="AK22" s="23" t="s">
        <v>25</v>
      </c>
      <c r="AL22" s="23" t="s">
        <v>26</v>
      </c>
      <c r="AM22" s="23" t="s">
        <v>27</v>
      </c>
      <c r="AO22" s="22">
        <f>SUM(AO23:AO28)</f>
        <v>-40</v>
      </c>
    </row>
    <row r="23" spans="2:42" s="242" customFormat="1" ht="99" customHeight="1" thickTop="1" x14ac:dyDescent="0.3">
      <c r="B23" s="420">
        <f>+B7</f>
        <v>3</v>
      </c>
      <c r="C23" s="24">
        <f t="shared" ref="C23:C28" si="12">+C7</f>
        <v>23</v>
      </c>
      <c r="D23" s="25" t="s">
        <v>7</v>
      </c>
      <c r="E23" s="26" t="s">
        <v>29</v>
      </c>
      <c r="F23" s="25">
        <v>8</v>
      </c>
      <c r="G23" s="128">
        <v>34</v>
      </c>
      <c r="H23" s="128">
        <f t="shared" ref="H23:H28" si="13">(G23/T23)*100</f>
        <v>6.9246435845213856</v>
      </c>
      <c r="I23" s="123" t="s">
        <v>78</v>
      </c>
      <c r="J23" s="123" t="s">
        <v>88</v>
      </c>
      <c r="K23" s="123" t="s">
        <v>92</v>
      </c>
      <c r="L23" s="123" t="s">
        <v>84</v>
      </c>
      <c r="M23" s="123"/>
      <c r="N23" s="129" t="s">
        <v>151</v>
      </c>
      <c r="O23" s="123" t="s">
        <v>74</v>
      </c>
      <c r="P23" s="123"/>
      <c r="Q23" s="123" t="s">
        <v>103</v>
      </c>
      <c r="R23" s="124">
        <f t="shared" ref="R23:R28" si="14">COUNTA(I23:M23)+COUNTA(N23:Q23)/2</f>
        <v>5.5</v>
      </c>
      <c r="S23" s="27">
        <f t="shared" ref="S23:S28" si="15">F23*$D$4*$T$4</f>
        <v>528</v>
      </c>
      <c r="T23" s="28">
        <f>+H58</f>
        <v>491</v>
      </c>
      <c r="U23" s="29">
        <f t="shared" ref="U23:U28" si="16">IF(F23=0,"휴무",T23/F23)</f>
        <v>61.375</v>
      </c>
      <c r="V23" s="30">
        <f t="shared" ref="V23:V29" si="17">IFERROR(T23/S23,0)</f>
        <v>0.92992424242424243</v>
      </c>
      <c r="W23" s="31">
        <f>+K58</f>
        <v>399.8</v>
      </c>
      <c r="X23" s="29">
        <f t="shared" ref="X23:X28" si="18">IF(F23=0,"휴무",W23/F23)</f>
        <v>49.975000000000001</v>
      </c>
      <c r="Y23" s="32">
        <f t="shared" ref="Y23:Y29" si="19">IFERROR(W23/S23,0)</f>
        <v>0.7571969696969697</v>
      </c>
      <c r="Z23" s="33">
        <f t="shared" ref="Z23:Z28" si="20">IF(F23=0,"휴무",T23/S23*$Z$4)</f>
        <v>46.496212121212125</v>
      </c>
      <c r="AA23" s="34">
        <f t="shared" ref="AA23:AA28" si="21">IF(F23=0,"휴무",W23/S23*$AA$4)</f>
        <v>41.229375000000005</v>
      </c>
      <c r="AB23" s="138">
        <f t="shared" ref="AB23:AB29" si="22">IF(F23=0,"휴무",Z23+AA23)</f>
        <v>87.725587121212129</v>
      </c>
      <c r="AC23" s="35" t="str">
        <f t="shared" ref="AC23:AC29" si="23">IF(F23=0,"휴무",IF(AB23&gt;=100,"좋아요",IF(AB23&gt;=90,"90~99",IF(AB23&gt;=80,"80~89"," 사유?→"))))</f>
        <v>80~89</v>
      </c>
      <c r="AD23" s="36"/>
      <c r="AE23" s="37">
        <f>AF23-F23</f>
        <v>-8</v>
      </c>
      <c r="AF23" s="38">
        <f>AM23</f>
        <v>0</v>
      </c>
      <c r="AG23" s="242" t="s">
        <v>29</v>
      </c>
      <c r="AH23" s="39"/>
      <c r="AI23" s="40">
        <f>IFERROR(Y23/V23*1000,"")</f>
        <v>814.25661914460295</v>
      </c>
      <c r="AJ23" s="39"/>
      <c r="AK23" s="41"/>
      <c r="AL23" s="41"/>
      <c r="AM23" s="41"/>
      <c r="AO23" s="242">
        <f t="shared" ref="AO23:AO28" si="24">AN23-F23</f>
        <v>-8</v>
      </c>
      <c r="AP23" s="42"/>
    </row>
    <row r="24" spans="2:42" s="242" customFormat="1" ht="99.75" customHeight="1" x14ac:dyDescent="0.3">
      <c r="B24" s="421"/>
      <c r="C24" s="24">
        <f t="shared" si="12"/>
        <v>24</v>
      </c>
      <c r="D24" s="43" t="s">
        <v>30</v>
      </c>
      <c r="E24" s="26" t="s">
        <v>29</v>
      </c>
      <c r="F24" s="25">
        <v>8</v>
      </c>
      <c r="G24" s="125">
        <v>54</v>
      </c>
      <c r="H24" s="125">
        <f t="shared" si="13"/>
        <v>10.526315789473683</v>
      </c>
      <c r="I24" s="123" t="s">
        <v>78</v>
      </c>
      <c r="J24" s="123" t="s">
        <v>88</v>
      </c>
      <c r="K24" s="123" t="s">
        <v>92</v>
      </c>
      <c r="L24" s="123" t="s">
        <v>84</v>
      </c>
      <c r="M24" s="123"/>
      <c r="N24" s="129" t="s">
        <v>99</v>
      </c>
      <c r="O24" s="123" t="s">
        <v>74</v>
      </c>
      <c r="P24" s="123"/>
      <c r="Q24" s="123" t="s">
        <v>103</v>
      </c>
      <c r="R24" s="124">
        <f t="shared" si="14"/>
        <v>5.5</v>
      </c>
      <c r="S24" s="27">
        <f t="shared" si="15"/>
        <v>528</v>
      </c>
      <c r="T24" s="28">
        <f>+H61</f>
        <v>513</v>
      </c>
      <c r="U24" s="44">
        <f t="shared" si="16"/>
        <v>64.125</v>
      </c>
      <c r="V24" s="45">
        <f t="shared" si="17"/>
        <v>0.97159090909090906</v>
      </c>
      <c r="W24" s="46">
        <f>+K61</f>
        <v>418.59</v>
      </c>
      <c r="X24" s="29">
        <f t="shared" si="18"/>
        <v>52.323749999999997</v>
      </c>
      <c r="Y24" s="47">
        <f t="shared" si="19"/>
        <v>0.79278409090909085</v>
      </c>
      <c r="Z24" s="48">
        <f t="shared" si="20"/>
        <v>48.579545454545453</v>
      </c>
      <c r="AA24" s="49">
        <f t="shared" si="21"/>
        <v>43.167093749999999</v>
      </c>
      <c r="AB24" s="139">
        <f t="shared" si="22"/>
        <v>91.74663920454546</v>
      </c>
      <c r="AC24" s="80" t="str">
        <f t="shared" si="23"/>
        <v>90~99</v>
      </c>
      <c r="AD24" s="36"/>
      <c r="AE24" s="37">
        <f>AF24-F24</f>
        <v>-8</v>
      </c>
      <c r="AF24" s="38">
        <f>AM24</f>
        <v>0</v>
      </c>
      <c r="AG24" s="242" t="s">
        <v>34</v>
      </c>
      <c r="AH24" s="39"/>
      <c r="AI24" s="40">
        <f>IFERROR(Y24/V24*1000,"")</f>
        <v>815.9649122807017</v>
      </c>
      <c r="AJ24" s="39"/>
      <c r="AK24" s="41"/>
      <c r="AL24" s="41"/>
      <c r="AM24" s="41"/>
      <c r="AO24" s="242">
        <f t="shared" si="24"/>
        <v>-8</v>
      </c>
      <c r="AP24" s="42"/>
    </row>
    <row r="25" spans="2:42" s="242" customFormat="1" ht="97.5" customHeight="1" x14ac:dyDescent="0.3">
      <c r="B25" s="421"/>
      <c r="C25" s="24">
        <f t="shared" si="12"/>
        <v>25</v>
      </c>
      <c r="D25" s="43" t="s">
        <v>32</v>
      </c>
      <c r="E25" s="26" t="s">
        <v>29</v>
      </c>
      <c r="F25" s="25">
        <v>8</v>
      </c>
      <c r="G25" s="124">
        <v>36</v>
      </c>
      <c r="H25" s="124">
        <f t="shared" si="13"/>
        <v>10.975609756097562</v>
      </c>
      <c r="I25" s="123" t="s">
        <v>78</v>
      </c>
      <c r="J25" s="123" t="s">
        <v>88</v>
      </c>
      <c r="K25" s="123" t="s">
        <v>92</v>
      </c>
      <c r="L25" s="123" t="s">
        <v>84</v>
      </c>
      <c r="M25" s="123"/>
      <c r="N25" s="129" t="s">
        <v>90</v>
      </c>
      <c r="O25" s="123" t="s">
        <v>74</v>
      </c>
      <c r="P25" s="123" t="s">
        <v>91</v>
      </c>
      <c r="Q25" s="123" t="s">
        <v>89</v>
      </c>
      <c r="R25" s="124">
        <f t="shared" si="14"/>
        <v>6</v>
      </c>
      <c r="S25" s="27">
        <f t="shared" si="15"/>
        <v>528</v>
      </c>
      <c r="T25" s="28">
        <f>+H64</f>
        <v>328</v>
      </c>
      <c r="U25" s="44">
        <f t="shared" si="16"/>
        <v>41</v>
      </c>
      <c r="V25" s="45">
        <f t="shared" si="17"/>
        <v>0.62121212121212122</v>
      </c>
      <c r="W25" s="46">
        <f>+K64</f>
        <v>251.57</v>
      </c>
      <c r="X25" s="29">
        <f t="shared" si="18"/>
        <v>31.446249999999999</v>
      </c>
      <c r="Y25" s="47">
        <f t="shared" si="19"/>
        <v>0.47645833333333332</v>
      </c>
      <c r="Z25" s="48">
        <f t="shared" si="20"/>
        <v>31.060606060606062</v>
      </c>
      <c r="AA25" s="49">
        <f t="shared" si="21"/>
        <v>25.943156250000001</v>
      </c>
      <c r="AB25" s="139">
        <f t="shared" si="22"/>
        <v>57.003762310606064</v>
      </c>
      <c r="AC25" s="50" t="str">
        <f t="shared" si="23"/>
        <v xml:space="preserve"> 사유?→</v>
      </c>
      <c r="AD25" s="160" t="s">
        <v>154</v>
      </c>
      <c r="AE25" s="37">
        <f>AF25-F25</f>
        <v>-8</v>
      </c>
      <c r="AF25" s="38">
        <f>AM25</f>
        <v>0</v>
      </c>
      <c r="AG25" s="242" t="s">
        <v>36</v>
      </c>
      <c r="AH25" s="39"/>
      <c r="AI25" s="40">
        <f>IFERROR(Y25/V25*1000,"")</f>
        <v>766.98170731707319</v>
      </c>
      <c r="AJ25" s="39"/>
      <c r="AK25" s="41"/>
      <c r="AL25" s="41"/>
      <c r="AM25" s="41"/>
      <c r="AO25" s="242">
        <f t="shared" si="24"/>
        <v>-8</v>
      </c>
      <c r="AP25" s="42"/>
    </row>
    <row r="26" spans="2:42" s="242" customFormat="1" ht="115.5" customHeight="1" x14ac:dyDescent="0.3">
      <c r="B26" s="421"/>
      <c r="C26" s="24">
        <f t="shared" si="12"/>
        <v>26</v>
      </c>
      <c r="D26" s="43" t="s">
        <v>35</v>
      </c>
      <c r="E26" s="26" t="s">
        <v>29</v>
      </c>
      <c r="F26" s="25">
        <v>8</v>
      </c>
      <c r="G26" s="124">
        <v>370</v>
      </c>
      <c r="H26" s="124">
        <f t="shared" si="13"/>
        <v>98.143236074270561</v>
      </c>
      <c r="I26" s="123" t="s">
        <v>78</v>
      </c>
      <c r="J26" s="123" t="s">
        <v>88</v>
      </c>
      <c r="K26" s="123" t="s">
        <v>92</v>
      </c>
      <c r="L26" s="123" t="s">
        <v>84</v>
      </c>
      <c r="M26" s="123"/>
      <c r="N26" s="129" t="s">
        <v>90</v>
      </c>
      <c r="O26" s="123" t="s">
        <v>74</v>
      </c>
      <c r="P26" s="123" t="s">
        <v>91</v>
      </c>
      <c r="Q26" s="123" t="s">
        <v>89</v>
      </c>
      <c r="R26" s="124">
        <f t="shared" si="14"/>
        <v>6</v>
      </c>
      <c r="S26" s="27">
        <f t="shared" si="15"/>
        <v>528</v>
      </c>
      <c r="T26" s="28">
        <f>+H67</f>
        <v>377</v>
      </c>
      <c r="U26" s="44">
        <f t="shared" si="16"/>
        <v>47.125</v>
      </c>
      <c r="V26" s="45">
        <f t="shared" si="17"/>
        <v>0.71401515151515149</v>
      </c>
      <c r="W26" s="46">
        <f>+K67</f>
        <v>477.81</v>
      </c>
      <c r="X26" s="44">
        <f t="shared" si="18"/>
        <v>59.72625</v>
      </c>
      <c r="Y26" s="47">
        <f t="shared" si="19"/>
        <v>0.90494318181818179</v>
      </c>
      <c r="Z26" s="48">
        <f t="shared" si="20"/>
        <v>35.700757575757578</v>
      </c>
      <c r="AA26" s="49">
        <f t="shared" si="21"/>
        <v>49.274156250000004</v>
      </c>
      <c r="AB26" s="139">
        <f t="shared" si="22"/>
        <v>84.974913825757582</v>
      </c>
      <c r="AC26" s="50" t="str">
        <f t="shared" si="23"/>
        <v>80~89</v>
      </c>
      <c r="AD26" s="36"/>
      <c r="AE26" s="37">
        <f>AF26-F26</f>
        <v>-8</v>
      </c>
      <c r="AF26" s="38">
        <f>AM26</f>
        <v>0</v>
      </c>
      <c r="AG26" s="242" t="s">
        <v>33</v>
      </c>
      <c r="AH26" s="39"/>
      <c r="AI26" s="40">
        <f>IFERROR(Y26/V26*1000,"")</f>
        <v>1267.4005305039789</v>
      </c>
      <c r="AJ26" s="39"/>
      <c r="AK26" s="41"/>
      <c r="AL26" s="41"/>
      <c r="AM26" s="41"/>
      <c r="AO26" s="242">
        <f t="shared" si="24"/>
        <v>-8</v>
      </c>
      <c r="AP26" s="42"/>
    </row>
    <row r="27" spans="2:42" s="242" customFormat="1" ht="104.25" customHeight="1" x14ac:dyDescent="0.3">
      <c r="B27" s="421"/>
      <c r="C27" s="24">
        <f t="shared" si="12"/>
        <v>27</v>
      </c>
      <c r="D27" s="43" t="s">
        <v>37</v>
      </c>
      <c r="E27" s="26" t="s">
        <v>29</v>
      </c>
      <c r="F27" s="25">
        <v>8</v>
      </c>
      <c r="G27" s="125">
        <v>311</v>
      </c>
      <c r="H27" s="130">
        <f t="shared" si="13"/>
        <v>90.406976744186053</v>
      </c>
      <c r="I27" s="123" t="s">
        <v>78</v>
      </c>
      <c r="J27" s="123" t="s">
        <v>88</v>
      </c>
      <c r="K27" s="123" t="s">
        <v>92</v>
      </c>
      <c r="L27" s="123" t="s">
        <v>84</v>
      </c>
      <c r="M27" s="123"/>
      <c r="N27" s="129" t="s">
        <v>90</v>
      </c>
      <c r="O27" s="123" t="s">
        <v>74</v>
      </c>
      <c r="P27" s="123" t="s">
        <v>91</v>
      </c>
      <c r="Q27" s="123" t="s">
        <v>89</v>
      </c>
      <c r="R27" s="125">
        <f t="shared" si="14"/>
        <v>6</v>
      </c>
      <c r="S27" s="27">
        <f t="shared" si="15"/>
        <v>528</v>
      </c>
      <c r="T27" s="28">
        <f>+H70</f>
        <v>344</v>
      </c>
      <c r="U27" s="44">
        <f t="shared" si="16"/>
        <v>43</v>
      </c>
      <c r="V27" s="45">
        <f t="shared" si="17"/>
        <v>0.65151515151515149</v>
      </c>
      <c r="W27" s="46">
        <f>+K70</f>
        <v>713.12</v>
      </c>
      <c r="X27" s="44">
        <f t="shared" si="18"/>
        <v>89.14</v>
      </c>
      <c r="Y27" s="47">
        <f t="shared" si="19"/>
        <v>1.3506060606060606</v>
      </c>
      <c r="Z27" s="48">
        <f t="shared" si="20"/>
        <v>32.575757575757578</v>
      </c>
      <c r="AA27" s="49">
        <f t="shared" si="21"/>
        <v>73.540500000000009</v>
      </c>
      <c r="AB27" s="139">
        <f t="shared" si="22"/>
        <v>106.11625757575759</v>
      </c>
      <c r="AC27" s="50" t="str">
        <f t="shared" si="23"/>
        <v>좋아요</v>
      </c>
      <c r="AD27" s="36"/>
      <c r="AE27" s="37">
        <f>AF27-F27</f>
        <v>-8</v>
      </c>
      <c r="AF27" s="38">
        <f>AM27</f>
        <v>0</v>
      </c>
      <c r="AG27" s="242" t="s">
        <v>46</v>
      </c>
      <c r="AH27" s="39"/>
      <c r="AI27" s="40">
        <f>IFERROR(Y27/V27*1000,"")</f>
        <v>2073.0232558139537</v>
      </c>
      <c r="AK27" s="41"/>
      <c r="AL27" s="41"/>
      <c r="AM27" s="41"/>
      <c r="AO27" s="242">
        <f t="shared" si="24"/>
        <v>-8</v>
      </c>
      <c r="AP27" s="42"/>
    </row>
    <row r="28" spans="2:42" s="242" customFormat="1" ht="104.25" customHeight="1" x14ac:dyDescent="0.3">
      <c r="B28" s="421"/>
      <c r="C28" s="24">
        <f t="shared" si="12"/>
        <v>28</v>
      </c>
      <c r="D28" s="43" t="s">
        <v>47</v>
      </c>
      <c r="E28" s="26" t="s">
        <v>33</v>
      </c>
      <c r="F28" s="25">
        <v>0</v>
      </c>
      <c r="G28" s="124"/>
      <c r="H28" s="124" t="e">
        <f t="shared" si="13"/>
        <v>#DIV/0!</v>
      </c>
      <c r="I28" s="123"/>
      <c r="J28" s="123"/>
      <c r="K28" s="123"/>
      <c r="L28" s="123"/>
      <c r="M28" s="121"/>
      <c r="N28" s="123"/>
      <c r="O28" s="121"/>
      <c r="P28" s="123"/>
      <c r="Q28" s="123"/>
      <c r="R28" s="124">
        <f t="shared" si="14"/>
        <v>0</v>
      </c>
      <c r="S28" s="237">
        <f t="shared" si="15"/>
        <v>0</v>
      </c>
      <c r="T28" s="28">
        <f>+H73</f>
        <v>0</v>
      </c>
      <c r="U28" s="29" t="str">
        <f t="shared" si="16"/>
        <v>휴무</v>
      </c>
      <c r="V28" s="30">
        <f t="shared" si="17"/>
        <v>0</v>
      </c>
      <c r="W28" s="31">
        <f>+K73</f>
        <v>0</v>
      </c>
      <c r="X28" s="44" t="str">
        <f t="shared" si="18"/>
        <v>휴무</v>
      </c>
      <c r="Y28" s="47">
        <f t="shared" si="19"/>
        <v>0</v>
      </c>
      <c r="Z28" s="48" t="str">
        <f t="shared" si="20"/>
        <v>휴무</v>
      </c>
      <c r="AA28" s="49" t="str">
        <f t="shared" si="21"/>
        <v>휴무</v>
      </c>
      <c r="AB28" s="139" t="str">
        <f t="shared" si="22"/>
        <v>휴무</v>
      </c>
      <c r="AC28" s="50" t="str">
        <f t="shared" si="23"/>
        <v>휴무</v>
      </c>
      <c r="AD28" s="36"/>
      <c r="AE28" s="37"/>
      <c r="AF28" s="38"/>
      <c r="AH28" s="39"/>
      <c r="AI28" s="40"/>
      <c r="AK28" s="41"/>
      <c r="AL28" s="41"/>
      <c r="AM28" s="41"/>
      <c r="AO28" s="242">
        <f t="shared" si="24"/>
        <v>0</v>
      </c>
      <c r="AP28" s="42"/>
    </row>
    <row r="29" spans="2:42" s="242" customFormat="1" ht="36" customHeight="1" x14ac:dyDescent="0.3">
      <c r="B29" s="422" t="s">
        <v>39</v>
      </c>
      <c r="C29" s="423"/>
      <c r="D29" s="423"/>
      <c r="E29" s="424"/>
      <c r="F29" s="43">
        <f>SUM(F23:F28)</f>
        <v>40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6"/>
      <c r="S29" s="52">
        <f>SUM(S23:S28)</f>
        <v>2640</v>
      </c>
      <c r="T29" s="53">
        <f>SUM(T23:T28)</f>
        <v>2053</v>
      </c>
      <c r="U29" s="54">
        <f>T29/F29</f>
        <v>51.325000000000003</v>
      </c>
      <c r="V29" s="45">
        <f t="shared" si="17"/>
        <v>0.7776515151515152</v>
      </c>
      <c r="W29" s="55">
        <f>SUM(W23:W28)</f>
        <v>2260.89</v>
      </c>
      <c r="X29" s="44">
        <f>W29/F29</f>
        <v>56.52225</v>
      </c>
      <c r="Y29" s="47">
        <f t="shared" si="19"/>
        <v>0.85639772727272723</v>
      </c>
      <c r="Z29" s="56">
        <f>T29/S29*Z20</f>
        <v>38.882575757575758</v>
      </c>
      <c r="AA29" s="57">
        <f>W29/S29*AA20</f>
        <v>46.630856250000001</v>
      </c>
      <c r="AB29" s="140">
        <f t="shared" si="22"/>
        <v>85.513432007575759</v>
      </c>
      <c r="AC29" s="58" t="str">
        <f t="shared" si="23"/>
        <v>80~89</v>
      </c>
      <c r="AD29" s="43"/>
      <c r="AE29" s="37">
        <f>AF29-F29</f>
        <v>-40</v>
      </c>
      <c r="AF29" s="38">
        <f>SUM(AF23:AF28)</f>
        <v>0</v>
      </c>
      <c r="AI29" s="40"/>
      <c r="AK29" s="59"/>
      <c r="AL29" s="59"/>
      <c r="AM29" s="59"/>
    </row>
    <row r="30" spans="2:42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6.666666666666667</v>
      </c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61">
        <f>U30*F30</f>
        <v>342.16666666666669</v>
      </c>
      <c r="U30" s="62">
        <f>T29/F29</f>
        <v>51.325000000000003</v>
      </c>
      <c r="V30" s="63">
        <f>IFERROR(T30/#REF!,0)</f>
        <v>0</v>
      </c>
      <c r="W30" s="64">
        <f>W29/F29*F30</f>
        <v>376.815</v>
      </c>
      <c r="X30" s="62">
        <f>IF(F30=0,"휴무",W30/F30)</f>
        <v>56.52225</v>
      </c>
      <c r="Y30" s="65">
        <f>IFERROR(W30/#REF!,0)</f>
        <v>0</v>
      </c>
      <c r="Z30" s="60">
        <f>AVERAGE(Z23:Z28)</f>
        <v>38.882575757575765</v>
      </c>
      <c r="AA30" s="60">
        <f>AVERAGE(AA23:AA28)</f>
        <v>46.630856250000001</v>
      </c>
      <c r="AB30" s="141">
        <f>Z30+AA30</f>
        <v>85.513432007575773</v>
      </c>
      <c r="AC30" s="67"/>
      <c r="AD30" s="68"/>
      <c r="AI30" s="40" t="str">
        <f>IFERROR(Y30/V30*1000,"")</f>
        <v/>
      </c>
      <c r="AK30" s="10"/>
      <c r="AL30" s="10"/>
      <c r="AM30" s="10"/>
    </row>
    <row r="31" spans="2:42" s="242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22"/>
      <c r="U31" s="10"/>
      <c r="V31" s="73">
        <f>V30*60</f>
        <v>0</v>
      </c>
      <c r="W31" s="74"/>
      <c r="X31" s="73"/>
      <c r="Y31" s="74">
        <f>Y30*40</f>
        <v>0</v>
      </c>
      <c r="Z31" s="81"/>
      <c r="AA31" s="81"/>
      <c r="AB31" s="142">
        <f>V31+Y31</f>
        <v>0</v>
      </c>
      <c r="AK31" s="59"/>
      <c r="AL31" s="59"/>
      <c r="AM31" s="59"/>
    </row>
    <row r="32" spans="2:42" x14ac:dyDescent="0.3">
      <c r="B32" s="120" t="s">
        <v>67</v>
      </c>
      <c r="U32" s="10">
        <v>8.8000000000000007</v>
      </c>
    </row>
    <row r="33" spans="2:42" ht="17.25" thickBot="1" x14ac:dyDescent="0.35">
      <c r="B33" s="70"/>
    </row>
    <row r="34" spans="2:42" ht="17.25" thickBot="1" x14ac:dyDescent="0.35">
      <c r="B34" s="76" t="s">
        <v>42</v>
      </c>
      <c r="C34" s="77"/>
      <c r="D34" s="78" t="s">
        <v>43</v>
      </c>
      <c r="E34" s="78"/>
      <c r="F34" s="79"/>
      <c r="X34" s="10">
        <v>50</v>
      </c>
    </row>
    <row r="36" spans="2:42" s="10" customFormat="1" x14ac:dyDescent="0.3">
      <c r="B36"/>
      <c r="C36"/>
      <c r="D36"/>
      <c r="E36" s="455">
        <f>+C7</f>
        <v>23</v>
      </c>
      <c r="F36" s="455" t="s">
        <v>7</v>
      </c>
      <c r="G36" s="82" t="s">
        <v>48</v>
      </c>
      <c r="H36" s="83"/>
      <c r="I36" s="84"/>
      <c r="J36" s="85"/>
      <c r="K36" s="86"/>
      <c r="L36" s="135"/>
      <c r="N36" s="136"/>
      <c r="O36" s="136"/>
      <c r="P36" s="136"/>
      <c r="Q36" s="136"/>
      <c r="R36" s="136"/>
      <c r="S36" s="136"/>
      <c r="Y36"/>
      <c r="Z36"/>
      <c r="AA36"/>
      <c r="AB36"/>
      <c r="AC36"/>
      <c r="AD36"/>
      <c r="AE36"/>
      <c r="AF36"/>
      <c r="AG36"/>
      <c r="AH36"/>
      <c r="AI36"/>
      <c r="AJ36"/>
      <c r="AK36" s="1"/>
      <c r="AL36" s="1"/>
      <c r="AM36" s="1"/>
      <c r="AN36"/>
      <c r="AO36"/>
      <c r="AP36"/>
    </row>
    <row r="37" spans="2:42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Y37"/>
      <c r="Z37"/>
      <c r="AA37"/>
      <c r="AB37"/>
      <c r="AC37"/>
      <c r="AD37"/>
      <c r="AE37"/>
      <c r="AF37"/>
      <c r="AG37"/>
      <c r="AH37"/>
      <c r="AI37"/>
      <c r="AJ37"/>
      <c r="AK37" s="1"/>
      <c r="AL37" s="1"/>
      <c r="AM37" s="1"/>
      <c r="AN37"/>
      <c r="AO37"/>
      <c r="AP37"/>
    </row>
    <row r="38" spans="2:42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0</v>
      </c>
      <c r="I38" s="88"/>
      <c r="J38" s="89"/>
      <c r="K38" s="90">
        <f>+K36+K37*2</f>
        <v>0</v>
      </c>
      <c r="L38" s="135"/>
      <c r="N38" s="136"/>
      <c r="O38" s="136"/>
      <c r="P38" s="136"/>
      <c r="Q38" s="136"/>
      <c r="R38" s="136"/>
      <c r="S38" s="136"/>
      <c r="Y38"/>
      <c r="Z38"/>
      <c r="AA38"/>
      <c r="AB38"/>
      <c r="AC38"/>
      <c r="AD38"/>
      <c r="AE38"/>
      <c r="AF38"/>
      <c r="AG38"/>
      <c r="AH38"/>
      <c r="AI38"/>
      <c r="AJ38"/>
      <c r="AK38" s="1"/>
      <c r="AL38" s="1"/>
      <c r="AM38" s="1"/>
      <c r="AN38"/>
      <c r="AO38"/>
      <c r="AP38"/>
    </row>
    <row r="39" spans="2:42" s="10" customFormat="1" x14ac:dyDescent="0.3">
      <c r="B39"/>
      <c r="C39"/>
      <c r="D39"/>
      <c r="E39" s="455">
        <f>+C8</f>
        <v>24</v>
      </c>
      <c r="F39" s="455" t="s">
        <v>52</v>
      </c>
      <c r="G39" s="82" t="s">
        <v>48</v>
      </c>
      <c r="H39" s="83"/>
      <c r="I39" s="84"/>
      <c r="J39" s="85"/>
      <c r="K39" s="86"/>
      <c r="L39" s="135"/>
      <c r="N39" s="136"/>
      <c r="O39" s="136"/>
      <c r="P39" s="136"/>
      <c r="Q39" s="136"/>
      <c r="R39" s="136"/>
      <c r="S39" s="136"/>
      <c r="Y39"/>
      <c r="Z39"/>
      <c r="AA39"/>
      <c r="AB39"/>
      <c r="AC39"/>
      <c r="AD39"/>
      <c r="AE39"/>
      <c r="AF39"/>
      <c r="AG39"/>
      <c r="AH39"/>
      <c r="AI39"/>
      <c r="AJ39"/>
      <c r="AK39" s="1"/>
      <c r="AL39" s="1"/>
      <c r="AM39" s="1"/>
      <c r="AN39"/>
      <c r="AO39"/>
      <c r="AP39"/>
    </row>
    <row r="40" spans="2:42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Y40"/>
      <c r="Z40"/>
      <c r="AA40"/>
      <c r="AB40"/>
      <c r="AC40"/>
      <c r="AD40"/>
      <c r="AE40"/>
      <c r="AF40"/>
      <c r="AG40"/>
      <c r="AH40"/>
      <c r="AI40"/>
      <c r="AJ40"/>
      <c r="AK40" s="1"/>
      <c r="AL40" s="1"/>
      <c r="AM40" s="1"/>
      <c r="AN40"/>
      <c r="AO40"/>
      <c r="AP40"/>
    </row>
    <row r="41" spans="2:42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0</v>
      </c>
      <c r="I41" s="88"/>
      <c r="J41" s="89"/>
      <c r="K41" s="90">
        <f>+K39+K40*2</f>
        <v>0</v>
      </c>
      <c r="L41" s="135"/>
      <c r="N41" s="136"/>
      <c r="O41" s="136"/>
      <c r="P41" s="136"/>
      <c r="Q41" s="136"/>
      <c r="R41" s="136"/>
      <c r="S41" s="136"/>
      <c r="Y41"/>
      <c r="Z41"/>
      <c r="AA41"/>
      <c r="AB41"/>
      <c r="AC41"/>
      <c r="AD41"/>
      <c r="AE41"/>
      <c r="AF41"/>
      <c r="AG41"/>
      <c r="AH41"/>
      <c r="AI41"/>
      <c r="AJ41"/>
      <c r="AK41" s="1"/>
      <c r="AL41" s="1"/>
      <c r="AM41" s="1"/>
      <c r="AN41"/>
      <c r="AO41"/>
      <c r="AP41"/>
    </row>
    <row r="42" spans="2:42" s="10" customFormat="1" x14ac:dyDescent="0.3">
      <c r="B42"/>
      <c r="C42"/>
      <c r="D42"/>
      <c r="E42" s="455">
        <f>+C9</f>
        <v>25</v>
      </c>
      <c r="F42" s="455" t="s">
        <v>53</v>
      </c>
      <c r="G42" s="82" t="s">
        <v>48</v>
      </c>
      <c r="H42" s="83">
        <v>341</v>
      </c>
      <c r="I42" s="84"/>
      <c r="J42" s="85"/>
      <c r="K42" s="86">
        <v>503.47</v>
      </c>
      <c r="L42" s="135"/>
      <c r="N42" s="136"/>
      <c r="O42" s="136"/>
      <c r="P42" s="136"/>
      <c r="Q42" s="136"/>
      <c r="R42" s="136"/>
      <c r="S42" s="136"/>
      <c r="Y42"/>
      <c r="Z42"/>
      <c r="AA42"/>
      <c r="AB42"/>
      <c r="AC42"/>
      <c r="AD42"/>
      <c r="AE42"/>
      <c r="AF42"/>
      <c r="AG42"/>
      <c r="AH42"/>
      <c r="AI42"/>
      <c r="AJ42"/>
      <c r="AK42" s="1"/>
      <c r="AL42" s="1"/>
      <c r="AM42" s="1"/>
      <c r="AN42"/>
      <c r="AO42"/>
      <c r="AP42"/>
    </row>
    <row r="43" spans="2:42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Y43"/>
      <c r="Z43"/>
      <c r="AA43"/>
      <c r="AB43"/>
      <c r="AC43"/>
      <c r="AD43"/>
      <c r="AE43"/>
      <c r="AF43"/>
      <c r="AG43"/>
      <c r="AH43"/>
      <c r="AI43"/>
      <c r="AJ43"/>
      <c r="AK43" s="1"/>
      <c r="AL43" s="1"/>
      <c r="AM43" s="1"/>
      <c r="AN43"/>
      <c r="AO43"/>
      <c r="AP43"/>
    </row>
    <row r="44" spans="2:42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341</v>
      </c>
      <c r="I44" s="88"/>
      <c r="J44" s="89"/>
      <c r="K44" s="90">
        <f>+K42+K43*2</f>
        <v>503.47</v>
      </c>
      <c r="L44" s="137" t="s">
        <v>54</v>
      </c>
      <c r="N44" s="136"/>
      <c r="O44" s="136"/>
      <c r="P44" s="136"/>
      <c r="Q44" s="136"/>
      <c r="R44" s="136"/>
      <c r="S44" s="136"/>
      <c r="Y44"/>
      <c r="Z44"/>
      <c r="AA44"/>
      <c r="AB44"/>
      <c r="AC44"/>
      <c r="AE44"/>
      <c r="AF44"/>
      <c r="AG44"/>
      <c r="AH44"/>
      <c r="AI44"/>
      <c r="AJ44"/>
      <c r="AK44" s="1"/>
      <c r="AL44" s="1"/>
      <c r="AM44" s="1"/>
      <c r="AN44"/>
      <c r="AO44"/>
      <c r="AP44"/>
    </row>
    <row r="45" spans="2:42" s="10" customFormat="1" x14ac:dyDescent="0.3">
      <c r="B45"/>
      <c r="C45"/>
      <c r="D45"/>
      <c r="E45" s="455">
        <f>+C10</f>
        <v>26</v>
      </c>
      <c r="F45" s="455" t="s">
        <v>55</v>
      </c>
      <c r="G45" s="82" t="s">
        <v>48</v>
      </c>
      <c r="H45" s="83">
        <v>370</v>
      </c>
      <c r="I45" s="84"/>
      <c r="J45" s="85"/>
      <c r="K45" s="86">
        <v>675.08</v>
      </c>
      <c r="L45" s="135"/>
      <c r="N45" s="136"/>
      <c r="O45" s="136"/>
      <c r="P45" s="136"/>
      <c r="Q45" s="136"/>
      <c r="R45" s="136"/>
      <c r="S45" s="136"/>
      <c r="Y45"/>
      <c r="Z45"/>
      <c r="AA45"/>
      <c r="AB45"/>
      <c r="AC45"/>
      <c r="AD45"/>
      <c r="AE45"/>
      <c r="AF45"/>
      <c r="AG45"/>
      <c r="AH45"/>
      <c r="AI45"/>
      <c r="AJ45"/>
      <c r="AK45" s="1"/>
      <c r="AL45" s="1"/>
      <c r="AM45" s="1"/>
      <c r="AN45"/>
      <c r="AO45"/>
      <c r="AP45"/>
    </row>
    <row r="46" spans="2:42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Y46"/>
      <c r="Z46"/>
      <c r="AA46"/>
      <c r="AB46"/>
      <c r="AC46"/>
      <c r="AD46"/>
      <c r="AE46"/>
      <c r="AF46"/>
      <c r="AG46"/>
      <c r="AH46"/>
      <c r="AI46"/>
      <c r="AJ46"/>
      <c r="AK46" s="1"/>
      <c r="AL46" s="1"/>
      <c r="AM46" s="1"/>
      <c r="AN46"/>
      <c r="AO46"/>
      <c r="AP46"/>
    </row>
    <row r="47" spans="2:42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370</v>
      </c>
      <c r="I47" s="88"/>
      <c r="J47" s="89"/>
      <c r="K47" s="90">
        <f>+K45+K46*2</f>
        <v>675.08</v>
      </c>
      <c r="L47" s="135"/>
      <c r="N47" s="136"/>
      <c r="O47" s="136"/>
      <c r="P47" s="136"/>
      <c r="Q47" s="136"/>
      <c r="R47" s="136"/>
      <c r="S47" s="136"/>
      <c r="Y47"/>
      <c r="Z47"/>
      <c r="AA47"/>
      <c r="AB47"/>
      <c r="AC47"/>
      <c r="AD47"/>
      <c r="AE47"/>
      <c r="AF47"/>
      <c r="AG47"/>
      <c r="AH47"/>
      <c r="AI47"/>
      <c r="AJ47"/>
      <c r="AK47" s="1"/>
      <c r="AL47" s="1"/>
      <c r="AM47" s="1"/>
      <c r="AN47"/>
      <c r="AO47"/>
      <c r="AP47"/>
    </row>
    <row r="48" spans="2:42" s="10" customFormat="1" x14ac:dyDescent="0.3">
      <c r="B48"/>
      <c r="C48"/>
      <c r="D48"/>
      <c r="E48" s="455">
        <f>+C11</f>
        <v>27</v>
      </c>
      <c r="F48" s="455" t="s">
        <v>56</v>
      </c>
      <c r="G48" s="82" t="s">
        <v>48</v>
      </c>
      <c r="H48" s="83">
        <v>265</v>
      </c>
      <c r="I48" s="84"/>
      <c r="J48" s="85"/>
      <c r="K48" s="86">
        <v>360.01</v>
      </c>
      <c r="L48" s="135"/>
      <c r="N48" s="136"/>
      <c r="O48" s="136"/>
      <c r="P48" s="136"/>
      <c r="Q48" s="136"/>
      <c r="R48" s="136"/>
      <c r="S48" s="136"/>
      <c r="Y48"/>
      <c r="Z48"/>
      <c r="AA48"/>
      <c r="AB48"/>
      <c r="AC48"/>
      <c r="AD48"/>
      <c r="AE48"/>
      <c r="AF48"/>
      <c r="AG48"/>
      <c r="AH48"/>
      <c r="AI48"/>
      <c r="AJ48"/>
      <c r="AK48" s="1"/>
      <c r="AL48" s="1"/>
      <c r="AM48" s="1"/>
      <c r="AN48"/>
      <c r="AO48"/>
      <c r="AP48"/>
    </row>
    <row r="49" spans="2:42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Y49"/>
      <c r="Z49"/>
      <c r="AA49"/>
      <c r="AB49"/>
      <c r="AC49"/>
      <c r="AD49"/>
      <c r="AE49"/>
      <c r="AF49"/>
      <c r="AG49"/>
      <c r="AH49"/>
      <c r="AI49"/>
      <c r="AJ49"/>
      <c r="AK49" s="1"/>
      <c r="AL49" s="1"/>
      <c r="AM49" s="1"/>
      <c r="AN49"/>
      <c r="AO49"/>
      <c r="AP49"/>
    </row>
    <row r="50" spans="2:42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265</v>
      </c>
      <c r="I50" s="88"/>
      <c r="J50" s="89"/>
      <c r="K50" s="90">
        <f>+K48+K49*2</f>
        <v>360.01</v>
      </c>
      <c r="L50" s="135"/>
      <c r="N50" s="136"/>
      <c r="O50" s="136"/>
      <c r="P50" s="136"/>
      <c r="Q50" s="136"/>
      <c r="R50" s="136"/>
      <c r="S50" s="136"/>
      <c r="Y50"/>
      <c r="Z50"/>
      <c r="AA50"/>
      <c r="AB50"/>
      <c r="AC50"/>
      <c r="AD50"/>
      <c r="AE50"/>
      <c r="AF50"/>
      <c r="AG50"/>
      <c r="AH50"/>
      <c r="AI50"/>
      <c r="AJ50"/>
      <c r="AK50" s="1"/>
      <c r="AL50" s="1"/>
      <c r="AM50" s="1"/>
      <c r="AN50"/>
      <c r="AO50"/>
      <c r="AP50"/>
    </row>
    <row r="51" spans="2:42" s="10" customFormat="1" x14ac:dyDescent="0.3">
      <c r="B51"/>
      <c r="C51"/>
      <c r="D51"/>
      <c r="E51" s="455">
        <f>+C12</f>
        <v>28</v>
      </c>
      <c r="F51" s="455" t="s">
        <v>38</v>
      </c>
      <c r="G51" s="82" t="s">
        <v>48</v>
      </c>
      <c r="H51" s="83"/>
      <c r="I51" s="84"/>
      <c r="J51" s="85"/>
      <c r="K51" s="86"/>
      <c r="L51" s="135"/>
      <c r="N51" s="136"/>
      <c r="O51" s="136"/>
      <c r="P51" s="136"/>
      <c r="Q51" s="136"/>
      <c r="R51" s="136"/>
      <c r="S51" s="136"/>
      <c r="Y51"/>
      <c r="Z51"/>
      <c r="AA51"/>
      <c r="AB51"/>
      <c r="AC51"/>
      <c r="AD51"/>
      <c r="AE51"/>
      <c r="AF51"/>
      <c r="AG51"/>
      <c r="AH51"/>
      <c r="AI51"/>
      <c r="AJ51"/>
      <c r="AK51" s="1"/>
      <c r="AL51" s="1"/>
      <c r="AM51" s="1"/>
      <c r="AN51"/>
      <c r="AO51"/>
      <c r="AP51"/>
    </row>
    <row r="52" spans="2:42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Y52"/>
      <c r="Z52"/>
      <c r="AA52"/>
      <c r="AB52"/>
      <c r="AC52"/>
      <c r="AD52"/>
      <c r="AE52"/>
      <c r="AF52"/>
      <c r="AG52"/>
      <c r="AH52"/>
      <c r="AI52"/>
      <c r="AJ52"/>
      <c r="AK52" s="1"/>
      <c r="AL52" s="1"/>
      <c r="AM52" s="1"/>
      <c r="AN52"/>
      <c r="AO52"/>
      <c r="AP52"/>
    </row>
    <row r="53" spans="2:42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0</v>
      </c>
      <c r="I53" s="88"/>
      <c r="J53" s="89"/>
      <c r="K53" s="90">
        <f>+K51+K52*2</f>
        <v>0</v>
      </c>
      <c r="L53" s="135"/>
      <c r="N53" s="136"/>
      <c r="O53" s="136"/>
      <c r="P53" s="136"/>
      <c r="Q53" s="136"/>
      <c r="R53" s="136"/>
      <c r="S53" s="136"/>
      <c r="Y53"/>
      <c r="Z53"/>
      <c r="AA53"/>
      <c r="AB53"/>
      <c r="AC53"/>
      <c r="AD53"/>
      <c r="AE53"/>
      <c r="AF53"/>
      <c r="AG53"/>
      <c r="AH53"/>
      <c r="AI53"/>
      <c r="AJ53"/>
      <c r="AK53" s="1"/>
      <c r="AL53" s="1"/>
      <c r="AM53" s="1"/>
      <c r="AN53"/>
      <c r="AO53"/>
      <c r="AP53"/>
    </row>
    <row r="54" spans="2:42" x14ac:dyDescent="0.3">
      <c r="H54" s="75"/>
      <c r="I54" s="10"/>
      <c r="J54" s="11"/>
      <c r="K54"/>
    </row>
    <row r="55" spans="2:42" x14ac:dyDescent="0.3">
      <c r="H55" s="75"/>
      <c r="I55" s="10"/>
      <c r="J55" s="11"/>
      <c r="K55"/>
    </row>
    <row r="56" spans="2:42" s="10" customFormat="1" x14ac:dyDescent="0.3">
      <c r="B56"/>
      <c r="C56"/>
      <c r="D56"/>
      <c r="E56" s="455">
        <f>+E36</f>
        <v>23</v>
      </c>
      <c r="F56" s="455" t="s">
        <v>7</v>
      </c>
      <c r="G56" s="82" t="s">
        <v>48</v>
      </c>
      <c r="H56" s="83">
        <v>491</v>
      </c>
      <c r="I56" s="84"/>
      <c r="J56" s="85"/>
      <c r="K56" s="86">
        <v>399.8</v>
      </c>
      <c r="L56" s="135"/>
      <c r="N56" s="136"/>
      <c r="O56" s="136"/>
      <c r="P56" s="136"/>
      <c r="Q56" s="136"/>
      <c r="R56" s="136"/>
      <c r="S56" s="136"/>
      <c r="Y56"/>
      <c r="Z56"/>
      <c r="AA56"/>
      <c r="AB56"/>
      <c r="AC56"/>
      <c r="AD56"/>
      <c r="AE56"/>
      <c r="AF56"/>
      <c r="AG56"/>
      <c r="AH56"/>
      <c r="AI56"/>
      <c r="AJ56"/>
      <c r="AK56" s="1"/>
      <c r="AL56" s="1"/>
      <c r="AM56" s="1"/>
      <c r="AN56"/>
      <c r="AO56"/>
      <c r="AP56"/>
    </row>
    <row r="57" spans="2:42" s="10" customFormat="1" x14ac:dyDescent="0.3">
      <c r="B57"/>
      <c r="C57" t="s">
        <v>57</v>
      </c>
      <c r="D57"/>
      <c r="E57" s="456"/>
      <c r="F57" s="456"/>
      <c r="G57" s="82" t="s">
        <v>50</v>
      </c>
      <c r="H57" s="83"/>
      <c r="I57" s="84"/>
      <c r="J57" s="85"/>
      <c r="K57" s="86"/>
      <c r="L57" s="135"/>
      <c r="N57" s="136"/>
      <c r="O57" s="136"/>
      <c r="P57" s="136"/>
      <c r="Q57" s="136"/>
      <c r="R57" s="136"/>
      <c r="S57" s="136"/>
      <c r="Y57"/>
      <c r="Z57"/>
      <c r="AA57"/>
      <c r="AB57"/>
      <c r="AC57"/>
      <c r="AD57"/>
      <c r="AE57"/>
      <c r="AF57"/>
      <c r="AG57"/>
      <c r="AH57"/>
      <c r="AI57"/>
      <c r="AJ57"/>
      <c r="AK57" s="1"/>
      <c r="AL57" s="1"/>
      <c r="AM57" s="1"/>
      <c r="AN57"/>
      <c r="AO57"/>
      <c r="AP57"/>
    </row>
    <row r="58" spans="2:42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491</v>
      </c>
      <c r="I58" s="88"/>
      <c r="J58" s="89"/>
      <c r="K58" s="90">
        <f>+K56+K57*2</f>
        <v>399.8</v>
      </c>
      <c r="L58" s="135"/>
      <c r="N58" s="136"/>
      <c r="O58" s="136"/>
      <c r="P58" s="136"/>
      <c r="Q58" s="136"/>
      <c r="R58" s="136"/>
      <c r="S58" s="136"/>
      <c r="Y58"/>
      <c r="Z58"/>
      <c r="AA58"/>
      <c r="AB58"/>
      <c r="AC58"/>
      <c r="AD58"/>
      <c r="AE58"/>
      <c r="AF58"/>
      <c r="AG58"/>
      <c r="AH58"/>
      <c r="AI58"/>
      <c r="AJ58"/>
      <c r="AK58" s="1"/>
      <c r="AL58" s="1"/>
      <c r="AM58" s="1"/>
      <c r="AN58"/>
      <c r="AO58"/>
      <c r="AP58"/>
    </row>
    <row r="59" spans="2:42" s="10" customFormat="1" x14ac:dyDescent="0.3">
      <c r="B59"/>
      <c r="C59"/>
      <c r="D59"/>
      <c r="E59" s="455">
        <f>+E39</f>
        <v>24</v>
      </c>
      <c r="F59" s="455" t="s">
        <v>52</v>
      </c>
      <c r="G59" s="82" t="s">
        <v>48</v>
      </c>
      <c r="H59" s="83">
        <v>513</v>
      </c>
      <c r="I59" s="84"/>
      <c r="J59" s="85"/>
      <c r="K59" s="86">
        <v>418.59</v>
      </c>
      <c r="L59" s="135"/>
      <c r="N59" s="136"/>
      <c r="O59" s="136"/>
      <c r="P59" s="136"/>
      <c r="Q59" s="136"/>
      <c r="R59" s="136"/>
      <c r="S59" s="136"/>
      <c r="Y59"/>
      <c r="Z59"/>
      <c r="AA59"/>
      <c r="AB59"/>
      <c r="AC59"/>
      <c r="AD59"/>
      <c r="AE59"/>
      <c r="AF59"/>
      <c r="AG59"/>
      <c r="AH59"/>
      <c r="AI59"/>
      <c r="AJ59"/>
      <c r="AK59" s="1"/>
      <c r="AL59" s="1"/>
      <c r="AM59" s="1"/>
      <c r="AN59"/>
      <c r="AO59"/>
      <c r="AP59"/>
    </row>
    <row r="60" spans="2:42" s="10" customFormat="1" x14ac:dyDescent="0.3">
      <c r="B60"/>
      <c r="C60"/>
      <c r="D60"/>
      <c r="E60" s="456"/>
      <c r="F60" s="456"/>
      <c r="G60" s="82" t="s">
        <v>50</v>
      </c>
      <c r="H60" s="83"/>
      <c r="I60" s="84"/>
      <c r="J60" s="85"/>
      <c r="K60" s="86"/>
      <c r="L60" s="135"/>
      <c r="N60" s="136"/>
      <c r="O60" s="136"/>
      <c r="P60" s="136"/>
      <c r="Q60" s="136"/>
      <c r="R60" s="136"/>
      <c r="S60" s="136"/>
      <c r="Y60"/>
      <c r="Z60"/>
      <c r="AA60"/>
      <c r="AB60"/>
      <c r="AC60"/>
      <c r="AD60"/>
      <c r="AE60"/>
      <c r="AF60"/>
      <c r="AG60"/>
      <c r="AH60"/>
      <c r="AI60"/>
      <c r="AJ60"/>
      <c r="AK60" s="1"/>
      <c r="AL60" s="1"/>
      <c r="AM60" s="1"/>
      <c r="AN60"/>
      <c r="AO60"/>
      <c r="AP60"/>
    </row>
    <row r="61" spans="2:42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513</v>
      </c>
      <c r="I61" s="88"/>
      <c r="J61" s="89"/>
      <c r="K61" s="90">
        <f>+K59+K60*2</f>
        <v>418.59</v>
      </c>
      <c r="L61" s="135"/>
      <c r="N61" s="136"/>
      <c r="O61" s="136"/>
      <c r="P61" s="136"/>
      <c r="Q61" s="136"/>
      <c r="R61" s="136"/>
      <c r="S61" s="136"/>
      <c r="Y61"/>
      <c r="Z61"/>
      <c r="AA61"/>
      <c r="AB61"/>
      <c r="AC61"/>
      <c r="AD61"/>
      <c r="AE61"/>
      <c r="AF61"/>
      <c r="AG61"/>
      <c r="AH61"/>
      <c r="AI61"/>
      <c r="AJ61"/>
      <c r="AK61" s="1"/>
      <c r="AL61" s="1"/>
      <c r="AM61" s="1"/>
      <c r="AN61"/>
      <c r="AO61"/>
      <c r="AP61"/>
    </row>
    <row r="62" spans="2:42" s="10" customFormat="1" x14ac:dyDescent="0.3">
      <c r="B62"/>
      <c r="C62"/>
      <c r="D62"/>
      <c r="E62" s="455">
        <f>+E42</f>
        <v>25</v>
      </c>
      <c r="F62" s="455" t="s">
        <v>53</v>
      </c>
      <c r="G62" s="82" t="s">
        <v>48</v>
      </c>
      <c r="H62" s="83">
        <v>328</v>
      </c>
      <c r="I62" s="84"/>
      <c r="J62" s="85"/>
      <c r="K62" s="86">
        <v>251.57</v>
      </c>
      <c r="L62" s="135"/>
      <c r="N62" s="136"/>
      <c r="O62" s="136"/>
      <c r="P62" s="136"/>
      <c r="Q62" s="136"/>
      <c r="R62" s="136"/>
      <c r="S62" s="136"/>
      <c r="Y62"/>
      <c r="Z62"/>
      <c r="AA62"/>
      <c r="AB62"/>
      <c r="AC62"/>
      <c r="AD62"/>
      <c r="AE62"/>
      <c r="AF62"/>
      <c r="AG62"/>
      <c r="AH62"/>
      <c r="AI62"/>
      <c r="AJ62"/>
      <c r="AK62" s="1"/>
      <c r="AL62" s="1"/>
      <c r="AM62" s="1"/>
      <c r="AN62"/>
      <c r="AO62"/>
      <c r="AP62"/>
    </row>
    <row r="63" spans="2:42" s="10" customFormat="1" x14ac:dyDescent="0.3">
      <c r="B63"/>
      <c r="C63"/>
      <c r="D63"/>
      <c r="E63" s="456"/>
      <c r="F63" s="456"/>
      <c r="G63" s="82" t="s">
        <v>50</v>
      </c>
      <c r="H63" s="83"/>
      <c r="I63" s="84"/>
      <c r="J63" s="85"/>
      <c r="K63" s="86"/>
      <c r="L63" s="135"/>
      <c r="N63" s="136"/>
      <c r="O63" s="136"/>
      <c r="P63" s="136"/>
      <c r="Q63" s="136"/>
      <c r="R63" s="136"/>
      <c r="S63" s="136"/>
      <c r="Y63"/>
      <c r="Z63"/>
      <c r="AA63"/>
      <c r="AB63"/>
      <c r="AC63"/>
      <c r="AD63"/>
      <c r="AE63"/>
      <c r="AF63"/>
      <c r="AG63"/>
      <c r="AH63"/>
      <c r="AI63"/>
      <c r="AJ63"/>
      <c r="AK63" s="1"/>
      <c r="AL63" s="1"/>
      <c r="AM63" s="1"/>
      <c r="AN63"/>
      <c r="AO63"/>
      <c r="AP63"/>
    </row>
    <row r="64" spans="2:42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328</v>
      </c>
      <c r="I64" s="88"/>
      <c r="J64" s="89"/>
      <c r="K64" s="90">
        <f>+K62+K63*2</f>
        <v>251.57</v>
      </c>
      <c r="L64" s="137" t="s">
        <v>54</v>
      </c>
      <c r="N64" s="136"/>
      <c r="O64" s="136"/>
      <c r="P64" s="136"/>
      <c r="Q64" s="136"/>
      <c r="R64" s="136"/>
      <c r="S64" s="136"/>
      <c r="Y64"/>
      <c r="Z64"/>
      <c r="AA64"/>
      <c r="AB64"/>
      <c r="AC64"/>
      <c r="AE64"/>
      <c r="AF64"/>
      <c r="AG64"/>
      <c r="AH64"/>
      <c r="AI64"/>
      <c r="AJ64"/>
      <c r="AK64" s="1"/>
      <c r="AL64" s="1"/>
      <c r="AM64" s="1"/>
      <c r="AN64"/>
      <c r="AO64"/>
      <c r="AP64"/>
    </row>
    <row r="65" spans="2:42" s="10" customFormat="1" x14ac:dyDescent="0.3">
      <c r="B65"/>
      <c r="C65"/>
      <c r="D65"/>
      <c r="E65" s="455">
        <f>+E45</f>
        <v>26</v>
      </c>
      <c r="F65" s="455" t="s">
        <v>55</v>
      </c>
      <c r="G65" s="82" t="s">
        <v>48</v>
      </c>
      <c r="H65" s="83">
        <v>377</v>
      </c>
      <c r="I65" s="84"/>
      <c r="J65" s="85"/>
      <c r="K65" s="86">
        <v>477.81</v>
      </c>
      <c r="L65" s="135"/>
      <c r="N65" s="136"/>
      <c r="O65" s="136"/>
      <c r="P65" s="136"/>
      <c r="Q65" s="136"/>
      <c r="R65" s="136"/>
      <c r="S65" s="136"/>
      <c r="Y65"/>
      <c r="Z65"/>
      <c r="AA65"/>
      <c r="AB65"/>
      <c r="AC65"/>
      <c r="AD65"/>
      <c r="AE65"/>
      <c r="AF65"/>
      <c r="AG65"/>
      <c r="AH65"/>
      <c r="AI65"/>
      <c r="AJ65"/>
      <c r="AK65" s="1"/>
      <c r="AL65" s="1"/>
      <c r="AM65" s="1"/>
      <c r="AN65"/>
      <c r="AO65"/>
      <c r="AP65"/>
    </row>
    <row r="66" spans="2:42" s="10" customFormat="1" x14ac:dyDescent="0.3">
      <c r="B66"/>
      <c r="C66"/>
      <c r="D66"/>
      <c r="E66" s="456"/>
      <c r="F66" s="456"/>
      <c r="G66" s="82" t="s">
        <v>50</v>
      </c>
      <c r="H66" s="83"/>
      <c r="I66" s="84"/>
      <c r="J66" s="85"/>
      <c r="K66" s="86"/>
      <c r="L66" s="135"/>
      <c r="N66" s="136"/>
      <c r="O66" s="136"/>
      <c r="P66" s="136"/>
      <c r="Q66" s="136"/>
      <c r="R66" s="136"/>
      <c r="S66" s="136"/>
      <c r="Y66"/>
      <c r="Z66"/>
      <c r="AA66"/>
      <c r="AB66"/>
      <c r="AC66"/>
      <c r="AD66"/>
      <c r="AE66"/>
      <c r="AF66"/>
      <c r="AG66"/>
      <c r="AH66"/>
      <c r="AI66"/>
      <c r="AJ66"/>
      <c r="AK66" s="1"/>
      <c r="AL66" s="1"/>
      <c r="AM66" s="1"/>
      <c r="AN66"/>
      <c r="AO66"/>
      <c r="AP66"/>
    </row>
    <row r="67" spans="2:42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377</v>
      </c>
      <c r="I67" s="88"/>
      <c r="J67" s="89"/>
      <c r="K67" s="90">
        <f>+K65+K66*2</f>
        <v>477.81</v>
      </c>
      <c r="L67" s="135"/>
      <c r="N67" s="136"/>
      <c r="O67" s="136"/>
      <c r="P67" s="136"/>
      <c r="Q67" s="136"/>
      <c r="R67" s="136"/>
      <c r="S67" s="136"/>
      <c r="Y67"/>
      <c r="Z67"/>
      <c r="AA67"/>
      <c r="AB67"/>
      <c r="AC67"/>
      <c r="AD67"/>
      <c r="AE67"/>
      <c r="AF67"/>
      <c r="AG67"/>
      <c r="AH67"/>
      <c r="AI67"/>
      <c r="AJ67"/>
      <c r="AK67" s="1"/>
      <c r="AL67" s="1"/>
      <c r="AM67" s="1"/>
      <c r="AN67"/>
      <c r="AO67"/>
      <c r="AP67"/>
    </row>
    <row r="68" spans="2:42" s="10" customFormat="1" x14ac:dyDescent="0.3">
      <c r="B68"/>
      <c r="C68"/>
      <c r="D68"/>
      <c r="E68" s="455">
        <f>+E48</f>
        <v>27</v>
      </c>
      <c r="F68" s="455" t="s">
        <v>56</v>
      </c>
      <c r="G68" s="82" t="s">
        <v>48</v>
      </c>
      <c r="H68" s="83">
        <v>324</v>
      </c>
      <c r="I68" s="84"/>
      <c r="J68" s="85"/>
      <c r="K68" s="86">
        <v>697.72</v>
      </c>
      <c r="L68" s="135"/>
      <c r="N68" s="136"/>
      <c r="O68" s="136"/>
      <c r="P68" s="136"/>
      <c r="Q68" s="136"/>
      <c r="R68" s="136"/>
      <c r="S68" s="136"/>
      <c r="Y68"/>
      <c r="Z68"/>
      <c r="AA68"/>
      <c r="AB68"/>
      <c r="AC68"/>
      <c r="AD68"/>
      <c r="AE68"/>
      <c r="AF68"/>
      <c r="AG68"/>
      <c r="AH68"/>
      <c r="AI68"/>
      <c r="AJ68"/>
      <c r="AK68" s="1"/>
      <c r="AL68" s="1"/>
      <c r="AM68" s="1"/>
      <c r="AN68"/>
      <c r="AO68"/>
      <c r="AP68"/>
    </row>
    <row r="69" spans="2:42" s="10" customFormat="1" x14ac:dyDescent="0.3">
      <c r="B69"/>
      <c r="C69"/>
      <c r="D69"/>
      <c r="E69" s="456"/>
      <c r="F69" s="456"/>
      <c r="G69" s="82" t="s">
        <v>50</v>
      </c>
      <c r="H69" s="83">
        <v>10</v>
      </c>
      <c r="I69" s="84"/>
      <c r="J69" s="85"/>
      <c r="K69" s="86">
        <v>7.7</v>
      </c>
      <c r="L69" s="135"/>
      <c r="N69" s="136"/>
      <c r="O69" s="136"/>
      <c r="P69" s="136"/>
      <c r="Q69" s="136"/>
      <c r="R69" s="136"/>
      <c r="S69" s="136"/>
      <c r="Y69"/>
      <c r="Z69"/>
      <c r="AA69"/>
      <c r="AB69"/>
      <c r="AC69"/>
      <c r="AD69"/>
      <c r="AE69"/>
      <c r="AF69"/>
      <c r="AG69"/>
      <c r="AH69"/>
      <c r="AI69"/>
      <c r="AJ69"/>
      <c r="AK69" s="1"/>
      <c r="AL69" s="1"/>
      <c r="AM69" s="1"/>
      <c r="AN69"/>
      <c r="AO69"/>
      <c r="AP69"/>
    </row>
    <row r="70" spans="2:42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344</v>
      </c>
      <c r="I70" s="88"/>
      <c r="J70" s="89"/>
      <c r="K70" s="90">
        <f>+K68+K69*2</f>
        <v>713.12</v>
      </c>
      <c r="L70" s="135"/>
      <c r="N70" s="136"/>
      <c r="O70" s="136"/>
      <c r="P70" s="136"/>
      <c r="Q70" s="136"/>
      <c r="R70" s="136"/>
      <c r="S70" s="136"/>
      <c r="Y70"/>
      <c r="Z70"/>
      <c r="AA70"/>
      <c r="AB70"/>
      <c r="AC70"/>
      <c r="AD70"/>
      <c r="AE70"/>
      <c r="AF70"/>
      <c r="AG70"/>
      <c r="AH70"/>
      <c r="AI70"/>
      <c r="AJ70"/>
      <c r="AK70" s="1"/>
      <c r="AL70" s="1"/>
      <c r="AM70" s="1"/>
      <c r="AN70"/>
      <c r="AO70"/>
      <c r="AP70"/>
    </row>
    <row r="71" spans="2:42" s="10" customFormat="1" x14ac:dyDescent="0.3">
      <c r="B71"/>
      <c r="C71"/>
      <c r="D71"/>
      <c r="E71" s="455">
        <f>+E51</f>
        <v>28</v>
      </c>
      <c r="F71" s="455" t="s">
        <v>38</v>
      </c>
      <c r="G71" s="82" t="s">
        <v>48</v>
      </c>
      <c r="H71" s="83"/>
      <c r="I71" s="84"/>
      <c r="J71" s="85"/>
      <c r="K71" s="86"/>
      <c r="L71" s="135"/>
      <c r="N71" s="136"/>
      <c r="O71" s="136"/>
      <c r="P71" s="136"/>
      <c r="Q71" s="136"/>
      <c r="R71" s="136"/>
      <c r="S71" s="136"/>
      <c r="Y71"/>
      <c r="Z71"/>
      <c r="AA71"/>
      <c r="AB71"/>
      <c r="AC71"/>
      <c r="AD71"/>
      <c r="AE71"/>
      <c r="AF71"/>
      <c r="AG71"/>
      <c r="AH71"/>
      <c r="AI71"/>
      <c r="AJ71"/>
      <c r="AK71" s="1"/>
      <c r="AL71" s="1"/>
      <c r="AM71" s="1"/>
      <c r="AN71"/>
      <c r="AO71"/>
      <c r="AP71"/>
    </row>
    <row r="72" spans="2:42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Y72"/>
      <c r="Z72"/>
      <c r="AA72"/>
      <c r="AB72"/>
      <c r="AC72"/>
      <c r="AD72"/>
      <c r="AE72"/>
      <c r="AF72"/>
      <c r="AG72"/>
      <c r="AH72"/>
      <c r="AI72"/>
      <c r="AJ72"/>
      <c r="AK72" s="1"/>
      <c r="AL72" s="1"/>
      <c r="AM72" s="1"/>
      <c r="AN72"/>
      <c r="AO72"/>
      <c r="AP72"/>
    </row>
    <row r="73" spans="2:42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0</v>
      </c>
      <c r="I73" s="88"/>
      <c r="J73" s="89"/>
      <c r="K73" s="90">
        <f>+K71+K72*2</f>
        <v>0</v>
      </c>
      <c r="L73" s="135"/>
      <c r="N73" s="136"/>
      <c r="O73" s="136"/>
      <c r="P73" s="136"/>
      <c r="Q73" s="136"/>
      <c r="R73" s="136"/>
      <c r="S73" s="136"/>
      <c r="Y73"/>
      <c r="Z73"/>
      <c r="AA73"/>
      <c r="AB73"/>
      <c r="AC73"/>
      <c r="AD73"/>
      <c r="AE73"/>
      <c r="AF73"/>
      <c r="AG73"/>
      <c r="AH73"/>
      <c r="AI73"/>
      <c r="AJ73"/>
      <c r="AK73" s="1"/>
      <c r="AL73" s="1"/>
      <c r="AM73" s="1"/>
      <c r="AN73"/>
      <c r="AO73"/>
      <c r="AP73"/>
    </row>
    <row r="76" spans="2:42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</row>
    <row r="77" spans="2:42" ht="18" customHeight="1" x14ac:dyDescent="0.3">
      <c r="B77" t="s">
        <v>5</v>
      </c>
      <c r="D77" s="7">
        <v>55</v>
      </c>
      <c r="F77" s="8" t="s">
        <v>6</v>
      </c>
      <c r="T77" s="9">
        <v>1.2</v>
      </c>
      <c r="Z77" s="12">
        <f>Z61</f>
        <v>0</v>
      </c>
      <c r="AA77" s="11">
        <f>AA61</f>
        <v>0</v>
      </c>
      <c r="AB77" s="12"/>
      <c r="AD77" s="8"/>
    </row>
    <row r="78" spans="2:42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441" t="s">
        <v>12</v>
      </c>
      <c r="U78" s="418"/>
      <c r="V78" s="442"/>
      <c r="W78" s="446" t="s">
        <v>13</v>
      </c>
      <c r="X78" s="418"/>
      <c r="Y78" s="418"/>
      <c r="Z78" s="13"/>
      <c r="AA78" s="14"/>
      <c r="AB78" s="447" t="s">
        <v>14</v>
      </c>
      <c r="AC78" s="449" t="s">
        <v>15</v>
      </c>
      <c r="AD78" s="418" t="s">
        <v>16</v>
      </c>
    </row>
    <row r="79" spans="2:42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5" t="s">
        <v>12</v>
      </c>
      <c r="U79" s="16" t="s">
        <v>17</v>
      </c>
      <c r="V79" s="17" t="s">
        <v>18</v>
      </c>
      <c r="W79" s="18" t="s">
        <v>13</v>
      </c>
      <c r="X79" s="16" t="s">
        <v>19</v>
      </c>
      <c r="Y79" s="19" t="s">
        <v>18</v>
      </c>
      <c r="Z79" s="236" t="s">
        <v>20</v>
      </c>
      <c r="AA79" s="20" t="s">
        <v>21</v>
      </c>
      <c r="AB79" s="448"/>
      <c r="AC79" s="450"/>
      <c r="AD79" s="419"/>
      <c r="AE79" s="21" t="s">
        <v>22</v>
      </c>
      <c r="AF79" s="21" t="s">
        <v>23</v>
      </c>
      <c r="AG79" s="22"/>
      <c r="AH79" s="22"/>
      <c r="AI79" s="22" t="s">
        <v>24</v>
      </c>
      <c r="AJ79" s="22"/>
      <c r="AK79" s="23" t="s">
        <v>25</v>
      </c>
      <c r="AL79" s="23" t="s">
        <v>26</v>
      </c>
      <c r="AM79" s="23" t="s">
        <v>27</v>
      </c>
      <c r="AN79" s="22"/>
      <c r="AO79" s="22">
        <f>SUM(AO80:AO85)</f>
        <v>-50</v>
      </c>
    </row>
    <row r="80" spans="2:42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95">
        <f>+T94</f>
        <v>0</v>
      </c>
      <c r="U80" s="96">
        <f>IF(F80=0,"휴무",T80/F80)</f>
        <v>0</v>
      </c>
      <c r="V80" s="97">
        <f>IFERROR(T80/#REF!,0)</f>
        <v>0</v>
      </c>
      <c r="W80" s="98">
        <f>+W94</f>
        <v>0</v>
      </c>
      <c r="X80" s="96">
        <f t="shared" ref="X80:X85" si="25">IF(F80=0,"휴무",W80/F80)</f>
        <v>0</v>
      </c>
      <c r="Y80" s="99">
        <f>IFERROR(W80/#REF!,0)</f>
        <v>0</v>
      </c>
      <c r="Z80" s="100" t="e">
        <f>IF(F80=0,"휴무",T80/#REF!*$Z$4)</f>
        <v>#REF!</v>
      </c>
      <c r="AA80" s="101" t="e">
        <f>IF(F80=0,"휴무",W80/#REF!*$AA$4)</f>
        <v>#REF!</v>
      </c>
      <c r="AB80" s="102" t="e">
        <f t="shared" ref="AB80:AB85" si="26">IF(F80=0,"휴무",Z80+AA80)</f>
        <v>#REF!</v>
      </c>
      <c r="AC80" s="103" t="e">
        <f t="shared" ref="AC80:AC85" si="27">IF(F80=0,"휴무",IF(AB80&gt;=100,"좋아요",IF(AB80&gt;=90,"90~99",IF(AB80&gt;=80,"80~89"," 사유?→"))))</f>
        <v>#REF!</v>
      </c>
      <c r="AD80" s="104"/>
      <c r="AE80" s="37">
        <f>AF80-F80</f>
        <v>-10</v>
      </c>
      <c r="AF80" s="38">
        <f>AM80</f>
        <v>0</v>
      </c>
      <c r="AG80" s="242" t="s">
        <v>29</v>
      </c>
      <c r="AH80" s="39"/>
      <c r="AI80" s="40" t="str">
        <f>IFERROR(Y80/V80*1000,"")</f>
        <v/>
      </c>
      <c r="AJ80" s="39"/>
      <c r="AK80" s="41"/>
      <c r="AL80" s="41"/>
      <c r="AM80" s="41"/>
      <c r="AN80" s="242"/>
      <c r="AO80" s="242">
        <f>AN80-F80</f>
        <v>-10</v>
      </c>
    </row>
    <row r="81" spans="2:41" ht="98.25" customHeight="1" x14ac:dyDescent="0.3">
      <c r="B81" s="459"/>
      <c r="C81" s="92">
        <v>20</v>
      </c>
      <c r="D81" s="243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95">
        <f>+T97</f>
        <v>0</v>
      </c>
      <c r="U81" s="62">
        <f>IF(F81=0,"휴무",T81/F81)</f>
        <v>0</v>
      </c>
      <c r="V81" s="63">
        <f>IFERROR(T81/#REF!,0)</f>
        <v>0</v>
      </c>
      <c r="W81" s="105">
        <f>+W97</f>
        <v>0</v>
      </c>
      <c r="X81" s="96">
        <f t="shared" si="25"/>
        <v>0</v>
      </c>
      <c r="Y81" s="65">
        <f>IFERROR(W81/#REF!,0)</f>
        <v>0</v>
      </c>
      <c r="Z81" s="106" t="e">
        <f>IF(F81=0,"휴무",T81/#REF!*$Z$4)</f>
        <v>#REF!</v>
      </c>
      <c r="AA81" s="107" t="e">
        <f>IF(F81=0,"휴무",W81/#REF!*$AA$4)</f>
        <v>#REF!</v>
      </c>
      <c r="AB81" s="66" t="e">
        <f t="shared" si="26"/>
        <v>#REF!</v>
      </c>
      <c r="AC81" s="108" t="e">
        <f t="shared" si="27"/>
        <v>#REF!</v>
      </c>
      <c r="AD81" s="109"/>
      <c r="AE81" s="37">
        <f>AF81-F81</f>
        <v>-10</v>
      </c>
      <c r="AF81" s="38">
        <f>AM81</f>
        <v>0</v>
      </c>
      <c r="AG81" s="242" t="s">
        <v>34</v>
      </c>
      <c r="AH81" s="39"/>
      <c r="AI81" s="40" t="str">
        <f>IFERROR(Y81/V81*1000,"")</f>
        <v/>
      </c>
      <c r="AJ81" s="39"/>
      <c r="AK81" s="41"/>
      <c r="AL81" s="41"/>
      <c r="AM81" s="41"/>
      <c r="AN81" s="242"/>
      <c r="AO81" s="242">
        <f>AN81-F81</f>
        <v>-10</v>
      </c>
    </row>
    <row r="82" spans="2:41" ht="98.25" customHeight="1" x14ac:dyDescent="0.3">
      <c r="B82" s="459"/>
      <c r="C82" s="92">
        <v>21</v>
      </c>
      <c r="D82" s="243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95">
        <f>+T100</f>
        <v>0</v>
      </c>
      <c r="U82" s="62">
        <f>IF(F82=0,"휴무",T82/F82)</f>
        <v>0</v>
      </c>
      <c r="V82" s="63">
        <f>IFERROR(T82/#REF!,0)</f>
        <v>0</v>
      </c>
      <c r="W82" s="105">
        <f>+W100</f>
        <v>0</v>
      </c>
      <c r="X82" s="96">
        <f t="shared" si="25"/>
        <v>0</v>
      </c>
      <c r="Y82" s="65">
        <f>IFERROR(W82/#REF!,0)</f>
        <v>0</v>
      </c>
      <c r="Z82" s="106" t="e">
        <f>IF(F82=0,"휴무",T82/#REF!*$Z$4)</f>
        <v>#REF!</v>
      </c>
      <c r="AA82" s="107" t="e">
        <f>IF(F82=0,"휴무",W82/#REF!*$AA$4)</f>
        <v>#REF!</v>
      </c>
      <c r="AB82" s="66" t="e">
        <f t="shared" si="26"/>
        <v>#REF!</v>
      </c>
      <c r="AC82" s="108" t="e">
        <f t="shared" si="27"/>
        <v>#REF!</v>
      </c>
      <c r="AD82" s="109"/>
      <c r="AE82" s="37">
        <f>AF82-F82</f>
        <v>-10</v>
      </c>
      <c r="AF82" s="38">
        <f>AM82</f>
        <v>0</v>
      </c>
      <c r="AG82" s="242" t="s">
        <v>36</v>
      </c>
      <c r="AH82" s="39"/>
      <c r="AI82" s="40" t="str">
        <f>IFERROR(Y82/V82*1000,"")</f>
        <v/>
      </c>
      <c r="AJ82" s="39"/>
      <c r="AK82" s="41"/>
      <c r="AL82" s="41"/>
      <c r="AM82" s="41"/>
      <c r="AN82" s="242"/>
      <c r="AO82" s="242">
        <f>AN82-F82</f>
        <v>-10</v>
      </c>
    </row>
    <row r="83" spans="2:41" ht="98.25" customHeight="1" x14ac:dyDescent="0.3">
      <c r="B83" s="459"/>
      <c r="C83" s="92">
        <v>22</v>
      </c>
      <c r="D83" s="243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95">
        <f>+T103</f>
        <v>0</v>
      </c>
      <c r="U83" s="62">
        <f>IF(F83=0,"휴무",T83/F83)</f>
        <v>0</v>
      </c>
      <c r="V83" s="63">
        <f>IFERROR(T83/#REF!,0)</f>
        <v>0</v>
      </c>
      <c r="W83" s="105">
        <f>+W103</f>
        <v>0</v>
      </c>
      <c r="X83" s="62">
        <f t="shared" si="25"/>
        <v>0</v>
      </c>
      <c r="Y83" s="65">
        <f>IFERROR(W83/#REF!,0)</f>
        <v>0</v>
      </c>
      <c r="Z83" s="106" t="e">
        <f>IF(F83=0,"휴무",T83/#REF!*$Z$4)</f>
        <v>#REF!</v>
      </c>
      <c r="AA83" s="107" t="e">
        <f>IF(F83=0,"휴무",W83/#REF!*$AA$4)</f>
        <v>#REF!</v>
      </c>
      <c r="AB83" s="66" t="e">
        <f t="shared" si="26"/>
        <v>#REF!</v>
      </c>
      <c r="AC83" s="110" t="e">
        <f t="shared" si="27"/>
        <v>#REF!</v>
      </c>
      <c r="AD83" s="104"/>
      <c r="AE83" s="37">
        <f>AF83-F83</f>
        <v>-10</v>
      </c>
      <c r="AF83" s="38">
        <f>AM83</f>
        <v>0</v>
      </c>
      <c r="AG83" s="242" t="s">
        <v>33</v>
      </c>
      <c r="AH83" s="39"/>
      <c r="AI83" s="40" t="str">
        <f>IFERROR(Y83/V83*1000,"")</f>
        <v/>
      </c>
      <c r="AJ83" s="39"/>
      <c r="AK83" s="41"/>
      <c r="AL83" s="41"/>
      <c r="AM83" s="41"/>
      <c r="AN83" s="242"/>
      <c r="AO83" s="242">
        <f>AN83-F83</f>
        <v>-10</v>
      </c>
    </row>
    <row r="84" spans="2:41" ht="98.25" customHeight="1" x14ac:dyDescent="0.3">
      <c r="B84" s="459"/>
      <c r="C84" s="92">
        <v>23</v>
      </c>
      <c r="D84" s="243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95">
        <f>+T104</f>
        <v>0</v>
      </c>
      <c r="U84" s="62">
        <f>IF(F84=0,"휴무",T84/F84)</f>
        <v>0</v>
      </c>
      <c r="V84" s="63">
        <f>IFERROR(T84/#REF!,0)</f>
        <v>0</v>
      </c>
      <c r="W84" s="105">
        <f>+W104</f>
        <v>0</v>
      </c>
      <c r="X84" s="62">
        <f t="shared" si="25"/>
        <v>0</v>
      </c>
      <c r="Y84" s="65">
        <f>IFERROR(W84/#REF!,0)</f>
        <v>0</v>
      </c>
      <c r="Z84" s="106" t="e">
        <f>IF(F84=0,"휴무",T84/#REF!*$Z$4)</f>
        <v>#REF!</v>
      </c>
      <c r="AA84" s="107" t="e">
        <f>IF(F84=0,"휴무",W84/#REF!*$AA$4)</f>
        <v>#REF!</v>
      </c>
      <c r="AB84" s="66" t="e">
        <f t="shared" si="26"/>
        <v>#REF!</v>
      </c>
      <c r="AC84" s="110" t="e">
        <f t="shared" si="27"/>
        <v>#REF!</v>
      </c>
      <c r="AD84" s="104"/>
      <c r="AE84" s="37">
        <f>AF84-F84</f>
        <v>-10</v>
      </c>
      <c r="AF84" s="38">
        <f>AM84</f>
        <v>0</v>
      </c>
      <c r="AG84" s="242" t="s">
        <v>46</v>
      </c>
      <c r="AH84" s="39"/>
      <c r="AI84" s="40" t="str">
        <f>IFERROR(Y84/V84*1000,"")</f>
        <v/>
      </c>
      <c r="AJ84" s="242"/>
      <c r="AK84" s="41"/>
      <c r="AL84" s="41"/>
      <c r="AM84" s="41"/>
      <c r="AN84" s="242"/>
      <c r="AO84" s="242">
        <f>AN84-F84</f>
        <v>-10</v>
      </c>
    </row>
    <row r="85" spans="2:41" ht="98.25" customHeight="1" x14ac:dyDescent="0.3">
      <c r="B85" s="459"/>
      <c r="C85" s="92">
        <v>25</v>
      </c>
      <c r="D85" s="243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240"/>
      <c r="H85" s="240"/>
      <c r="I85" s="240"/>
      <c r="J85" s="240"/>
      <c r="K85" s="240"/>
      <c r="L85" s="240"/>
      <c r="M85" s="240"/>
      <c r="N85" s="240"/>
      <c r="O85" s="240"/>
      <c r="P85" s="240"/>
      <c r="Q85" s="240"/>
      <c r="R85" s="240"/>
      <c r="S85" s="240"/>
      <c r="T85" s="95">
        <f>T109</f>
        <v>0</v>
      </c>
      <c r="U85" s="96">
        <v>58.924999999999997</v>
      </c>
      <c r="V85" s="97">
        <v>0.89280303030303021</v>
      </c>
      <c r="W85" s="98">
        <f>W109</f>
        <v>0</v>
      </c>
      <c r="X85" s="62" t="str">
        <f t="shared" si="25"/>
        <v>휴무</v>
      </c>
      <c r="Y85" s="65">
        <f>IFERROR(W85/#REF!,0)</f>
        <v>0</v>
      </c>
      <c r="Z85" s="106" t="str">
        <f>IF(F85=0,"휴무",T85/#REF!*$Z$4)</f>
        <v>휴무</v>
      </c>
      <c r="AA85" s="107" t="str">
        <f>IF(F85=0,"휴무",W85/#REF!*$AA$4)</f>
        <v>휴무</v>
      </c>
      <c r="AB85" s="66" t="str">
        <f t="shared" si="26"/>
        <v>휴무</v>
      </c>
      <c r="AC85" s="110" t="str">
        <f t="shared" si="27"/>
        <v>휴무</v>
      </c>
      <c r="AD85" s="104"/>
      <c r="AE85" s="37"/>
      <c r="AF85" s="38"/>
      <c r="AG85" s="242"/>
      <c r="AH85" s="39"/>
      <c r="AI85" s="40"/>
      <c r="AJ85" s="242"/>
      <c r="AK85" s="41"/>
      <c r="AL85" s="41"/>
      <c r="AM85" s="41"/>
      <c r="AN85" s="242"/>
      <c r="AO85" s="242"/>
    </row>
    <row r="86" spans="2:41" ht="36" customHeight="1" x14ac:dyDescent="0.3">
      <c r="B86" s="460" t="s">
        <v>39</v>
      </c>
      <c r="C86" s="461"/>
      <c r="D86" s="461"/>
      <c r="E86" s="462"/>
      <c r="F86" s="243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11">
        <f>SUM(T80:T85)</f>
        <v>0</v>
      </c>
      <c r="U86" s="112"/>
      <c r="V86" s="63">
        <f>IFERROR(T86/#REF!,0)</f>
        <v>0</v>
      </c>
      <c r="W86" s="113">
        <f>SUM(W80:W85)</f>
        <v>0</v>
      </c>
      <c r="X86" s="62"/>
      <c r="Y86" s="65">
        <f>IFERROR(W86/#REF!,0)</f>
        <v>0</v>
      </c>
      <c r="Z86" s="243"/>
      <c r="AA86" s="239"/>
      <c r="AB86" s="114"/>
      <c r="AC86" s="115"/>
      <c r="AD86" s="241"/>
      <c r="AE86" s="37">
        <f>AF86-F86</f>
        <v>-50</v>
      </c>
      <c r="AF86" s="38">
        <f>SUM(AF80:AF85)</f>
        <v>0</v>
      </c>
      <c r="AG86" s="242"/>
      <c r="AH86" s="242"/>
      <c r="AI86" s="40"/>
      <c r="AJ86" s="242"/>
      <c r="AK86" s="59"/>
      <c r="AL86" s="59"/>
      <c r="AM86" s="59"/>
      <c r="AN86" s="242"/>
      <c r="AO86" s="242"/>
    </row>
    <row r="87" spans="2:41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61">
        <f>U87*F87</f>
        <v>0</v>
      </c>
      <c r="U87" s="62">
        <f>T86/F86</f>
        <v>0</v>
      </c>
      <c r="V87" s="63">
        <f>IFERROR(T87/#REF!,0)</f>
        <v>0</v>
      </c>
      <c r="W87" s="64">
        <f>W86/F86*F87</f>
        <v>0</v>
      </c>
      <c r="X87" s="62">
        <f>IF(F87=0,"휴무",W87/F87)</f>
        <v>0</v>
      </c>
      <c r="Y87" s="65">
        <f>IFERROR(W87/#REF!,0)</f>
        <v>0</v>
      </c>
      <c r="Z87" s="60" t="e">
        <f>AVERAGE(Z80:Z85)</f>
        <v>#REF!</v>
      </c>
      <c r="AA87" s="60" t="e">
        <f>AVERAGE(AA80:AA85)</f>
        <v>#REF!</v>
      </c>
      <c r="AB87" s="66" t="e">
        <f>Z87+AA87</f>
        <v>#REF!</v>
      </c>
      <c r="AC87" s="115" t="e">
        <f>IF(F87=0,"휴무",IF(AB87&gt;=100,"좋아요",IF(AB87&gt;=90,"90~99",IF(AB87&gt;=80,"80~89"," 사유?→"))))</f>
        <v>#REF!</v>
      </c>
      <c r="AD87" s="68"/>
      <c r="AE87" s="69"/>
      <c r="AF87" s="69"/>
      <c r="AG87" s="69"/>
      <c r="AH87" s="69"/>
      <c r="AI87" s="40" t="str">
        <f>IFERROR(Y87/V87*1000,"")</f>
        <v/>
      </c>
      <c r="AJ87" s="69"/>
      <c r="AK87" s="10"/>
      <c r="AL87" s="10"/>
      <c r="AM87" s="10"/>
      <c r="AN87" s="69"/>
      <c r="AO87" s="69"/>
    </row>
    <row r="88" spans="2:41" x14ac:dyDescent="0.3">
      <c r="B88" s="70" t="s">
        <v>41</v>
      </c>
      <c r="C88" s="71"/>
      <c r="D88" s="71"/>
      <c r="E88" s="72"/>
      <c r="T88" s="22"/>
      <c r="V88" s="73">
        <f>V87*60</f>
        <v>0</v>
      </c>
      <c r="W88" s="74"/>
      <c r="X88" s="73"/>
      <c r="Y88" s="74">
        <f>Y87*40</f>
        <v>0</v>
      </c>
      <c r="Z88" s="81"/>
      <c r="AA88" s="81"/>
      <c r="AB88" s="74">
        <f>V88+Y88</f>
        <v>0</v>
      </c>
      <c r="AC88" s="242"/>
      <c r="AD88" s="242"/>
      <c r="AE88" s="242"/>
      <c r="AF88" s="242"/>
      <c r="AG88" s="242"/>
      <c r="AH88" s="242"/>
      <c r="AI88" s="242"/>
      <c r="AJ88" s="242"/>
      <c r="AK88" s="59"/>
      <c r="AL88" s="59"/>
      <c r="AM88" s="59"/>
      <c r="AN88" s="242"/>
      <c r="AO88" s="242"/>
    </row>
    <row r="89" spans="2:41" ht="17.25" thickBot="1" x14ac:dyDescent="0.35">
      <c r="B89" s="70" t="s">
        <v>61</v>
      </c>
      <c r="U89" s="10">
        <v>8.8000000000000007</v>
      </c>
    </row>
    <row r="90" spans="2:41" ht="17.25" thickBot="1" x14ac:dyDescent="0.35">
      <c r="B90" s="76" t="s">
        <v>42</v>
      </c>
      <c r="C90" s="77"/>
      <c r="D90" s="78" t="s">
        <v>43</v>
      </c>
      <c r="E90" s="78"/>
      <c r="F90" s="79"/>
      <c r="X90" s="10">
        <v>50</v>
      </c>
    </row>
    <row r="92" spans="2:41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3"/>
      <c r="U92" s="84"/>
      <c r="V92" s="85"/>
      <c r="W92" s="86"/>
    </row>
    <row r="93" spans="2:41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3"/>
      <c r="U93" s="84"/>
      <c r="V93" s="85"/>
      <c r="W93" s="86"/>
    </row>
    <row r="94" spans="2:41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7">
        <f>+T92+T93*1.6</f>
        <v>0</v>
      </c>
      <c r="U94" s="88"/>
      <c r="V94" s="89"/>
      <c r="W94" s="90">
        <f>+W92+W93*1.6</f>
        <v>0</v>
      </c>
    </row>
    <row r="95" spans="2:41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3"/>
      <c r="U95" s="84"/>
      <c r="V95" s="85"/>
      <c r="W95" s="86"/>
    </row>
    <row r="96" spans="2:41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3"/>
      <c r="U96" s="84"/>
      <c r="V96" s="85"/>
      <c r="W96" s="86"/>
    </row>
    <row r="97" spans="5:30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91">
        <f>+T95+T96*1.6</f>
        <v>0</v>
      </c>
      <c r="U97" s="88"/>
      <c r="V97" s="89"/>
      <c r="W97" s="90">
        <f>+W95+W96*1.6</f>
        <v>0</v>
      </c>
    </row>
    <row r="98" spans="5:30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84"/>
      <c r="V98" s="85"/>
      <c r="W98" s="86"/>
    </row>
    <row r="99" spans="5:30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3"/>
      <c r="U99" s="84"/>
      <c r="V99" s="85"/>
      <c r="W99" s="86"/>
    </row>
    <row r="100" spans="5:30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7">
        <f>+T98+T99*1.6</f>
        <v>0</v>
      </c>
      <c r="U100" s="88"/>
      <c r="V100" s="89"/>
      <c r="W100" s="90">
        <f>+W98+W99*1.6</f>
        <v>0</v>
      </c>
    </row>
    <row r="101" spans="5:30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3"/>
      <c r="U101" s="84"/>
      <c r="V101" s="85"/>
      <c r="W101" s="86"/>
    </row>
    <row r="102" spans="5:30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3"/>
      <c r="U102" s="84"/>
      <c r="V102" s="85"/>
      <c r="W102" s="86"/>
    </row>
    <row r="103" spans="5:30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7">
        <f>+T101+T102*1.6</f>
        <v>0</v>
      </c>
      <c r="U103" s="88"/>
      <c r="V103" s="89"/>
      <c r="W103" s="90">
        <f>+W101+W102*1.6</f>
        <v>0</v>
      </c>
    </row>
    <row r="104" spans="5:30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3"/>
      <c r="U104" s="84"/>
      <c r="V104" s="85"/>
      <c r="W104" s="86"/>
    </row>
    <row r="105" spans="5:30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3"/>
      <c r="U105" s="84"/>
      <c r="V105" s="85"/>
      <c r="W105" s="86"/>
    </row>
    <row r="106" spans="5:30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7">
        <f>+T104+T105*1.6</f>
        <v>0</v>
      </c>
      <c r="U106" s="88"/>
      <c r="V106" s="89"/>
      <c r="W106" s="90">
        <f>+W104+W105*1.6</f>
        <v>0</v>
      </c>
    </row>
    <row r="107" spans="5:30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3"/>
      <c r="U107" s="84"/>
      <c r="V107" s="85"/>
      <c r="W107" s="86"/>
      <c r="AD107" s="116"/>
    </row>
    <row r="108" spans="5:30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3"/>
      <c r="U108" s="84"/>
      <c r="V108" s="85"/>
      <c r="W108" s="86"/>
    </row>
    <row r="109" spans="5:30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7">
        <f>+T107+T108*1.6</f>
        <v>0</v>
      </c>
      <c r="U109" s="88"/>
      <c r="V109" s="89"/>
      <c r="W109" s="90">
        <f>+W107+W108*1.6</f>
        <v>0</v>
      </c>
    </row>
    <row r="114" spans="3:26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</row>
    <row r="116" spans="3:26" x14ac:dyDescent="0.3">
      <c r="C116" s="243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117"/>
      <c r="V116" s="118"/>
      <c r="W116" s="116"/>
      <c r="X116" s="117"/>
      <c r="Y116" s="116"/>
      <c r="Z116" s="116"/>
    </row>
    <row r="117" spans="3:26" x14ac:dyDescent="0.3">
      <c r="C117" s="243" t="s">
        <v>63</v>
      </c>
      <c r="D117" s="466" t="s">
        <v>12</v>
      </c>
      <c r="E117" s="466"/>
      <c r="F117" s="243" t="s">
        <v>64</v>
      </c>
      <c r="G117" s="243"/>
      <c r="H117" s="243"/>
      <c r="I117" s="243"/>
      <c r="J117" s="243"/>
      <c r="K117" s="243"/>
      <c r="L117" s="243"/>
      <c r="M117" s="243"/>
      <c r="N117" s="243"/>
      <c r="O117" s="243"/>
      <c r="P117" s="243"/>
      <c r="Q117" s="243"/>
      <c r="R117" s="243"/>
      <c r="S117" s="243"/>
      <c r="T117" s="243" t="s">
        <v>15</v>
      </c>
      <c r="U117" s="117"/>
      <c r="V117" s="118"/>
      <c r="W117" s="116"/>
      <c r="X117" s="117"/>
      <c r="Y117" s="116"/>
      <c r="Z117" s="116"/>
    </row>
    <row r="118" spans="3:26" x14ac:dyDescent="0.3">
      <c r="C118" s="119">
        <v>45075</v>
      </c>
      <c r="D118" s="466"/>
      <c r="E118" s="466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/>
      <c r="P118" s="243"/>
      <c r="Q118" s="243"/>
      <c r="R118" s="243"/>
      <c r="S118" s="243"/>
      <c r="T118" s="243"/>
      <c r="U118" s="117"/>
      <c r="V118" s="118"/>
      <c r="W118" s="116"/>
      <c r="X118" s="117"/>
      <c r="Y118" s="116"/>
      <c r="Z118" s="116"/>
    </row>
    <row r="119" spans="3:26" x14ac:dyDescent="0.3">
      <c r="C119" s="119">
        <v>45076</v>
      </c>
      <c r="D119" s="466"/>
      <c r="E119" s="466"/>
      <c r="F119" s="243"/>
      <c r="G119" s="243"/>
      <c r="H119" s="243"/>
      <c r="I119" s="243"/>
      <c r="J119" s="243"/>
      <c r="K119" s="243"/>
      <c r="L119" s="243"/>
      <c r="M119" s="243"/>
      <c r="N119" s="243"/>
      <c r="O119" s="243"/>
      <c r="P119" s="243"/>
      <c r="Q119" s="243"/>
      <c r="R119" s="243"/>
      <c r="S119" s="243"/>
      <c r="T119" s="243"/>
      <c r="U119" s="117"/>
      <c r="V119" s="118"/>
      <c r="W119" s="116"/>
      <c r="X119" s="117"/>
      <c r="Y119" s="116"/>
      <c r="Z119" s="116"/>
    </row>
    <row r="120" spans="3:26" x14ac:dyDescent="0.3">
      <c r="C120" s="119">
        <v>45077</v>
      </c>
      <c r="D120" s="466"/>
      <c r="E120" s="466"/>
      <c r="F120" s="243"/>
      <c r="G120" s="243"/>
      <c r="H120" s="243"/>
      <c r="I120" s="243"/>
      <c r="J120" s="243"/>
      <c r="K120" s="243"/>
      <c r="L120" s="243"/>
      <c r="M120" s="243"/>
      <c r="N120" s="243"/>
      <c r="O120" s="243"/>
      <c r="P120" s="243"/>
      <c r="Q120" s="243"/>
      <c r="R120" s="243"/>
      <c r="S120" s="243"/>
      <c r="T120" s="243"/>
      <c r="U120" s="117"/>
      <c r="V120" s="118"/>
      <c r="W120" s="116"/>
      <c r="X120" s="117"/>
      <c r="Y120" s="116"/>
      <c r="Z120" s="116"/>
    </row>
    <row r="121" spans="3:26" x14ac:dyDescent="0.3">
      <c r="C121" s="119">
        <v>45078</v>
      </c>
      <c r="D121" s="466"/>
      <c r="E121" s="466"/>
      <c r="F121" s="243"/>
      <c r="G121" s="243"/>
      <c r="H121" s="243"/>
      <c r="I121" s="243"/>
      <c r="J121" s="243"/>
      <c r="K121" s="243"/>
      <c r="L121" s="243"/>
      <c r="M121" s="243"/>
      <c r="N121" s="243"/>
      <c r="O121" s="243"/>
      <c r="P121" s="243"/>
      <c r="Q121" s="243"/>
      <c r="R121" s="243"/>
      <c r="S121" s="243"/>
      <c r="T121" s="243"/>
      <c r="U121" s="117"/>
      <c r="V121" s="118"/>
      <c r="W121" s="116"/>
      <c r="X121" s="117"/>
      <c r="Y121" s="116"/>
      <c r="Z121" s="116"/>
    </row>
    <row r="122" spans="3:26" x14ac:dyDescent="0.3">
      <c r="C122" s="119">
        <v>45079</v>
      </c>
      <c r="D122" s="466"/>
      <c r="E122" s="466"/>
      <c r="F122" s="243"/>
      <c r="G122" s="243"/>
      <c r="H122" s="243"/>
      <c r="I122" s="243"/>
      <c r="J122" s="243"/>
      <c r="K122" s="243"/>
      <c r="L122" s="243"/>
      <c r="M122" s="243"/>
      <c r="N122" s="243"/>
      <c r="O122" s="243"/>
      <c r="P122" s="243"/>
      <c r="Q122" s="243"/>
      <c r="R122" s="243"/>
      <c r="S122" s="243"/>
      <c r="T122" s="243"/>
      <c r="U122" s="117"/>
      <c r="V122" s="118"/>
      <c r="W122" s="116"/>
      <c r="X122" s="117"/>
      <c r="Y122" s="116"/>
      <c r="Z122" s="116"/>
    </row>
    <row r="123" spans="3:26" x14ac:dyDescent="0.3">
      <c r="C123" s="119">
        <v>45080</v>
      </c>
      <c r="D123" s="466"/>
      <c r="E123" s="466"/>
      <c r="F123" s="243"/>
      <c r="G123" s="243"/>
      <c r="H123" s="243"/>
      <c r="I123" s="243"/>
      <c r="J123" s="243"/>
      <c r="K123" s="243"/>
      <c r="L123" s="243"/>
      <c r="M123" s="243"/>
      <c r="N123" s="243"/>
      <c r="O123" s="243"/>
      <c r="P123" s="243"/>
      <c r="Q123" s="243"/>
      <c r="R123" s="243"/>
      <c r="S123" s="243"/>
      <c r="T123" s="243"/>
      <c r="U123" s="117"/>
      <c r="V123" s="118"/>
      <c r="W123" s="116"/>
      <c r="X123" s="117"/>
      <c r="Y123" s="116"/>
      <c r="Z123" s="116"/>
    </row>
    <row r="124" spans="3:26" x14ac:dyDescent="0.3">
      <c r="C124" s="243"/>
      <c r="D124" s="460"/>
      <c r="E124" s="462"/>
      <c r="F124" s="243"/>
      <c r="G124" s="243"/>
      <c r="H124" s="243"/>
      <c r="I124" s="243"/>
      <c r="J124" s="243"/>
      <c r="K124" s="243"/>
      <c r="L124" s="243"/>
      <c r="M124" s="243"/>
      <c r="N124" s="243"/>
      <c r="O124" s="243"/>
      <c r="P124" s="243"/>
      <c r="Q124" s="243"/>
      <c r="R124" s="243"/>
      <c r="S124" s="243"/>
      <c r="T124" s="243"/>
      <c r="U124" s="117"/>
      <c r="V124" s="118"/>
      <c r="W124" s="116"/>
      <c r="X124" s="117"/>
      <c r="Y124" s="116"/>
      <c r="Z124" s="116"/>
    </row>
    <row r="125" spans="3:26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117"/>
      <c r="V125" s="118"/>
      <c r="W125" s="116"/>
      <c r="X125" s="117"/>
      <c r="Y125" s="116"/>
      <c r="Z125" s="116"/>
    </row>
    <row r="126" spans="3:26" x14ac:dyDescent="0.3">
      <c r="C126" s="243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117"/>
      <c r="V126" s="118"/>
      <c r="W126" s="116"/>
      <c r="X126" s="117"/>
      <c r="Y126" s="116"/>
      <c r="Z126" s="116"/>
    </row>
    <row r="127" spans="3:26" x14ac:dyDescent="0.3">
      <c r="C127" s="243" t="s">
        <v>63</v>
      </c>
      <c r="D127" s="466" t="s">
        <v>12</v>
      </c>
      <c r="E127" s="466"/>
      <c r="F127" s="243" t="s">
        <v>64</v>
      </c>
      <c r="G127" s="243"/>
      <c r="H127" s="243"/>
      <c r="I127" s="243"/>
      <c r="J127" s="243"/>
      <c r="K127" s="243"/>
      <c r="L127" s="243"/>
      <c r="M127" s="243"/>
      <c r="N127" s="243"/>
      <c r="O127" s="243"/>
      <c r="P127" s="243"/>
      <c r="Q127" s="243"/>
      <c r="R127" s="243"/>
      <c r="S127" s="243"/>
      <c r="T127" s="243" t="s">
        <v>15</v>
      </c>
      <c r="U127" s="117"/>
      <c r="V127" s="118"/>
      <c r="W127" s="116"/>
      <c r="X127" s="117"/>
      <c r="Y127" s="116"/>
      <c r="Z127" s="116"/>
    </row>
    <row r="128" spans="3:26" x14ac:dyDescent="0.3">
      <c r="C128" s="119">
        <v>45075</v>
      </c>
      <c r="D128" s="466"/>
      <c r="E128" s="466"/>
      <c r="F128" s="243"/>
      <c r="G128" s="243"/>
      <c r="H128" s="243"/>
      <c r="I128" s="243"/>
      <c r="J128" s="243"/>
      <c r="K128" s="243"/>
      <c r="L128" s="243"/>
      <c r="M128" s="243"/>
      <c r="N128" s="243"/>
      <c r="O128" s="243"/>
      <c r="P128" s="243"/>
      <c r="Q128" s="243"/>
      <c r="R128" s="243"/>
      <c r="S128" s="243"/>
      <c r="T128" s="243"/>
      <c r="U128" s="117"/>
      <c r="V128" s="118"/>
      <c r="W128" s="116"/>
      <c r="X128" s="117"/>
      <c r="Y128" s="116"/>
      <c r="Z128" s="116"/>
    </row>
    <row r="129" spans="3:26" x14ac:dyDescent="0.3">
      <c r="C129" s="119">
        <v>45076</v>
      </c>
      <c r="D129" s="466"/>
      <c r="E129" s="466"/>
      <c r="F129" s="243"/>
      <c r="G129" s="243"/>
      <c r="H129" s="243"/>
      <c r="I129" s="243"/>
      <c r="J129" s="243"/>
      <c r="K129" s="243"/>
      <c r="L129" s="243"/>
      <c r="M129" s="243"/>
      <c r="N129" s="243"/>
      <c r="O129" s="243"/>
      <c r="P129" s="243"/>
      <c r="Q129" s="243"/>
      <c r="R129" s="243"/>
      <c r="S129" s="243"/>
      <c r="T129" s="243"/>
      <c r="U129" s="117"/>
      <c r="V129" s="118"/>
      <c r="W129" s="116"/>
      <c r="X129" s="117"/>
      <c r="Y129" s="116"/>
      <c r="Z129" s="116"/>
    </row>
    <row r="130" spans="3:26" x14ac:dyDescent="0.3">
      <c r="C130" s="119">
        <v>45077</v>
      </c>
      <c r="D130" s="466"/>
      <c r="E130" s="466"/>
      <c r="F130" s="243"/>
      <c r="G130" s="243"/>
      <c r="H130" s="243"/>
      <c r="I130" s="243"/>
      <c r="J130" s="243"/>
      <c r="K130" s="243"/>
      <c r="L130" s="243"/>
      <c r="M130" s="243"/>
      <c r="N130" s="243"/>
      <c r="O130" s="243"/>
      <c r="P130" s="243"/>
      <c r="Q130" s="243"/>
      <c r="R130" s="243"/>
      <c r="S130" s="243"/>
      <c r="T130" s="243"/>
      <c r="U130" s="117"/>
      <c r="V130" s="118"/>
      <c r="W130" s="116"/>
      <c r="X130" s="117"/>
      <c r="Y130" s="116"/>
      <c r="Z130" s="116"/>
    </row>
    <row r="131" spans="3:26" x14ac:dyDescent="0.3">
      <c r="C131" s="119">
        <v>45078</v>
      </c>
      <c r="D131" s="466"/>
      <c r="E131" s="466"/>
      <c r="F131" s="243"/>
      <c r="G131" s="243"/>
      <c r="H131" s="243"/>
      <c r="I131" s="243"/>
      <c r="J131" s="243"/>
      <c r="K131" s="243"/>
      <c r="L131" s="243"/>
      <c r="M131" s="243"/>
      <c r="N131" s="243"/>
      <c r="O131" s="243"/>
      <c r="P131" s="243"/>
      <c r="Q131" s="243"/>
      <c r="R131" s="243"/>
      <c r="S131" s="243"/>
      <c r="T131" s="243"/>
      <c r="U131" s="117"/>
      <c r="V131" s="118"/>
      <c r="W131" s="116"/>
      <c r="X131" s="117"/>
      <c r="Y131" s="116"/>
      <c r="Z131" s="116"/>
    </row>
    <row r="132" spans="3:26" x14ac:dyDescent="0.3">
      <c r="C132" s="119">
        <v>45079</v>
      </c>
      <c r="D132" s="466"/>
      <c r="E132" s="466"/>
      <c r="F132" s="243"/>
      <c r="G132" s="243"/>
      <c r="H132" s="243"/>
      <c r="I132" s="243"/>
      <c r="J132" s="243"/>
      <c r="K132" s="243"/>
      <c r="L132" s="243"/>
      <c r="M132" s="243"/>
      <c r="N132" s="243"/>
      <c r="O132" s="243"/>
      <c r="P132" s="243"/>
      <c r="Q132" s="243"/>
      <c r="R132" s="243"/>
      <c r="S132" s="243"/>
      <c r="T132" s="243"/>
      <c r="U132" s="117"/>
      <c r="V132" s="118"/>
      <c r="W132" s="116"/>
      <c r="X132" s="117"/>
      <c r="Y132" s="116"/>
      <c r="Z132" s="116"/>
    </row>
    <row r="133" spans="3:26" x14ac:dyDescent="0.3">
      <c r="C133" s="119">
        <v>45080</v>
      </c>
      <c r="D133" s="466"/>
      <c r="E133" s="466"/>
      <c r="F133" s="243"/>
      <c r="G133" s="243"/>
      <c r="H133" s="243"/>
      <c r="I133" s="243"/>
      <c r="J133" s="243"/>
      <c r="K133" s="243"/>
      <c r="L133" s="243"/>
      <c r="M133" s="243"/>
      <c r="N133" s="243"/>
      <c r="O133" s="243"/>
      <c r="P133" s="243"/>
      <c r="Q133" s="243"/>
      <c r="R133" s="243"/>
      <c r="S133" s="243"/>
      <c r="T133" s="243"/>
      <c r="U133" s="117"/>
      <c r="V133" s="118"/>
      <c r="W133" s="116"/>
      <c r="X133" s="117"/>
      <c r="Y133" s="116"/>
      <c r="Z133" s="116"/>
    </row>
    <row r="134" spans="3:26" x14ac:dyDescent="0.3">
      <c r="C134" s="243"/>
      <c r="D134" s="460"/>
      <c r="E134" s="462"/>
      <c r="F134" s="243"/>
      <c r="G134" s="243"/>
      <c r="H134" s="243"/>
      <c r="I134" s="243"/>
      <c r="J134" s="243"/>
      <c r="K134" s="243"/>
      <c r="L134" s="243"/>
      <c r="M134" s="243"/>
      <c r="N134" s="243"/>
      <c r="O134" s="243"/>
      <c r="P134" s="243"/>
      <c r="Q134" s="243"/>
      <c r="R134" s="243"/>
      <c r="S134" s="243"/>
      <c r="T134" s="243"/>
      <c r="U134" s="117"/>
      <c r="V134" s="118"/>
      <c r="W134" s="116"/>
      <c r="X134" s="117"/>
      <c r="Y134" s="116"/>
      <c r="Z134" s="116"/>
    </row>
    <row r="135" spans="3:26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117"/>
      <c r="V135" s="118"/>
      <c r="W135" s="116"/>
      <c r="X135" s="117"/>
      <c r="Y135" s="116"/>
      <c r="Z135" s="116"/>
    </row>
    <row r="136" spans="3:26" x14ac:dyDescent="0.3">
      <c r="C136" s="243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117"/>
      <c r="V136" s="118"/>
      <c r="W136" s="116"/>
      <c r="X136" s="117"/>
      <c r="Y136" s="116"/>
      <c r="Z136" s="116"/>
    </row>
    <row r="137" spans="3:26" x14ac:dyDescent="0.3">
      <c r="C137" s="243" t="s">
        <v>63</v>
      </c>
      <c r="D137" s="466" t="s">
        <v>12</v>
      </c>
      <c r="E137" s="466"/>
      <c r="F137" s="243" t="s">
        <v>64</v>
      </c>
      <c r="G137" s="243"/>
      <c r="H137" s="243"/>
      <c r="I137" s="243"/>
      <c r="J137" s="243"/>
      <c r="K137" s="243"/>
      <c r="L137" s="243"/>
      <c r="M137" s="243"/>
      <c r="N137" s="243"/>
      <c r="O137" s="243"/>
      <c r="P137" s="243"/>
      <c r="Q137" s="243"/>
      <c r="R137" s="243"/>
      <c r="S137" s="243"/>
      <c r="T137" s="243" t="s">
        <v>15</v>
      </c>
      <c r="U137" s="117"/>
      <c r="V137" s="118"/>
      <c r="W137" s="116"/>
      <c r="X137" s="117"/>
      <c r="Y137" s="116"/>
      <c r="Z137" s="116"/>
    </row>
    <row r="138" spans="3:26" x14ac:dyDescent="0.3">
      <c r="C138" s="119">
        <v>45075</v>
      </c>
      <c r="D138" s="466"/>
      <c r="E138" s="466"/>
      <c r="F138" s="243"/>
      <c r="G138" s="243"/>
      <c r="H138" s="243"/>
      <c r="I138" s="243"/>
      <c r="J138" s="243"/>
      <c r="K138" s="243"/>
      <c r="L138" s="243"/>
      <c r="M138" s="243"/>
      <c r="N138" s="243"/>
      <c r="O138" s="243"/>
      <c r="P138" s="243"/>
      <c r="Q138" s="243"/>
      <c r="R138" s="243"/>
      <c r="S138" s="243"/>
      <c r="T138" s="243"/>
      <c r="U138" s="117"/>
      <c r="V138" s="118"/>
      <c r="W138" s="116"/>
      <c r="X138" s="117"/>
      <c r="Y138" s="116"/>
      <c r="Z138" s="116"/>
    </row>
    <row r="139" spans="3:26" x14ac:dyDescent="0.3">
      <c r="C139" s="119">
        <v>45076</v>
      </c>
      <c r="D139" s="466"/>
      <c r="E139" s="466"/>
      <c r="F139" s="243"/>
      <c r="G139" s="243"/>
      <c r="H139" s="243"/>
      <c r="I139" s="243"/>
      <c r="J139" s="243"/>
      <c r="K139" s="243"/>
      <c r="L139" s="243"/>
      <c r="M139" s="243"/>
      <c r="N139" s="243"/>
      <c r="O139" s="243"/>
      <c r="P139" s="243"/>
      <c r="Q139" s="243"/>
      <c r="R139" s="243"/>
      <c r="S139" s="243"/>
      <c r="T139" s="243"/>
      <c r="U139" s="117"/>
      <c r="V139" s="118"/>
      <c r="W139" s="116"/>
      <c r="X139" s="117"/>
      <c r="Y139" s="116"/>
      <c r="Z139" s="116"/>
    </row>
    <row r="140" spans="3:26" x14ac:dyDescent="0.3">
      <c r="C140" s="119">
        <v>45077</v>
      </c>
      <c r="D140" s="466"/>
      <c r="E140" s="466"/>
      <c r="F140" s="243"/>
      <c r="G140" s="243"/>
      <c r="H140" s="243"/>
      <c r="I140" s="243"/>
      <c r="J140" s="243"/>
      <c r="K140" s="243"/>
      <c r="L140" s="243"/>
      <c r="M140" s="243"/>
      <c r="N140" s="243"/>
      <c r="O140" s="243"/>
      <c r="P140" s="243"/>
      <c r="Q140" s="243"/>
      <c r="R140" s="243"/>
      <c r="S140" s="243"/>
      <c r="T140" s="243"/>
    </row>
    <row r="141" spans="3:26" x14ac:dyDescent="0.3">
      <c r="C141" s="119">
        <v>45078</v>
      </c>
      <c r="D141" s="466"/>
      <c r="E141" s="466"/>
      <c r="F141" s="243"/>
      <c r="G141" s="243"/>
      <c r="H141" s="243"/>
      <c r="I141" s="243"/>
      <c r="J141" s="243"/>
      <c r="K141" s="243"/>
      <c r="L141" s="243"/>
      <c r="M141" s="243"/>
      <c r="N141" s="243"/>
      <c r="O141" s="243"/>
      <c r="P141" s="243"/>
      <c r="Q141" s="243"/>
      <c r="R141" s="243"/>
      <c r="S141" s="243"/>
      <c r="T141" s="243"/>
    </row>
    <row r="142" spans="3:26" x14ac:dyDescent="0.3">
      <c r="C142" s="119">
        <v>45079</v>
      </c>
      <c r="D142" s="466"/>
      <c r="E142" s="466"/>
      <c r="F142" s="243"/>
      <c r="G142" s="243"/>
      <c r="H142" s="243"/>
      <c r="I142" s="243"/>
      <c r="J142" s="243"/>
      <c r="K142" s="243"/>
      <c r="L142" s="243"/>
      <c r="M142" s="243"/>
      <c r="N142" s="243"/>
      <c r="O142" s="243"/>
      <c r="P142" s="243"/>
      <c r="Q142" s="243"/>
      <c r="R142" s="243"/>
      <c r="S142" s="243"/>
      <c r="T142" s="243"/>
    </row>
    <row r="143" spans="3:26" x14ac:dyDescent="0.3">
      <c r="C143" s="119">
        <v>45080</v>
      </c>
      <c r="D143" s="466"/>
      <c r="E143" s="466"/>
      <c r="F143" s="243"/>
      <c r="G143" s="243"/>
      <c r="H143" s="243"/>
      <c r="I143" s="243"/>
      <c r="J143" s="243"/>
      <c r="K143" s="243"/>
      <c r="L143" s="243"/>
      <c r="M143" s="243"/>
      <c r="N143" s="243"/>
      <c r="O143" s="243"/>
      <c r="P143" s="243"/>
      <c r="Q143" s="243"/>
      <c r="R143" s="243"/>
      <c r="S143" s="243"/>
      <c r="T143" s="243"/>
    </row>
    <row r="144" spans="3:26" x14ac:dyDescent="0.3">
      <c r="C144" s="243"/>
      <c r="D144" s="460"/>
      <c r="E144" s="462"/>
      <c r="F144" s="243"/>
      <c r="G144" s="243"/>
      <c r="H144" s="243"/>
      <c r="I144" s="243"/>
      <c r="J144" s="243"/>
      <c r="K144" s="243"/>
      <c r="L144" s="243"/>
      <c r="M144" s="243"/>
      <c r="N144" s="243"/>
      <c r="O144" s="243"/>
      <c r="P144" s="243"/>
      <c r="Q144" s="243"/>
      <c r="R144" s="243"/>
      <c r="S144" s="243"/>
      <c r="T144" s="243"/>
    </row>
  </sheetData>
  <mergeCells count="113"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E104:E106"/>
    <mergeCell ref="F104:F106"/>
    <mergeCell ref="E107:E109"/>
    <mergeCell ref="F107:F109"/>
    <mergeCell ref="C114:T114"/>
    <mergeCell ref="D117:E117"/>
    <mergeCell ref="E95:E97"/>
    <mergeCell ref="F95:F97"/>
    <mergeCell ref="E98:E100"/>
    <mergeCell ref="F98:F100"/>
    <mergeCell ref="E101:E103"/>
    <mergeCell ref="F101:F103"/>
    <mergeCell ref="AD78:AD79"/>
    <mergeCell ref="B80:B85"/>
    <mergeCell ref="B86:E86"/>
    <mergeCell ref="B87:E87"/>
    <mergeCell ref="E92:E94"/>
    <mergeCell ref="F92:F94"/>
    <mergeCell ref="B76:AD76"/>
    <mergeCell ref="B78:B79"/>
    <mergeCell ref="C78:C79"/>
    <mergeCell ref="D78:D79"/>
    <mergeCell ref="E78:E79"/>
    <mergeCell ref="F78:F79"/>
    <mergeCell ref="T78:V78"/>
    <mergeCell ref="W78:Y78"/>
    <mergeCell ref="AB78:AB79"/>
    <mergeCell ref="AC78:AC79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B23:B28"/>
    <mergeCell ref="B29:E29"/>
    <mergeCell ref="B30:E30"/>
    <mergeCell ref="I21:R21"/>
    <mergeCell ref="S21:S22"/>
    <mergeCell ref="T21:V21"/>
    <mergeCell ref="W21:Y21"/>
    <mergeCell ref="Z21:Z22"/>
    <mergeCell ref="AA21:AA22"/>
    <mergeCell ref="B13:E13"/>
    <mergeCell ref="B14:E14"/>
    <mergeCell ref="B19:AD19"/>
    <mergeCell ref="B21:B22"/>
    <mergeCell ref="C21:C22"/>
    <mergeCell ref="D21:D22"/>
    <mergeCell ref="E21:E22"/>
    <mergeCell ref="F21:F22"/>
    <mergeCell ref="G21:G22"/>
    <mergeCell ref="H21:H22"/>
    <mergeCell ref="AB21:AB22"/>
    <mergeCell ref="AC21:AC22"/>
    <mergeCell ref="AD21:AD22"/>
    <mergeCell ref="T5:V5"/>
    <mergeCell ref="W5:Y5"/>
    <mergeCell ref="AB5:AB6"/>
    <mergeCell ref="AC5:AC6"/>
    <mergeCell ref="AD5:AD6"/>
    <mergeCell ref="B7:B12"/>
    <mergeCell ref="B2:AD2"/>
    <mergeCell ref="B3:AD3"/>
    <mergeCell ref="B5:C6"/>
    <mergeCell ref="D5:D6"/>
    <mergeCell ref="E5:E6"/>
    <mergeCell ref="F5:F6"/>
    <mergeCell ref="G5:G6"/>
    <mergeCell ref="H5:H6"/>
    <mergeCell ref="I5:R5"/>
    <mergeCell ref="S5:S6"/>
  </mergeCells>
  <phoneticPr fontId="4" type="noConversion"/>
  <dataValidations count="3">
    <dataValidation type="list" allowBlank="1" showInputMessage="1" showErrorMessage="1" sqref="AG23:AG25 AG7 AG10 AG80:AG82">
      <formula1>$AD$6:$AD$8</formula1>
    </dataValidation>
    <dataValidation type="list" allowBlank="1" showInputMessage="1" showErrorMessage="1" sqref="E80:E85 E23:E27 E9:E11">
      <formula1>$AG$7:$AG$12</formula1>
    </dataValidation>
    <dataValidation type="list" allowBlank="1" showInputMessage="1" showErrorMessage="1" sqref="E7:E8 E12 E28">
      <formula1>$AF$6:$AF$11</formula1>
    </dataValidation>
  </dataValidations>
  <pageMargins left="0.62992125984251968" right="0.62992125984251968" top="0.94488188976377963" bottom="0.55118110236220474" header="0.31496062992125984" footer="0.31496062992125984"/>
  <pageSetup paperSize="9" scale="26" orientation="landscape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Y144"/>
  <sheetViews>
    <sheetView showGridLines="0" zoomScale="70" zoomScaleNormal="70" workbookViewId="0">
      <pane xSplit="4" ySplit="6" topLeftCell="E25" activePane="bottomRight" state="frozen"/>
      <selection pane="topRight" activeCell="D1" sqref="D1"/>
      <selection pane="bottomLeft" activeCell="A6" sqref="A6"/>
      <selection pane="bottomRight" activeCell="S13" sqref="S13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14" width="8.625" style="8" customWidth="1"/>
    <col min="15" max="15" width="11.125" style="8" customWidth="1"/>
    <col min="16" max="19" width="8.625" style="8" customWidth="1"/>
    <col min="20" max="20" width="10.75" style="75" customWidth="1"/>
    <col min="21" max="21" width="10.875" style="10" customWidth="1"/>
    <col min="22" max="22" width="7.375" style="11" customWidth="1"/>
    <col min="23" max="23" width="12.25" customWidth="1"/>
    <col min="24" max="24" width="7.75" style="10" customWidth="1"/>
    <col min="25" max="25" width="10.375" customWidth="1"/>
    <col min="26" max="26" width="9.5" customWidth="1"/>
    <col min="27" max="27" width="10" customWidth="1"/>
    <col min="28" max="28" width="7.125" customWidth="1"/>
    <col min="29" max="29" width="8.375" customWidth="1"/>
    <col min="30" max="30" width="56.375" customWidth="1"/>
    <col min="31" max="32" width="9.125" hidden="1" customWidth="1"/>
    <col min="33" max="33" width="8.75" hidden="1" customWidth="1"/>
    <col min="34" max="34" width="2.75" hidden="1" customWidth="1"/>
    <col min="35" max="35" width="9.125" hidden="1" customWidth="1"/>
    <col min="36" max="36" width="0" hidden="1" customWidth="1"/>
    <col min="37" max="39" width="9.125" style="1" hidden="1" customWidth="1"/>
    <col min="40" max="41" width="0" hidden="1" customWidth="1"/>
    <col min="42" max="42" width="11.75" hidden="1" customWidth="1"/>
    <col min="43" max="43" width="3.25" customWidth="1"/>
  </cols>
  <sheetData>
    <row r="2" spans="2:51" ht="20.25" x14ac:dyDescent="0.3">
      <c r="B2" s="425" t="s">
        <v>152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V2" s="2" t="s">
        <v>0</v>
      </c>
      <c r="AW2" s="238" t="s">
        <v>1</v>
      </c>
      <c r="AX2" s="238" t="s">
        <v>2</v>
      </c>
      <c r="AY2" s="3" t="s">
        <v>3</v>
      </c>
    </row>
    <row r="3" spans="2:51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V3" s="4"/>
      <c r="AW3" s="5"/>
      <c r="AX3" s="5"/>
      <c r="AY3" s="6"/>
    </row>
    <row r="4" spans="2:51" x14ac:dyDescent="0.3">
      <c r="B4" t="s">
        <v>5</v>
      </c>
      <c r="D4" s="7">
        <v>55</v>
      </c>
      <c r="F4" s="8" t="s">
        <v>6</v>
      </c>
      <c r="T4" s="9">
        <v>1.2</v>
      </c>
      <c r="Z4" s="12">
        <v>50</v>
      </c>
      <c r="AA4" s="11">
        <f>50*10.89/10</f>
        <v>54.45</v>
      </c>
      <c r="AB4" s="12"/>
      <c r="AD4" s="8"/>
    </row>
    <row r="5" spans="2:51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8"/>
      <c r="S5" s="439" t="s">
        <v>11</v>
      </c>
      <c r="T5" s="441" t="s">
        <v>12</v>
      </c>
      <c r="U5" s="418"/>
      <c r="V5" s="442"/>
      <c r="W5" s="446" t="s">
        <v>13</v>
      </c>
      <c r="X5" s="418"/>
      <c r="Y5" s="418"/>
      <c r="Z5" s="13"/>
      <c r="AA5" s="14"/>
      <c r="AB5" s="447" t="s">
        <v>14</v>
      </c>
      <c r="AC5" s="449" t="s">
        <v>15</v>
      </c>
      <c r="AD5" s="418" t="s">
        <v>16</v>
      </c>
    </row>
    <row r="6" spans="2:51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236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76</v>
      </c>
      <c r="Q6" s="18" t="s">
        <v>77</v>
      </c>
      <c r="R6" s="127" t="s">
        <v>80</v>
      </c>
      <c r="S6" s="440"/>
      <c r="T6" s="15" t="s">
        <v>12</v>
      </c>
      <c r="U6" s="16" t="s">
        <v>17</v>
      </c>
      <c r="V6" s="17" t="s">
        <v>18</v>
      </c>
      <c r="W6" s="18" t="s">
        <v>13</v>
      </c>
      <c r="X6" s="16" t="s">
        <v>19</v>
      </c>
      <c r="Y6" s="19" t="s">
        <v>18</v>
      </c>
      <c r="Z6" s="236" t="s">
        <v>20</v>
      </c>
      <c r="AA6" s="20" t="s">
        <v>21</v>
      </c>
      <c r="AB6" s="448"/>
      <c r="AC6" s="450"/>
      <c r="AD6" s="419"/>
      <c r="AE6" s="21" t="s">
        <v>22</v>
      </c>
      <c r="AF6" s="21" t="s">
        <v>23</v>
      </c>
      <c r="AI6" s="22" t="s">
        <v>24</v>
      </c>
      <c r="AK6" s="23" t="s">
        <v>25</v>
      </c>
      <c r="AL6" s="23" t="s">
        <v>26</v>
      </c>
      <c r="AM6" s="23" t="s">
        <v>27</v>
      </c>
      <c r="AO6" s="22">
        <f>SUM(AO7:AO12)</f>
        <v>-37.6</v>
      </c>
    </row>
    <row r="7" spans="2:51" s="242" customFormat="1" ht="99" customHeight="1" thickTop="1" x14ac:dyDescent="0.3">
      <c r="B7" s="420">
        <v>3</v>
      </c>
      <c r="C7" s="24">
        <v>16</v>
      </c>
      <c r="D7" s="25" t="s">
        <v>7</v>
      </c>
      <c r="E7" s="26" t="s">
        <v>29</v>
      </c>
      <c r="F7" s="25">
        <v>6</v>
      </c>
      <c r="G7" s="128">
        <v>326</v>
      </c>
      <c r="H7" s="128">
        <f>(G7/T7)*100</f>
        <v>98.489425981873111</v>
      </c>
      <c r="I7" s="123" t="s">
        <v>85</v>
      </c>
      <c r="J7" s="123" t="s">
        <v>86</v>
      </c>
      <c r="K7" s="123" t="s">
        <v>73</v>
      </c>
      <c r="L7" s="123" t="s">
        <v>87</v>
      </c>
      <c r="M7" s="123"/>
      <c r="N7" s="129" t="s">
        <v>90</v>
      </c>
      <c r="O7" s="123" t="s">
        <v>74</v>
      </c>
      <c r="P7" s="123" t="s">
        <v>91</v>
      </c>
      <c r="Q7" s="123" t="s">
        <v>89</v>
      </c>
      <c r="R7" s="125">
        <f t="shared" ref="R7:R13" si="0">COUNTA(I7:M7)+COUNTA(N7:Q7)/2</f>
        <v>6</v>
      </c>
      <c r="S7" s="27">
        <f t="shared" ref="S7:S12" si="1">F7*$D$4*$T$4</f>
        <v>396</v>
      </c>
      <c r="T7" s="28">
        <f>+H38</f>
        <v>331</v>
      </c>
      <c r="U7" s="29">
        <f t="shared" ref="U7:U12" si="2">IF(F7=0,"휴무",T7/F7)</f>
        <v>55.166666666666664</v>
      </c>
      <c r="V7" s="30">
        <f t="shared" ref="V7:V13" si="3">IFERROR(T7/S7,0)</f>
        <v>0.83585858585858586</v>
      </c>
      <c r="W7" s="31">
        <f>+K38</f>
        <v>318.01</v>
      </c>
      <c r="X7" s="29">
        <f t="shared" ref="X7:X12" si="4">IF(F7=0,"휴무",W7/F7)</f>
        <v>53.001666666666665</v>
      </c>
      <c r="Y7" s="32">
        <f t="shared" ref="Y7:Y13" si="5">IFERROR(W7/S7,0)</f>
        <v>0.80305555555555552</v>
      </c>
      <c r="Z7" s="33">
        <f t="shared" ref="Z7:Z12" si="6">IF(F7=0,"휴무",T7/S7*$Z$4)</f>
        <v>41.792929292929294</v>
      </c>
      <c r="AA7" s="34">
        <f t="shared" ref="AA7:AA12" si="7">IF(F7=0,"휴무",W7/S7*$AA$4)</f>
        <v>43.726374999999997</v>
      </c>
      <c r="AB7" s="138">
        <f t="shared" ref="AB7:AB13" si="8">IF(F7=0,"휴무",Z7+AA7)</f>
        <v>85.519304292929291</v>
      </c>
      <c r="AC7" s="246" t="str">
        <f t="shared" ref="AC7:AC13" si="9">IF(F7=0,"휴무",IF(AB7&gt;=100,"좋아요",IF(AB7&gt;=90,"90~99",IF(AB7&gt;=80,"80~89"," 사유?→"))))</f>
        <v>80~89</v>
      </c>
      <c r="AD7" s="36"/>
      <c r="AE7" s="37">
        <f>AF7-F7</f>
        <v>-6</v>
      </c>
      <c r="AF7" s="38">
        <f>AM7</f>
        <v>0</v>
      </c>
      <c r="AG7" s="242" t="s">
        <v>29</v>
      </c>
      <c r="AH7" s="39"/>
      <c r="AI7" s="40">
        <f>IFERROR(Y7/V7*1000,"")</f>
        <v>960.75528700906341</v>
      </c>
      <c r="AJ7" s="39"/>
      <c r="AK7" s="41"/>
      <c r="AL7" s="41"/>
      <c r="AM7" s="41"/>
      <c r="AO7" s="242">
        <f t="shared" ref="AO7:AO12" si="10">AN7-F7</f>
        <v>-6</v>
      </c>
      <c r="AP7" s="42"/>
    </row>
    <row r="8" spans="2:51" s="242" customFormat="1" ht="99.75" customHeight="1" x14ac:dyDescent="0.3">
      <c r="B8" s="421"/>
      <c r="C8" s="24">
        <f>+C7+1</f>
        <v>17</v>
      </c>
      <c r="D8" s="43" t="s">
        <v>30</v>
      </c>
      <c r="E8" s="26" t="s">
        <v>29</v>
      </c>
      <c r="F8" s="25">
        <v>8</v>
      </c>
      <c r="G8" s="125">
        <v>390</v>
      </c>
      <c r="H8" s="125">
        <f>(G8/T8)*100</f>
        <v>99.744245524296673</v>
      </c>
      <c r="I8" s="123" t="s">
        <v>85</v>
      </c>
      <c r="J8" s="123" t="s">
        <v>86</v>
      </c>
      <c r="K8" s="123" t="s">
        <v>73</v>
      </c>
      <c r="L8" s="123" t="s">
        <v>87</v>
      </c>
      <c r="M8" s="123"/>
      <c r="N8" s="129" t="s">
        <v>90</v>
      </c>
      <c r="O8" s="123" t="s">
        <v>74</v>
      </c>
      <c r="P8" s="123" t="s">
        <v>91</v>
      </c>
      <c r="Q8" s="123" t="s">
        <v>89</v>
      </c>
      <c r="R8" s="125">
        <f t="shared" si="0"/>
        <v>6</v>
      </c>
      <c r="S8" s="27">
        <f t="shared" si="1"/>
        <v>528</v>
      </c>
      <c r="T8" s="28">
        <f>+H41</f>
        <v>391</v>
      </c>
      <c r="U8" s="44">
        <f t="shared" si="2"/>
        <v>48.875</v>
      </c>
      <c r="V8" s="45">
        <f t="shared" si="3"/>
        <v>0.74053030303030298</v>
      </c>
      <c r="W8" s="46">
        <f>+K41</f>
        <v>379.58</v>
      </c>
      <c r="X8" s="29">
        <f t="shared" si="4"/>
        <v>47.447499999999998</v>
      </c>
      <c r="Y8" s="47">
        <f t="shared" si="5"/>
        <v>0.71890151515151512</v>
      </c>
      <c r="Z8" s="48">
        <f t="shared" si="6"/>
        <v>37.026515151515149</v>
      </c>
      <c r="AA8" s="49">
        <f t="shared" si="7"/>
        <v>39.144187500000001</v>
      </c>
      <c r="AB8" s="139">
        <f t="shared" si="8"/>
        <v>76.170702651515143</v>
      </c>
      <c r="AC8" s="161" t="str">
        <f t="shared" si="9"/>
        <v xml:space="preserve"> 사유?→</v>
      </c>
      <c r="AD8" s="160" t="s">
        <v>149</v>
      </c>
      <c r="AE8" s="37">
        <f>AF8-F8</f>
        <v>-8</v>
      </c>
      <c r="AF8" s="38">
        <f>AM8</f>
        <v>0</v>
      </c>
      <c r="AG8" s="242" t="s">
        <v>31</v>
      </c>
      <c r="AH8" s="39"/>
      <c r="AI8" s="40">
        <f>IFERROR(Y8/V8*1000,"")</f>
        <v>970.79283887468034</v>
      </c>
      <c r="AJ8" s="39"/>
      <c r="AK8" s="41"/>
      <c r="AL8" s="41"/>
      <c r="AM8" s="41"/>
      <c r="AO8" s="242">
        <f t="shared" si="10"/>
        <v>-8</v>
      </c>
      <c r="AP8" s="42"/>
    </row>
    <row r="9" spans="2:51" s="242" customFormat="1" ht="97.5" customHeight="1" x14ac:dyDescent="0.3">
      <c r="B9" s="421"/>
      <c r="C9" s="24">
        <f>+C8+1</f>
        <v>18</v>
      </c>
      <c r="D9" s="43" t="s">
        <v>32</v>
      </c>
      <c r="E9" s="26" t="s">
        <v>29</v>
      </c>
      <c r="F9" s="25">
        <v>8</v>
      </c>
      <c r="G9" s="125">
        <v>391</v>
      </c>
      <c r="H9" s="125">
        <f>(G9/T9)*100</f>
        <v>99.238578680203048</v>
      </c>
      <c r="I9" s="123" t="s">
        <v>85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91</v>
      </c>
      <c r="Q9" s="123" t="s">
        <v>89</v>
      </c>
      <c r="R9" s="125">
        <f t="shared" si="0"/>
        <v>6</v>
      </c>
      <c r="S9" s="27">
        <f t="shared" si="1"/>
        <v>528</v>
      </c>
      <c r="T9" s="28">
        <f>+H42</f>
        <v>394</v>
      </c>
      <c r="U9" s="44">
        <f t="shared" si="2"/>
        <v>49.25</v>
      </c>
      <c r="V9" s="45">
        <f t="shared" si="3"/>
        <v>0.74621212121212122</v>
      </c>
      <c r="W9" s="46">
        <f>+K42</f>
        <v>439.34</v>
      </c>
      <c r="X9" s="44">
        <f t="shared" si="4"/>
        <v>54.917499999999997</v>
      </c>
      <c r="Y9" s="47">
        <f t="shared" si="5"/>
        <v>0.83208333333333329</v>
      </c>
      <c r="Z9" s="48">
        <f t="shared" si="6"/>
        <v>37.310606060606062</v>
      </c>
      <c r="AA9" s="49">
        <f t="shared" si="7"/>
        <v>45.306937499999997</v>
      </c>
      <c r="AB9" s="139">
        <f t="shared" si="8"/>
        <v>82.617543560606066</v>
      </c>
      <c r="AC9" s="50" t="str">
        <f t="shared" si="9"/>
        <v>80~89</v>
      </c>
      <c r="AD9" s="36"/>
      <c r="AE9" s="37">
        <f>AF9-F9</f>
        <v>-8</v>
      </c>
      <c r="AF9" s="38">
        <f>AM9</f>
        <v>0</v>
      </c>
      <c r="AG9" s="242" t="s">
        <v>34</v>
      </c>
      <c r="AH9" s="39"/>
      <c r="AI9" s="40">
        <f>IFERROR(Y9/V9*1000,"")</f>
        <v>1115.0761421319796</v>
      </c>
      <c r="AJ9" s="39"/>
      <c r="AK9" s="41"/>
      <c r="AL9" s="41"/>
      <c r="AM9" s="41"/>
      <c r="AO9" s="242">
        <f t="shared" si="10"/>
        <v>-8</v>
      </c>
      <c r="AP9" s="42"/>
    </row>
    <row r="10" spans="2:51" s="242" customFormat="1" ht="95.25" customHeight="1" x14ac:dyDescent="0.3">
      <c r="B10" s="421"/>
      <c r="C10" s="24">
        <f>+C9+1</f>
        <v>19</v>
      </c>
      <c r="D10" s="43" t="s">
        <v>35</v>
      </c>
      <c r="E10" s="26" t="s">
        <v>29</v>
      </c>
      <c r="F10" s="25">
        <v>7.6</v>
      </c>
      <c r="G10" s="125">
        <v>295</v>
      </c>
      <c r="H10" s="125">
        <f>(G10/T10)*100</f>
        <v>72.660098522167488</v>
      </c>
      <c r="I10" s="123" t="s">
        <v>85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148</v>
      </c>
      <c r="P10" s="123" t="s">
        <v>91</v>
      </c>
      <c r="Q10" s="123" t="s">
        <v>89</v>
      </c>
      <c r="R10" s="125">
        <f t="shared" si="0"/>
        <v>6</v>
      </c>
      <c r="S10" s="27">
        <f t="shared" si="1"/>
        <v>501.59999999999997</v>
      </c>
      <c r="T10" s="28">
        <f>+H47</f>
        <v>406</v>
      </c>
      <c r="U10" s="44">
        <f t="shared" si="2"/>
        <v>53.421052631578952</v>
      </c>
      <c r="V10" s="45">
        <f t="shared" si="3"/>
        <v>0.8094098883572568</v>
      </c>
      <c r="W10" s="46">
        <f>+K47</f>
        <v>391.87</v>
      </c>
      <c r="X10" s="29">
        <f t="shared" si="4"/>
        <v>51.56184210526316</v>
      </c>
      <c r="Y10" s="47">
        <f t="shared" si="5"/>
        <v>0.78124003189792668</v>
      </c>
      <c r="Z10" s="48">
        <f t="shared" si="6"/>
        <v>40.470494417862838</v>
      </c>
      <c r="AA10" s="49">
        <f t="shared" si="7"/>
        <v>42.538519736842112</v>
      </c>
      <c r="AB10" s="139">
        <f t="shared" si="8"/>
        <v>83.009014154704943</v>
      </c>
      <c r="AC10" s="245" t="str">
        <f t="shared" si="9"/>
        <v>80~89</v>
      </c>
      <c r="AD10" s="36"/>
      <c r="AE10" s="37">
        <f>AF10-F10</f>
        <v>-7.6</v>
      </c>
      <c r="AF10" s="38">
        <f>AM10</f>
        <v>0</v>
      </c>
      <c r="AG10" s="242" t="s">
        <v>36</v>
      </c>
      <c r="AH10" s="39"/>
      <c r="AI10" s="40">
        <f>IFERROR(Y10/V10*1000,"")</f>
        <v>965.19704433497543</v>
      </c>
      <c r="AJ10" s="39"/>
      <c r="AK10" s="41"/>
      <c r="AL10" s="41"/>
      <c r="AM10" s="41"/>
      <c r="AO10" s="242">
        <f t="shared" si="10"/>
        <v>-7.6</v>
      </c>
      <c r="AP10" s="42"/>
    </row>
    <row r="11" spans="2:51" s="242" customFormat="1" ht="102.75" customHeight="1" x14ac:dyDescent="0.3">
      <c r="B11" s="421"/>
      <c r="C11" s="24">
        <f>+C10+1</f>
        <v>20</v>
      </c>
      <c r="D11" s="43" t="s">
        <v>37</v>
      </c>
      <c r="E11" s="26" t="s">
        <v>29</v>
      </c>
      <c r="F11" s="25">
        <v>8</v>
      </c>
      <c r="G11" s="125">
        <v>269</v>
      </c>
      <c r="H11" s="125">
        <f>(G11/T11)*100</f>
        <v>99.261992619926204</v>
      </c>
      <c r="I11" s="123" t="s">
        <v>85</v>
      </c>
      <c r="J11" s="123" t="s">
        <v>86</v>
      </c>
      <c r="K11" s="123" t="s">
        <v>73</v>
      </c>
      <c r="L11" s="123" t="s">
        <v>87</v>
      </c>
      <c r="M11" s="123"/>
      <c r="N11" s="129" t="s">
        <v>90</v>
      </c>
      <c r="O11" s="123" t="s">
        <v>148</v>
      </c>
      <c r="P11" s="123" t="s">
        <v>91</v>
      </c>
      <c r="Q11" s="123" t="s">
        <v>89</v>
      </c>
      <c r="R11" s="125">
        <f t="shared" si="0"/>
        <v>6</v>
      </c>
      <c r="S11" s="27">
        <f t="shared" si="1"/>
        <v>528</v>
      </c>
      <c r="T11" s="28">
        <f>+H50</f>
        <v>271</v>
      </c>
      <c r="U11" s="44">
        <f t="shared" si="2"/>
        <v>33.875</v>
      </c>
      <c r="V11" s="45">
        <f t="shared" si="3"/>
        <v>0.5132575757575758</v>
      </c>
      <c r="W11" s="46">
        <f>+K50</f>
        <v>344.67</v>
      </c>
      <c r="X11" s="44">
        <f t="shared" si="4"/>
        <v>43.083750000000002</v>
      </c>
      <c r="Y11" s="47">
        <f t="shared" si="5"/>
        <v>0.65278409090909095</v>
      </c>
      <c r="Z11" s="48">
        <f t="shared" si="6"/>
        <v>25.662878787878789</v>
      </c>
      <c r="AA11" s="49">
        <f t="shared" si="7"/>
        <v>35.544093750000002</v>
      </c>
      <c r="AB11" s="139">
        <f t="shared" si="8"/>
        <v>61.206972537878791</v>
      </c>
      <c r="AC11" s="161" t="str">
        <f t="shared" si="9"/>
        <v xml:space="preserve"> 사유?→</v>
      </c>
      <c r="AD11" s="160" t="s">
        <v>150</v>
      </c>
      <c r="AE11" s="37">
        <f>AF11-F11</f>
        <v>-8</v>
      </c>
      <c r="AF11" s="38">
        <f>AM11</f>
        <v>0</v>
      </c>
      <c r="AG11" s="242" t="s">
        <v>33</v>
      </c>
      <c r="AH11" s="39"/>
      <c r="AI11" s="40">
        <f>IFERROR(Y11/V11*1000,"")</f>
        <v>1271.8450184501844</v>
      </c>
      <c r="AK11" s="41"/>
      <c r="AL11" s="41"/>
      <c r="AM11" s="41"/>
      <c r="AO11" s="242">
        <f t="shared" si="10"/>
        <v>-8</v>
      </c>
      <c r="AP11" s="42"/>
    </row>
    <row r="12" spans="2:51" s="242" customFormat="1" ht="102.75" customHeight="1" x14ac:dyDescent="0.3">
      <c r="B12" s="421"/>
      <c r="C12" s="24">
        <f>+C11+1</f>
        <v>21</v>
      </c>
      <c r="D12" s="43" t="s">
        <v>38</v>
      </c>
      <c r="E12" s="26" t="s">
        <v>33</v>
      </c>
      <c r="F12" s="25">
        <v>0</v>
      </c>
      <c r="G12" s="125"/>
      <c r="H12" s="125"/>
      <c r="I12" s="121"/>
      <c r="J12" s="121"/>
      <c r="K12" s="121"/>
      <c r="L12" s="121"/>
      <c r="M12" s="121"/>
      <c r="N12" s="121"/>
      <c r="O12" s="121"/>
      <c r="P12" s="121"/>
      <c r="Q12" s="121"/>
      <c r="R12" s="125">
        <f t="shared" si="0"/>
        <v>0</v>
      </c>
      <c r="S12" s="237">
        <f t="shared" si="1"/>
        <v>0</v>
      </c>
      <c r="T12" s="28">
        <f>+H53</f>
        <v>0</v>
      </c>
      <c r="U12" s="29" t="str">
        <f t="shared" si="2"/>
        <v>휴무</v>
      </c>
      <c r="V12" s="30">
        <f t="shared" si="3"/>
        <v>0</v>
      </c>
      <c r="W12" s="31">
        <f>+K53</f>
        <v>0</v>
      </c>
      <c r="X12" s="44" t="str">
        <f t="shared" si="4"/>
        <v>휴무</v>
      </c>
      <c r="Y12" s="47">
        <f t="shared" si="5"/>
        <v>0</v>
      </c>
      <c r="Z12" s="48" t="str">
        <f t="shared" si="6"/>
        <v>휴무</v>
      </c>
      <c r="AA12" s="49" t="str">
        <f t="shared" si="7"/>
        <v>휴무</v>
      </c>
      <c r="AB12" s="139" t="str">
        <f t="shared" si="8"/>
        <v>휴무</v>
      </c>
      <c r="AC12" s="50" t="str">
        <f t="shared" si="9"/>
        <v>휴무</v>
      </c>
      <c r="AD12" s="36"/>
      <c r="AE12" s="37"/>
      <c r="AF12" s="38"/>
      <c r="AH12" s="39"/>
      <c r="AI12" s="40"/>
      <c r="AK12" s="41"/>
      <c r="AL12" s="41"/>
      <c r="AM12" s="41"/>
      <c r="AO12" s="242">
        <f t="shared" si="10"/>
        <v>0</v>
      </c>
      <c r="AP12" s="42"/>
    </row>
    <row r="13" spans="2:51" s="242" customFormat="1" ht="36" customHeight="1" x14ac:dyDescent="0.3">
      <c r="B13" s="422" t="s">
        <v>39</v>
      </c>
      <c r="C13" s="423"/>
      <c r="D13" s="423"/>
      <c r="E13" s="424"/>
      <c r="F13" s="43">
        <f>SUM(F7:F12)</f>
        <v>37.6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5">
        <f t="shared" si="0"/>
        <v>0</v>
      </c>
      <c r="S13" s="52">
        <f>SUM(S7:S12)</f>
        <v>2481.6</v>
      </c>
      <c r="T13" s="53">
        <f>SUM(T7:T12)</f>
        <v>1793</v>
      </c>
      <c r="U13" s="54">
        <f>T13/F13</f>
        <v>47.686170212765958</v>
      </c>
      <c r="V13" s="45">
        <f t="shared" si="3"/>
        <v>0.72251773049645396</v>
      </c>
      <c r="W13" s="55">
        <f>SUM(W7:W12)</f>
        <v>1873.4699999999998</v>
      </c>
      <c r="X13" s="44">
        <f>W13/F13</f>
        <v>49.826329787234037</v>
      </c>
      <c r="Y13" s="47">
        <f t="shared" si="5"/>
        <v>0.75494439071566721</v>
      </c>
      <c r="Z13" s="56">
        <f>T13/S13*Z4</f>
        <v>36.125886524822697</v>
      </c>
      <c r="AA13" s="57">
        <f>W13/S13*AA4</f>
        <v>41.106722074468081</v>
      </c>
      <c r="AB13" s="140">
        <f t="shared" si="8"/>
        <v>77.232608599290785</v>
      </c>
      <c r="AC13" s="162" t="str">
        <f t="shared" si="9"/>
        <v xml:space="preserve"> 사유?→</v>
      </c>
      <c r="AD13" s="43"/>
      <c r="AE13" s="37">
        <f>AF13-F13</f>
        <v>-37.6</v>
      </c>
      <c r="AF13" s="38">
        <f>SUM(AF7:AF12)</f>
        <v>0</v>
      </c>
      <c r="AI13" s="40"/>
      <c r="AK13" s="59"/>
      <c r="AL13" s="59"/>
      <c r="AM13" s="59"/>
    </row>
    <row r="14" spans="2:51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6.2666666666666666</v>
      </c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61">
        <f>U14*F14</f>
        <v>298.83333333333331</v>
      </c>
      <c r="U14" s="62">
        <f>T13/F13</f>
        <v>47.686170212765958</v>
      </c>
      <c r="V14" s="63">
        <f>IFERROR(T14/#REF!,0)</f>
        <v>0</v>
      </c>
      <c r="W14" s="64">
        <f>W13/F13*F14</f>
        <v>312.24499999999995</v>
      </c>
      <c r="X14" s="62">
        <f>IF(F14=0,"휴무",W14/F14)</f>
        <v>49.826329787234037</v>
      </c>
      <c r="Y14" s="65">
        <f>IFERROR(W14/#REF!,0)</f>
        <v>0</v>
      </c>
      <c r="Z14" s="60">
        <f>AVERAGE(Z7:Z12)</f>
        <v>36.452684742158425</v>
      </c>
      <c r="AA14" s="60">
        <f>AVERAGE(AA7:AA12)</f>
        <v>41.252022697368425</v>
      </c>
      <c r="AB14" s="141">
        <f>Z14+AA14</f>
        <v>77.704707439526857</v>
      </c>
      <c r="AC14" s="67"/>
      <c r="AD14" s="68"/>
      <c r="AI14" s="40" t="str">
        <f>IFERROR(Y14/V14*1000,"")</f>
        <v/>
      </c>
      <c r="AK14" s="10"/>
      <c r="AL14" s="10"/>
      <c r="AM14" s="10"/>
    </row>
    <row r="15" spans="2:51" s="242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22"/>
      <c r="U15" s="10"/>
      <c r="V15" s="73">
        <f>V14*60</f>
        <v>0</v>
      </c>
      <c r="W15" s="74"/>
      <c r="X15" s="73"/>
      <c r="Y15" s="74">
        <f>Y14*40</f>
        <v>0</v>
      </c>
      <c r="AB15" s="142">
        <f>V15+Y15</f>
        <v>0</v>
      </c>
      <c r="AK15" s="59"/>
      <c r="AL15" s="59"/>
      <c r="AM15" s="59"/>
    </row>
    <row r="16" spans="2:51" ht="17.25" thickBot="1" x14ac:dyDescent="0.35">
      <c r="B16" s="70"/>
    </row>
    <row r="17" spans="2:42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2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</row>
    <row r="20" spans="2:42" x14ac:dyDescent="0.3">
      <c r="B20" t="s">
        <v>5</v>
      </c>
      <c r="D20" s="7">
        <v>55</v>
      </c>
      <c r="F20" s="8" t="s">
        <v>6</v>
      </c>
      <c r="T20" s="9">
        <v>1.2</v>
      </c>
      <c r="Z20" s="12">
        <f>Z4</f>
        <v>50</v>
      </c>
      <c r="AA20" s="11">
        <f>AA4</f>
        <v>54.45</v>
      </c>
      <c r="AB20" s="12"/>
      <c r="AD20" s="8"/>
    </row>
    <row r="21" spans="2:42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8"/>
      <c r="S21" s="439" t="s">
        <v>11</v>
      </c>
      <c r="T21" s="441" t="s">
        <v>12</v>
      </c>
      <c r="U21" s="418"/>
      <c r="V21" s="442"/>
      <c r="W21" s="446" t="s">
        <v>13</v>
      </c>
      <c r="X21" s="418"/>
      <c r="Y21" s="418"/>
      <c r="Z21" s="451" t="s">
        <v>20</v>
      </c>
      <c r="AA21" s="453" t="s">
        <v>21</v>
      </c>
      <c r="AB21" s="447" t="s">
        <v>14</v>
      </c>
      <c r="AC21" s="449" t="s">
        <v>15</v>
      </c>
      <c r="AD21" s="418" t="s">
        <v>16</v>
      </c>
    </row>
    <row r="22" spans="2:42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76</v>
      </c>
      <c r="Q22" s="18" t="s">
        <v>77</v>
      </c>
      <c r="R22" s="127" t="s">
        <v>80</v>
      </c>
      <c r="S22" s="440"/>
      <c r="T22" s="15" t="s">
        <v>12</v>
      </c>
      <c r="U22" s="16" t="s">
        <v>17</v>
      </c>
      <c r="V22" s="17" t="s">
        <v>18</v>
      </c>
      <c r="W22" s="18" t="s">
        <v>13</v>
      </c>
      <c r="X22" s="16" t="s">
        <v>19</v>
      </c>
      <c r="Y22" s="19" t="s">
        <v>18</v>
      </c>
      <c r="Z22" s="452"/>
      <c r="AA22" s="454"/>
      <c r="AB22" s="448"/>
      <c r="AC22" s="450"/>
      <c r="AD22" s="419"/>
      <c r="AE22" s="21" t="s">
        <v>22</v>
      </c>
      <c r="AF22" s="21" t="s">
        <v>23</v>
      </c>
      <c r="AI22" s="22" t="s">
        <v>24</v>
      </c>
      <c r="AK22" s="23" t="s">
        <v>25</v>
      </c>
      <c r="AL22" s="23" t="s">
        <v>26</v>
      </c>
      <c r="AM22" s="23" t="s">
        <v>27</v>
      </c>
      <c r="AO22" s="22">
        <f>SUM(AO23:AO28)</f>
        <v>-24</v>
      </c>
    </row>
    <row r="23" spans="2:42" s="242" customFormat="1" ht="99" customHeight="1" thickTop="1" x14ac:dyDescent="0.3">
      <c r="B23" s="420">
        <f>+B7</f>
        <v>3</v>
      </c>
      <c r="C23" s="24">
        <f t="shared" ref="C23:C28" si="11">+C7</f>
        <v>16</v>
      </c>
      <c r="D23" s="25" t="s">
        <v>7</v>
      </c>
      <c r="E23" s="26" t="s">
        <v>29</v>
      </c>
      <c r="F23" s="25">
        <v>8</v>
      </c>
      <c r="G23" s="128">
        <v>313</v>
      </c>
      <c r="H23" s="128">
        <f>(G23/T23)*100</f>
        <v>99.365079365079367</v>
      </c>
      <c r="I23" s="123" t="s">
        <v>78</v>
      </c>
      <c r="J23" s="123" t="s">
        <v>88</v>
      </c>
      <c r="K23" s="123" t="s">
        <v>92</v>
      </c>
      <c r="L23" s="123" t="s">
        <v>84</v>
      </c>
      <c r="M23" s="123"/>
      <c r="N23" s="129" t="s">
        <v>90</v>
      </c>
      <c r="O23" s="123" t="s">
        <v>74</v>
      </c>
      <c r="P23" s="123" t="s">
        <v>91</v>
      </c>
      <c r="Q23" s="123" t="s">
        <v>89</v>
      </c>
      <c r="R23" s="124">
        <f t="shared" ref="R23:R28" si="12">COUNTA(I23:M23)+COUNTA(N23:Q23)/2</f>
        <v>6</v>
      </c>
      <c r="S23" s="27">
        <f t="shared" ref="S23:S28" si="13">F23*$D$4*$T$4</f>
        <v>528</v>
      </c>
      <c r="T23" s="28">
        <f>+H58</f>
        <v>315</v>
      </c>
      <c r="U23" s="29">
        <f t="shared" ref="U23:U28" si="14">IF(F23=0,"휴무",T23/F23)</f>
        <v>39.375</v>
      </c>
      <c r="V23" s="30">
        <f t="shared" ref="V23:V29" si="15">IFERROR(T23/S23,0)</f>
        <v>0.59659090909090906</v>
      </c>
      <c r="W23" s="31">
        <f>+K58</f>
        <v>462.93</v>
      </c>
      <c r="X23" s="29">
        <f t="shared" ref="X23:X28" si="16">IF(F23=0,"휴무",W23/F23)</f>
        <v>57.866250000000001</v>
      </c>
      <c r="Y23" s="32">
        <f t="shared" ref="Y23:Y29" si="17">IFERROR(W23/S23,0)</f>
        <v>0.8767613636363637</v>
      </c>
      <c r="Z23" s="33">
        <f t="shared" ref="Z23:Z28" si="18">IF(F23=0,"휴무",T23/S23*$Z$4)</f>
        <v>29.829545454545453</v>
      </c>
      <c r="AA23" s="34">
        <f t="shared" ref="AA23:AA28" si="19">IF(F23=0,"휴무",W23/S23*$AA$4)</f>
        <v>47.739656250000003</v>
      </c>
      <c r="AB23" s="138">
        <f t="shared" ref="AB23:AB29" si="20">IF(F23=0,"휴무",Z23+AA23)</f>
        <v>77.569201704545463</v>
      </c>
      <c r="AC23" s="159" t="str">
        <f t="shared" ref="AC23:AC29" si="21">IF(F23=0,"휴무",IF(AB23&gt;=100,"좋아요",IF(AB23&gt;=90,"90~99",IF(AB23&gt;=80,"80~89"," 사유?→"))))</f>
        <v xml:space="preserve"> 사유?→</v>
      </c>
      <c r="AD23" s="160" t="s">
        <v>153</v>
      </c>
      <c r="AE23" s="37">
        <f>AF23-F23</f>
        <v>-8</v>
      </c>
      <c r="AF23" s="38">
        <f>AM23</f>
        <v>0</v>
      </c>
      <c r="AG23" s="242" t="s">
        <v>29</v>
      </c>
      <c r="AH23" s="39"/>
      <c r="AI23" s="40">
        <f>IFERROR(Y23/V23*1000,"")</f>
        <v>1469.6190476190479</v>
      </c>
      <c r="AJ23" s="39"/>
      <c r="AK23" s="41"/>
      <c r="AL23" s="41"/>
      <c r="AM23" s="41"/>
      <c r="AO23" s="242">
        <f t="shared" ref="AO23:AO28" si="22">AN23-F23</f>
        <v>-8</v>
      </c>
      <c r="AP23" s="42"/>
    </row>
    <row r="24" spans="2:42" s="242" customFormat="1" ht="99.75" customHeight="1" x14ac:dyDescent="0.3">
      <c r="B24" s="421"/>
      <c r="C24" s="24">
        <f t="shared" si="11"/>
        <v>17</v>
      </c>
      <c r="D24" s="43" t="s">
        <v>30</v>
      </c>
      <c r="E24" s="26" t="s">
        <v>29</v>
      </c>
      <c r="F24" s="25">
        <v>8</v>
      </c>
      <c r="G24" s="125">
        <v>320</v>
      </c>
      <c r="H24" s="125">
        <f>(G24/T24)*100</f>
        <v>65.979381443298962</v>
      </c>
      <c r="I24" s="123" t="s">
        <v>78</v>
      </c>
      <c r="J24" s="123" t="s">
        <v>88</v>
      </c>
      <c r="K24" s="123" t="s">
        <v>92</v>
      </c>
      <c r="L24" s="123" t="s">
        <v>84</v>
      </c>
      <c r="M24" s="123"/>
      <c r="N24" s="129" t="s">
        <v>90</v>
      </c>
      <c r="O24" s="123" t="s">
        <v>74</v>
      </c>
      <c r="P24" s="123" t="s">
        <v>91</v>
      </c>
      <c r="Q24" s="123" t="s">
        <v>89</v>
      </c>
      <c r="R24" s="124">
        <f t="shared" si="12"/>
        <v>6</v>
      </c>
      <c r="S24" s="27">
        <f t="shared" si="13"/>
        <v>528</v>
      </c>
      <c r="T24" s="28">
        <f>+H61</f>
        <v>485</v>
      </c>
      <c r="U24" s="44">
        <f t="shared" si="14"/>
        <v>60.625</v>
      </c>
      <c r="V24" s="45">
        <f t="shared" si="15"/>
        <v>0.91856060606060608</v>
      </c>
      <c r="W24" s="46">
        <f>+K61</f>
        <v>439.66999999999996</v>
      </c>
      <c r="X24" s="29">
        <f t="shared" si="16"/>
        <v>54.958749999999995</v>
      </c>
      <c r="Y24" s="47">
        <f t="shared" si="17"/>
        <v>0.83270833333333327</v>
      </c>
      <c r="Z24" s="48">
        <f t="shared" si="18"/>
        <v>45.928030303030305</v>
      </c>
      <c r="AA24" s="49">
        <f t="shared" si="19"/>
        <v>45.340968750000002</v>
      </c>
      <c r="AB24" s="139">
        <f t="shared" si="20"/>
        <v>91.268999053030313</v>
      </c>
      <c r="AC24" s="80" t="str">
        <f t="shared" si="21"/>
        <v>90~99</v>
      </c>
      <c r="AD24" s="36"/>
      <c r="AE24" s="37">
        <f>AF24-F24</f>
        <v>-8</v>
      </c>
      <c r="AF24" s="38">
        <f>AM24</f>
        <v>0</v>
      </c>
      <c r="AG24" s="242" t="s">
        <v>34</v>
      </c>
      <c r="AH24" s="39"/>
      <c r="AI24" s="40">
        <f>IFERROR(Y24/V24*1000,"")</f>
        <v>906.53608247422665</v>
      </c>
      <c r="AJ24" s="39"/>
      <c r="AK24" s="41"/>
      <c r="AL24" s="41"/>
      <c r="AM24" s="41"/>
      <c r="AO24" s="242">
        <f t="shared" si="22"/>
        <v>-8</v>
      </c>
      <c r="AP24" s="42"/>
    </row>
    <row r="25" spans="2:42" s="242" customFormat="1" ht="97.5" customHeight="1" x14ac:dyDescent="0.3">
      <c r="B25" s="421"/>
      <c r="C25" s="24">
        <f t="shared" si="11"/>
        <v>18</v>
      </c>
      <c r="D25" s="43" t="s">
        <v>32</v>
      </c>
      <c r="E25" s="26" t="s">
        <v>29</v>
      </c>
      <c r="F25" s="25">
        <v>8</v>
      </c>
      <c r="G25" s="124">
        <v>13</v>
      </c>
      <c r="H25" s="124">
        <f>(G25/T25)*100</f>
        <v>2.3985239852398523</v>
      </c>
      <c r="I25" s="123" t="s">
        <v>78</v>
      </c>
      <c r="J25" s="123" t="s">
        <v>88</v>
      </c>
      <c r="K25" s="123" t="s">
        <v>92</v>
      </c>
      <c r="L25" s="123" t="s">
        <v>84</v>
      </c>
      <c r="M25" s="123"/>
      <c r="N25" s="129" t="s">
        <v>90</v>
      </c>
      <c r="O25" s="123" t="s">
        <v>74</v>
      </c>
      <c r="P25" s="123" t="s">
        <v>91</v>
      </c>
      <c r="Q25" s="123" t="s">
        <v>89</v>
      </c>
      <c r="R25" s="124">
        <f t="shared" si="12"/>
        <v>6</v>
      </c>
      <c r="S25" s="27">
        <f t="shared" si="13"/>
        <v>528</v>
      </c>
      <c r="T25" s="28">
        <f>+H62</f>
        <v>542</v>
      </c>
      <c r="U25" s="44">
        <f t="shared" si="14"/>
        <v>67.75</v>
      </c>
      <c r="V25" s="45">
        <f t="shared" si="15"/>
        <v>1.0265151515151516</v>
      </c>
      <c r="W25" s="46">
        <f>+K62</f>
        <v>421.29</v>
      </c>
      <c r="X25" s="29">
        <f t="shared" si="16"/>
        <v>52.661250000000003</v>
      </c>
      <c r="Y25" s="47">
        <f t="shared" si="17"/>
        <v>0.79789772727272734</v>
      </c>
      <c r="Z25" s="48">
        <f t="shared" si="18"/>
        <v>51.325757575757578</v>
      </c>
      <c r="AA25" s="49">
        <f t="shared" si="19"/>
        <v>43.445531250000009</v>
      </c>
      <c r="AB25" s="139">
        <f t="shared" si="20"/>
        <v>94.77128882575758</v>
      </c>
      <c r="AC25" s="50" t="str">
        <f t="shared" si="21"/>
        <v>90~99</v>
      </c>
      <c r="AD25" s="36"/>
      <c r="AE25" s="37">
        <f>AF25-F25</f>
        <v>-8</v>
      </c>
      <c r="AF25" s="38">
        <f>AM25</f>
        <v>0</v>
      </c>
      <c r="AG25" s="242" t="s">
        <v>36</v>
      </c>
      <c r="AH25" s="39"/>
      <c r="AI25" s="40">
        <f>IFERROR(Y25/V25*1000,"")</f>
        <v>777.28782287822878</v>
      </c>
      <c r="AJ25" s="39"/>
      <c r="AK25" s="41"/>
      <c r="AL25" s="41"/>
      <c r="AM25" s="41"/>
      <c r="AO25" s="242">
        <f t="shared" si="22"/>
        <v>-8</v>
      </c>
      <c r="AP25" s="42"/>
    </row>
    <row r="26" spans="2:42" s="242" customFormat="1" ht="115.5" customHeight="1" x14ac:dyDescent="0.3">
      <c r="B26" s="421"/>
      <c r="C26" s="24">
        <f t="shared" si="11"/>
        <v>19</v>
      </c>
      <c r="D26" s="43" t="s">
        <v>35</v>
      </c>
      <c r="E26" s="26" t="s">
        <v>33</v>
      </c>
      <c r="F26" s="25">
        <v>0</v>
      </c>
      <c r="G26" s="124"/>
      <c r="H26" s="124"/>
      <c r="I26" s="123"/>
      <c r="J26" s="123"/>
      <c r="K26" s="123"/>
      <c r="L26" s="123"/>
      <c r="M26" s="123"/>
      <c r="N26" s="129"/>
      <c r="O26" s="123"/>
      <c r="P26" s="123"/>
      <c r="Q26" s="123"/>
      <c r="R26" s="124">
        <f t="shared" si="12"/>
        <v>0</v>
      </c>
      <c r="S26" s="27">
        <f t="shared" si="13"/>
        <v>0</v>
      </c>
      <c r="T26" s="28">
        <f>+H67</f>
        <v>0</v>
      </c>
      <c r="U26" s="44" t="str">
        <f t="shared" si="14"/>
        <v>휴무</v>
      </c>
      <c r="V26" s="45">
        <f t="shared" si="15"/>
        <v>0</v>
      </c>
      <c r="W26" s="46">
        <f>+K67</f>
        <v>0</v>
      </c>
      <c r="X26" s="44" t="str">
        <f t="shared" si="16"/>
        <v>휴무</v>
      </c>
      <c r="Y26" s="47">
        <f t="shared" si="17"/>
        <v>0</v>
      </c>
      <c r="Z26" s="48" t="str">
        <f t="shared" si="18"/>
        <v>휴무</v>
      </c>
      <c r="AA26" s="49" t="str">
        <f t="shared" si="19"/>
        <v>휴무</v>
      </c>
      <c r="AB26" s="139" t="str">
        <f t="shared" si="20"/>
        <v>휴무</v>
      </c>
      <c r="AC26" s="50" t="str">
        <f t="shared" si="21"/>
        <v>휴무</v>
      </c>
      <c r="AD26" s="36"/>
      <c r="AE26" s="37">
        <f>AF26-F26</f>
        <v>0</v>
      </c>
      <c r="AF26" s="38">
        <f>AM26</f>
        <v>0</v>
      </c>
      <c r="AG26" s="242" t="s">
        <v>33</v>
      </c>
      <c r="AH26" s="39"/>
      <c r="AI26" s="40" t="str">
        <f>IFERROR(Y26/V26*1000,"")</f>
        <v/>
      </c>
      <c r="AJ26" s="39"/>
      <c r="AK26" s="41"/>
      <c r="AL26" s="41"/>
      <c r="AM26" s="41"/>
      <c r="AO26" s="242">
        <f t="shared" si="22"/>
        <v>0</v>
      </c>
      <c r="AP26" s="42"/>
    </row>
    <row r="27" spans="2:42" s="242" customFormat="1" ht="104.25" customHeight="1" x14ac:dyDescent="0.3">
      <c r="B27" s="421"/>
      <c r="C27" s="24">
        <f t="shared" si="11"/>
        <v>20</v>
      </c>
      <c r="D27" s="43" t="s">
        <v>37</v>
      </c>
      <c r="E27" s="26" t="s">
        <v>33</v>
      </c>
      <c r="F27" s="25">
        <v>0</v>
      </c>
      <c r="G27" s="125"/>
      <c r="H27" s="130"/>
      <c r="I27" s="123"/>
      <c r="J27" s="123"/>
      <c r="K27" s="123"/>
      <c r="L27" s="123"/>
      <c r="M27" s="123"/>
      <c r="N27" s="129"/>
      <c r="O27" s="123"/>
      <c r="P27" s="123"/>
      <c r="Q27" s="123"/>
      <c r="R27" s="125">
        <f t="shared" si="12"/>
        <v>0</v>
      </c>
      <c r="S27" s="27">
        <f t="shared" si="13"/>
        <v>0</v>
      </c>
      <c r="T27" s="28">
        <f>+H70</f>
        <v>0</v>
      </c>
      <c r="U27" s="44" t="str">
        <f t="shared" si="14"/>
        <v>휴무</v>
      </c>
      <c r="V27" s="45">
        <f t="shared" si="15"/>
        <v>0</v>
      </c>
      <c r="W27" s="46">
        <f>+K70</f>
        <v>0</v>
      </c>
      <c r="X27" s="44" t="str">
        <f t="shared" si="16"/>
        <v>휴무</v>
      </c>
      <c r="Y27" s="47">
        <f t="shared" si="17"/>
        <v>0</v>
      </c>
      <c r="Z27" s="48" t="str">
        <f t="shared" si="18"/>
        <v>휴무</v>
      </c>
      <c r="AA27" s="49" t="str">
        <f t="shared" si="19"/>
        <v>휴무</v>
      </c>
      <c r="AB27" s="139" t="str">
        <f t="shared" si="20"/>
        <v>휴무</v>
      </c>
      <c r="AC27" s="50" t="str">
        <f t="shared" si="21"/>
        <v>휴무</v>
      </c>
      <c r="AD27" s="36"/>
      <c r="AE27" s="37">
        <f>AF27-F27</f>
        <v>0</v>
      </c>
      <c r="AF27" s="38">
        <f>AM27</f>
        <v>0</v>
      </c>
      <c r="AG27" s="242" t="s">
        <v>46</v>
      </c>
      <c r="AH27" s="39"/>
      <c r="AI27" s="40" t="str">
        <f>IFERROR(Y27/V27*1000,"")</f>
        <v/>
      </c>
      <c r="AK27" s="41"/>
      <c r="AL27" s="41"/>
      <c r="AM27" s="41"/>
      <c r="AO27" s="242">
        <f t="shared" si="22"/>
        <v>0</v>
      </c>
      <c r="AP27" s="42"/>
    </row>
    <row r="28" spans="2:42" s="242" customFormat="1" ht="104.25" customHeight="1" x14ac:dyDescent="0.3">
      <c r="B28" s="421"/>
      <c r="C28" s="24">
        <f t="shared" si="11"/>
        <v>21</v>
      </c>
      <c r="D28" s="43" t="s">
        <v>47</v>
      </c>
      <c r="E28" s="26" t="s">
        <v>33</v>
      </c>
      <c r="F28" s="25">
        <v>0</v>
      </c>
      <c r="G28" s="124"/>
      <c r="H28" s="124"/>
      <c r="I28" s="123"/>
      <c r="J28" s="123"/>
      <c r="K28" s="123"/>
      <c r="L28" s="123"/>
      <c r="M28" s="121"/>
      <c r="N28" s="123"/>
      <c r="O28" s="121"/>
      <c r="P28" s="123"/>
      <c r="Q28" s="123"/>
      <c r="R28" s="124">
        <f t="shared" si="12"/>
        <v>0</v>
      </c>
      <c r="S28" s="237">
        <f t="shared" si="13"/>
        <v>0</v>
      </c>
      <c r="T28" s="28">
        <f>+H73</f>
        <v>0</v>
      </c>
      <c r="U28" s="29" t="str">
        <f t="shared" si="14"/>
        <v>휴무</v>
      </c>
      <c r="V28" s="30">
        <f t="shared" si="15"/>
        <v>0</v>
      </c>
      <c r="W28" s="31">
        <f>+K73</f>
        <v>0</v>
      </c>
      <c r="X28" s="44" t="str">
        <f t="shared" si="16"/>
        <v>휴무</v>
      </c>
      <c r="Y28" s="47">
        <f t="shared" si="17"/>
        <v>0</v>
      </c>
      <c r="Z28" s="48" t="str">
        <f t="shared" si="18"/>
        <v>휴무</v>
      </c>
      <c r="AA28" s="49" t="str">
        <f t="shared" si="19"/>
        <v>휴무</v>
      </c>
      <c r="AB28" s="139" t="str">
        <f t="shared" si="20"/>
        <v>휴무</v>
      </c>
      <c r="AC28" s="50" t="str">
        <f t="shared" si="21"/>
        <v>휴무</v>
      </c>
      <c r="AD28" s="36"/>
      <c r="AE28" s="37"/>
      <c r="AF28" s="38"/>
      <c r="AH28" s="39"/>
      <c r="AI28" s="40"/>
      <c r="AK28" s="41"/>
      <c r="AL28" s="41"/>
      <c r="AM28" s="41"/>
      <c r="AO28" s="242">
        <f t="shared" si="22"/>
        <v>0</v>
      </c>
      <c r="AP28" s="42"/>
    </row>
    <row r="29" spans="2:42" s="242" customFormat="1" ht="36" customHeight="1" x14ac:dyDescent="0.3">
      <c r="B29" s="422" t="s">
        <v>39</v>
      </c>
      <c r="C29" s="423"/>
      <c r="D29" s="423"/>
      <c r="E29" s="424"/>
      <c r="F29" s="43">
        <f>SUM(F23:F28)</f>
        <v>24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6"/>
      <c r="S29" s="52">
        <f>SUM(S23:S28)</f>
        <v>1584</v>
      </c>
      <c r="T29" s="53">
        <f>SUM(T23:T28)</f>
        <v>1342</v>
      </c>
      <c r="U29" s="54">
        <f>T29/F29</f>
        <v>55.916666666666664</v>
      </c>
      <c r="V29" s="45">
        <f t="shared" si="15"/>
        <v>0.84722222222222221</v>
      </c>
      <c r="W29" s="55">
        <f>SUM(W23:W28)</f>
        <v>1323.8899999999999</v>
      </c>
      <c r="X29" s="44">
        <f>W29/F29</f>
        <v>55.162083333333328</v>
      </c>
      <c r="Y29" s="47">
        <f t="shared" si="17"/>
        <v>0.83578914141414129</v>
      </c>
      <c r="Z29" s="56">
        <f>T29/S29*Z20</f>
        <v>42.361111111111107</v>
      </c>
      <c r="AA29" s="57">
        <f>W29/S29*AA20</f>
        <v>45.508718749999993</v>
      </c>
      <c r="AB29" s="140">
        <f t="shared" si="20"/>
        <v>87.8698298611111</v>
      </c>
      <c r="AC29" s="58" t="str">
        <f t="shared" si="21"/>
        <v>80~89</v>
      </c>
      <c r="AD29" s="43"/>
      <c r="AE29" s="37">
        <f>AF29-F29</f>
        <v>-24</v>
      </c>
      <c r="AF29" s="38">
        <f>SUM(AF23:AF28)</f>
        <v>0</v>
      </c>
      <c r="AI29" s="40"/>
      <c r="AK29" s="59"/>
      <c r="AL29" s="59"/>
      <c r="AM29" s="59"/>
    </row>
    <row r="30" spans="2:42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4</v>
      </c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61">
        <f>U30*F30</f>
        <v>223.66666666666666</v>
      </c>
      <c r="U30" s="62">
        <f>T29/F29</f>
        <v>55.916666666666664</v>
      </c>
      <c r="V30" s="63">
        <f>IFERROR(T30/#REF!,0)</f>
        <v>0</v>
      </c>
      <c r="W30" s="64">
        <f>W29/F29*F30</f>
        <v>220.64833333333331</v>
      </c>
      <c r="X30" s="62">
        <f>IF(F30=0,"휴무",W30/F30)</f>
        <v>55.162083333333328</v>
      </c>
      <c r="Y30" s="65">
        <f>IFERROR(W30/#REF!,0)</f>
        <v>0</v>
      </c>
      <c r="Z30" s="60">
        <f>AVERAGE(Z23:Z28)</f>
        <v>42.361111111111107</v>
      </c>
      <c r="AA30" s="60">
        <f>AVERAGE(AA23:AA28)</f>
        <v>45.508718750000007</v>
      </c>
      <c r="AB30" s="141">
        <f>Z30+AA30</f>
        <v>87.869829861111114</v>
      </c>
      <c r="AC30" s="67"/>
      <c r="AD30" s="68"/>
      <c r="AI30" s="40" t="str">
        <f>IFERROR(Y30/V30*1000,"")</f>
        <v/>
      </c>
      <c r="AK30" s="10"/>
      <c r="AL30" s="10"/>
      <c r="AM30" s="10"/>
    </row>
    <row r="31" spans="2:42" s="242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22"/>
      <c r="U31" s="10"/>
      <c r="V31" s="73">
        <f>V30*60</f>
        <v>0</v>
      </c>
      <c r="W31" s="74"/>
      <c r="X31" s="73"/>
      <c r="Y31" s="74">
        <f>Y30*40</f>
        <v>0</v>
      </c>
      <c r="Z31" s="81"/>
      <c r="AA31" s="81"/>
      <c r="AB31" s="142">
        <f>V31+Y31</f>
        <v>0</v>
      </c>
      <c r="AK31" s="59"/>
      <c r="AL31" s="59"/>
      <c r="AM31" s="59"/>
    </row>
    <row r="32" spans="2:42" x14ac:dyDescent="0.3">
      <c r="B32" s="120" t="s">
        <v>67</v>
      </c>
      <c r="U32" s="10">
        <v>8.8000000000000007</v>
      </c>
    </row>
    <row r="33" spans="2:42" ht="17.25" thickBot="1" x14ac:dyDescent="0.35">
      <c r="B33" s="70"/>
    </row>
    <row r="34" spans="2:42" ht="17.25" thickBot="1" x14ac:dyDescent="0.35">
      <c r="B34" s="76" t="s">
        <v>42</v>
      </c>
      <c r="C34" s="77"/>
      <c r="D34" s="78" t="s">
        <v>43</v>
      </c>
      <c r="E34" s="78"/>
      <c r="F34" s="79"/>
      <c r="X34" s="10">
        <v>50</v>
      </c>
    </row>
    <row r="36" spans="2:42" s="10" customFormat="1" x14ac:dyDescent="0.3">
      <c r="B36"/>
      <c r="C36"/>
      <c r="D36"/>
      <c r="E36" s="455">
        <f>+C7</f>
        <v>16</v>
      </c>
      <c r="F36" s="455" t="s">
        <v>7</v>
      </c>
      <c r="G36" s="82" t="s">
        <v>48</v>
      </c>
      <c r="H36" s="83">
        <v>331</v>
      </c>
      <c r="I36" s="84"/>
      <c r="J36" s="85"/>
      <c r="K36" s="86">
        <v>318.01</v>
      </c>
      <c r="L36" s="135"/>
      <c r="N36" s="136"/>
      <c r="O36" s="136"/>
      <c r="P36" s="136"/>
      <c r="Q36" s="136"/>
      <c r="R36" s="136"/>
      <c r="S36" s="136"/>
      <c r="Y36"/>
      <c r="Z36"/>
      <c r="AA36"/>
      <c r="AB36"/>
      <c r="AC36"/>
      <c r="AD36"/>
      <c r="AE36"/>
      <c r="AF36"/>
      <c r="AG36"/>
      <c r="AH36"/>
      <c r="AI36"/>
      <c r="AJ36"/>
      <c r="AK36" s="1"/>
      <c r="AL36" s="1"/>
      <c r="AM36" s="1"/>
      <c r="AN36"/>
      <c r="AO36"/>
      <c r="AP36"/>
    </row>
    <row r="37" spans="2:42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Y37"/>
      <c r="Z37"/>
      <c r="AA37"/>
      <c r="AB37"/>
      <c r="AC37"/>
      <c r="AD37"/>
      <c r="AE37"/>
      <c r="AF37"/>
      <c r="AG37"/>
      <c r="AH37"/>
      <c r="AI37"/>
      <c r="AJ37"/>
      <c r="AK37" s="1"/>
      <c r="AL37" s="1"/>
      <c r="AM37" s="1"/>
      <c r="AN37"/>
      <c r="AO37"/>
      <c r="AP37"/>
    </row>
    <row r="38" spans="2:42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331</v>
      </c>
      <c r="I38" s="88"/>
      <c r="J38" s="89"/>
      <c r="K38" s="90">
        <f>+K36+K37*2</f>
        <v>318.01</v>
      </c>
      <c r="L38" s="135"/>
      <c r="N38" s="136"/>
      <c r="O38" s="136"/>
      <c r="P38" s="136"/>
      <c r="Q38" s="136"/>
      <c r="R38" s="136"/>
      <c r="S38" s="136"/>
      <c r="Y38"/>
      <c r="Z38"/>
      <c r="AA38"/>
      <c r="AB38"/>
      <c r="AC38"/>
      <c r="AD38"/>
      <c r="AE38"/>
      <c r="AF38"/>
      <c r="AG38"/>
      <c r="AH38"/>
      <c r="AI38"/>
      <c r="AJ38"/>
      <c r="AK38" s="1"/>
      <c r="AL38" s="1"/>
      <c r="AM38" s="1"/>
      <c r="AN38"/>
      <c r="AO38"/>
      <c r="AP38"/>
    </row>
    <row r="39" spans="2:42" s="10" customFormat="1" x14ac:dyDescent="0.3">
      <c r="B39"/>
      <c r="C39"/>
      <c r="D39"/>
      <c r="E39" s="455">
        <f>+C8</f>
        <v>17</v>
      </c>
      <c r="F39" s="455" t="s">
        <v>52</v>
      </c>
      <c r="G39" s="82" t="s">
        <v>48</v>
      </c>
      <c r="H39" s="83">
        <v>391</v>
      </c>
      <c r="I39" s="84"/>
      <c r="J39" s="85"/>
      <c r="K39" s="86">
        <v>379.58</v>
      </c>
      <c r="L39" s="135"/>
      <c r="N39" s="136"/>
      <c r="O39" s="136"/>
      <c r="P39" s="136"/>
      <c r="Q39" s="136"/>
      <c r="R39" s="136"/>
      <c r="S39" s="136"/>
      <c r="Y39"/>
      <c r="Z39"/>
      <c r="AA39"/>
      <c r="AB39"/>
      <c r="AC39"/>
      <c r="AD39"/>
      <c r="AE39"/>
      <c r="AF39"/>
      <c r="AG39"/>
      <c r="AH39"/>
      <c r="AI39"/>
      <c r="AJ39"/>
      <c r="AK39" s="1"/>
      <c r="AL39" s="1"/>
      <c r="AM39" s="1"/>
      <c r="AN39"/>
      <c r="AO39"/>
      <c r="AP39"/>
    </row>
    <row r="40" spans="2:42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Y40"/>
      <c r="Z40"/>
      <c r="AA40"/>
      <c r="AB40"/>
      <c r="AC40"/>
      <c r="AD40"/>
      <c r="AE40"/>
      <c r="AF40"/>
      <c r="AG40"/>
      <c r="AH40"/>
      <c r="AI40"/>
      <c r="AJ40"/>
      <c r="AK40" s="1"/>
      <c r="AL40" s="1"/>
      <c r="AM40" s="1"/>
      <c r="AN40"/>
      <c r="AO40"/>
      <c r="AP40"/>
    </row>
    <row r="41" spans="2:42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391</v>
      </c>
      <c r="I41" s="88"/>
      <c r="J41" s="89"/>
      <c r="K41" s="90">
        <f>+K39+K40*2</f>
        <v>379.58</v>
      </c>
      <c r="L41" s="135"/>
      <c r="N41" s="136"/>
      <c r="O41" s="136"/>
      <c r="P41" s="136"/>
      <c r="Q41" s="136"/>
      <c r="R41" s="136"/>
      <c r="S41" s="136"/>
      <c r="Y41"/>
      <c r="Z41"/>
      <c r="AA41"/>
      <c r="AB41"/>
      <c r="AC41"/>
      <c r="AD41"/>
      <c r="AE41"/>
      <c r="AF41"/>
      <c r="AG41"/>
      <c r="AH41"/>
      <c r="AI41"/>
      <c r="AJ41"/>
      <c r="AK41" s="1"/>
      <c r="AL41" s="1"/>
      <c r="AM41" s="1"/>
      <c r="AN41"/>
      <c r="AO41"/>
      <c r="AP41"/>
    </row>
    <row r="42" spans="2:42" s="10" customFormat="1" x14ac:dyDescent="0.3">
      <c r="B42"/>
      <c r="C42"/>
      <c r="D42"/>
      <c r="E42" s="455">
        <f>+C9</f>
        <v>18</v>
      </c>
      <c r="F42" s="455" t="s">
        <v>53</v>
      </c>
      <c r="G42" s="82" t="s">
        <v>48</v>
      </c>
      <c r="H42" s="83">
        <v>394</v>
      </c>
      <c r="I42" s="84"/>
      <c r="J42" s="85"/>
      <c r="K42" s="86">
        <v>439.34</v>
      </c>
      <c r="L42" s="135"/>
      <c r="N42" s="136"/>
      <c r="O42" s="136"/>
      <c r="P42" s="136"/>
      <c r="Q42" s="136"/>
      <c r="R42" s="136"/>
      <c r="S42" s="136"/>
      <c r="Y42"/>
      <c r="Z42"/>
      <c r="AA42"/>
      <c r="AB42"/>
      <c r="AC42"/>
      <c r="AD42"/>
      <c r="AE42"/>
      <c r="AF42"/>
      <c r="AG42"/>
      <c r="AH42"/>
      <c r="AI42"/>
      <c r="AJ42"/>
      <c r="AK42" s="1"/>
      <c r="AL42" s="1"/>
      <c r="AM42" s="1"/>
      <c r="AN42"/>
      <c r="AO42"/>
      <c r="AP42"/>
    </row>
    <row r="43" spans="2:42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Y43"/>
      <c r="Z43"/>
      <c r="AA43"/>
      <c r="AB43"/>
      <c r="AC43"/>
      <c r="AD43"/>
      <c r="AE43"/>
      <c r="AF43"/>
      <c r="AG43"/>
      <c r="AH43"/>
      <c r="AI43"/>
      <c r="AJ43"/>
      <c r="AK43" s="1"/>
      <c r="AL43" s="1"/>
      <c r="AM43" s="1"/>
      <c r="AN43"/>
      <c r="AO43"/>
      <c r="AP43"/>
    </row>
    <row r="44" spans="2:42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394</v>
      </c>
      <c r="I44" s="88"/>
      <c r="J44" s="89"/>
      <c r="K44" s="90">
        <f>+K42+K43*2</f>
        <v>439.34</v>
      </c>
      <c r="L44" s="137" t="s">
        <v>54</v>
      </c>
      <c r="N44" s="136"/>
      <c r="O44" s="136"/>
      <c r="P44" s="136"/>
      <c r="Q44" s="136"/>
      <c r="R44" s="136"/>
      <c r="S44" s="136"/>
      <c r="Y44"/>
      <c r="Z44"/>
      <c r="AA44"/>
      <c r="AB44"/>
      <c r="AC44"/>
      <c r="AE44"/>
      <c r="AF44"/>
      <c r="AG44"/>
      <c r="AH44"/>
      <c r="AI44"/>
      <c r="AJ44"/>
      <c r="AK44" s="1"/>
      <c r="AL44" s="1"/>
      <c r="AM44" s="1"/>
      <c r="AN44"/>
      <c r="AO44"/>
      <c r="AP44"/>
    </row>
    <row r="45" spans="2:42" s="10" customFormat="1" x14ac:dyDescent="0.3">
      <c r="B45"/>
      <c r="C45"/>
      <c r="D45"/>
      <c r="E45" s="455">
        <f>+C10</f>
        <v>19</v>
      </c>
      <c r="F45" s="455" t="s">
        <v>55</v>
      </c>
      <c r="G45" s="82" t="s">
        <v>48</v>
      </c>
      <c r="H45" s="83">
        <v>194</v>
      </c>
      <c r="I45" s="84"/>
      <c r="J45" s="85"/>
      <c r="K45" s="86">
        <v>112.85</v>
      </c>
      <c r="L45" s="135"/>
      <c r="N45" s="136"/>
      <c r="O45" s="136"/>
      <c r="P45" s="136"/>
      <c r="Q45" s="136"/>
      <c r="R45" s="136"/>
      <c r="S45" s="136"/>
      <c r="Y45"/>
      <c r="Z45"/>
      <c r="AA45"/>
      <c r="AB45"/>
      <c r="AC45"/>
      <c r="AD45"/>
      <c r="AE45"/>
      <c r="AF45"/>
      <c r="AG45"/>
      <c r="AH45"/>
      <c r="AI45"/>
      <c r="AJ45"/>
      <c r="AK45" s="1"/>
      <c r="AL45" s="1"/>
      <c r="AM45" s="1"/>
      <c r="AN45"/>
      <c r="AO45"/>
      <c r="AP45"/>
    </row>
    <row r="46" spans="2:42" s="10" customFormat="1" x14ac:dyDescent="0.3">
      <c r="B46"/>
      <c r="C46"/>
      <c r="D46"/>
      <c r="E46" s="456"/>
      <c r="F46" s="456"/>
      <c r="G46" s="82" t="s">
        <v>50</v>
      </c>
      <c r="H46" s="83">
        <v>106</v>
      </c>
      <c r="I46" s="84"/>
      <c r="J46" s="85"/>
      <c r="K46" s="86">
        <v>139.51</v>
      </c>
      <c r="L46" s="135"/>
      <c r="N46" s="136"/>
      <c r="O46" s="136"/>
      <c r="P46" s="136"/>
      <c r="Q46" s="136"/>
      <c r="R46" s="136"/>
      <c r="S46" s="136"/>
      <c r="Y46"/>
      <c r="Z46"/>
      <c r="AA46"/>
      <c r="AB46"/>
      <c r="AC46"/>
      <c r="AD46"/>
      <c r="AE46"/>
      <c r="AF46"/>
      <c r="AG46"/>
      <c r="AH46"/>
      <c r="AI46"/>
      <c r="AJ46"/>
      <c r="AK46" s="1"/>
      <c r="AL46" s="1"/>
      <c r="AM46" s="1"/>
      <c r="AN46"/>
      <c r="AO46"/>
      <c r="AP46"/>
    </row>
    <row r="47" spans="2:42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406</v>
      </c>
      <c r="I47" s="88"/>
      <c r="J47" s="89"/>
      <c r="K47" s="90">
        <f>+K45+K46*2</f>
        <v>391.87</v>
      </c>
      <c r="L47" s="135"/>
      <c r="N47" s="136"/>
      <c r="O47" s="136"/>
      <c r="P47" s="136"/>
      <c r="Q47" s="136"/>
      <c r="R47" s="136"/>
      <c r="S47" s="136"/>
      <c r="Y47"/>
      <c r="Z47"/>
      <c r="AA47"/>
      <c r="AB47"/>
      <c r="AC47"/>
      <c r="AD47"/>
      <c r="AE47"/>
      <c r="AF47"/>
      <c r="AG47"/>
      <c r="AH47"/>
      <c r="AI47"/>
      <c r="AJ47"/>
      <c r="AK47" s="1"/>
      <c r="AL47" s="1"/>
      <c r="AM47" s="1"/>
      <c r="AN47"/>
      <c r="AO47"/>
      <c r="AP47"/>
    </row>
    <row r="48" spans="2:42" s="10" customFormat="1" x14ac:dyDescent="0.3">
      <c r="B48"/>
      <c r="C48"/>
      <c r="D48"/>
      <c r="E48" s="455">
        <f>+C11</f>
        <v>20</v>
      </c>
      <c r="F48" s="455" t="s">
        <v>56</v>
      </c>
      <c r="G48" s="82" t="s">
        <v>48</v>
      </c>
      <c r="H48" s="83">
        <v>271</v>
      </c>
      <c r="I48" s="84"/>
      <c r="J48" s="85"/>
      <c r="K48" s="86">
        <v>344.67</v>
      </c>
      <c r="L48" s="135"/>
      <c r="N48" s="136"/>
      <c r="O48" s="136"/>
      <c r="P48" s="136"/>
      <c r="Q48" s="136"/>
      <c r="R48" s="136"/>
      <c r="S48" s="136"/>
      <c r="Y48"/>
      <c r="Z48"/>
      <c r="AA48"/>
      <c r="AB48"/>
      <c r="AC48"/>
      <c r="AD48"/>
      <c r="AE48"/>
      <c r="AF48"/>
      <c r="AG48"/>
      <c r="AH48"/>
      <c r="AI48"/>
      <c r="AJ48"/>
      <c r="AK48" s="1"/>
      <c r="AL48" s="1"/>
      <c r="AM48" s="1"/>
      <c r="AN48"/>
      <c r="AO48"/>
      <c r="AP48"/>
    </row>
    <row r="49" spans="2:42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Y49"/>
      <c r="Z49"/>
      <c r="AA49"/>
      <c r="AB49"/>
      <c r="AC49"/>
      <c r="AD49"/>
      <c r="AE49"/>
      <c r="AF49"/>
      <c r="AG49"/>
      <c r="AH49"/>
      <c r="AI49"/>
      <c r="AJ49"/>
      <c r="AK49" s="1"/>
      <c r="AL49" s="1"/>
      <c r="AM49" s="1"/>
      <c r="AN49"/>
      <c r="AO49"/>
      <c r="AP49"/>
    </row>
    <row r="50" spans="2:42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271</v>
      </c>
      <c r="I50" s="88"/>
      <c r="J50" s="89"/>
      <c r="K50" s="90">
        <f>+K48+K49*2</f>
        <v>344.67</v>
      </c>
      <c r="L50" s="135"/>
      <c r="N50" s="136"/>
      <c r="O50" s="136"/>
      <c r="P50" s="136"/>
      <c r="Q50" s="136"/>
      <c r="R50" s="136"/>
      <c r="S50" s="136"/>
      <c r="Y50"/>
      <c r="Z50"/>
      <c r="AA50"/>
      <c r="AB50"/>
      <c r="AC50"/>
      <c r="AD50"/>
      <c r="AE50"/>
      <c r="AF50"/>
      <c r="AG50"/>
      <c r="AH50"/>
      <c r="AI50"/>
      <c r="AJ50"/>
      <c r="AK50" s="1"/>
      <c r="AL50" s="1"/>
      <c r="AM50" s="1"/>
      <c r="AN50"/>
      <c r="AO50"/>
      <c r="AP50"/>
    </row>
    <row r="51" spans="2:42" s="10" customFormat="1" x14ac:dyDescent="0.3">
      <c r="B51"/>
      <c r="C51"/>
      <c r="D51"/>
      <c r="E51" s="455">
        <f>+C12</f>
        <v>21</v>
      </c>
      <c r="F51" s="455" t="s">
        <v>38</v>
      </c>
      <c r="G51" s="82" t="s">
        <v>48</v>
      </c>
      <c r="H51" s="83"/>
      <c r="I51" s="84"/>
      <c r="J51" s="85"/>
      <c r="K51" s="86"/>
      <c r="L51" s="135"/>
      <c r="N51" s="136"/>
      <c r="O51" s="136"/>
      <c r="P51" s="136"/>
      <c r="Q51" s="136"/>
      <c r="R51" s="136"/>
      <c r="S51" s="136"/>
      <c r="Y51"/>
      <c r="Z51"/>
      <c r="AA51"/>
      <c r="AB51"/>
      <c r="AC51"/>
      <c r="AD51"/>
      <c r="AE51"/>
      <c r="AF51"/>
      <c r="AG51"/>
      <c r="AH51"/>
      <c r="AI51"/>
      <c r="AJ51"/>
      <c r="AK51" s="1"/>
      <c r="AL51" s="1"/>
      <c r="AM51" s="1"/>
      <c r="AN51"/>
      <c r="AO51"/>
      <c r="AP51"/>
    </row>
    <row r="52" spans="2:42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Y52"/>
      <c r="Z52"/>
      <c r="AA52"/>
      <c r="AB52"/>
      <c r="AC52"/>
      <c r="AD52"/>
      <c r="AE52"/>
      <c r="AF52"/>
      <c r="AG52"/>
      <c r="AH52"/>
      <c r="AI52"/>
      <c r="AJ52"/>
      <c r="AK52" s="1"/>
      <c r="AL52" s="1"/>
      <c r="AM52" s="1"/>
      <c r="AN52"/>
      <c r="AO52"/>
      <c r="AP52"/>
    </row>
    <row r="53" spans="2:42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0</v>
      </c>
      <c r="I53" s="88"/>
      <c r="J53" s="89"/>
      <c r="K53" s="90">
        <f>+K51+K52*2</f>
        <v>0</v>
      </c>
      <c r="L53" s="135"/>
      <c r="N53" s="136"/>
      <c r="O53" s="136"/>
      <c r="P53" s="136"/>
      <c r="Q53" s="136"/>
      <c r="R53" s="136"/>
      <c r="S53" s="136"/>
      <c r="Y53"/>
      <c r="Z53"/>
      <c r="AA53"/>
      <c r="AB53"/>
      <c r="AC53"/>
      <c r="AD53"/>
      <c r="AE53"/>
      <c r="AF53"/>
      <c r="AG53"/>
      <c r="AH53"/>
      <c r="AI53"/>
      <c r="AJ53"/>
      <c r="AK53" s="1"/>
      <c r="AL53" s="1"/>
      <c r="AM53" s="1"/>
      <c r="AN53"/>
      <c r="AO53"/>
      <c r="AP53"/>
    </row>
    <row r="54" spans="2:42" x14ac:dyDescent="0.3">
      <c r="H54" s="75"/>
      <c r="I54" s="10"/>
      <c r="J54" s="11"/>
      <c r="K54"/>
    </row>
    <row r="55" spans="2:42" x14ac:dyDescent="0.3">
      <c r="H55" s="75"/>
      <c r="I55" s="10"/>
      <c r="J55" s="11"/>
      <c r="K55"/>
    </row>
    <row r="56" spans="2:42" s="10" customFormat="1" x14ac:dyDescent="0.3">
      <c r="B56"/>
      <c r="C56"/>
      <c r="D56"/>
      <c r="E56" s="455">
        <f>+E36</f>
        <v>16</v>
      </c>
      <c r="F56" s="455" t="s">
        <v>7</v>
      </c>
      <c r="G56" s="82" t="s">
        <v>48</v>
      </c>
      <c r="H56" s="83">
        <v>315</v>
      </c>
      <c r="I56" s="84"/>
      <c r="J56" s="85"/>
      <c r="K56" s="86">
        <v>462.93</v>
      </c>
      <c r="L56" s="135"/>
      <c r="N56" s="136"/>
      <c r="O56" s="136"/>
      <c r="P56" s="136"/>
      <c r="Q56" s="136"/>
      <c r="R56" s="136"/>
      <c r="S56" s="136"/>
      <c r="Y56"/>
      <c r="Z56"/>
      <c r="AA56"/>
      <c r="AB56"/>
      <c r="AC56"/>
      <c r="AD56"/>
      <c r="AE56"/>
      <c r="AF56"/>
      <c r="AG56"/>
      <c r="AH56"/>
      <c r="AI56"/>
      <c r="AJ56"/>
      <c r="AK56" s="1"/>
      <c r="AL56" s="1"/>
      <c r="AM56" s="1"/>
      <c r="AN56"/>
      <c r="AO56"/>
      <c r="AP56"/>
    </row>
    <row r="57" spans="2:42" s="10" customFormat="1" x14ac:dyDescent="0.3">
      <c r="B57"/>
      <c r="C57" t="s">
        <v>57</v>
      </c>
      <c r="D57"/>
      <c r="E57" s="456"/>
      <c r="F57" s="456"/>
      <c r="G57" s="82" t="s">
        <v>50</v>
      </c>
      <c r="H57" s="83"/>
      <c r="I57" s="84"/>
      <c r="J57" s="85"/>
      <c r="K57" s="86"/>
      <c r="L57" s="135"/>
      <c r="N57" s="136"/>
      <c r="O57" s="136"/>
      <c r="P57" s="136"/>
      <c r="Q57" s="136"/>
      <c r="R57" s="136"/>
      <c r="S57" s="136"/>
      <c r="Y57"/>
      <c r="Z57"/>
      <c r="AA57"/>
      <c r="AB57"/>
      <c r="AC57"/>
      <c r="AD57"/>
      <c r="AE57"/>
      <c r="AF57"/>
      <c r="AG57"/>
      <c r="AH57"/>
      <c r="AI57"/>
      <c r="AJ57"/>
      <c r="AK57" s="1"/>
      <c r="AL57" s="1"/>
      <c r="AM57" s="1"/>
      <c r="AN57"/>
      <c r="AO57"/>
      <c r="AP57"/>
    </row>
    <row r="58" spans="2:42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315</v>
      </c>
      <c r="I58" s="88"/>
      <c r="J58" s="89"/>
      <c r="K58" s="90">
        <f>+K56+K57*2</f>
        <v>462.93</v>
      </c>
      <c r="L58" s="135"/>
      <c r="N58" s="136"/>
      <c r="O58" s="136"/>
      <c r="P58" s="136"/>
      <c r="Q58" s="136"/>
      <c r="R58" s="136"/>
      <c r="S58" s="136"/>
      <c r="Y58"/>
      <c r="Z58"/>
      <c r="AA58"/>
      <c r="AB58"/>
      <c r="AC58"/>
      <c r="AD58"/>
      <c r="AE58"/>
      <c r="AF58"/>
      <c r="AG58"/>
      <c r="AH58"/>
      <c r="AI58"/>
      <c r="AJ58"/>
      <c r="AK58" s="1"/>
      <c r="AL58" s="1"/>
      <c r="AM58" s="1"/>
      <c r="AN58"/>
      <c r="AO58"/>
      <c r="AP58"/>
    </row>
    <row r="59" spans="2:42" s="10" customFormat="1" x14ac:dyDescent="0.3">
      <c r="B59"/>
      <c r="C59"/>
      <c r="D59"/>
      <c r="E59" s="455">
        <f>+E39</f>
        <v>17</v>
      </c>
      <c r="F59" s="455" t="s">
        <v>52</v>
      </c>
      <c r="G59" s="82" t="s">
        <v>48</v>
      </c>
      <c r="H59" s="83">
        <v>483</v>
      </c>
      <c r="I59" s="84"/>
      <c r="J59" s="85"/>
      <c r="K59" s="86">
        <v>436.77</v>
      </c>
      <c r="L59" s="135"/>
      <c r="N59" s="136"/>
      <c r="O59" s="136"/>
      <c r="P59" s="136"/>
      <c r="Q59" s="136"/>
      <c r="R59" s="136"/>
      <c r="S59" s="136"/>
      <c r="Y59"/>
      <c r="Z59"/>
      <c r="AA59"/>
      <c r="AB59"/>
      <c r="AC59"/>
      <c r="AD59"/>
      <c r="AE59"/>
      <c r="AF59"/>
      <c r="AG59"/>
      <c r="AH59"/>
      <c r="AI59"/>
      <c r="AJ59"/>
      <c r="AK59" s="1"/>
      <c r="AL59" s="1"/>
      <c r="AM59" s="1"/>
      <c r="AN59"/>
      <c r="AO59"/>
      <c r="AP59"/>
    </row>
    <row r="60" spans="2:42" s="10" customFormat="1" x14ac:dyDescent="0.3">
      <c r="B60"/>
      <c r="C60"/>
      <c r="D60"/>
      <c r="E60" s="456"/>
      <c r="F60" s="456"/>
      <c r="G60" s="82" t="s">
        <v>50</v>
      </c>
      <c r="H60" s="83">
        <v>1</v>
      </c>
      <c r="I60" s="84"/>
      <c r="J60" s="85"/>
      <c r="K60" s="86">
        <v>1.45</v>
      </c>
      <c r="L60" s="135"/>
      <c r="N60" s="136"/>
      <c r="O60" s="136"/>
      <c r="P60" s="136"/>
      <c r="Q60" s="136"/>
      <c r="R60" s="136"/>
      <c r="S60" s="136"/>
      <c r="Y60"/>
      <c r="Z60"/>
      <c r="AA60"/>
      <c r="AB60"/>
      <c r="AC60"/>
      <c r="AD60"/>
      <c r="AE60"/>
      <c r="AF60"/>
      <c r="AG60"/>
      <c r="AH60"/>
      <c r="AI60"/>
      <c r="AJ60"/>
      <c r="AK60" s="1"/>
      <c r="AL60" s="1"/>
      <c r="AM60" s="1"/>
      <c r="AN60"/>
      <c r="AO60"/>
      <c r="AP60"/>
    </row>
    <row r="61" spans="2:42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485</v>
      </c>
      <c r="I61" s="88"/>
      <c r="J61" s="89"/>
      <c r="K61" s="90">
        <f>+K59+K60*2</f>
        <v>439.66999999999996</v>
      </c>
      <c r="L61" s="135"/>
      <c r="N61" s="136"/>
      <c r="O61" s="136"/>
      <c r="P61" s="136"/>
      <c r="Q61" s="136"/>
      <c r="R61" s="136"/>
      <c r="S61" s="136"/>
      <c r="Y61"/>
      <c r="Z61"/>
      <c r="AA61"/>
      <c r="AB61"/>
      <c r="AC61"/>
      <c r="AD61"/>
      <c r="AE61"/>
      <c r="AF61"/>
      <c r="AG61"/>
      <c r="AH61"/>
      <c r="AI61"/>
      <c r="AJ61"/>
      <c r="AK61" s="1"/>
      <c r="AL61" s="1"/>
      <c r="AM61" s="1"/>
      <c r="AN61"/>
      <c r="AO61"/>
      <c r="AP61"/>
    </row>
    <row r="62" spans="2:42" s="10" customFormat="1" x14ac:dyDescent="0.3">
      <c r="B62"/>
      <c r="C62"/>
      <c r="D62"/>
      <c r="E62" s="455">
        <f>+E42</f>
        <v>18</v>
      </c>
      <c r="F62" s="455" t="s">
        <v>53</v>
      </c>
      <c r="G62" s="82" t="s">
        <v>48</v>
      </c>
      <c r="H62" s="83">
        <v>542</v>
      </c>
      <c r="I62" s="84"/>
      <c r="J62" s="85"/>
      <c r="K62" s="86">
        <v>421.29</v>
      </c>
      <c r="L62" s="135"/>
      <c r="N62" s="136"/>
      <c r="O62" s="136"/>
      <c r="P62" s="136"/>
      <c r="Q62" s="136"/>
      <c r="R62" s="136"/>
      <c r="S62" s="136"/>
      <c r="Y62"/>
      <c r="Z62"/>
      <c r="AA62"/>
      <c r="AB62"/>
      <c r="AC62"/>
      <c r="AD62"/>
      <c r="AE62"/>
      <c r="AF62"/>
      <c r="AG62"/>
      <c r="AH62"/>
      <c r="AI62"/>
      <c r="AJ62"/>
      <c r="AK62" s="1"/>
      <c r="AL62" s="1"/>
      <c r="AM62" s="1"/>
      <c r="AN62"/>
      <c r="AO62"/>
      <c r="AP62"/>
    </row>
    <row r="63" spans="2:42" s="10" customFormat="1" x14ac:dyDescent="0.3">
      <c r="B63"/>
      <c r="C63"/>
      <c r="D63"/>
      <c r="E63" s="456"/>
      <c r="F63" s="456"/>
      <c r="G63" s="82" t="s">
        <v>50</v>
      </c>
      <c r="H63" s="83"/>
      <c r="I63" s="84"/>
      <c r="J63" s="85"/>
      <c r="K63" s="86"/>
      <c r="L63" s="135"/>
      <c r="N63" s="136"/>
      <c r="O63" s="136"/>
      <c r="P63" s="136"/>
      <c r="Q63" s="136"/>
      <c r="R63" s="136"/>
      <c r="S63" s="136"/>
      <c r="Y63"/>
      <c r="Z63"/>
      <c r="AA63"/>
      <c r="AB63"/>
      <c r="AC63"/>
      <c r="AD63"/>
      <c r="AE63"/>
      <c r="AF63"/>
      <c r="AG63"/>
      <c r="AH63"/>
      <c r="AI63"/>
      <c r="AJ63"/>
      <c r="AK63" s="1"/>
      <c r="AL63" s="1"/>
      <c r="AM63" s="1"/>
      <c r="AN63"/>
      <c r="AO63"/>
      <c r="AP63"/>
    </row>
    <row r="64" spans="2:42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542</v>
      </c>
      <c r="I64" s="88"/>
      <c r="J64" s="89"/>
      <c r="K64" s="90">
        <f>+K62+K63*2</f>
        <v>421.29</v>
      </c>
      <c r="L64" s="137" t="s">
        <v>54</v>
      </c>
      <c r="N64" s="136"/>
      <c r="O64" s="136"/>
      <c r="P64" s="136"/>
      <c r="Q64" s="136"/>
      <c r="R64" s="136"/>
      <c r="S64" s="136"/>
      <c r="Y64"/>
      <c r="Z64"/>
      <c r="AA64"/>
      <c r="AB64"/>
      <c r="AC64"/>
      <c r="AE64"/>
      <c r="AF64"/>
      <c r="AG64"/>
      <c r="AH64"/>
      <c r="AI64"/>
      <c r="AJ64"/>
      <c r="AK64" s="1"/>
      <c r="AL64" s="1"/>
      <c r="AM64" s="1"/>
      <c r="AN64"/>
      <c r="AO64"/>
      <c r="AP64"/>
    </row>
    <row r="65" spans="2:42" s="10" customFormat="1" x14ac:dyDescent="0.3">
      <c r="B65"/>
      <c r="C65"/>
      <c r="D65"/>
      <c r="E65" s="455">
        <f>+E45</f>
        <v>19</v>
      </c>
      <c r="F65" s="455" t="s">
        <v>55</v>
      </c>
      <c r="G65" s="82" t="s">
        <v>48</v>
      </c>
      <c r="H65" s="83"/>
      <c r="I65" s="84"/>
      <c r="J65" s="85"/>
      <c r="K65" s="86"/>
      <c r="L65" s="135"/>
      <c r="N65" s="136"/>
      <c r="O65" s="136"/>
      <c r="P65" s="136"/>
      <c r="Q65" s="136"/>
      <c r="R65" s="136"/>
      <c r="S65" s="136"/>
      <c r="Y65"/>
      <c r="Z65"/>
      <c r="AA65"/>
      <c r="AB65"/>
      <c r="AC65"/>
      <c r="AD65"/>
      <c r="AE65"/>
      <c r="AF65"/>
      <c r="AG65"/>
      <c r="AH65"/>
      <c r="AI65"/>
      <c r="AJ65"/>
      <c r="AK65" s="1"/>
      <c r="AL65" s="1"/>
      <c r="AM65" s="1"/>
      <c r="AN65"/>
      <c r="AO65"/>
      <c r="AP65"/>
    </row>
    <row r="66" spans="2:42" s="10" customFormat="1" x14ac:dyDescent="0.3">
      <c r="B66"/>
      <c r="C66"/>
      <c r="D66"/>
      <c r="E66" s="456"/>
      <c r="F66" s="456"/>
      <c r="G66" s="82" t="s">
        <v>50</v>
      </c>
      <c r="H66" s="83"/>
      <c r="I66" s="84"/>
      <c r="J66" s="85"/>
      <c r="K66" s="86"/>
      <c r="L66" s="135"/>
      <c r="N66" s="136"/>
      <c r="O66" s="136"/>
      <c r="P66" s="136"/>
      <c r="Q66" s="136"/>
      <c r="R66" s="136"/>
      <c r="S66" s="136"/>
      <c r="Y66"/>
      <c r="Z66"/>
      <c r="AA66"/>
      <c r="AB66"/>
      <c r="AC66"/>
      <c r="AD66"/>
      <c r="AE66"/>
      <c r="AF66"/>
      <c r="AG66"/>
      <c r="AH66"/>
      <c r="AI66"/>
      <c r="AJ66"/>
      <c r="AK66" s="1"/>
      <c r="AL66" s="1"/>
      <c r="AM66" s="1"/>
      <c r="AN66"/>
      <c r="AO66"/>
      <c r="AP66"/>
    </row>
    <row r="67" spans="2:42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0</v>
      </c>
      <c r="I67" s="88"/>
      <c r="J67" s="89"/>
      <c r="K67" s="90">
        <f>+K65+K66*2</f>
        <v>0</v>
      </c>
      <c r="L67" s="135"/>
      <c r="N67" s="136"/>
      <c r="O67" s="136"/>
      <c r="P67" s="136"/>
      <c r="Q67" s="136"/>
      <c r="R67" s="136"/>
      <c r="S67" s="136"/>
      <c r="Y67"/>
      <c r="Z67"/>
      <c r="AA67"/>
      <c r="AB67"/>
      <c r="AC67"/>
      <c r="AD67"/>
      <c r="AE67"/>
      <c r="AF67"/>
      <c r="AG67"/>
      <c r="AH67"/>
      <c r="AI67"/>
      <c r="AJ67"/>
      <c r="AK67" s="1"/>
      <c r="AL67" s="1"/>
      <c r="AM67" s="1"/>
      <c r="AN67"/>
      <c r="AO67"/>
      <c r="AP67"/>
    </row>
    <row r="68" spans="2:42" s="10" customFormat="1" x14ac:dyDescent="0.3">
      <c r="B68"/>
      <c r="C68"/>
      <c r="D68"/>
      <c r="E68" s="455">
        <f>+E48</f>
        <v>20</v>
      </c>
      <c r="F68" s="455" t="s">
        <v>56</v>
      </c>
      <c r="G68" s="82" t="s">
        <v>48</v>
      </c>
      <c r="H68" s="83"/>
      <c r="I68" s="84"/>
      <c r="J68" s="85"/>
      <c r="K68" s="86"/>
      <c r="L68" s="135"/>
      <c r="N68" s="136"/>
      <c r="O68" s="136"/>
      <c r="P68" s="136"/>
      <c r="Q68" s="136"/>
      <c r="R68" s="136"/>
      <c r="S68" s="136"/>
      <c r="Y68"/>
      <c r="Z68"/>
      <c r="AA68"/>
      <c r="AB68"/>
      <c r="AC68"/>
      <c r="AD68"/>
      <c r="AE68"/>
      <c r="AF68"/>
      <c r="AG68"/>
      <c r="AH68"/>
      <c r="AI68"/>
      <c r="AJ68"/>
      <c r="AK68" s="1"/>
      <c r="AL68" s="1"/>
      <c r="AM68" s="1"/>
      <c r="AN68"/>
      <c r="AO68"/>
      <c r="AP68"/>
    </row>
    <row r="69" spans="2:42" s="10" customFormat="1" x14ac:dyDescent="0.3">
      <c r="B69"/>
      <c r="C69"/>
      <c r="D69"/>
      <c r="E69" s="456"/>
      <c r="F69" s="456"/>
      <c r="G69" s="82" t="s">
        <v>50</v>
      </c>
      <c r="H69" s="83"/>
      <c r="I69" s="84"/>
      <c r="J69" s="85"/>
      <c r="K69" s="86"/>
      <c r="L69" s="135"/>
      <c r="N69" s="136"/>
      <c r="O69" s="136"/>
      <c r="P69" s="136"/>
      <c r="Q69" s="136"/>
      <c r="R69" s="136"/>
      <c r="S69" s="136"/>
      <c r="Y69"/>
      <c r="Z69"/>
      <c r="AA69"/>
      <c r="AB69"/>
      <c r="AC69"/>
      <c r="AD69"/>
      <c r="AE69"/>
      <c r="AF69"/>
      <c r="AG69"/>
      <c r="AH69"/>
      <c r="AI69"/>
      <c r="AJ69"/>
      <c r="AK69" s="1"/>
      <c r="AL69" s="1"/>
      <c r="AM69" s="1"/>
      <c r="AN69"/>
      <c r="AO69"/>
      <c r="AP69"/>
    </row>
    <row r="70" spans="2:42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0</v>
      </c>
      <c r="I70" s="88"/>
      <c r="J70" s="89"/>
      <c r="K70" s="90">
        <f>+K68+K69*2</f>
        <v>0</v>
      </c>
      <c r="L70" s="135"/>
      <c r="N70" s="136"/>
      <c r="O70" s="136"/>
      <c r="P70" s="136"/>
      <c r="Q70" s="136"/>
      <c r="R70" s="136"/>
      <c r="S70" s="136"/>
      <c r="Y70"/>
      <c r="Z70"/>
      <c r="AA70"/>
      <c r="AB70"/>
      <c r="AC70"/>
      <c r="AD70"/>
      <c r="AE70"/>
      <c r="AF70"/>
      <c r="AG70"/>
      <c r="AH70"/>
      <c r="AI70"/>
      <c r="AJ70"/>
      <c r="AK70" s="1"/>
      <c r="AL70" s="1"/>
      <c r="AM70" s="1"/>
      <c r="AN70"/>
      <c r="AO70"/>
      <c r="AP70"/>
    </row>
    <row r="71" spans="2:42" s="10" customFormat="1" x14ac:dyDescent="0.3">
      <c r="B71"/>
      <c r="C71"/>
      <c r="D71"/>
      <c r="E71" s="455">
        <f>+E51</f>
        <v>21</v>
      </c>
      <c r="F71" s="455" t="s">
        <v>38</v>
      </c>
      <c r="G71" s="82" t="s">
        <v>48</v>
      </c>
      <c r="H71" s="83"/>
      <c r="I71" s="84"/>
      <c r="J71" s="85"/>
      <c r="K71" s="86"/>
      <c r="L71" s="135"/>
      <c r="N71" s="136"/>
      <c r="O71" s="136"/>
      <c r="P71" s="136"/>
      <c r="Q71" s="136"/>
      <c r="R71" s="136"/>
      <c r="S71" s="136"/>
      <c r="Y71"/>
      <c r="Z71"/>
      <c r="AA71"/>
      <c r="AB71"/>
      <c r="AC71"/>
      <c r="AD71"/>
      <c r="AE71"/>
      <c r="AF71"/>
      <c r="AG71"/>
      <c r="AH71"/>
      <c r="AI71"/>
      <c r="AJ71"/>
      <c r="AK71" s="1"/>
      <c r="AL71" s="1"/>
      <c r="AM71" s="1"/>
      <c r="AN71"/>
      <c r="AO71"/>
      <c r="AP71"/>
    </row>
    <row r="72" spans="2:42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Y72"/>
      <c r="Z72"/>
      <c r="AA72"/>
      <c r="AB72"/>
      <c r="AC72"/>
      <c r="AD72"/>
      <c r="AE72"/>
      <c r="AF72"/>
      <c r="AG72"/>
      <c r="AH72"/>
      <c r="AI72"/>
      <c r="AJ72"/>
      <c r="AK72" s="1"/>
      <c r="AL72" s="1"/>
      <c r="AM72" s="1"/>
      <c r="AN72"/>
      <c r="AO72"/>
      <c r="AP72"/>
    </row>
    <row r="73" spans="2:42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0</v>
      </c>
      <c r="I73" s="88"/>
      <c r="J73" s="89"/>
      <c r="K73" s="90">
        <f>+K71+K72*2</f>
        <v>0</v>
      </c>
      <c r="L73" s="135"/>
      <c r="N73" s="136"/>
      <c r="O73" s="136"/>
      <c r="P73" s="136"/>
      <c r="Q73" s="136"/>
      <c r="R73" s="136"/>
      <c r="S73" s="136"/>
      <c r="Y73"/>
      <c r="Z73"/>
      <c r="AA73"/>
      <c r="AB73"/>
      <c r="AC73"/>
      <c r="AD73"/>
      <c r="AE73"/>
      <c r="AF73"/>
      <c r="AG73"/>
      <c r="AH73"/>
      <c r="AI73"/>
      <c r="AJ73"/>
      <c r="AK73" s="1"/>
      <c r="AL73" s="1"/>
      <c r="AM73" s="1"/>
      <c r="AN73"/>
      <c r="AO73"/>
      <c r="AP73"/>
    </row>
    <row r="76" spans="2:42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</row>
    <row r="77" spans="2:42" ht="18" customHeight="1" x14ac:dyDescent="0.3">
      <c r="B77" t="s">
        <v>5</v>
      </c>
      <c r="D77" s="7">
        <v>55</v>
      </c>
      <c r="F77" s="8" t="s">
        <v>6</v>
      </c>
      <c r="T77" s="9">
        <v>1.2</v>
      </c>
      <c r="Z77" s="12">
        <f>Z61</f>
        <v>0</v>
      </c>
      <c r="AA77" s="11">
        <f>AA61</f>
        <v>0</v>
      </c>
      <c r="AB77" s="12"/>
      <c r="AD77" s="8"/>
    </row>
    <row r="78" spans="2:42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441" t="s">
        <v>12</v>
      </c>
      <c r="U78" s="418"/>
      <c r="V78" s="442"/>
      <c r="W78" s="446" t="s">
        <v>13</v>
      </c>
      <c r="X78" s="418"/>
      <c r="Y78" s="418"/>
      <c r="Z78" s="13"/>
      <c r="AA78" s="14"/>
      <c r="AB78" s="447" t="s">
        <v>14</v>
      </c>
      <c r="AC78" s="449" t="s">
        <v>15</v>
      </c>
      <c r="AD78" s="418" t="s">
        <v>16</v>
      </c>
    </row>
    <row r="79" spans="2:42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5" t="s">
        <v>12</v>
      </c>
      <c r="U79" s="16" t="s">
        <v>17</v>
      </c>
      <c r="V79" s="17" t="s">
        <v>18</v>
      </c>
      <c r="W79" s="18" t="s">
        <v>13</v>
      </c>
      <c r="X79" s="16" t="s">
        <v>19</v>
      </c>
      <c r="Y79" s="19" t="s">
        <v>18</v>
      </c>
      <c r="Z79" s="236" t="s">
        <v>20</v>
      </c>
      <c r="AA79" s="20" t="s">
        <v>21</v>
      </c>
      <c r="AB79" s="448"/>
      <c r="AC79" s="450"/>
      <c r="AD79" s="419"/>
      <c r="AE79" s="21" t="s">
        <v>22</v>
      </c>
      <c r="AF79" s="21" t="s">
        <v>23</v>
      </c>
      <c r="AG79" s="22"/>
      <c r="AH79" s="22"/>
      <c r="AI79" s="22" t="s">
        <v>24</v>
      </c>
      <c r="AJ79" s="22"/>
      <c r="AK79" s="23" t="s">
        <v>25</v>
      </c>
      <c r="AL79" s="23" t="s">
        <v>26</v>
      </c>
      <c r="AM79" s="23" t="s">
        <v>27</v>
      </c>
      <c r="AN79" s="22"/>
      <c r="AO79" s="22">
        <f>SUM(AO80:AO85)</f>
        <v>-50</v>
      </c>
    </row>
    <row r="80" spans="2:42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95">
        <f>+T94</f>
        <v>0</v>
      </c>
      <c r="U80" s="96">
        <f>IF(F80=0,"휴무",T80/F80)</f>
        <v>0</v>
      </c>
      <c r="V80" s="97">
        <f>IFERROR(T80/#REF!,0)</f>
        <v>0</v>
      </c>
      <c r="W80" s="98">
        <f>+W94</f>
        <v>0</v>
      </c>
      <c r="X80" s="96">
        <f t="shared" ref="X80:X85" si="23">IF(F80=0,"휴무",W80/F80)</f>
        <v>0</v>
      </c>
      <c r="Y80" s="99">
        <f>IFERROR(W80/#REF!,0)</f>
        <v>0</v>
      </c>
      <c r="Z80" s="100" t="e">
        <f>IF(F80=0,"휴무",T80/#REF!*$Z$4)</f>
        <v>#REF!</v>
      </c>
      <c r="AA80" s="101" t="e">
        <f>IF(F80=0,"휴무",W80/#REF!*$AA$4)</f>
        <v>#REF!</v>
      </c>
      <c r="AB80" s="102" t="e">
        <f t="shared" ref="AB80:AB85" si="24">IF(F80=0,"휴무",Z80+AA80)</f>
        <v>#REF!</v>
      </c>
      <c r="AC80" s="103" t="e">
        <f t="shared" ref="AC80:AC85" si="25">IF(F80=0,"휴무",IF(AB80&gt;=100,"좋아요",IF(AB80&gt;=90,"90~99",IF(AB80&gt;=80,"80~89"," 사유?→"))))</f>
        <v>#REF!</v>
      </c>
      <c r="AD80" s="104"/>
      <c r="AE80" s="37">
        <f>AF80-F80</f>
        <v>-10</v>
      </c>
      <c r="AF80" s="38">
        <f>AM80</f>
        <v>0</v>
      </c>
      <c r="AG80" s="242" t="s">
        <v>29</v>
      </c>
      <c r="AH80" s="39"/>
      <c r="AI80" s="40" t="str">
        <f>IFERROR(Y80/V80*1000,"")</f>
        <v/>
      </c>
      <c r="AJ80" s="39"/>
      <c r="AK80" s="41"/>
      <c r="AL80" s="41"/>
      <c r="AM80" s="41"/>
      <c r="AN80" s="242"/>
      <c r="AO80" s="242">
        <f>AN80-F80</f>
        <v>-10</v>
      </c>
    </row>
    <row r="81" spans="2:41" ht="98.25" customHeight="1" x14ac:dyDescent="0.3">
      <c r="B81" s="459"/>
      <c r="C81" s="92">
        <v>20</v>
      </c>
      <c r="D81" s="243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95">
        <f>+T97</f>
        <v>0</v>
      </c>
      <c r="U81" s="62">
        <f>IF(F81=0,"휴무",T81/F81)</f>
        <v>0</v>
      </c>
      <c r="V81" s="63">
        <f>IFERROR(T81/#REF!,0)</f>
        <v>0</v>
      </c>
      <c r="W81" s="105">
        <f>+W97</f>
        <v>0</v>
      </c>
      <c r="X81" s="96">
        <f t="shared" si="23"/>
        <v>0</v>
      </c>
      <c r="Y81" s="65">
        <f>IFERROR(W81/#REF!,0)</f>
        <v>0</v>
      </c>
      <c r="Z81" s="106" t="e">
        <f>IF(F81=0,"휴무",T81/#REF!*$Z$4)</f>
        <v>#REF!</v>
      </c>
      <c r="AA81" s="107" t="e">
        <f>IF(F81=0,"휴무",W81/#REF!*$AA$4)</f>
        <v>#REF!</v>
      </c>
      <c r="AB81" s="66" t="e">
        <f t="shared" si="24"/>
        <v>#REF!</v>
      </c>
      <c r="AC81" s="108" t="e">
        <f t="shared" si="25"/>
        <v>#REF!</v>
      </c>
      <c r="AD81" s="109"/>
      <c r="AE81" s="37">
        <f>AF81-F81</f>
        <v>-10</v>
      </c>
      <c r="AF81" s="38">
        <f>AM81</f>
        <v>0</v>
      </c>
      <c r="AG81" s="242" t="s">
        <v>34</v>
      </c>
      <c r="AH81" s="39"/>
      <c r="AI81" s="40" t="str">
        <f>IFERROR(Y81/V81*1000,"")</f>
        <v/>
      </c>
      <c r="AJ81" s="39"/>
      <c r="AK81" s="41"/>
      <c r="AL81" s="41"/>
      <c r="AM81" s="41"/>
      <c r="AN81" s="242"/>
      <c r="AO81" s="242">
        <f>AN81-F81</f>
        <v>-10</v>
      </c>
    </row>
    <row r="82" spans="2:41" ht="98.25" customHeight="1" x14ac:dyDescent="0.3">
      <c r="B82" s="459"/>
      <c r="C82" s="92">
        <v>21</v>
      </c>
      <c r="D82" s="243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95">
        <f>+T100</f>
        <v>0</v>
      </c>
      <c r="U82" s="62">
        <f>IF(F82=0,"휴무",T82/F82)</f>
        <v>0</v>
      </c>
      <c r="V82" s="63">
        <f>IFERROR(T82/#REF!,0)</f>
        <v>0</v>
      </c>
      <c r="W82" s="105">
        <f>+W100</f>
        <v>0</v>
      </c>
      <c r="X82" s="96">
        <f t="shared" si="23"/>
        <v>0</v>
      </c>
      <c r="Y82" s="65">
        <f>IFERROR(W82/#REF!,0)</f>
        <v>0</v>
      </c>
      <c r="Z82" s="106" t="e">
        <f>IF(F82=0,"휴무",T82/#REF!*$Z$4)</f>
        <v>#REF!</v>
      </c>
      <c r="AA82" s="107" t="e">
        <f>IF(F82=0,"휴무",W82/#REF!*$AA$4)</f>
        <v>#REF!</v>
      </c>
      <c r="AB82" s="66" t="e">
        <f t="shared" si="24"/>
        <v>#REF!</v>
      </c>
      <c r="AC82" s="108" t="e">
        <f t="shared" si="25"/>
        <v>#REF!</v>
      </c>
      <c r="AD82" s="109"/>
      <c r="AE82" s="37">
        <f>AF82-F82</f>
        <v>-10</v>
      </c>
      <c r="AF82" s="38">
        <f>AM82</f>
        <v>0</v>
      </c>
      <c r="AG82" s="242" t="s">
        <v>36</v>
      </c>
      <c r="AH82" s="39"/>
      <c r="AI82" s="40" t="str">
        <f>IFERROR(Y82/V82*1000,"")</f>
        <v/>
      </c>
      <c r="AJ82" s="39"/>
      <c r="AK82" s="41"/>
      <c r="AL82" s="41"/>
      <c r="AM82" s="41"/>
      <c r="AN82" s="242"/>
      <c r="AO82" s="242">
        <f>AN82-F82</f>
        <v>-10</v>
      </c>
    </row>
    <row r="83" spans="2:41" ht="98.25" customHeight="1" x14ac:dyDescent="0.3">
      <c r="B83" s="459"/>
      <c r="C83" s="92">
        <v>22</v>
      </c>
      <c r="D83" s="243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95">
        <f>+T103</f>
        <v>0</v>
      </c>
      <c r="U83" s="62">
        <f>IF(F83=0,"휴무",T83/F83)</f>
        <v>0</v>
      </c>
      <c r="V83" s="63">
        <f>IFERROR(T83/#REF!,0)</f>
        <v>0</v>
      </c>
      <c r="W83" s="105">
        <f>+W103</f>
        <v>0</v>
      </c>
      <c r="X83" s="62">
        <f t="shared" si="23"/>
        <v>0</v>
      </c>
      <c r="Y83" s="65">
        <f>IFERROR(W83/#REF!,0)</f>
        <v>0</v>
      </c>
      <c r="Z83" s="106" t="e">
        <f>IF(F83=0,"휴무",T83/#REF!*$Z$4)</f>
        <v>#REF!</v>
      </c>
      <c r="AA83" s="107" t="e">
        <f>IF(F83=0,"휴무",W83/#REF!*$AA$4)</f>
        <v>#REF!</v>
      </c>
      <c r="AB83" s="66" t="e">
        <f t="shared" si="24"/>
        <v>#REF!</v>
      </c>
      <c r="AC83" s="110" t="e">
        <f t="shared" si="25"/>
        <v>#REF!</v>
      </c>
      <c r="AD83" s="104"/>
      <c r="AE83" s="37">
        <f>AF83-F83</f>
        <v>-10</v>
      </c>
      <c r="AF83" s="38">
        <f>AM83</f>
        <v>0</v>
      </c>
      <c r="AG83" s="242" t="s">
        <v>33</v>
      </c>
      <c r="AH83" s="39"/>
      <c r="AI83" s="40" t="str">
        <f>IFERROR(Y83/V83*1000,"")</f>
        <v/>
      </c>
      <c r="AJ83" s="39"/>
      <c r="AK83" s="41"/>
      <c r="AL83" s="41"/>
      <c r="AM83" s="41"/>
      <c r="AN83" s="242"/>
      <c r="AO83" s="242">
        <f>AN83-F83</f>
        <v>-10</v>
      </c>
    </row>
    <row r="84" spans="2:41" ht="98.25" customHeight="1" x14ac:dyDescent="0.3">
      <c r="B84" s="459"/>
      <c r="C84" s="92">
        <v>23</v>
      </c>
      <c r="D84" s="243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95">
        <f>+T104</f>
        <v>0</v>
      </c>
      <c r="U84" s="62">
        <f>IF(F84=0,"휴무",T84/F84)</f>
        <v>0</v>
      </c>
      <c r="V84" s="63">
        <f>IFERROR(T84/#REF!,0)</f>
        <v>0</v>
      </c>
      <c r="W84" s="105">
        <f>+W104</f>
        <v>0</v>
      </c>
      <c r="X84" s="62">
        <f t="shared" si="23"/>
        <v>0</v>
      </c>
      <c r="Y84" s="65">
        <f>IFERROR(W84/#REF!,0)</f>
        <v>0</v>
      </c>
      <c r="Z84" s="106" t="e">
        <f>IF(F84=0,"휴무",T84/#REF!*$Z$4)</f>
        <v>#REF!</v>
      </c>
      <c r="AA84" s="107" t="e">
        <f>IF(F84=0,"휴무",W84/#REF!*$AA$4)</f>
        <v>#REF!</v>
      </c>
      <c r="AB84" s="66" t="e">
        <f t="shared" si="24"/>
        <v>#REF!</v>
      </c>
      <c r="AC84" s="110" t="e">
        <f t="shared" si="25"/>
        <v>#REF!</v>
      </c>
      <c r="AD84" s="104"/>
      <c r="AE84" s="37">
        <f>AF84-F84</f>
        <v>-10</v>
      </c>
      <c r="AF84" s="38">
        <f>AM84</f>
        <v>0</v>
      </c>
      <c r="AG84" s="242" t="s">
        <v>46</v>
      </c>
      <c r="AH84" s="39"/>
      <c r="AI84" s="40" t="str">
        <f>IFERROR(Y84/V84*1000,"")</f>
        <v/>
      </c>
      <c r="AJ84" s="242"/>
      <c r="AK84" s="41"/>
      <c r="AL84" s="41"/>
      <c r="AM84" s="41"/>
      <c r="AN84" s="242"/>
      <c r="AO84" s="242">
        <f>AN84-F84</f>
        <v>-10</v>
      </c>
    </row>
    <row r="85" spans="2:41" ht="98.25" customHeight="1" x14ac:dyDescent="0.3">
      <c r="B85" s="459"/>
      <c r="C85" s="92">
        <v>25</v>
      </c>
      <c r="D85" s="243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240"/>
      <c r="H85" s="240"/>
      <c r="I85" s="240"/>
      <c r="J85" s="240"/>
      <c r="K85" s="240"/>
      <c r="L85" s="240"/>
      <c r="M85" s="240"/>
      <c r="N85" s="240"/>
      <c r="O85" s="240"/>
      <c r="P85" s="240"/>
      <c r="Q85" s="240"/>
      <c r="R85" s="240"/>
      <c r="S85" s="240"/>
      <c r="T85" s="95">
        <f>T109</f>
        <v>0</v>
      </c>
      <c r="U85" s="96">
        <v>58.924999999999997</v>
      </c>
      <c r="V85" s="97">
        <v>0.89280303030303021</v>
      </c>
      <c r="W85" s="98">
        <f>W109</f>
        <v>0</v>
      </c>
      <c r="X85" s="62" t="str">
        <f t="shared" si="23"/>
        <v>휴무</v>
      </c>
      <c r="Y85" s="65">
        <f>IFERROR(W85/#REF!,0)</f>
        <v>0</v>
      </c>
      <c r="Z85" s="106" t="str">
        <f>IF(F85=0,"휴무",T85/#REF!*$Z$4)</f>
        <v>휴무</v>
      </c>
      <c r="AA85" s="107" t="str">
        <f>IF(F85=0,"휴무",W85/#REF!*$AA$4)</f>
        <v>휴무</v>
      </c>
      <c r="AB85" s="66" t="str">
        <f t="shared" si="24"/>
        <v>휴무</v>
      </c>
      <c r="AC85" s="110" t="str">
        <f t="shared" si="25"/>
        <v>휴무</v>
      </c>
      <c r="AD85" s="104"/>
      <c r="AE85" s="37"/>
      <c r="AF85" s="38"/>
      <c r="AG85" s="242"/>
      <c r="AH85" s="39"/>
      <c r="AI85" s="40"/>
      <c r="AJ85" s="242"/>
      <c r="AK85" s="41"/>
      <c r="AL85" s="41"/>
      <c r="AM85" s="41"/>
      <c r="AN85" s="242"/>
      <c r="AO85" s="242"/>
    </row>
    <row r="86" spans="2:41" ht="36" customHeight="1" x14ac:dyDescent="0.3">
      <c r="B86" s="460" t="s">
        <v>39</v>
      </c>
      <c r="C86" s="461"/>
      <c r="D86" s="461"/>
      <c r="E86" s="462"/>
      <c r="F86" s="243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11">
        <f>SUM(T80:T85)</f>
        <v>0</v>
      </c>
      <c r="U86" s="112"/>
      <c r="V86" s="63">
        <f>IFERROR(T86/#REF!,0)</f>
        <v>0</v>
      </c>
      <c r="W86" s="113">
        <f>SUM(W80:W85)</f>
        <v>0</v>
      </c>
      <c r="X86" s="62"/>
      <c r="Y86" s="65">
        <f>IFERROR(W86/#REF!,0)</f>
        <v>0</v>
      </c>
      <c r="Z86" s="243"/>
      <c r="AA86" s="239"/>
      <c r="AB86" s="114"/>
      <c r="AC86" s="115"/>
      <c r="AD86" s="241"/>
      <c r="AE86" s="37">
        <f>AF86-F86</f>
        <v>-50</v>
      </c>
      <c r="AF86" s="38">
        <f>SUM(AF80:AF85)</f>
        <v>0</v>
      </c>
      <c r="AG86" s="242"/>
      <c r="AH86" s="242"/>
      <c r="AI86" s="40"/>
      <c r="AJ86" s="242"/>
      <c r="AK86" s="59"/>
      <c r="AL86" s="59"/>
      <c r="AM86" s="59"/>
      <c r="AN86" s="242"/>
      <c r="AO86" s="242"/>
    </row>
    <row r="87" spans="2:41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61">
        <f>U87*F87</f>
        <v>0</v>
      </c>
      <c r="U87" s="62">
        <f>T86/F86</f>
        <v>0</v>
      </c>
      <c r="V87" s="63">
        <f>IFERROR(T87/#REF!,0)</f>
        <v>0</v>
      </c>
      <c r="W87" s="64">
        <f>W86/F86*F87</f>
        <v>0</v>
      </c>
      <c r="X87" s="62">
        <f>IF(F87=0,"휴무",W87/F87)</f>
        <v>0</v>
      </c>
      <c r="Y87" s="65">
        <f>IFERROR(W87/#REF!,0)</f>
        <v>0</v>
      </c>
      <c r="Z87" s="60" t="e">
        <f>AVERAGE(Z80:Z85)</f>
        <v>#REF!</v>
      </c>
      <c r="AA87" s="60" t="e">
        <f>AVERAGE(AA80:AA85)</f>
        <v>#REF!</v>
      </c>
      <c r="AB87" s="66" t="e">
        <f>Z87+AA87</f>
        <v>#REF!</v>
      </c>
      <c r="AC87" s="115" t="e">
        <f>IF(F87=0,"휴무",IF(AB87&gt;=100,"좋아요",IF(AB87&gt;=90,"90~99",IF(AB87&gt;=80,"80~89"," 사유?→"))))</f>
        <v>#REF!</v>
      </c>
      <c r="AD87" s="68"/>
      <c r="AE87" s="69"/>
      <c r="AF87" s="69"/>
      <c r="AG87" s="69"/>
      <c r="AH87" s="69"/>
      <c r="AI87" s="40" t="str">
        <f>IFERROR(Y87/V87*1000,"")</f>
        <v/>
      </c>
      <c r="AJ87" s="69"/>
      <c r="AK87" s="10"/>
      <c r="AL87" s="10"/>
      <c r="AM87" s="10"/>
      <c r="AN87" s="69"/>
      <c r="AO87" s="69"/>
    </row>
    <row r="88" spans="2:41" x14ac:dyDescent="0.3">
      <c r="B88" s="70" t="s">
        <v>41</v>
      </c>
      <c r="C88" s="71"/>
      <c r="D88" s="71"/>
      <c r="E88" s="72"/>
      <c r="T88" s="22"/>
      <c r="V88" s="73">
        <f>V87*60</f>
        <v>0</v>
      </c>
      <c r="W88" s="74"/>
      <c r="X88" s="73"/>
      <c r="Y88" s="74">
        <f>Y87*40</f>
        <v>0</v>
      </c>
      <c r="Z88" s="81"/>
      <c r="AA88" s="81"/>
      <c r="AB88" s="74">
        <f>V88+Y88</f>
        <v>0</v>
      </c>
      <c r="AC88" s="242"/>
      <c r="AD88" s="242"/>
      <c r="AE88" s="242"/>
      <c r="AF88" s="242"/>
      <c r="AG88" s="242"/>
      <c r="AH88" s="242"/>
      <c r="AI88" s="242"/>
      <c r="AJ88" s="242"/>
      <c r="AK88" s="59"/>
      <c r="AL88" s="59"/>
      <c r="AM88" s="59"/>
      <c r="AN88" s="242"/>
      <c r="AO88" s="242"/>
    </row>
    <row r="89" spans="2:41" ht="17.25" thickBot="1" x14ac:dyDescent="0.35">
      <c r="B89" s="70" t="s">
        <v>61</v>
      </c>
      <c r="U89" s="10">
        <v>8.8000000000000007</v>
      </c>
    </row>
    <row r="90" spans="2:41" ht="17.25" thickBot="1" x14ac:dyDescent="0.35">
      <c r="B90" s="76" t="s">
        <v>42</v>
      </c>
      <c r="C90" s="77"/>
      <c r="D90" s="78" t="s">
        <v>43</v>
      </c>
      <c r="E90" s="78"/>
      <c r="F90" s="79"/>
      <c r="X90" s="10">
        <v>50</v>
      </c>
    </row>
    <row r="92" spans="2:41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3"/>
      <c r="U92" s="84"/>
      <c r="V92" s="85"/>
      <c r="W92" s="86"/>
    </row>
    <row r="93" spans="2:41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3"/>
      <c r="U93" s="84"/>
      <c r="V93" s="85"/>
      <c r="W93" s="86"/>
    </row>
    <row r="94" spans="2:41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7">
        <f>+T92+T93*1.6</f>
        <v>0</v>
      </c>
      <c r="U94" s="88"/>
      <c r="V94" s="89"/>
      <c r="W94" s="90">
        <f>+W92+W93*1.6</f>
        <v>0</v>
      </c>
    </row>
    <row r="95" spans="2:41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3"/>
      <c r="U95" s="84"/>
      <c r="V95" s="85"/>
      <c r="W95" s="86"/>
    </row>
    <row r="96" spans="2:41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3"/>
      <c r="U96" s="84"/>
      <c r="V96" s="85"/>
      <c r="W96" s="86"/>
    </row>
    <row r="97" spans="5:30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91">
        <f>+T95+T96*1.6</f>
        <v>0</v>
      </c>
      <c r="U97" s="88"/>
      <c r="V97" s="89"/>
      <c r="W97" s="90">
        <f>+W95+W96*1.6</f>
        <v>0</v>
      </c>
    </row>
    <row r="98" spans="5:30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84"/>
      <c r="V98" s="85"/>
      <c r="W98" s="86"/>
    </row>
    <row r="99" spans="5:30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3"/>
      <c r="U99" s="84"/>
      <c r="V99" s="85"/>
      <c r="W99" s="86"/>
    </row>
    <row r="100" spans="5:30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7">
        <f>+T98+T99*1.6</f>
        <v>0</v>
      </c>
      <c r="U100" s="88"/>
      <c r="V100" s="89"/>
      <c r="W100" s="90">
        <f>+W98+W99*1.6</f>
        <v>0</v>
      </c>
    </row>
    <row r="101" spans="5:30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3"/>
      <c r="U101" s="84"/>
      <c r="V101" s="85"/>
      <c r="W101" s="86"/>
    </row>
    <row r="102" spans="5:30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3"/>
      <c r="U102" s="84"/>
      <c r="V102" s="85"/>
      <c r="W102" s="86"/>
    </row>
    <row r="103" spans="5:30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7">
        <f>+T101+T102*1.6</f>
        <v>0</v>
      </c>
      <c r="U103" s="88"/>
      <c r="V103" s="89"/>
      <c r="W103" s="90">
        <f>+W101+W102*1.6</f>
        <v>0</v>
      </c>
    </row>
    <row r="104" spans="5:30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3"/>
      <c r="U104" s="84"/>
      <c r="V104" s="85"/>
      <c r="W104" s="86"/>
    </row>
    <row r="105" spans="5:30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3"/>
      <c r="U105" s="84"/>
      <c r="V105" s="85"/>
      <c r="W105" s="86"/>
    </row>
    <row r="106" spans="5:30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7">
        <f>+T104+T105*1.6</f>
        <v>0</v>
      </c>
      <c r="U106" s="88"/>
      <c r="V106" s="89"/>
      <c r="W106" s="90">
        <f>+W104+W105*1.6</f>
        <v>0</v>
      </c>
    </row>
    <row r="107" spans="5:30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3"/>
      <c r="U107" s="84"/>
      <c r="V107" s="85"/>
      <c r="W107" s="86"/>
      <c r="AD107" s="116"/>
    </row>
    <row r="108" spans="5:30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3"/>
      <c r="U108" s="84"/>
      <c r="V108" s="85"/>
      <c r="W108" s="86"/>
    </row>
    <row r="109" spans="5:30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7">
        <f>+T107+T108*1.6</f>
        <v>0</v>
      </c>
      <c r="U109" s="88"/>
      <c r="V109" s="89"/>
      <c r="W109" s="90">
        <f>+W107+W108*1.6</f>
        <v>0</v>
      </c>
    </row>
    <row r="114" spans="3:26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</row>
    <row r="116" spans="3:26" x14ac:dyDescent="0.3">
      <c r="C116" s="243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117"/>
      <c r="V116" s="118"/>
      <c r="W116" s="116"/>
      <c r="X116" s="117"/>
      <c r="Y116" s="116"/>
      <c r="Z116" s="116"/>
    </row>
    <row r="117" spans="3:26" x14ac:dyDescent="0.3">
      <c r="C117" s="243" t="s">
        <v>63</v>
      </c>
      <c r="D117" s="466" t="s">
        <v>12</v>
      </c>
      <c r="E117" s="466"/>
      <c r="F117" s="243" t="s">
        <v>64</v>
      </c>
      <c r="G117" s="243"/>
      <c r="H117" s="243"/>
      <c r="I117" s="243"/>
      <c r="J117" s="243"/>
      <c r="K117" s="243"/>
      <c r="L117" s="243"/>
      <c r="M117" s="243"/>
      <c r="N117" s="243"/>
      <c r="O117" s="243"/>
      <c r="P117" s="243"/>
      <c r="Q117" s="243"/>
      <c r="R117" s="243"/>
      <c r="S117" s="243"/>
      <c r="T117" s="243" t="s">
        <v>15</v>
      </c>
      <c r="U117" s="117"/>
      <c r="V117" s="118"/>
      <c r="W117" s="116"/>
      <c r="X117" s="117"/>
      <c r="Y117" s="116"/>
      <c r="Z117" s="116"/>
    </row>
    <row r="118" spans="3:26" x14ac:dyDescent="0.3">
      <c r="C118" s="119">
        <v>45075</v>
      </c>
      <c r="D118" s="466"/>
      <c r="E118" s="466"/>
      <c r="F118" s="243"/>
      <c r="G118" s="243"/>
      <c r="H118" s="243"/>
      <c r="I118" s="243"/>
      <c r="J118" s="243"/>
      <c r="K118" s="243"/>
      <c r="L118" s="243"/>
      <c r="M118" s="243"/>
      <c r="N118" s="243"/>
      <c r="O118" s="243"/>
      <c r="P118" s="243"/>
      <c r="Q118" s="243"/>
      <c r="R118" s="243"/>
      <c r="S118" s="243"/>
      <c r="T118" s="243"/>
      <c r="U118" s="117"/>
      <c r="V118" s="118"/>
      <c r="W118" s="116"/>
      <c r="X118" s="117"/>
      <c r="Y118" s="116"/>
      <c r="Z118" s="116"/>
    </row>
    <row r="119" spans="3:26" x14ac:dyDescent="0.3">
      <c r="C119" s="119">
        <v>45076</v>
      </c>
      <c r="D119" s="466"/>
      <c r="E119" s="466"/>
      <c r="F119" s="243"/>
      <c r="G119" s="243"/>
      <c r="H119" s="243"/>
      <c r="I119" s="243"/>
      <c r="J119" s="243"/>
      <c r="K119" s="243"/>
      <c r="L119" s="243"/>
      <c r="M119" s="243"/>
      <c r="N119" s="243"/>
      <c r="O119" s="243"/>
      <c r="P119" s="243"/>
      <c r="Q119" s="243"/>
      <c r="R119" s="243"/>
      <c r="S119" s="243"/>
      <c r="T119" s="243"/>
      <c r="U119" s="117"/>
      <c r="V119" s="118"/>
      <c r="W119" s="116"/>
      <c r="X119" s="117"/>
      <c r="Y119" s="116"/>
      <c r="Z119" s="116"/>
    </row>
    <row r="120" spans="3:26" x14ac:dyDescent="0.3">
      <c r="C120" s="119">
        <v>45077</v>
      </c>
      <c r="D120" s="466"/>
      <c r="E120" s="466"/>
      <c r="F120" s="243"/>
      <c r="G120" s="243"/>
      <c r="H120" s="243"/>
      <c r="I120" s="243"/>
      <c r="J120" s="243"/>
      <c r="K120" s="243"/>
      <c r="L120" s="243"/>
      <c r="M120" s="243"/>
      <c r="N120" s="243"/>
      <c r="O120" s="243"/>
      <c r="P120" s="243"/>
      <c r="Q120" s="243"/>
      <c r="R120" s="243"/>
      <c r="S120" s="243"/>
      <c r="T120" s="243"/>
      <c r="U120" s="117"/>
      <c r="V120" s="118"/>
      <c r="W120" s="116"/>
      <c r="X120" s="117"/>
      <c r="Y120" s="116"/>
      <c r="Z120" s="116"/>
    </row>
    <row r="121" spans="3:26" x14ac:dyDescent="0.3">
      <c r="C121" s="119">
        <v>45078</v>
      </c>
      <c r="D121" s="466"/>
      <c r="E121" s="466"/>
      <c r="F121" s="243"/>
      <c r="G121" s="243"/>
      <c r="H121" s="243"/>
      <c r="I121" s="243"/>
      <c r="J121" s="243"/>
      <c r="K121" s="243"/>
      <c r="L121" s="243"/>
      <c r="M121" s="243"/>
      <c r="N121" s="243"/>
      <c r="O121" s="243"/>
      <c r="P121" s="243"/>
      <c r="Q121" s="243"/>
      <c r="R121" s="243"/>
      <c r="S121" s="243"/>
      <c r="T121" s="243"/>
      <c r="U121" s="117"/>
      <c r="V121" s="118"/>
      <c r="W121" s="116"/>
      <c r="X121" s="117"/>
      <c r="Y121" s="116"/>
      <c r="Z121" s="116"/>
    </row>
    <row r="122" spans="3:26" x14ac:dyDescent="0.3">
      <c r="C122" s="119">
        <v>45079</v>
      </c>
      <c r="D122" s="466"/>
      <c r="E122" s="466"/>
      <c r="F122" s="243"/>
      <c r="G122" s="243"/>
      <c r="H122" s="243"/>
      <c r="I122" s="243"/>
      <c r="J122" s="243"/>
      <c r="K122" s="243"/>
      <c r="L122" s="243"/>
      <c r="M122" s="243"/>
      <c r="N122" s="243"/>
      <c r="O122" s="243"/>
      <c r="P122" s="243"/>
      <c r="Q122" s="243"/>
      <c r="R122" s="243"/>
      <c r="S122" s="243"/>
      <c r="T122" s="243"/>
      <c r="U122" s="117"/>
      <c r="V122" s="118"/>
      <c r="W122" s="116"/>
      <c r="X122" s="117"/>
      <c r="Y122" s="116"/>
      <c r="Z122" s="116"/>
    </row>
    <row r="123" spans="3:26" x14ac:dyDescent="0.3">
      <c r="C123" s="119">
        <v>45080</v>
      </c>
      <c r="D123" s="466"/>
      <c r="E123" s="466"/>
      <c r="F123" s="243"/>
      <c r="G123" s="243"/>
      <c r="H123" s="243"/>
      <c r="I123" s="243"/>
      <c r="J123" s="243"/>
      <c r="K123" s="243"/>
      <c r="L123" s="243"/>
      <c r="M123" s="243"/>
      <c r="N123" s="243"/>
      <c r="O123" s="243"/>
      <c r="P123" s="243"/>
      <c r="Q123" s="243"/>
      <c r="R123" s="243"/>
      <c r="S123" s="243"/>
      <c r="T123" s="243"/>
      <c r="U123" s="117"/>
      <c r="V123" s="118"/>
      <c r="W123" s="116"/>
      <c r="X123" s="117"/>
      <c r="Y123" s="116"/>
      <c r="Z123" s="116"/>
    </row>
    <row r="124" spans="3:26" x14ac:dyDescent="0.3">
      <c r="C124" s="243"/>
      <c r="D124" s="460"/>
      <c r="E124" s="462"/>
      <c r="F124" s="243"/>
      <c r="G124" s="243"/>
      <c r="H124" s="243"/>
      <c r="I124" s="243"/>
      <c r="J124" s="243"/>
      <c r="K124" s="243"/>
      <c r="L124" s="243"/>
      <c r="M124" s="243"/>
      <c r="N124" s="243"/>
      <c r="O124" s="243"/>
      <c r="P124" s="243"/>
      <c r="Q124" s="243"/>
      <c r="R124" s="243"/>
      <c r="S124" s="243"/>
      <c r="T124" s="243"/>
      <c r="U124" s="117"/>
      <c r="V124" s="118"/>
      <c r="W124" s="116"/>
      <c r="X124" s="117"/>
      <c r="Y124" s="116"/>
      <c r="Z124" s="116"/>
    </row>
    <row r="125" spans="3:26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117"/>
      <c r="V125" s="118"/>
      <c r="W125" s="116"/>
      <c r="X125" s="117"/>
      <c r="Y125" s="116"/>
      <c r="Z125" s="116"/>
    </row>
    <row r="126" spans="3:26" x14ac:dyDescent="0.3">
      <c r="C126" s="243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117"/>
      <c r="V126" s="118"/>
      <c r="W126" s="116"/>
      <c r="X126" s="117"/>
      <c r="Y126" s="116"/>
      <c r="Z126" s="116"/>
    </row>
    <row r="127" spans="3:26" x14ac:dyDescent="0.3">
      <c r="C127" s="243" t="s">
        <v>63</v>
      </c>
      <c r="D127" s="466" t="s">
        <v>12</v>
      </c>
      <c r="E127" s="466"/>
      <c r="F127" s="243" t="s">
        <v>64</v>
      </c>
      <c r="G127" s="243"/>
      <c r="H127" s="243"/>
      <c r="I127" s="243"/>
      <c r="J127" s="243"/>
      <c r="K127" s="243"/>
      <c r="L127" s="243"/>
      <c r="M127" s="243"/>
      <c r="N127" s="243"/>
      <c r="O127" s="243"/>
      <c r="P127" s="243"/>
      <c r="Q127" s="243"/>
      <c r="R127" s="243"/>
      <c r="S127" s="243"/>
      <c r="T127" s="243" t="s">
        <v>15</v>
      </c>
      <c r="U127" s="117"/>
      <c r="V127" s="118"/>
      <c r="W127" s="116"/>
      <c r="X127" s="117"/>
      <c r="Y127" s="116"/>
      <c r="Z127" s="116"/>
    </row>
    <row r="128" spans="3:26" x14ac:dyDescent="0.3">
      <c r="C128" s="119">
        <v>45075</v>
      </c>
      <c r="D128" s="466"/>
      <c r="E128" s="466"/>
      <c r="F128" s="243"/>
      <c r="G128" s="243"/>
      <c r="H128" s="243"/>
      <c r="I128" s="243"/>
      <c r="J128" s="243"/>
      <c r="K128" s="243"/>
      <c r="L128" s="243"/>
      <c r="M128" s="243"/>
      <c r="N128" s="243"/>
      <c r="O128" s="243"/>
      <c r="P128" s="243"/>
      <c r="Q128" s="243"/>
      <c r="R128" s="243"/>
      <c r="S128" s="243"/>
      <c r="T128" s="243"/>
      <c r="U128" s="117"/>
      <c r="V128" s="118"/>
      <c r="W128" s="116"/>
      <c r="X128" s="117"/>
      <c r="Y128" s="116"/>
      <c r="Z128" s="116"/>
    </row>
    <row r="129" spans="3:26" x14ac:dyDescent="0.3">
      <c r="C129" s="119">
        <v>45076</v>
      </c>
      <c r="D129" s="466"/>
      <c r="E129" s="466"/>
      <c r="F129" s="243"/>
      <c r="G129" s="243"/>
      <c r="H129" s="243"/>
      <c r="I129" s="243"/>
      <c r="J129" s="243"/>
      <c r="K129" s="243"/>
      <c r="L129" s="243"/>
      <c r="M129" s="243"/>
      <c r="N129" s="243"/>
      <c r="O129" s="243"/>
      <c r="P129" s="243"/>
      <c r="Q129" s="243"/>
      <c r="R129" s="243"/>
      <c r="S129" s="243"/>
      <c r="T129" s="243"/>
      <c r="U129" s="117"/>
      <c r="V129" s="118"/>
      <c r="W129" s="116"/>
      <c r="X129" s="117"/>
      <c r="Y129" s="116"/>
      <c r="Z129" s="116"/>
    </row>
    <row r="130" spans="3:26" x14ac:dyDescent="0.3">
      <c r="C130" s="119">
        <v>45077</v>
      </c>
      <c r="D130" s="466"/>
      <c r="E130" s="466"/>
      <c r="F130" s="243"/>
      <c r="G130" s="243"/>
      <c r="H130" s="243"/>
      <c r="I130" s="243"/>
      <c r="J130" s="243"/>
      <c r="K130" s="243"/>
      <c r="L130" s="243"/>
      <c r="M130" s="243"/>
      <c r="N130" s="243"/>
      <c r="O130" s="243"/>
      <c r="P130" s="243"/>
      <c r="Q130" s="243"/>
      <c r="R130" s="243"/>
      <c r="S130" s="243"/>
      <c r="T130" s="243"/>
      <c r="U130" s="117"/>
      <c r="V130" s="118"/>
      <c r="W130" s="116"/>
      <c r="X130" s="117"/>
      <c r="Y130" s="116"/>
      <c r="Z130" s="116"/>
    </row>
    <row r="131" spans="3:26" x14ac:dyDescent="0.3">
      <c r="C131" s="119">
        <v>45078</v>
      </c>
      <c r="D131" s="466"/>
      <c r="E131" s="466"/>
      <c r="F131" s="243"/>
      <c r="G131" s="243"/>
      <c r="H131" s="243"/>
      <c r="I131" s="243"/>
      <c r="J131" s="243"/>
      <c r="K131" s="243"/>
      <c r="L131" s="243"/>
      <c r="M131" s="243"/>
      <c r="N131" s="243"/>
      <c r="O131" s="243"/>
      <c r="P131" s="243"/>
      <c r="Q131" s="243"/>
      <c r="R131" s="243"/>
      <c r="S131" s="243"/>
      <c r="T131" s="243"/>
      <c r="U131" s="117"/>
      <c r="V131" s="118"/>
      <c r="W131" s="116"/>
      <c r="X131" s="117"/>
      <c r="Y131" s="116"/>
      <c r="Z131" s="116"/>
    </row>
    <row r="132" spans="3:26" x14ac:dyDescent="0.3">
      <c r="C132" s="119">
        <v>45079</v>
      </c>
      <c r="D132" s="466"/>
      <c r="E132" s="466"/>
      <c r="F132" s="243"/>
      <c r="G132" s="243"/>
      <c r="H132" s="243"/>
      <c r="I132" s="243"/>
      <c r="J132" s="243"/>
      <c r="K132" s="243"/>
      <c r="L132" s="243"/>
      <c r="M132" s="243"/>
      <c r="N132" s="243"/>
      <c r="O132" s="243"/>
      <c r="P132" s="243"/>
      <c r="Q132" s="243"/>
      <c r="R132" s="243"/>
      <c r="S132" s="243"/>
      <c r="T132" s="243"/>
      <c r="U132" s="117"/>
      <c r="V132" s="118"/>
      <c r="W132" s="116"/>
      <c r="X132" s="117"/>
      <c r="Y132" s="116"/>
      <c r="Z132" s="116"/>
    </row>
    <row r="133" spans="3:26" x14ac:dyDescent="0.3">
      <c r="C133" s="119">
        <v>45080</v>
      </c>
      <c r="D133" s="466"/>
      <c r="E133" s="466"/>
      <c r="F133" s="243"/>
      <c r="G133" s="243"/>
      <c r="H133" s="243"/>
      <c r="I133" s="243"/>
      <c r="J133" s="243"/>
      <c r="K133" s="243"/>
      <c r="L133" s="243"/>
      <c r="M133" s="243"/>
      <c r="N133" s="243"/>
      <c r="O133" s="243"/>
      <c r="P133" s="243"/>
      <c r="Q133" s="243"/>
      <c r="R133" s="243"/>
      <c r="S133" s="243"/>
      <c r="T133" s="243"/>
      <c r="U133" s="117"/>
      <c r="V133" s="118"/>
      <c r="W133" s="116"/>
      <c r="X133" s="117"/>
      <c r="Y133" s="116"/>
      <c r="Z133" s="116"/>
    </row>
    <row r="134" spans="3:26" x14ac:dyDescent="0.3">
      <c r="C134" s="243"/>
      <c r="D134" s="460"/>
      <c r="E134" s="462"/>
      <c r="F134" s="243"/>
      <c r="G134" s="243"/>
      <c r="H134" s="243"/>
      <c r="I134" s="243"/>
      <c r="J134" s="243"/>
      <c r="K134" s="243"/>
      <c r="L134" s="243"/>
      <c r="M134" s="243"/>
      <c r="N134" s="243"/>
      <c r="O134" s="243"/>
      <c r="P134" s="243"/>
      <c r="Q134" s="243"/>
      <c r="R134" s="243"/>
      <c r="S134" s="243"/>
      <c r="T134" s="243"/>
      <c r="U134" s="117"/>
      <c r="V134" s="118"/>
      <c r="W134" s="116"/>
      <c r="X134" s="117"/>
      <c r="Y134" s="116"/>
      <c r="Z134" s="116"/>
    </row>
    <row r="135" spans="3:26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117"/>
      <c r="V135" s="118"/>
      <c r="W135" s="116"/>
      <c r="X135" s="117"/>
      <c r="Y135" s="116"/>
      <c r="Z135" s="116"/>
    </row>
    <row r="136" spans="3:26" x14ac:dyDescent="0.3">
      <c r="C136" s="243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117"/>
      <c r="V136" s="118"/>
      <c r="W136" s="116"/>
      <c r="X136" s="117"/>
      <c r="Y136" s="116"/>
      <c r="Z136" s="116"/>
    </row>
    <row r="137" spans="3:26" x14ac:dyDescent="0.3">
      <c r="C137" s="243" t="s">
        <v>63</v>
      </c>
      <c r="D137" s="466" t="s">
        <v>12</v>
      </c>
      <c r="E137" s="466"/>
      <c r="F137" s="243" t="s">
        <v>64</v>
      </c>
      <c r="G137" s="243"/>
      <c r="H137" s="243"/>
      <c r="I137" s="243"/>
      <c r="J137" s="243"/>
      <c r="K137" s="243"/>
      <c r="L137" s="243"/>
      <c r="M137" s="243"/>
      <c r="N137" s="243"/>
      <c r="O137" s="243"/>
      <c r="P137" s="243"/>
      <c r="Q137" s="243"/>
      <c r="R137" s="243"/>
      <c r="S137" s="243"/>
      <c r="T137" s="243" t="s">
        <v>15</v>
      </c>
      <c r="U137" s="117"/>
      <c r="V137" s="118"/>
      <c r="W137" s="116"/>
      <c r="X137" s="117"/>
      <c r="Y137" s="116"/>
      <c r="Z137" s="116"/>
    </row>
    <row r="138" spans="3:26" x14ac:dyDescent="0.3">
      <c r="C138" s="119">
        <v>45075</v>
      </c>
      <c r="D138" s="466"/>
      <c r="E138" s="466"/>
      <c r="F138" s="243"/>
      <c r="G138" s="243"/>
      <c r="H138" s="243"/>
      <c r="I138" s="243"/>
      <c r="J138" s="243"/>
      <c r="K138" s="243"/>
      <c r="L138" s="243"/>
      <c r="M138" s="243"/>
      <c r="N138" s="243"/>
      <c r="O138" s="243"/>
      <c r="P138" s="243"/>
      <c r="Q138" s="243"/>
      <c r="R138" s="243"/>
      <c r="S138" s="243"/>
      <c r="T138" s="243"/>
      <c r="U138" s="117"/>
      <c r="V138" s="118"/>
      <c r="W138" s="116"/>
      <c r="X138" s="117"/>
      <c r="Y138" s="116"/>
      <c r="Z138" s="116"/>
    </row>
    <row r="139" spans="3:26" x14ac:dyDescent="0.3">
      <c r="C139" s="119">
        <v>45076</v>
      </c>
      <c r="D139" s="466"/>
      <c r="E139" s="466"/>
      <c r="F139" s="243"/>
      <c r="G139" s="243"/>
      <c r="H139" s="243"/>
      <c r="I139" s="243"/>
      <c r="J139" s="243"/>
      <c r="K139" s="243"/>
      <c r="L139" s="243"/>
      <c r="M139" s="243"/>
      <c r="N139" s="243"/>
      <c r="O139" s="243"/>
      <c r="P139" s="243"/>
      <c r="Q139" s="243"/>
      <c r="R139" s="243"/>
      <c r="S139" s="243"/>
      <c r="T139" s="243"/>
      <c r="U139" s="117"/>
      <c r="V139" s="118"/>
      <c r="W139" s="116"/>
      <c r="X139" s="117"/>
      <c r="Y139" s="116"/>
      <c r="Z139" s="116"/>
    </row>
    <row r="140" spans="3:26" x14ac:dyDescent="0.3">
      <c r="C140" s="119">
        <v>45077</v>
      </c>
      <c r="D140" s="466"/>
      <c r="E140" s="466"/>
      <c r="F140" s="243"/>
      <c r="G140" s="243"/>
      <c r="H140" s="243"/>
      <c r="I140" s="243"/>
      <c r="J140" s="243"/>
      <c r="K140" s="243"/>
      <c r="L140" s="243"/>
      <c r="M140" s="243"/>
      <c r="N140" s="243"/>
      <c r="O140" s="243"/>
      <c r="P140" s="243"/>
      <c r="Q140" s="243"/>
      <c r="R140" s="243"/>
      <c r="S140" s="243"/>
      <c r="T140" s="243"/>
    </row>
    <row r="141" spans="3:26" x14ac:dyDescent="0.3">
      <c r="C141" s="119">
        <v>45078</v>
      </c>
      <c r="D141" s="466"/>
      <c r="E141" s="466"/>
      <c r="F141" s="243"/>
      <c r="G141" s="243"/>
      <c r="H141" s="243"/>
      <c r="I141" s="243"/>
      <c r="J141" s="243"/>
      <c r="K141" s="243"/>
      <c r="L141" s="243"/>
      <c r="M141" s="243"/>
      <c r="N141" s="243"/>
      <c r="O141" s="243"/>
      <c r="P141" s="243"/>
      <c r="Q141" s="243"/>
      <c r="R141" s="243"/>
      <c r="S141" s="243"/>
      <c r="T141" s="243"/>
    </row>
    <row r="142" spans="3:26" x14ac:dyDescent="0.3">
      <c r="C142" s="119">
        <v>45079</v>
      </c>
      <c r="D142" s="466"/>
      <c r="E142" s="466"/>
      <c r="F142" s="243"/>
      <c r="G142" s="243"/>
      <c r="H142" s="243"/>
      <c r="I142" s="243"/>
      <c r="J142" s="243"/>
      <c r="K142" s="243"/>
      <c r="L142" s="243"/>
      <c r="M142" s="243"/>
      <c r="N142" s="243"/>
      <c r="O142" s="243"/>
      <c r="P142" s="243"/>
      <c r="Q142" s="243"/>
      <c r="R142" s="243"/>
      <c r="S142" s="243"/>
      <c r="T142" s="243"/>
    </row>
    <row r="143" spans="3:26" x14ac:dyDescent="0.3">
      <c r="C143" s="119">
        <v>45080</v>
      </c>
      <c r="D143" s="466"/>
      <c r="E143" s="466"/>
      <c r="F143" s="243"/>
      <c r="G143" s="243"/>
      <c r="H143" s="243"/>
      <c r="I143" s="243"/>
      <c r="J143" s="243"/>
      <c r="K143" s="243"/>
      <c r="L143" s="243"/>
      <c r="M143" s="243"/>
      <c r="N143" s="243"/>
      <c r="O143" s="243"/>
      <c r="P143" s="243"/>
      <c r="Q143" s="243"/>
      <c r="R143" s="243"/>
      <c r="S143" s="243"/>
      <c r="T143" s="243"/>
    </row>
    <row r="144" spans="3:26" x14ac:dyDescent="0.3">
      <c r="C144" s="243"/>
      <c r="D144" s="460"/>
      <c r="E144" s="462"/>
      <c r="F144" s="243"/>
      <c r="G144" s="243"/>
      <c r="H144" s="243"/>
      <c r="I144" s="243"/>
      <c r="J144" s="243"/>
      <c r="K144" s="243"/>
      <c r="L144" s="243"/>
      <c r="M144" s="243"/>
      <c r="N144" s="243"/>
      <c r="O144" s="243"/>
      <c r="P144" s="243"/>
      <c r="Q144" s="243"/>
      <c r="R144" s="243"/>
      <c r="S144" s="243"/>
      <c r="T144" s="243"/>
    </row>
  </sheetData>
  <mergeCells count="113"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E104:E106"/>
    <mergeCell ref="F104:F106"/>
    <mergeCell ref="E107:E109"/>
    <mergeCell ref="F107:F109"/>
    <mergeCell ref="C114:T114"/>
    <mergeCell ref="D117:E117"/>
    <mergeCell ref="E95:E97"/>
    <mergeCell ref="F95:F97"/>
    <mergeCell ref="E98:E100"/>
    <mergeCell ref="F98:F100"/>
    <mergeCell ref="E101:E103"/>
    <mergeCell ref="F101:F103"/>
    <mergeCell ref="AD78:AD79"/>
    <mergeCell ref="B80:B85"/>
    <mergeCell ref="B86:E86"/>
    <mergeCell ref="B87:E87"/>
    <mergeCell ref="E92:E94"/>
    <mergeCell ref="F92:F94"/>
    <mergeCell ref="B76:AD76"/>
    <mergeCell ref="B78:B79"/>
    <mergeCell ref="C78:C79"/>
    <mergeCell ref="D78:D79"/>
    <mergeCell ref="E78:E79"/>
    <mergeCell ref="F78:F79"/>
    <mergeCell ref="T78:V78"/>
    <mergeCell ref="W78:Y78"/>
    <mergeCell ref="AB78:AB79"/>
    <mergeCell ref="AC78:AC79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B23:B28"/>
    <mergeCell ref="B29:E29"/>
    <mergeCell ref="B30:E30"/>
    <mergeCell ref="I21:R21"/>
    <mergeCell ref="S21:S22"/>
    <mergeCell ref="T21:V21"/>
    <mergeCell ref="W21:Y21"/>
    <mergeCell ref="Z21:Z22"/>
    <mergeCell ref="AA21:AA22"/>
    <mergeCell ref="B13:E13"/>
    <mergeCell ref="B14:E14"/>
    <mergeCell ref="B19:AD19"/>
    <mergeCell ref="B21:B22"/>
    <mergeCell ref="C21:C22"/>
    <mergeCell ref="D21:D22"/>
    <mergeCell ref="E21:E22"/>
    <mergeCell ref="F21:F22"/>
    <mergeCell ref="G21:G22"/>
    <mergeCell ref="H21:H22"/>
    <mergeCell ref="AB21:AB22"/>
    <mergeCell ref="AC21:AC22"/>
    <mergeCell ref="AD21:AD22"/>
    <mergeCell ref="T5:V5"/>
    <mergeCell ref="W5:Y5"/>
    <mergeCell ref="AB5:AB6"/>
    <mergeCell ref="AC5:AC6"/>
    <mergeCell ref="AD5:AD6"/>
    <mergeCell ref="B7:B12"/>
    <mergeCell ref="B2:AD2"/>
    <mergeCell ref="B3:AD3"/>
    <mergeCell ref="B5:C6"/>
    <mergeCell ref="D5:D6"/>
    <mergeCell ref="E5:E6"/>
    <mergeCell ref="F5:F6"/>
    <mergeCell ref="G5:G6"/>
    <mergeCell ref="H5:H6"/>
    <mergeCell ref="I5:R5"/>
    <mergeCell ref="S5:S6"/>
  </mergeCells>
  <phoneticPr fontId="4" type="noConversion"/>
  <dataValidations disablePrompts="1" count="3">
    <dataValidation type="list" allowBlank="1" showInputMessage="1" showErrorMessage="1" sqref="AG23:AG25 AG7 AG10 AG80:AG82">
      <formula1>$AD$6:$AD$8</formula1>
    </dataValidation>
    <dataValidation type="list" allowBlank="1" showInputMessage="1" showErrorMessage="1" sqref="E80:E85 E7:E11 E23:E25">
      <formula1>$AG$7:$AG$12</formula1>
    </dataValidation>
    <dataValidation type="list" allowBlank="1" showInputMessage="1" showErrorMessage="1" sqref="E26:E28 E12">
      <formula1>$AF$6:$AF$11</formula1>
    </dataValidation>
  </dataValidations>
  <pageMargins left="0.62992125984251968" right="0.62992125984251968" top="0.94488188976377963" bottom="0.55118110236220474" header="0.31496062992125984" footer="0.31496062992125984"/>
  <pageSetup paperSize="9" scale="26" orientation="landscape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Y144"/>
  <sheetViews>
    <sheetView showGridLines="0" zoomScale="70" zoomScaleNormal="70" workbookViewId="0">
      <pane xSplit="4" ySplit="6" topLeftCell="E28" activePane="bottomRight" state="frozen"/>
      <selection pane="topRight" activeCell="D1" sqref="D1"/>
      <selection pane="bottomLeft" activeCell="A6" sqref="A6"/>
      <selection pane="bottomRight" activeCell="F27" sqref="F27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19" width="8.625" style="8" customWidth="1"/>
    <col min="20" max="20" width="10.75" style="75" customWidth="1"/>
    <col min="21" max="21" width="10.875" style="10" customWidth="1"/>
    <col min="22" max="22" width="7.375" style="11" customWidth="1"/>
    <col min="23" max="23" width="12.25" customWidth="1"/>
    <col min="24" max="24" width="7.75" style="10" customWidth="1"/>
    <col min="25" max="25" width="10.375" customWidth="1"/>
    <col min="26" max="26" width="9.5" customWidth="1"/>
    <col min="27" max="27" width="10" customWidth="1"/>
    <col min="28" max="28" width="7.125" customWidth="1"/>
    <col min="29" max="29" width="8.375" customWidth="1"/>
    <col min="30" max="30" width="56.375" customWidth="1"/>
    <col min="31" max="32" width="9.125" hidden="1" customWidth="1"/>
    <col min="33" max="33" width="8.75" hidden="1" customWidth="1"/>
    <col min="34" max="34" width="2.75" hidden="1" customWidth="1"/>
    <col min="35" max="35" width="9.125" hidden="1" customWidth="1"/>
    <col min="36" max="36" width="0" hidden="1" customWidth="1"/>
    <col min="37" max="39" width="9.125" style="1" hidden="1" customWidth="1"/>
    <col min="40" max="41" width="0" hidden="1" customWidth="1"/>
    <col min="42" max="42" width="11.75" hidden="1" customWidth="1"/>
    <col min="43" max="43" width="3.25" customWidth="1"/>
  </cols>
  <sheetData>
    <row r="2" spans="2:51" ht="20.25" x14ac:dyDescent="0.3">
      <c r="B2" s="425" t="s">
        <v>146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V2" s="2" t="s">
        <v>0</v>
      </c>
      <c r="AW2" s="231" t="s">
        <v>1</v>
      </c>
      <c r="AX2" s="231" t="s">
        <v>2</v>
      </c>
      <c r="AY2" s="3" t="s">
        <v>3</v>
      </c>
    </row>
    <row r="3" spans="2:51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V3" s="4"/>
      <c r="AW3" s="5"/>
      <c r="AX3" s="5"/>
      <c r="AY3" s="6"/>
    </row>
    <row r="4" spans="2:51" x14ac:dyDescent="0.3">
      <c r="B4" t="s">
        <v>5</v>
      </c>
      <c r="D4" s="7">
        <v>55</v>
      </c>
      <c r="F4" s="8" t="s">
        <v>6</v>
      </c>
      <c r="T4" s="9">
        <v>1.2</v>
      </c>
      <c r="Z4" s="12">
        <v>50</v>
      </c>
      <c r="AA4" s="11">
        <f>50*10.89/10</f>
        <v>54.45</v>
      </c>
      <c r="AB4" s="12"/>
      <c r="AD4" s="8"/>
    </row>
    <row r="5" spans="2:51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8"/>
      <c r="S5" s="439" t="s">
        <v>11</v>
      </c>
      <c r="T5" s="441" t="s">
        <v>12</v>
      </c>
      <c r="U5" s="418"/>
      <c r="V5" s="442"/>
      <c r="W5" s="446" t="s">
        <v>13</v>
      </c>
      <c r="X5" s="418"/>
      <c r="Y5" s="418"/>
      <c r="Z5" s="13"/>
      <c r="AA5" s="14"/>
      <c r="AB5" s="447" t="s">
        <v>14</v>
      </c>
      <c r="AC5" s="449" t="s">
        <v>15</v>
      </c>
      <c r="AD5" s="418" t="s">
        <v>16</v>
      </c>
    </row>
    <row r="6" spans="2:51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234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76</v>
      </c>
      <c r="Q6" s="18" t="s">
        <v>77</v>
      </c>
      <c r="R6" s="127" t="s">
        <v>80</v>
      </c>
      <c r="S6" s="440"/>
      <c r="T6" s="15" t="s">
        <v>12</v>
      </c>
      <c r="U6" s="16" t="s">
        <v>17</v>
      </c>
      <c r="V6" s="17" t="s">
        <v>18</v>
      </c>
      <c r="W6" s="18" t="s">
        <v>13</v>
      </c>
      <c r="X6" s="16" t="s">
        <v>19</v>
      </c>
      <c r="Y6" s="19" t="s">
        <v>18</v>
      </c>
      <c r="Z6" s="234" t="s">
        <v>20</v>
      </c>
      <c r="AA6" s="20" t="s">
        <v>21</v>
      </c>
      <c r="AB6" s="448"/>
      <c r="AC6" s="450"/>
      <c r="AD6" s="419"/>
      <c r="AE6" s="21" t="s">
        <v>22</v>
      </c>
      <c r="AF6" s="21" t="s">
        <v>23</v>
      </c>
      <c r="AI6" s="22" t="s">
        <v>24</v>
      </c>
      <c r="AK6" s="23" t="s">
        <v>25</v>
      </c>
      <c r="AL6" s="23" t="s">
        <v>26</v>
      </c>
      <c r="AM6" s="23" t="s">
        <v>27</v>
      </c>
      <c r="AO6" s="22">
        <f>SUM(AO7:AO12)</f>
        <v>-41.5</v>
      </c>
    </row>
    <row r="7" spans="2:51" s="232" customFormat="1" ht="99" customHeight="1" thickTop="1" x14ac:dyDescent="0.3">
      <c r="B7" s="420">
        <v>3</v>
      </c>
      <c r="C7" s="24">
        <v>9</v>
      </c>
      <c r="D7" s="25" t="s">
        <v>7</v>
      </c>
      <c r="E7" s="26" t="s">
        <v>29</v>
      </c>
      <c r="F7" s="25">
        <v>8.5</v>
      </c>
      <c r="G7" s="128">
        <v>532</v>
      </c>
      <c r="H7" s="128">
        <f>(G7/T7)*100</f>
        <v>100</v>
      </c>
      <c r="I7" s="123" t="s">
        <v>85</v>
      </c>
      <c r="J7" s="123" t="s">
        <v>86</v>
      </c>
      <c r="K7" s="123" t="s">
        <v>73</v>
      </c>
      <c r="L7" s="123" t="s">
        <v>87</v>
      </c>
      <c r="M7" s="123"/>
      <c r="N7" s="129" t="s">
        <v>90</v>
      </c>
      <c r="O7" s="123" t="s">
        <v>74</v>
      </c>
      <c r="P7" s="123" t="s">
        <v>91</v>
      </c>
      <c r="Q7" s="123" t="s">
        <v>89</v>
      </c>
      <c r="R7" s="125">
        <f t="shared" ref="R7:R13" si="0">COUNTA(I7:M7)+COUNTA(N7:Q7)/2</f>
        <v>6</v>
      </c>
      <c r="S7" s="27">
        <f t="shared" ref="S7:S12" si="1">F7*$D$4*$T$4</f>
        <v>561</v>
      </c>
      <c r="T7" s="28">
        <f>+H38</f>
        <v>532</v>
      </c>
      <c r="U7" s="29">
        <f t="shared" ref="U7:U12" si="2">IF(F7=0,"휴무",T7/F7)</f>
        <v>62.588235294117645</v>
      </c>
      <c r="V7" s="30">
        <f t="shared" ref="V7:V13" si="3">IFERROR(T7/S7,0)</f>
        <v>0.94830659536541895</v>
      </c>
      <c r="W7" s="31">
        <f>+K38</f>
        <v>427.16</v>
      </c>
      <c r="X7" s="29">
        <f t="shared" ref="X7:X12" si="4">IF(F7=0,"휴무",W7/F7)</f>
        <v>50.254117647058827</v>
      </c>
      <c r="Y7" s="32">
        <f t="shared" ref="Y7:Y13" si="5">IFERROR(W7/S7,0)</f>
        <v>0.76142602495543676</v>
      </c>
      <c r="Z7" s="33">
        <f t="shared" ref="Z7:Z12" si="6">IF(F7=0,"휴무",T7/S7*$Z$4)</f>
        <v>47.415329768270951</v>
      </c>
      <c r="AA7" s="34">
        <f t="shared" ref="AA7:AA12" si="7">IF(F7=0,"휴무",W7/S7*$AA$4)</f>
        <v>41.459647058823535</v>
      </c>
      <c r="AB7" s="138">
        <f t="shared" ref="AB7:AB13" si="8">IF(F7=0,"휴무",Z7+AA7)</f>
        <v>88.874976827094486</v>
      </c>
      <c r="AC7" s="35" t="str">
        <f t="shared" ref="AC7:AC13" si="9">IF(F7=0,"휴무",IF(AB7&gt;=100,"좋아요",IF(AB7&gt;=90,"90~99",IF(AB7&gt;=80,"80~89"," 사유?→"))))</f>
        <v>80~89</v>
      </c>
      <c r="AD7" s="36"/>
      <c r="AE7" s="37">
        <f>AF7-F7</f>
        <v>-8.5</v>
      </c>
      <c r="AF7" s="38">
        <f>AM7</f>
        <v>0</v>
      </c>
      <c r="AG7" s="232" t="s">
        <v>29</v>
      </c>
      <c r="AH7" s="39"/>
      <c r="AI7" s="40">
        <f>IFERROR(Y7/V7*1000,"")</f>
        <v>802.93233082706774</v>
      </c>
      <c r="AJ7" s="39"/>
      <c r="AK7" s="41"/>
      <c r="AL7" s="41"/>
      <c r="AM7" s="41"/>
      <c r="AO7" s="232">
        <f t="shared" ref="AO7:AO12" si="10">AN7-F7</f>
        <v>-8.5</v>
      </c>
      <c r="AP7" s="42"/>
    </row>
    <row r="8" spans="2:51" s="232" customFormat="1" ht="99.75" customHeight="1" x14ac:dyDescent="0.3">
      <c r="B8" s="421"/>
      <c r="C8" s="24">
        <f>+C7+1</f>
        <v>10</v>
      </c>
      <c r="D8" s="43" t="s">
        <v>30</v>
      </c>
      <c r="E8" s="26" t="s">
        <v>29</v>
      </c>
      <c r="F8" s="25">
        <v>8.5</v>
      </c>
      <c r="G8" s="125">
        <v>458</v>
      </c>
      <c r="H8" s="125">
        <f>(G8/T8)*100</f>
        <v>98.072805139186286</v>
      </c>
      <c r="I8" s="123" t="s">
        <v>85</v>
      </c>
      <c r="J8" s="123" t="s">
        <v>86</v>
      </c>
      <c r="K8" s="123" t="s">
        <v>73</v>
      </c>
      <c r="L8" s="123" t="s">
        <v>87</v>
      </c>
      <c r="M8" s="123"/>
      <c r="N8" s="129" t="s">
        <v>90</v>
      </c>
      <c r="O8" s="123" t="s">
        <v>74</v>
      </c>
      <c r="P8" s="123" t="s">
        <v>91</v>
      </c>
      <c r="Q8" s="123" t="s">
        <v>89</v>
      </c>
      <c r="R8" s="125">
        <f t="shared" si="0"/>
        <v>6</v>
      </c>
      <c r="S8" s="27">
        <f t="shared" si="1"/>
        <v>561</v>
      </c>
      <c r="T8" s="28">
        <f>+H41</f>
        <v>467</v>
      </c>
      <c r="U8" s="44">
        <f t="shared" si="2"/>
        <v>54.941176470588232</v>
      </c>
      <c r="V8" s="45">
        <f t="shared" si="3"/>
        <v>0.83244206773618534</v>
      </c>
      <c r="W8" s="46">
        <f>+K41</f>
        <v>482.43</v>
      </c>
      <c r="X8" s="29">
        <f t="shared" si="4"/>
        <v>56.756470588235295</v>
      </c>
      <c r="Y8" s="47">
        <f t="shared" si="5"/>
        <v>0.85994652406417116</v>
      </c>
      <c r="Z8" s="48">
        <f t="shared" si="6"/>
        <v>41.622103386809265</v>
      </c>
      <c r="AA8" s="49">
        <f t="shared" si="7"/>
        <v>46.82408823529412</v>
      </c>
      <c r="AB8" s="139">
        <f t="shared" si="8"/>
        <v>88.446191622103385</v>
      </c>
      <c r="AC8" s="50" t="str">
        <f t="shared" si="9"/>
        <v>80~89</v>
      </c>
      <c r="AD8" s="36"/>
      <c r="AE8" s="37">
        <f>AF8-F8</f>
        <v>-8.5</v>
      </c>
      <c r="AF8" s="38">
        <f>AM8</f>
        <v>0</v>
      </c>
      <c r="AG8" s="232" t="s">
        <v>31</v>
      </c>
      <c r="AH8" s="39"/>
      <c r="AI8" s="40">
        <f>IFERROR(Y8/V8*1000,"")</f>
        <v>1033.0406852248395</v>
      </c>
      <c r="AJ8" s="39"/>
      <c r="AK8" s="41"/>
      <c r="AL8" s="41"/>
      <c r="AM8" s="41"/>
      <c r="AO8" s="232">
        <f t="shared" si="10"/>
        <v>-8.5</v>
      </c>
      <c r="AP8" s="42"/>
    </row>
    <row r="9" spans="2:51" s="232" customFormat="1" ht="97.5" customHeight="1" x14ac:dyDescent="0.3">
      <c r="B9" s="421"/>
      <c r="C9" s="24">
        <f>+C8+1</f>
        <v>11</v>
      </c>
      <c r="D9" s="43" t="s">
        <v>32</v>
      </c>
      <c r="E9" s="26" t="s">
        <v>29</v>
      </c>
      <c r="F9" s="25">
        <v>8</v>
      </c>
      <c r="G9" s="125">
        <v>461</v>
      </c>
      <c r="H9" s="125">
        <f>(G9/T9)*100</f>
        <v>99.13978494623656</v>
      </c>
      <c r="I9" s="123" t="s">
        <v>85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91</v>
      </c>
      <c r="Q9" s="123" t="s">
        <v>89</v>
      </c>
      <c r="R9" s="125">
        <f t="shared" si="0"/>
        <v>6</v>
      </c>
      <c r="S9" s="27">
        <f t="shared" si="1"/>
        <v>528</v>
      </c>
      <c r="T9" s="51">
        <f>+H44</f>
        <v>465</v>
      </c>
      <c r="U9" s="44">
        <f t="shared" si="2"/>
        <v>58.125</v>
      </c>
      <c r="V9" s="45">
        <f t="shared" si="3"/>
        <v>0.88068181818181823</v>
      </c>
      <c r="W9" s="46">
        <f>+K44</f>
        <v>522.30999999999995</v>
      </c>
      <c r="X9" s="44">
        <f t="shared" si="4"/>
        <v>65.288749999999993</v>
      </c>
      <c r="Y9" s="47">
        <f t="shared" si="5"/>
        <v>0.98922348484848477</v>
      </c>
      <c r="Z9" s="48">
        <f t="shared" si="6"/>
        <v>44.034090909090914</v>
      </c>
      <c r="AA9" s="49">
        <f t="shared" si="7"/>
        <v>53.863218750000001</v>
      </c>
      <c r="AB9" s="139">
        <f t="shared" si="8"/>
        <v>97.897309659090922</v>
      </c>
      <c r="AC9" s="50" t="str">
        <f t="shared" si="9"/>
        <v>90~99</v>
      </c>
      <c r="AD9" s="36"/>
      <c r="AE9" s="37">
        <f>AF9-F9</f>
        <v>-8</v>
      </c>
      <c r="AF9" s="38">
        <f>AM9</f>
        <v>0</v>
      </c>
      <c r="AG9" s="232" t="s">
        <v>34</v>
      </c>
      <c r="AH9" s="39"/>
      <c r="AI9" s="40">
        <f>IFERROR(Y9/V9*1000,"")</f>
        <v>1123.247311827957</v>
      </c>
      <c r="AJ9" s="39"/>
      <c r="AK9" s="41"/>
      <c r="AL9" s="41"/>
      <c r="AM9" s="41"/>
      <c r="AO9" s="232">
        <f t="shared" si="10"/>
        <v>-8</v>
      </c>
      <c r="AP9" s="42"/>
    </row>
    <row r="10" spans="2:51" s="232" customFormat="1" ht="95.25" customHeight="1" x14ac:dyDescent="0.3">
      <c r="B10" s="421"/>
      <c r="C10" s="24">
        <f>+C9+1</f>
        <v>12</v>
      </c>
      <c r="D10" s="43" t="s">
        <v>35</v>
      </c>
      <c r="E10" s="26" t="s">
        <v>29</v>
      </c>
      <c r="F10" s="25">
        <v>8.5</v>
      </c>
      <c r="G10" s="125">
        <v>461</v>
      </c>
      <c r="H10" s="125">
        <f>(G10/T10)*100</f>
        <v>99.13978494623656</v>
      </c>
      <c r="I10" s="123" t="s">
        <v>85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74</v>
      </c>
      <c r="P10" s="123" t="s">
        <v>91</v>
      </c>
      <c r="Q10" s="123" t="s">
        <v>89</v>
      </c>
      <c r="R10" s="125">
        <f t="shared" si="0"/>
        <v>6</v>
      </c>
      <c r="S10" s="27">
        <f t="shared" si="1"/>
        <v>561</v>
      </c>
      <c r="T10" s="28">
        <f>+H47</f>
        <v>465</v>
      </c>
      <c r="U10" s="44">
        <f t="shared" si="2"/>
        <v>54.705882352941174</v>
      </c>
      <c r="V10" s="45">
        <f t="shared" si="3"/>
        <v>0.82887700534759357</v>
      </c>
      <c r="W10" s="46">
        <f>+K47</f>
        <v>548.48</v>
      </c>
      <c r="X10" s="29">
        <f t="shared" si="4"/>
        <v>64.527058823529416</v>
      </c>
      <c r="Y10" s="47">
        <f t="shared" si="5"/>
        <v>0.97768270944741531</v>
      </c>
      <c r="Z10" s="48">
        <f t="shared" si="6"/>
        <v>41.44385026737968</v>
      </c>
      <c r="AA10" s="49">
        <f t="shared" si="7"/>
        <v>53.234823529411763</v>
      </c>
      <c r="AB10" s="139">
        <f t="shared" si="8"/>
        <v>94.678673796791443</v>
      </c>
      <c r="AC10" s="50" t="str">
        <f t="shared" si="9"/>
        <v>90~99</v>
      </c>
      <c r="AD10" s="36"/>
      <c r="AE10" s="37">
        <f>AF10-F10</f>
        <v>-8.5</v>
      </c>
      <c r="AF10" s="38">
        <f>AM10</f>
        <v>0</v>
      </c>
      <c r="AG10" s="232" t="s">
        <v>36</v>
      </c>
      <c r="AH10" s="39"/>
      <c r="AI10" s="40">
        <f>IFERROR(Y10/V10*1000,"")</f>
        <v>1179.5268817204301</v>
      </c>
      <c r="AJ10" s="39"/>
      <c r="AK10" s="41"/>
      <c r="AL10" s="41"/>
      <c r="AM10" s="41"/>
      <c r="AO10" s="232">
        <f t="shared" si="10"/>
        <v>-8.5</v>
      </c>
      <c r="AP10" s="42"/>
    </row>
    <row r="11" spans="2:51" s="232" customFormat="1" ht="102.75" customHeight="1" x14ac:dyDescent="0.3">
      <c r="B11" s="421"/>
      <c r="C11" s="24">
        <f>+C10+1</f>
        <v>13</v>
      </c>
      <c r="D11" s="43" t="s">
        <v>37</v>
      </c>
      <c r="E11" s="26" t="s">
        <v>29</v>
      </c>
      <c r="F11" s="25">
        <v>8</v>
      </c>
      <c r="G11" s="125">
        <v>451</v>
      </c>
      <c r="H11" s="125">
        <f>(G11/T11)*100</f>
        <v>97.830802603036886</v>
      </c>
      <c r="I11" s="123" t="s">
        <v>85</v>
      </c>
      <c r="J11" s="123" t="s">
        <v>86</v>
      </c>
      <c r="K11" s="123" t="s">
        <v>73</v>
      </c>
      <c r="L11" s="123" t="s">
        <v>87</v>
      </c>
      <c r="M11" s="123"/>
      <c r="N11" s="244" t="s">
        <v>104</v>
      </c>
      <c r="O11" s="123" t="s">
        <v>147</v>
      </c>
      <c r="P11" s="123" t="s">
        <v>91</v>
      </c>
      <c r="Q11" s="123" t="s">
        <v>89</v>
      </c>
      <c r="R11" s="125">
        <f t="shared" si="0"/>
        <v>6</v>
      </c>
      <c r="S11" s="27">
        <f t="shared" si="1"/>
        <v>528</v>
      </c>
      <c r="T11" s="28">
        <f>+H50</f>
        <v>461</v>
      </c>
      <c r="U11" s="44">
        <f t="shared" si="2"/>
        <v>57.625</v>
      </c>
      <c r="V11" s="45">
        <f t="shared" si="3"/>
        <v>0.87310606060606055</v>
      </c>
      <c r="W11" s="46">
        <f>+K50</f>
        <v>425.63</v>
      </c>
      <c r="X11" s="44">
        <f t="shared" si="4"/>
        <v>53.203749999999999</v>
      </c>
      <c r="Y11" s="47">
        <f t="shared" si="5"/>
        <v>0.80611742424242427</v>
      </c>
      <c r="Z11" s="48">
        <f t="shared" si="6"/>
        <v>43.655303030303031</v>
      </c>
      <c r="AA11" s="49">
        <f t="shared" si="7"/>
        <v>43.893093750000006</v>
      </c>
      <c r="AB11" s="139">
        <f t="shared" si="8"/>
        <v>87.548396780303037</v>
      </c>
      <c r="AC11" s="50" t="str">
        <f t="shared" si="9"/>
        <v>80~89</v>
      </c>
      <c r="AD11" s="36"/>
      <c r="AE11" s="37">
        <f>AF11-F11</f>
        <v>-8</v>
      </c>
      <c r="AF11" s="38">
        <f>AM11</f>
        <v>0</v>
      </c>
      <c r="AG11" s="232" t="s">
        <v>33</v>
      </c>
      <c r="AH11" s="39"/>
      <c r="AI11" s="40">
        <f>IFERROR(Y11/V11*1000,"")</f>
        <v>923.27548806941445</v>
      </c>
      <c r="AK11" s="41"/>
      <c r="AL11" s="41"/>
      <c r="AM11" s="41"/>
      <c r="AO11" s="232">
        <f t="shared" si="10"/>
        <v>-8</v>
      </c>
      <c r="AP11" s="42"/>
    </row>
    <row r="12" spans="2:51" s="232" customFormat="1" ht="102.75" customHeight="1" x14ac:dyDescent="0.3">
      <c r="B12" s="421"/>
      <c r="C12" s="24">
        <f>+C11+1</f>
        <v>14</v>
      </c>
      <c r="D12" s="43" t="s">
        <v>38</v>
      </c>
      <c r="E12" s="26" t="s">
        <v>33</v>
      </c>
      <c r="F12" s="25">
        <v>0</v>
      </c>
      <c r="G12" s="125"/>
      <c r="H12" s="125"/>
      <c r="I12" s="123"/>
      <c r="J12" s="123"/>
      <c r="K12" s="123"/>
      <c r="L12" s="123"/>
      <c r="M12" s="123"/>
      <c r="N12" s="129"/>
      <c r="O12" s="123"/>
      <c r="P12" s="123"/>
      <c r="Q12" s="123"/>
      <c r="R12" s="125">
        <f t="shared" si="0"/>
        <v>0</v>
      </c>
      <c r="S12" s="235">
        <f t="shared" si="1"/>
        <v>0</v>
      </c>
      <c r="T12" s="28">
        <f>+H53</f>
        <v>0</v>
      </c>
      <c r="U12" s="29" t="str">
        <f t="shared" si="2"/>
        <v>휴무</v>
      </c>
      <c r="V12" s="30">
        <f t="shared" si="3"/>
        <v>0</v>
      </c>
      <c r="W12" s="31">
        <f>+K53</f>
        <v>0</v>
      </c>
      <c r="X12" s="44" t="str">
        <f t="shared" si="4"/>
        <v>휴무</v>
      </c>
      <c r="Y12" s="47">
        <f t="shared" si="5"/>
        <v>0</v>
      </c>
      <c r="Z12" s="48" t="str">
        <f t="shared" si="6"/>
        <v>휴무</v>
      </c>
      <c r="AA12" s="49" t="str">
        <f t="shared" si="7"/>
        <v>휴무</v>
      </c>
      <c r="AB12" s="139" t="str">
        <f t="shared" si="8"/>
        <v>휴무</v>
      </c>
      <c r="AC12" s="50" t="str">
        <f t="shared" si="9"/>
        <v>휴무</v>
      </c>
      <c r="AD12" s="36"/>
      <c r="AE12" s="37"/>
      <c r="AF12" s="38"/>
      <c r="AH12" s="39"/>
      <c r="AI12" s="40"/>
      <c r="AK12" s="41"/>
      <c r="AL12" s="41"/>
      <c r="AM12" s="41"/>
      <c r="AO12" s="232">
        <f t="shared" si="10"/>
        <v>0</v>
      </c>
      <c r="AP12" s="42"/>
    </row>
    <row r="13" spans="2:51" s="232" customFormat="1" ht="36" customHeight="1" x14ac:dyDescent="0.3">
      <c r="B13" s="422" t="s">
        <v>39</v>
      </c>
      <c r="C13" s="423"/>
      <c r="D13" s="423"/>
      <c r="E13" s="424"/>
      <c r="F13" s="43">
        <f>SUM(F7:F12)</f>
        <v>41.5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5">
        <f t="shared" si="0"/>
        <v>0</v>
      </c>
      <c r="S13" s="52">
        <f>SUM(S7:S12)</f>
        <v>2739</v>
      </c>
      <c r="T13" s="53">
        <f>SUM(T7:T12)</f>
        <v>2390</v>
      </c>
      <c r="U13" s="54">
        <f>T13/F13</f>
        <v>57.590361445783131</v>
      </c>
      <c r="V13" s="45">
        <f t="shared" si="3"/>
        <v>0.87258123402701715</v>
      </c>
      <c r="W13" s="55">
        <f>SUM(W7:W12)</f>
        <v>2406.0100000000002</v>
      </c>
      <c r="X13" s="44">
        <f>W13/F13</f>
        <v>57.97614457831326</v>
      </c>
      <c r="Y13" s="47">
        <f t="shared" si="5"/>
        <v>0.87842643300474632</v>
      </c>
      <c r="Z13" s="56">
        <f>T13/S13*Z4</f>
        <v>43.629061701350857</v>
      </c>
      <c r="AA13" s="57">
        <f>W13/S13*AA4</f>
        <v>47.830319277108437</v>
      </c>
      <c r="AB13" s="140">
        <f t="shared" si="8"/>
        <v>91.459380978459293</v>
      </c>
      <c r="AC13" s="58" t="str">
        <f t="shared" si="9"/>
        <v>90~99</v>
      </c>
      <c r="AD13" s="43"/>
      <c r="AE13" s="37">
        <f>AF13-F13</f>
        <v>-41.5</v>
      </c>
      <c r="AF13" s="38">
        <f>SUM(AF7:AF12)</f>
        <v>0</v>
      </c>
      <c r="AI13" s="40"/>
      <c r="AK13" s="59"/>
      <c r="AL13" s="59"/>
      <c r="AM13" s="59"/>
    </row>
    <row r="14" spans="2:51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6.916666666666667</v>
      </c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61">
        <f>U14*F14</f>
        <v>398.33333333333331</v>
      </c>
      <c r="U14" s="62">
        <f>T13/F13</f>
        <v>57.590361445783131</v>
      </c>
      <c r="V14" s="63">
        <f>IFERROR(T14/#REF!,0)</f>
        <v>0</v>
      </c>
      <c r="W14" s="64">
        <f>W13/F13*F14</f>
        <v>401.00166666666672</v>
      </c>
      <c r="X14" s="62">
        <f>IF(F14=0,"휴무",W14/F14)</f>
        <v>57.97614457831326</v>
      </c>
      <c r="Y14" s="65">
        <f>IFERROR(W14/#REF!,0)</f>
        <v>0</v>
      </c>
      <c r="Z14" s="60">
        <f>AVERAGE(Z7:Z12)</f>
        <v>43.634135472370765</v>
      </c>
      <c r="AA14" s="60">
        <f>AVERAGE(AA7:AA12)</f>
        <v>47.854974264705881</v>
      </c>
      <c r="AB14" s="141">
        <f>Z14+AA14</f>
        <v>91.489109737076646</v>
      </c>
      <c r="AC14" s="67"/>
      <c r="AD14" s="68"/>
      <c r="AI14" s="40" t="str">
        <f>IFERROR(Y14/V14*1000,"")</f>
        <v/>
      </c>
      <c r="AK14" s="10"/>
      <c r="AL14" s="10"/>
      <c r="AM14" s="10"/>
    </row>
    <row r="15" spans="2:51" s="232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22"/>
      <c r="U15" s="10"/>
      <c r="V15" s="73">
        <f>V14*60</f>
        <v>0</v>
      </c>
      <c r="W15" s="74"/>
      <c r="X15" s="73"/>
      <c r="Y15" s="74">
        <f>Y14*40</f>
        <v>0</v>
      </c>
      <c r="AB15" s="142">
        <f>V15+Y15</f>
        <v>0</v>
      </c>
      <c r="AK15" s="59"/>
      <c r="AL15" s="59"/>
      <c r="AM15" s="59"/>
    </row>
    <row r="16" spans="2:51" ht="17.25" thickBot="1" x14ac:dyDescent="0.35">
      <c r="B16" s="70"/>
    </row>
    <row r="17" spans="2:42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2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</row>
    <row r="20" spans="2:42" x14ac:dyDescent="0.3">
      <c r="B20" t="s">
        <v>5</v>
      </c>
      <c r="D20" s="7">
        <v>55</v>
      </c>
      <c r="F20" s="8" t="s">
        <v>6</v>
      </c>
      <c r="T20" s="9">
        <v>1.2</v>
      </c>
      <c r="Z20" s="12">
        <f>Z4</f>
        <v>50</v>
      </c>
      <c r="AA20" s="11">
        <f>AA4</f>
        <v>54.45</v>
      </c>
      <c r="AB20" s="12"/>
      <c r="AD20" s="8"/>
    </row>
    <row r="21" spans="2:42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8"/>
      <c r="S21" s="439" t="s">
        <v>11</v>
      </c>
      <c r="T21" s="441" t="s">
        <v>12</v>
      </c>
      <c r="U21" s="418"/>
      <c r="V21" s="442"/>
      <c r="W21" s="446" t="s">
        <v>13</v>
      </c>
      <c r="X21" s="418"/>
      <c r="Y21" s="418"/>
      <c r="Z21" s="451" t="s">
        <v>20</v>
      </c>
      <c r="AA21" s="453" t="s">
        <v>21</v>
      </c>
      <c r="AB21" s="447" t="s">
        <v>14</v>
      </c>
      <c r="AC21" s="449" t="s">
        <v>15</v>
      </c>
      <c r="AD21" s="418" t="s">
        <v>16</v>
      </c>
    </row>
    <row r="22" spans="2:42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76</v>
      </c>
      <c r="Q22" s="18" t="s">
        <v>77</v>
      </c>
      <c r="R22" s="127" t="s">
        <v>80</v>
      </c>
      <c r="S22" s="440"/>
      <c r="T22" s="15" t="s">
        <v>12</v>
      </c>
      <c r="U22" s="16" t="s">
        <v>17</v>
      </c>
      <c r="V22" s="17" t="s">
        <v>18</v>
      </c>
      <c r="W22" s="18" t="s">
        <v>13</v>
      </c>
      <c r="X22" s="16" t="s">
        <v>19</v>
      </c>
      <c r="Y22" s="19" t="s">
        <v>18</v>
      </c>
      <c r="Z22" s="452"/>
      <c r="AA22" s="454"/>
      <c r="AB22" s="448"/>
      <c r="AC22" s="450"/>
      <c r="AD22" s="419"/>
      <c r="AE22" s="21" t="s">
        <v>22</v>
      </c>
      <c r="AF22" s="21" t="s">
        <v>23</v>
      </c>
      <c r="AI22" s="22" t="s">
        <v>24</v>
      </c>
      <c r="AK22" s="23" t="s">
        <v>25</v>
      </c>
      <c r="AL22" s="23" t="s">
        <v>26</v>
      </c>
      <c r="AM22" s="23" t="s">
        <v>27</v>
      </c>
      <c r="AO22" s="22">
        <f>SUM(AO23:AO28)</f>
        <v>-39</v>
      </c>
    </row>
    <row r="23" spans="2:42" s="232" customFormat="1" ht="99" customHeight="1" thickTop="1" x14ac:dyDescent="0.3">
      <c r="B23" s="420">
        <f>+B7</f>
        <v>3</v>
      </c>
      <c r="C23" s="24">
        <f t="shared" ref="C23:C28" si="11">+C7</f>
        <v>9</v>
      </c>
      <c r="D23" s="25" t="s">
        <v>7</v>
      </c>
      <c r="E23" s="26" t="s">
        <v>29</v>
      </c>
      <c r="F23" s="25">
        <v>8.5</v>
      </c>
      <c r="G23" s="128">
        <v>602</v>
      </c>
      <c r="H23" s="128">
        <f>(G23/T23)*100</f>
        <v>99.834162520729691</v>
      </c>
      <c r="I23" s="123" t="s">
        <v>78</v>
      </c>
      <c r="J23" s="123" t="s">
        <v>88</v>
      </c>
      <c r="K23" s="123" t="s">
        <v>92</v>
      </c>
      <c r="L23" s="123" t="s">
        <v>84</v>
      </c>
      <c r="M23" s="123"/>
      <c r="N23" s="129" t="s">
        <v>90</v>
      </c>
      <c r="O23" s="123" t="s">
        <v>74</v>
      </c>
      <c r="P23" s="123" t="s">
        <v>91</v>
      </c>
      <c r="Q23" s="123" t="s">
        <v>89</v>
      </c>
      <c r="R23" s="124">
        <f t="shared" ref="R23:R28" si="12">COUNTA(I23:M23)+COUNTA(N23:Q23)/2</f>
        <v>6</v>
      </c>
      <c r="S23" s="27">
        <f t="shared" ref="S23:S28" si="13">F23*$D$4*$T$4</f>
        <v>561</v>
      </c>
      <c r="T23" s="28">
        <f>+H58</f>
        <v>603</v>
      </c>
      <c r="U23" s="29">
        <f t="shared" ref="U23:U28" si="14">IF(F23=0,"휴무",T23/F23)</f>
        <v>70.941176470588232</v>
      </c>
      <c r="V23" s="30">
        <f t="shared" ref="V23:V29" si="15">IFERROR(T23/S23,0)</f>
        <v>1.0748663101604279</v>
      </c>
      <c r="W23" s="31">
        <f>+K58</f>
        <v>516.99</v>
      </c>
      <c r="X23" s="29">
        <f t="shared" ref="X23:X28" si="16">IF(F23=0,"휴무",W23/F23)</f>
        <v>60.822352941176469</v>
      </c>
      <c r="Y23" s="32">
        <f t="shared" ref="Y23:Y29" si="17">IFERROR(W23/S23,0)</f>
        <v>0.92155080213903739</v>
      </c>
      <c r="Z23" s="33">
        <f t="shared" ref="Z23:Z28" si="18">IF(F23=0,"휴무",T23/S23*$Z$4)</f>
        <v>53.743315508021396</v>
      </c>
      <c r="AA23" s="34">
        <f t="shared" ref="AA23:AA28" si="19">IF(F23=0,"휴무",W23/S23*$AA$4)</f>
        <v>50.178441176470592</v>
      </c>
      <c r="AB23" s="138">
        <f t="shared" ref="AB23:AB29" si="20">IF(F23=0,"휴무",Z23+AA23)</f>
        <v>103.92175668449198</v>
      </c>
      <c r="AC23" s="35" t="str">
        <f t="shared" ref="AC23:AC29" si="21">IF(F23=0,"휴무",IF(AB23&gt;=100,"좋아요",IF(AB23&gt;=90,"90~99",IF(AB23&gt;=80,"80~89"," 사유?→"))))</f>
        <v>좋아요</v>
      </c>
      <c r="AD23" s="36"/>
      <c r="AE23" s="37">
        <f>AF23-F23</f>
        <v>-8.5</v>
      </c>
      <c r="AF23" s="38">
        <f>AM23</f>
        <v>0</v>
      </c>
      <c r="AG23" s="232" t="s">
        <v>29</v>
      </c>
      <c r="AH23" s="39"/>
      <c r="AI23" s="40">
        <f>IFERROR(Y23/V23*1000,"")</f>
        <v>857.36318407960187</v>
      </c>
      <c r="AJ23" s="39"/>
      <c r="AK23" s="41"/>
      <c r="AL23" s="41"/>
      <c r="AM23" s="41"/>
      <c r="AO23" s="232">
        <f t="shared" ref="AO23:AO28" si="22">AN23-F23</f>
        <v>-8.5</v>
      </c>
      <c r="AP23" s="42"/>
    </row>
    <row r="24" spans="2:42" s="232" customFormat="1" ht="99.75" customHeight="1" x14ac:dyDescent="0.3">
      <c r="B24" s="421"/>
      <c r="C24" s="24">
        <f t="shared" si="11"/>
        <v>10</v>
      </c>
      <c r="D24" s="43" t="s">
        <v>30</v>
      </c>
      <c r="E24" s="26" t="s">
        <v>29</v>
      </c>
      <c r="F24" s="25">
        <v>8.5</v>
      </c>
      <c r="G24" s="125">
        <v>539</v>
      </c>
      <c r="H24" s="125">
        <f>(G24/T24)*100</f>
        <v>98.71794871794873</v>
      </c>
      <c r="I24" s="123" t="s">
        <v>78</v>
      </c>
      <c r="J24" s="123" t="s">
        <v>88</v>
      </c>
      <c r="K24" s="123" t="s">
        <v>92</v>
      </c>
      <c r="L24" s="123" t="s">
        <v>84</v>
      </c>
      <c r="M24" s="123"/>
      <c r="N24" s="129" t="s">
        <v>90</v>
      </c>
      <c r="O24" s="123" t="s">
        <v>74</v>
      </c>
      <c r="P24" s="123" t="s">
        <v>91</v>
      </c>
      <c r="Q24" s="123" t="s">
        <v>89</v>
      </c>
      <c r="R24" s="124">
        <f t="shared" si="12"/>
        <v>6</v>
      </c>
      <c r="S24" s="27">
        <f t="shared" si="13"/>
        <v>561</v>
      </c>
      <c r="T24" s="28">
        <f>+H61</f>
        <v>546</v>
      </c>
      <c r="U24" s="44">
        <f t="shared" si="14"/>
        <v>64.235294117647058</v>
      </c>
      <c r="V24" s="45">
        <f t="shared" si="15"/>
        <v>0.9732620320855615</v>
      </c>
      <c r="W24" s="46">
        <f>+K61</f>
        <v>550.78</v>
      </c>
      <c r="X24" s="29">
        <f t="shared" si="16"/>
        <v>64.797647058823529</v>
      </c>
      <c r="Y24" s="47">
        <f t="shared" si="17"/>
        <v>0.98178253119429582</v>
      </c>
      <c r="Z24" s="48">
        <f t="shared" si="18"/>
        <v>48.663101604278076</v>
      </c>
      <c r="AA24" s="49">
        <f t="shared" si="19"/>
        <v>53.458058823529413</v>
      </c>
      <c r="AB24" s="139">
        <f t="shared" si="20"/>
        <v>102.1211604278075</v>
      </c>
      <c r="AC24" s="80" t="str">
        <f t="shared" si="21"/>
        <v>좋아요</v>
      </c>
      <c r="AD24" s="36"/>
      <c r="AE24" s="37">
        <f>AF24-F24</f>
        <v>-8.5</v>
      </c>
      <c r="AF24" s="38">
        <f>AM24</f>
        <v>0</v>
      </c>
      <c r="AG24" s="232" t="s">
        <v>34</v>
      </c>
      <c r="AH24" s="39"/>
      <c r="AI24" s="40">
        <f>IFERROR(Y24/V24*1000,"")</f>
        <v>1008.7545787545787</v>
      </c>
      <c r="AJ24" s="39"/>
      <c r="AK24" s="41"/>
      <c r="AL24" s="41"/>
      <c r="AM24" s="41"/>
      <c r="AO24" s="232">
        <f t="shared" si="22"/>
        <v>-8.5</v>
      </c>
      <c r="AP24" s="42"/>
    </row>
    <row r="25" spans="2:42" s="232" customFormat="1" ht="97.5" customHeight="1" x14ac:dyDescent="0.3">
      <c r="B25" s="421"/>
      <c r="C25" s="24">
        <f t="shared" si="11"/>
        <v>11</v>
      </c>
      <c r="D25" s="43" t="s">
        <v>32</v>
      </c>
      <c r="E25" s="26" t="s">
        <v>29</v>
      </c>
      <c r="F25" s="25">
        <v>8</v>
      </c>
      <c r="G25" s="124">
        <v>444</v>
      </c>
      <c r="H25" s="124">
        <f>(G25/T25)*100</f>
        <v>99.775280898876403</v>
      </c>
      <c r="I25" s="123" t="s">
        <v>78</v>
      </c>
      <c r="J25" s="123" t="s">
        <v>88</v>
      </c>
      <c r="K25" s="123" t="s">
        <v>92</v>
      </c>
      <c r="L25" s="123" t="s">
        <v>84</v>
      </c>
      <c r="M25" s="123"/>
      <c r="N25" s="129" t="s">
        <v>90</v>
      </c>
      <c r="O25" s="123" t="s">
        <v>74</v>
      </c>
      <c r="P25" s="123" t="s">
        <v>91</v>
      </c>
      <c r="Q25" s="123" t="s">
        <v>89</v>
      </c>
      <c r="R25" s="124">
        <f t="shared" si="12"/>
        <v>6</v>
      </c>
      <c r="S25" s="27">
        <f t="shared" si="13"/>
        <v>528</v>
      </c>
      <c r="T25" s="28">
        <f>+H64</f>
        <v>445</v>
      </c>
      <c r="U25" s="44">
        <f t="shared" si="14"/>
        <v>55.625</v>
      </c>
      <c r="V25" s="45">
        <f t="shared" si="15"/>
        <v>0.84280303030303028</v>
      </c>
      <c r="W25" s="46">
        <f>+K64</f>
        <v>411.91</v>
      </c>
      <c r="X25" s="29">
        <f t="shared" si="16"/>
        <v>51.488750000000003</v>
      </c>
      <c r="Y25" s="47">
        <f t="shared" si="17"/>
        <v>0.78013257575757577</v>
      </c>
      <c r="Z25" s="48">
        <f t="shared" si="18"/>
        <v>42.140151515151516</v>
      </c>
      <c r="AA25" s="49">
        <f t="shared" si="19"/>
        <v>42.478218750000003</v>
      </c>
      <c r="AB25" s="139">
        <f t="shared" si="20"/>
        <v>84.618370265151526</v>
      </c>
      <c r="AC25" s="50" t="str">
        <f t="shared" si="21"/>
        <v>80~89</v>
      </c>
      <c r="AD25" s="36"/>
      <c r="AE25" s="37">
        <f>AF25-F25</f>
        <v>-8</v>
      </c>
      <c r="AF25" s="38">
        <f>AM25</f>
        <v>0</v>
      </c>
      <c r="AG25" s="232" t="s">
        <v>36</v>
      </c>
      <c r="AH25" s="39"/>
      <c r="AI25" s="40">
        <f>IFERROR(Y25/V25*1000,"")</f>
        <v>925.64044943820238</v>
      </c>
      <c r="AJ25" s="39"/>
      <c r="AK25" s="41"/>
      <c r="AL25" s="41"/>
      <c r="AM25" s="41"/>
      <c r="AO25" s="232">
        <f t="shared" si="22"/>
        <v>-8</v>
      </c>
      <c r="AP25" s="42"/>
    </row>
    <row r="26" spans="2:42" s="232" customFormat="1" ht="115.5" customHeight="1" x14ac:dyDescent="0.3">
      <c r="B26" s="421"/>
      <c r="C26" s="24">
        <f t="shared" si="11"/>
        <v>12</v>
      </c>
      <c r="D26" s="43" t="s">
        <v>35</v>
      </c>
      <c r="E26" s="26" t="s">
        <v>29</v>
      </c>
      <c r="F26" s="25">
        <v>8.5</v>
      </c>
      <c r="G26" s="124">
        <v>441</v>
      </c>
      <c r="H26" s="124">
        <f>(G26/T26)*100</f>
        <v>97.782705099778269</v>
      </c>
      <c r="I26" s="123" t="s">
        <v>78</v>
      </c>
      <c r="J26" s="123" t="s">
        <v>88</v>
      </c>
      <c r="K26" s="123" t="s">
        <v>92</v>
      </c>
      <c r="L26" s="123" t="s">
        <v>84</v>
      </c>
      <c r="M26" s="123"/>
      <c r="N26" s="129" t="s">
        <v>90</v>
      </c>
      <c r="O26" s="123" t="s">
        <v>74</v>
      </c>
      <c r="P26" s="123" t="s">
        <v>91</v>
      </c>
      <c r="Q26" s="123" t="s">
        <v>89</v>
      </c>
      <c r="R26" s="124">
        <f t="shared" si="12"/>
        <v>6</v>
      </c>
      <c r="S26" s="27">
        <f t="shared" si="13"/>
        <v>561</v>
      </c>
      <c r="T26" s="28">
        <f>+H67</f>
        <v>451</v>
      </c>
      <c r="U26" s="44">
        <f t="shared" si="14"/>
        <v>53.058823529411768</v>
      </c>
      <c r="V26" s="45">
        <f t="shared" si="15"/>
        <v>0.80392156862745101</v>
      </c>
      <c r="W26" s="46">
        <f>+K67</f>
        <v>458.15</v>
      </c>
      <c r="X26" s="44">
        <f t="shared" si="16"/>
        <v>53.9</v>
      </c>
      <c r="Y26" s="47">
        <f t="shared" si="17"/>
        <v>0.81666666666666665</v>
      </c>
      <c r="Z26" s="48">
        <f t="shared" si="18"/>
        <v>40.196078431372548</v>
      </c>
      <c r="AA26" s="49">
        <f t="shared" si="19"/>
        <v>44.467500000000001</v>
      </c>
      <c r="AB26" s="139">
        <f t="shared" si="20"/>
        <v>84.663578431372542</v>
      </c>
      <c r="AC26" s="50" t="str">
        <f t="shared" si="21"/>
        <v>80~89</v>
      </c>
      <c r="AD26" s="36"/>
      <c r="AE26" s="37">
        <f>AF26-F26</f>
        <v>-8.5</v>
      </c>
      <c r="AF26" s="38">
        <f>AM26</f>
        <v>0</v>
      </c>
      <c r="AG26" s="232" t="s">
        <v>33</v>
      </c>
      <c r="AH26" s="39"/>
      <c r="AI26" s="40">
        <f>IFERROR(Y26/V26*1000,"")</f>
        <v>1015.8536585365854</v>
      </c>
      <c r="AJ26" s="39"/>
      <c r="AK26" s="41"/>
      <c r="AL26" s="41"/>
      <c r="AM26" s="41"/>
      <c r="AO26" s="232">
        <f t="shared" si="22"/>
        <v>-8.5</v>
      </c>
      <c r="AP26" s="42"/>
    </row>
    <row r="27" spans="2:42" s="232" customFormat="1" ht="104.25" customHeight="1" x14ac:dyDescent="0.3">
      <c r="B27" s="421"/>
      <c r="C27" s="24">
        <f t="shared" si="11"/>
        <v>13</v>
      </c>
      <c r="D27" s="43" t="s">
        <v>37</v>
      </c>
      <c r="E27" s="26" t="s">
        <v>29</v>
      </c>
      <c r="F27" s="25">
        <v>5.5</v>
      </c>
      <c r="G27" s="125">
        <v>330</v>
      </c>
      <c r="H27" s="130">
        <f>(G27/T27)*100</f>
        <v>99.697885196374628</v>
      </c>
      <c r="I27" s="123" t="s">
        <v>78</v>
      </c>
      <c r="J27" s="123" t="s">
        <v>88</v>
      </c>
      <c r="K27" s="123" t="s">
        <v>92</v>
      </c>
      <c r="L27" s="123" t="s">
        <v>84</v>
      </c>
      <c r="M27" s="123"/>
      <c r="N27" s="244" t="s">
        <v>104</v>
      </c>
      <c r="O27" s="123" t="s">
        <v>147</v>
      </c>
      <c r="P27" s="123" t="s">
        <v>91</v>
      </c>
      <c r="Q27" s="123" t="s">
        <v>89</v>
      </c>
      <c r="R27" s="125">
        <f t="shared" si="12"/>
        <v>6</v>
      </c>
      <c r="S27" s="27">
        <f t="shared" si="13"/>
        <v>363</v>
      </c>
      <c r="T27" s="28">
        <f>+H70</f>
        <v>331</v>
      </c>
      <c r="U27" s="44">
        <f t="shared" si="14"/>
        <v>60.18181818181818</v>
      </c>
      <c r="V27" s="45">
        <f t="shared" si="15"/>
        <v>0.91184573002754821</v>
      </c>
      <c r="W27" s="46">
        <f>+K70</f>
        <v>343.46</v>
      </c>
      <c r="X27" s="44">
        <f t="shared" si="16"/>
        <v>62.447272727272725</v>
      </c>
      <c r="Y27" s="47">
        <f t="shared" si="17"/>
        <v>0.94617079889807154</v>
      </c>
      <c r="Z27" s="48">
        <f t="shared" si="18"/>
        <v>45.592286501377409</v>
      </c>
      <c r="AA27" s="49">
        <f t="shared" si="19"/>
        <v>51.518999999999998</v>
      </c>
      <c r="AB27" s="139">
        <f t="shared" si="20"/>
        <v>97.111286501377407</v>
      </c>
      <c r="AC27" s="50" t="str">
        <f t="shared" si="21"/>
        <v>90~99</v>
      </c>
      <c r="AD27" s="36"/>
      <c r="AE27" s="37">
        <f>AF27-F27</f>
        <v>-5.5</v>
      </c>
      <c r="AF27" s="38">
        <f>AM27</f>
        <v>0</v>
      </c>
      <c r="AG27" s="232" t="s">
        <v>46</v>
      </c>
      <c r="AH27" s="39"/>
      <c r="AI27" s="40">
        <f>IFERROR(Y27/V27*1000,"")</f>
        <v>1037.6435045317221</v>
      </c>
      <c r="AK27" s="41"/>
      <c r="AL27" s="41"/>
      <c r="AM27" s="41"/>
      <c r="AO27" s="232">
        <f t="shared" si="22"/>
        <v>-5.5</v>
      </c>
      <c r="AP27" s="42"/>
    </row>
    <row r="28" spans="2:42" s="232" customFormat="1" ht="104.25" customHeight="1" x14ac:dyDescent="0.3">
      <c r="B28" s="421"/>
      <c r="C28" s="24">
        <f t="shared" si="11"/>
        <v>14</v>
      </c>
      <c r="D28" s="43" t="s">
        <v>47</v>
      </c>
      <c r="E28" s="26" t="s">
        <v>33</v>
      </c>
      <c r="F28" s="25">
        <v>0</v>
      </c>
      <c r="G28" s="124"/>
      <c r="H28" s="124"/>
      <c r="I28" s="123"/>
      <c r="J28" s="123"/>
      <c r="K28" s="123"/>
      <c r="L28" s="123"/>
      <c r="M28" s="123"/>
      <c r="N28" s="129"/>
      <c r="O28" s="123"/>
      <c r="P28" s="123"/>
      <c r="Q28" s="123"/>
      <c r="R28" s="124">
        <f t="shared" si="12"/>
        <v>0</v>
      </c>
      <c r="S28" s="235">
        <f t="shared" si="13"/>
        <v>0</v>
      </c>
      <c r="T28" s="28">
        <f>+H73</f>
        <v>0</v>
      </c>
      <c r="U28" s="29" t="str">
        <f t="shared" si="14"/>
        <v>휴무</v>
      </c>
      <c r="V28" s="30">
        <f t="shared" si="15"/>
        <v>0</v>
      </c>
      <c r="W28" s="31">
        <f>+K73</f>
        <v>0</v>
      </c>
      <c r="X28" s="44" t="str">
        <f t="shared" si="16"/>
        <v>휴무</v>
      </c>
      <c r="Y28" s="47">
        <f t="shared" si="17"/>
        <v>0</v>
      </c>
      <c r="Z28" s="48" t="str">
        <f t="shared" si="18"/>
        <v>휴무</v>
      </c>
      <c r="AA28" s="49" t="str">
        <f t="shared" si="19"/>
        <v>휴무</v>
      </c>
      <c r="AB28" s="139" t="str">
        <f t="shared" si="20"/>
        <v>휴무</v>
      </c>
      <c r="AC28" s="50" t="str">
        <f t="shared" si="21"/>
        <v>휴무</v>
      </c>
      <c r="AD28" s="36"/>
      <c r="AE28" s="37"/>
      <c r="AF28" s="38"/>
      <c r="AH28" s="39"/>
      <c r="AI28" s="40"/>
      <c r="AK28" s="41"/>
      <c r="AL28" s="41"/>
      <c r="AM28" s="41"/>
      <c r="AO28" s="232">
        <f t="shared" si="22"/>
        <v>0</v>
      </c>
      <c r="AP28" s="42"/>
    </row>
    <row r="29" spans="2:42" s="232" customFormat="1" ht="36" customHeight="1" x14ac:dyDescent="0.3">
      <c r="B29" s="422" t="s">
        <v>39</v>
      </c>
      <c r="C29" s="423"/>
      <c r="D29" s="423"/>
      <c r="E29" s="424"/>
      <c r="F29" s="43">
        <f>SUM(F23:F28)</f>
        <v>39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6"/>
      <c r="S29" s="52">
        <f>SUM(S23:S28)</f>
        <v>2574</v>
      </c>
      <c r="T29" s="53">
        <f>SUM(T23:T28)</f>
        <v>2376</v>
      </c>
      <c r="U29" s="54">
        <f>T29/F29</f>
        <v>60.92307692307692</v>
      </c>
      <c r="V29" s="45">
        <f t="shared" si="15"/>
        <v>0.92307692307692313</v>
      </c>
      <c r="W29" s="55">
        <f>SUM(W23:W28)</f>
        <v>2281.29</v>
      </c>
      <c r="X29" s="44">
        <f>W29/F29</f>
        <v>58.494615384615386</v>
      </c>
      <c r="Y29" s="47">
        <f t="shared" si="17"/>
        <v>0.88628205128205129</v>
      </c>
      <c r="Z29" s="56">
        <f>T29/S29*Z20</f>
        <v>46.153846153846153</v>
      </c>
      <c r="AA29" s="57">
        <f>W29/S29*AA20</f>
        <v>48.258057692307695</v>
      </c>
      <c r="AB29" s="140">
        <f t="shared" si="20"/>
        <v>94.411903846153848</v>
      </c>
      <c r="AC29" s="58" t="str">
        <f t="shared" si="21"/>
        <v>90~99</v>
      </c>
      <c r="AD29" s="43"/>
      <c r="AE29" s="37">
        <f>AF29-F29</f>
        <v>-39</v>
      </c>
      <c r="AF29" s="38">
        <f>SUM(AF23:AF28)</f>
        <v>0</v>
      </c>
      <c r="AI29" s="40"/>
      <c r="AK29" s="59"/>
      <c r="AL29" s="59"/>
      <c r="AM29" s="59"/>
    </row>
    <row r="30" spans="2:42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6.5</v>
      </c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61">
        <f>U30*F30</f>
        <v>396</v>
      </c>
      <c r="U30" s="62">
        <f>T29/F29</f>
        <v>60.92307692307692</v>
      </c>
      <c r="V30" s="63">
        <f>IFERROR(T30/#REF!,0)</f>
        <v>0</v>
      </c>
      <c r="W30" s="64">
        <f>W29/F29*F30</f>
        <v>380.21500000000003</v>
      </c>
      <c r="X30" s="62">
        <f>IF(F30=0,"휴무",W30/F30)</f>
        <v>58.494615384615386</v>
      </c>
      <c r="Y30" s="65">
        <f>IFERROR(W30/#REF!,0)</f>
        <v>0</v>
      </c>
      <c r="Z30" s="60">
        <f>AVERAGE(Z23:Z28)</f>
        <v>46.06698671204019</v>
      </c>
      <c r="AA30" s="60">
        <f>AVERAGE(AA23:AA28)</f>
        <v>48.420243750000004</v>
      </c>
      <c r="AB30" s="141">
        <f>Z30+AA30</f>
        <v>94.487230462040202</v>
      </c>
      <c r="AC30" s="67"/>
      <c r="AD30" s="68"/>
      <c r="AI30" s="40" t="str">
        <f>IFERROR(Y30/V30*1000,"")</f>
        <v/>
      </c>
      <c r="AK30" s="10"/>
      <c r="AL30" s="10"/>
      <c r="AM30" s="10"/>
    </row>
    <row r="31" spans="2:42" s="232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22"/>
      <c r="U31" s="10"/>
      <c r="V31" s="73">
        <f>V30*60</f>
        <v>0</v>
      </c>
      <c r="W31" s="74"/>
      <c r="X31" s="73"/>
      <c r="Y31" s="74">
        <f>Y30*40</f>
        <v>0</v>
      </c>
      <c r="Z31" s="81"/>
      <c r="AA31" s="81"/>
      <c r="AB31" s="142">
        <f>V31+Y31</f>
        <v>0</v>
      </c>
      <c r="AK31" s="59"/>
      <c r="AL31" s="59"/>
      <c r="AM31" s="59"/>
    </row>
    <row r="32" spans="2:42" x14ac:dyDescent="0.3">
      <c r="B32" s="120" t="s">
        <v>67</v>
      </c>
      <c r="U32" s="10">
        <v>8.8000000000000007</v>
      </c>
    </row>
    <row r="33" spans="2:42" ht="17.25" thickBot="1" x14ac:dyDescent="0.35">
      <c r="B33" s="70"/>
    </row>
    <row r="34" spans="2:42" ht="17.25" thickBot="1" x14ac:dyDescent="0.35">
      <c r="B34" s="76" t="s">
        <v>42</v>
      </c>
      <c r="C34" s="77"/>
      <c r="D34" s="78" t="s">
        <v>43</v>
      </c>
      <c r="E34" s="78"/>
      <c r="F34" s="79"/>
      <c r="X34" s="10">
        <v>50</v>
      </c>
    </row>
    <row r="36" spans="2:42" s="10" customFormat="1" x14ac:dyDescent="0.3">
      <c r="B36"/>
      <c r="C36"/>
      <c r="D36"/>
      <c r="E36" s="455">
        <f>+C7</f>
        <v>9</v>
      </c>
      <c r="F36" s="455" t="s">
        <v>7</v>
      </c>
      <c r="G36" s="82" t="s">
        <v>48</v>
      </c>
      <c r="H36" s="83">
        <v>532</v>
      </c>
      <c r="I36" s="84"/>
      <c r="J36" s="85"/>
      <c r="K36" s="86">
        <v>427.16</v>
      </c>
      <c r="L36" s="135"/>
      <c r="N36" s="136"/>
      <c r="O36" s="136"/>
      <c r="P36" s="136"/>
      <c r="Q36" s="136"/>
      <c r="R36" s="136"/>
      <c r="S36" s="136"/>
      <c r="Y36"/>
      <c r="Z36"/>
      <c r="AA36"/>
      <c r="AB36"/>
      <c r="AC36"/>
      <c r="AD36"/>
      <c r="AE36"/>
      <c r="AF36"/>
      <c r="AG36"/>
      <c r="AH36"/>
      <c r="AI36"/>
      <c r="AJ36"/>
      <c r="AK36" s="1"/>
      <c r="AL36" s="1"/>
      <c r="AM36" s="1"/>
      <c r="AN36"/>
      <c r="AO36"/>
      <c r="AP36"/>
    </row>
    <row r="37" spans="2:42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Y37"/>
      <c r="Z37"/>
      <c r="AA37"/>
      <c r="AB37"/>
      <c r="AC37"/>
      <c r="AD37"/>
      <c r="AE37"/>
      <c r="AF37"/>
      <c r="AG37"/>
      <c r="AH37"/>
      <c r="AI37"/>
      <c r="AJ37"/>
      <c r="AK37" s="1"/>
      <c r="AL37" s="1"/>
      <c r="AM37" s="1"/>
      <c r="AN37"/>
      <c r="AO37"/>
      <c r="AP37"/>
    </row>
    <row r="38" spans="2:42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532</v>
      </c>
      <c r="I38" s="88"/>
      <c r="J38" s="89"/>
      <c r="K38" s="90">
        <f>+K36+K37*2</f>
        <v>427.16</v>
      </c>
      <c r="L38" s="135"/>
      <c r="N38" s="136"/>
      <c r="O38" s="136"/>
      <c r="P38" s="136"/>
      <c r="Q38" s="136"/>
      <c r="R38" s="136"/>
      <c r="S38" s="136"/>
      <c r="Y38"/>
      <c r="Z38"/>
      <c r="AA38"/>
      <c r="AB38"/>
      <c r="AC38"/>
      <c r="AD38"/>
      <c r="AE38"/>
      <c r="AF38"/>
      <c r="AG38"/>
      <c r="AH38"/>
      <c r="AI38"/>
      <c r="AJ38"/>
      <c r="AK38" s="1"/>
      <c r="AL38" s="1"/>
      <c r="AM38" s="1"/>
      <c r="AN38"/>
      <c r="AO38"/>
      <c r="AP38"/>
    </row>
    <row r="39" spans="2:42" s="10" customFormat="1" x14ac:dyDescent="0.3">
      <c r="B39"/>
      <c r="C39"/>
      <c r="D39"/>
      <c r="E39" s="455">
        <f>+C8</f>
        <v>10</v>
      </c>
      <c r="F39" s="455" t="s">
        <v>52</v>
      </c>
      <c r="G39" s="82" t="s">
        <v>48</v>
      </c>
      <c r="H39" s="83">
        <v>467</v>
      </c>
      <c r="I39" s="84"/>
      <c r="J39" s="85"/>
      <c r="K39" s="86">
        <v>482.43</v>
      </c>
      <c r="L39" s="135"/>
      <c r="N39" s="136"/>
      <c r="O39" s="136"/>
      <c r="P39" s="136"/>
      <c r="Q39" s="136"/>
      <c r="R39" s="136"/>
      <c r="S39" s="136"/>
      <c r="Y39"/>
      <c r="Z39"/>
      <c r="AA39"/>
      <c r="AB39"/>
      <c r="AC39"/>
      <c r="AD39"/>
      <c r="AE39"/>
      <c r="AF39"/>
      <c r="AG39"/>
      <c r="AH39"/>
      <c r="AI39"/>
      <c r="AJ39"/>
      <c r="AK39" s="1"/>
      <c r="AL39" s="1"/>
      <c r="AM39" s="1"/>
      <c r="AN39"/>
      <c r="AO39"/>
      <c r="AP39"/>
    </row>
    <row r="40" spans="2:42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Y40"/>
      <c r="Z40"/>
      <c r="AA40"/>
      <c r="AB40"/>
      <c r="AC40"/>
      <c r="AD40"/>
      <c r="AE40"/>
      <c r="AF40"/>
      <c r="AG40"/>
      <c r="AH40"/>
      <c r="AI40"/>
      <c r="AJ40"/>
      <c r="AK40" s="1"/>
      <c r="AL40" s="1"/>
      <c r="AM40" s="1"/>
      <c r="AN40"/>
      <c r="AO40"/>
      <c r="AP40"/>
    </row>
    <row r="41" spans="2:42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467</v>
      </c>
      <c r="I41" s="88"/>
      <c r="J41" s="89"/>
      <c r="K41" s="90">
        <f>+K39+K40*2</f>
        <v>482.43</v>
      </c>
      <c r="L41" s="135"/>
      <c r="N41" s="136"/>
      <c r="O41" s="136"/>
      <c r="P41" s="136"/>
      <c r="Q41" s="136"/>
      <c r="R41" s="136"/>
      <c r="S41" s="136"/>
      <c r="Y41"/>
      <c r="Z41"/>
      <c r="AA41"/>
      <c r="AB41"/>
      <c r="AC41"/>
      <c r="AD41"/>
      <c r="AE41"/>
      <c r="AF41"/>
      <c r="AG41"/>
      <c r="AH41"/>
      <c r="AI41"/>
      <c r="AJ41"/>
      <c r="AK41" s="1"/>
      <c r="AL41" s="1"/>
      <c r="AM41" s="1"/>
      <c r="AN41"/>
      <c r="AO41"/>
      <c r="AP41"/>
    </row>
    <row r="42" spans="2:42" s="10" customFormat="1" x14ac:dyDescent="0.3">
      <c r="B42"/>
      <c r="C42"/>
      <c r="D42"/>
      <c r="E42" s="455">
        <f>+C9</f>
        <v>11</v>
      </c>
      <c r="F42" s="455" t="s">
        <v>53</v>
      </c>
      <c r="G42" s="82" t="s">
        <v>48</v>
      </c>
      <c r="H42" s="83">
        <v>465</v>
      </c>
      <c r="I42" s="84"/>
      <c r="J42" s="85"/>
      <c r="K42" s="86">
        <v>522.30999999999995</v>
      </c>
      <c r="L42" s="135"/>
      <c r="N42" s="136"/>
      <c r="O42" s="136"/>
      <c r="P42" s="136"/>
      <c r="Q42" s="136"/>
      <c r="R42" s="136"/>
      <c r="S42" s="136"/>
      <c r="Y42"/>
      <c r="Z42"/>
      <c r="AA42"/>
      <c r="AB42"/>
      <c r="AC42"/>
      <c r="AD42"/>
      <c r="AE42"/>
      <c r="AF42"/>
      <c r="AG42"/>
      <c r="AH42"/>
      <c r="AI42"/>
      <c r="AJ42"/>
      <c r="AK42" s="1"/>
      <c r="AL42" s="1"/>
      <c r="AM42" s="1"/>
      <c r="AN42"/>
      <c r="AO42"/>
      <c r="AP42"/>
    </row>
    <row r="43" spans="2:42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Y43"/>
      <c r="Z43"/>
      <c r="AA43"/>
      <c r="AB43"/>
      <c r="AC43"/>
      <c r="AD43"/>
      <c r="AE43"/>
      <c r="AF43"/>
      <c r="AG43"/>
      <c r="AH43"/>
      <c r="AI43"/>
      <c r="AJ43"/>
      <c r="AK43" s="1"/>
      <c r="AL43" s="1"/>
      <c r="AM43" s="1"/>
      <c r="AN43"/>
      <c r="AO43"/>
      <c r="AP43"/>
    </row>
    <row r="44" spans="2:42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465</v>
      </c>
      <c r="I44" s="88"/>
      <c r="J44" s="89"/>
      <c r="K44" s="90">
        <f>+K42+K43*2</f>
        <v>522.30999999999995</v>
      </c>
      <c r="L44" s="137" t="s">
        <v>54</v>
      </c>
      <c r="N44" s="136"/>
      <c r="O44" s="136"/>
      <c r="P44" s="136"/>
      <c r="Q44" s="136"/>
      <c r="R44" s="136"/>
      <c r="S44" s="136"/>
      <c r="Y44"/>
      <c r="Z44"/>
      <c r="AA44"/>
      <c r="AB44"/>
      <c r="AC44"/>
      <c r="AE44"/>
      <c r="AF44"/>
      <c r="AG44"/>
      <c r="AH44"/>
      <c r="AI44"/>
      <c r="AJ44"/>
      <c r="AK44" s="1"/>
      <c r="AL44" s="1"/>
      <c r="AM44" s="1"/>
      <c r="AN44"/>
      <c r="AO44"/>
      <c r="AP44"/>
    </row>
    <row r="45" spans="2:42" s="10" customFormat="1" x14ac:dyDescent="0.3">
      <c r="B45"/>
      <c r="C45"/>
      <c r="D45"/>
      <c r="E45" s="455">
        <f>+C10</f>
        <v>12</v>
      </c>
      <c r="F45" s="455" t="s">
        <v>55</v>
      </c>
      <c r="G45" s="82" t="s">
        <v>48</v>
      </c>
      <c r="H45" s="83">
        <v>465</v>
      </c>
      <c r="I45" s="84"/>
      <c r="J45" s="85"/>
      <c r="K45" s="86">
        <v>548.48</v>
      </c>
      <c r="L45" s="135"/>
      <c r="N45" s="136"/>
      <c r="O45" s="136"/>
      <c r="P45" s="136"/>
      <c r="Q45" s="136"/>
      <c r="R45" s="136"/>
      <c r="S45" s="136"/>
      <c r="Y45"/>
      <c r="Z45"/>
      <c r="AA45"/>
      <c r="AB45"/>
      <c r="AC45"/>
      <c r="AD45"/>
      <c r="AE45"/>
      <c r="AF45"/>
      <c r="AG45"/>
      <c r="AH45"/>
      <c r="AI45"/>
      <c r="AJ45"/>
      <c r="AK45" s="1"/>
      <c r="AL45" s="1"/>
      <c r="AM45" s="1"/>
      <c r="AN45"/>
      <c r="AO45"/>
      <c r="AP45"/>
    </row>
    <row r="46" spans="2:42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Y46"/>
      <c r="Z46"/>
      <c r="AA46"/>
      <c r="AB46"/>
      <c r="AC46"/>
      <c r="AD46"/>
      <c r="AE46"/>
      <c r="AF46"/>
      <c r="AG46"/>
      <c r="AH46"/>
      <c r="AI46"/>
      <c r="AJ46"/>
      <c r="AK46" s="1"/>
      <c r="AL46" s="1"/>
      <c r="AM46" s="1"/>
      <c r="AN46"/>
      <c r="AO46"/>
      <c r="AP46"/>
    </row>
    <row r="47" spans="2:42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465</v>
      </c>
      <c r="I47" s="88"/>
      <c r="J47" s="89"/>
      <c r="K47" s="90">
        <f>+K45+K46*2</f>
        <v>548.48</v>
      </c>
      <c r="L47" s="135"/>
      <c r="N47" s="136"/>
      <c r="O47" s="136"/>
      <c r="P47" s="136"/>
      <c r="Q47" s="136"/>
      <c r="R47" s="136"/>
      <c r="S47" s="136"/>
      <c r="Y47"/>
      <c r="Z47"/>
      <c r="AA47"/>
      <c r="AB47"/>
      <c r="AC47"/>
      <c r="AD47"/>
      <c r="AE47"/>
      <c r="AF47"/>
      <c r="AG47"/>
      <c r="AH47"/>
      <c r="AI47"/>
      <c r="AJ47"/>
      <c r="AK47" s="1"/>
      <c r="AL47" s="1"/>
      <c r="AM47" s="1"/>
      <c r="AN47"/>
      <c r="AO47"/>
      <c r="AP47"/>
    </row>
    <row r="48" spans="2:42" s="10" customFormat="1" x14ac:dyDescent="0.3">
      <c r="B48"/>
      <c r="C48"/>
      <c r="D48"/>
      <c r="E48" s="455">
        <f>+C11</f>
        <v>13</v>
      </c>
      <c r="F48" s="455" t="s">
        <v>56</v>
      </c>
      <c r="G48" s="82" t="s">
        <v>48</v>
      </c>
      <c r="H48" s="83">
        <v>461</v>
      </c>
      <c r="I48" s="84"/>
      <c r="J48" s="85"/>
      <c r="K48" s="86">
        <v>425.63</v>
      </c>
      <c r="L48" s="135"/>
      <c r="N48" s="136"/>
      <c r="O48" s="136"/>
      <c r="P48" s="136"/>
      <c r="Q48" s="136"/>
      <c r="R48" s="136"/>
      <c r="S48" s="136"/>
      <c r="Y48"/>
      <c r="Z48"/>
      <c r="AA48"/>
      <c r="AB48"/>
      <c r="AC48"/>
      <c r="AD48"/>
      <c r="AE48"/>
      <c r="AF48"/>
      <c r="AG48"/>
      <c r="AH48"/>
      <c r="AI48"/>
      <c r="AJ48"/>
      <c r="AK48" s="1"/>
      <c r="AL48" s="1"/>
      <c r="AM48" s="1"/>
      <c r="AN48"/>
      <c r="AO48"/>
      <c r="AP48"/>
    </row>
    <row r="49" spans="2:42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Y49"/>
      <c r="Z49"/>
      <c r="AA49"/>
      <c r="AB49"/>
      <c r="AC49"/>
      <c r="AD49"/>
      <c r="AE49"/>
      <c r="AF49"/>
      <c r="AG49"/>
      <c r="AH49"/>
      <c r="AI49"/>
      <c r="AJ49"/>
      <c r="AK49" s="1"/>
      <c r="AL49" s="1"/>
      <c r="AM49" s="1"/>
      <c r="AN49"/>
      <c r="AO49"/>
      <c r="AP49"/>
    </row>
    <row r="50" spans="2:42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461</v>
      </c>
      <c r="I50" s="88"/>
      <c r="J50" s="89"/>
      <c r="K50" s="90">
        <f>+K48+K49*2</f>
        <v>425.63</v>
      </c>
      <c r="L50" s="135"/>
      <c r="N50" s="136"/>
      <c r="O50" s="136"/>
      <c r="P50" s="136"/>
      <c r="Q50" s="136"/>
      <c r="R50" s="136"/>
      <c r="S50" s="136"/>
      <c r="Y50"/>
      <c r="Z50"/>
      <c r="AA50"/>
      <c r="AB50"/>
      <c r="AC50"/>
      <c r="AD50"/>
      <c r="AE50"/>
      <c r="AF50"/>
      <c r="AG50"/>
      <c r="AH50"/>
      <c r="AI50"/>
      <c r="AJ50"/>
      <c r="AK50" s="1"/>
      <c r="AL50" s="1"/>
      <c r="AM50" s="1"/>
      <c r="AN50"/>
      <c r="AO50"/>
      <c r="AP50"/>
    </row>
    <row r="51" spans="2:42" s="10" customFormat="1" x14ac:dyDescent="0.3">
      <c r="B51"/>
      <c r="C51"/>
      <c r="D51"/>
      <c r="E51" s="455">
        <f>+C12</f>
        <v>14</v>
      </c>
      <c r="F51" s="455" t="s">
        <v>38</v>
      </c>
      <c r="G51" s="82" t="s">
        <v>48</v>
      </c>
      <c r="H51" s="83"/>
      <c r="I51" s="84"/>
      <c r="J51" s="85"/>
      <c r="K51" s="86"/>
      <c r="L51" s="135"/>
      <c r="N51" s="136"/>
      <c r="O51" s="136"/>
      <c r="P51" s="136"/>
      <c r="Q51" s="136"/>
      <c r="R51" s="136"/>
      <c r="S51" s="136"/>
      <c r="Y51"/>
      <c r="Z51"/>
      <c r="AA51"/>
      <c r="AB51"/>
      <c r="AC51"/>
      <c r="AD51"/>
      <c r="AE51"/>
      <c r="AF51"/>
      <c r="AG51"/>
      <c r="AH51"/>
      <c r="AI51"/>
      <c r="AJ51"/>
      <c r="AK51" s="1"/>
      <c r="AL51" s="1"/>
      <c r="AM51" s="1"/>
      <c r="AN51"/>
      <c r="AO51"/>
      <c r="AP51"/>
    </row>
    <row r="52" spans="2:42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Y52"/>
      <c r="Z52"/>
      <c r="AA52"/>
      <c r="AB52"/>
      <c r="AC52"/>
      <c r="AD52"/>
      <c r="AE52"/>
      <c r="AF52"/>
      <c r="AG52"/>
      <c r="AH52"/>
      <c r="AI52"/>
      <c r="AJ52"/>
      <c r="AK52" s="1"/>
      <c r="AL52" s="1"/>
      <c r="AM52" s="1"/>
      <c r="AN52"/>
      <c r="AO52"/>
      <c r="AP52"/>
    </row>
    <row r="53" spans="2:42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0</v>
      </c>
      <c r="I53" s="88"/>
      <c r="J53" s="89"/>
      <c r="K53" s="90">
        <f>+K51+K52*2</f>
        <v>0</v>
      </c>
      <c r="L53" s="135"/>
      <c r="N53" s="136"/>
      <c r="O53" s="136"/>
      <c r="P53" s="136"/>
      <c r="Q53" s="136"/>
      <c r="R53" s="136"/>
      <c r="S53" s="136"/>
      <c r="Y53"/>
      <c r="Z53"/>
      <c r="AA53"/>
      <c r="AB53"/>
      <c r="AC53"/>
      <c r="AD53"/>
      <c r="AE53"/>
      <c r="AF53"/>
      <c r="AG53"/>
      <c r="AH53"/>
      <c r="AI53"/>
      <c r="AJ53"/>
      <c r="AK53" s="1"/>
      <c r="AL53" s="1"/>
      <c r="AM53" s="1"/>
      <c r="AN53"/>
      <c r="AO53"/>
      <c r="AP53"/>
    </row>
    <row r="54" spans="2:42" x14ac:dyDescent="0.3">
      <c r="H54" s="75"/>
      <c r="I54" s="10"/>
      <c r="J54" s="11"/>
      <c r="K54"/>
    </row>
    <row r="55" spans="2:42" x14ac:dyDescent="0.3">
      <c r="H55" s="75"/>
      <c r="I55" s="10"/>
      <c r="J55" s="11"/>
      <c r="K55"/>
    </row>
    <row r="56" spans="2:42" s="10" customFormat="1" x14ac:dyDescent="0.3">
      <c r="B56"/>
      <c r="C56"/>
      <c r="D56"/>
      <c r="E56" s="455">
        <f>+E36</f>
        <v>9</v>
      </c>
      <c r="F56" s="455" t="s">
        <v>7</v>
      </c>
      <c r="G56" s="82" t="s">
        <v>48</v>
      </c>
      <c r="H56" s="83">
        <v>603</v>
      </c>
      <c r="I56" s="84"/>
      <c r="J56" s="85"/>
      <c r="K56" s="86">
        <v>516.99</v>
      </c>
      <c r="L56" s="135"/>
      <c r="N56" s="136"/>
      <c r="O56" s="136"/>
      <c r="P56" s="136"/>
      <c r="Q56" s="136"/>
      <c r="R56" s="136"/>
      <c r="S56" s="136"/>
      <c r="Y56"/>
      <c r="Z56"/>
      <c r="AA56"/>
      <c r="AB56"/>
      <c r="AC56"/>
      <c r="AD56"/>
      <c r="AE56"/>
      <c r="AF56"/>
      <c r="AG56"/>
      <c r="AH56"/>
      <c r="AI56"/>
      <c r="AJ56"/>
      <c r="AK56" s="1"/>
      <c r="AL56" s="1"/>
      <c r="AM56" s="1"/>
      <c r="AN56"/>
      <c r="AO56"/>
      <c r="AP56"/>
    </row>
    <row r="57" spans="2:42" s="10" customFormat="1" x14ac:dyDescent="0.3">
      <c r="B57"/>
      <c r="C57" t="s">
        <v>57</v>
      </c>
      <c r="D57"/>
      <c r="E57" s="456"/>
      <c r="F57" s="456"/>
      <c r="G57" s="82" t="s">
        <v>50</v>
      </c>
      <c r="H57" s="83"/>
      <c r="I57" s="84"/>
      <c r="J57" s="85"/>
      <c r="K57" s="86"/>
      <c r="L57" s="135"/>
      <c r="N57" s="136"/>
      <c r="O57" s="136"/>
      <c r="P57" s="136"/>
      <c r="Q57" s="136"/>
      <c r="R57" s="136"/>
      <c r="S57" s="136"/>
      <c r="Y57"/>
      <c r="Z57"/>
      <c r="AA57"/>
      <c r="AB57"/>
      <c r="AC57"/>
      <c r="AD57"/>
      <c r="AE57"/>
      <c r="AF57"/>
      <c r="AG57"/>
      <c r="AH57"/>
      <c r="AI57"/>
      <c r="AJ57"/>
      <c r="AK57" s="1"/>
      <c r="AL57" s="1"/>
      <c r="AM57" s="1"/>
      <c r="AN57"/>
      <c r="AO57"/>
      <c r="AP57"/>
    </row>
    <row r="58" spans="2:42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603</v>
      </c>
      <c r="I58" s="88"/>
      <c r="J58" s="89"/>
      <c r="K58" s="90">
        <f>+K56+K57*2</f>
        <v>516.99</v>
      </c>
      <c r="L58" s="135"/>
      <c r="N58" s="136"/>
      <c r="O58" s="136"/>
      <c r="P58" s="136"/>
      <c r="Q58" s="136"/>
      <c r="R58" s="136"/>
      <c r="S58" s="136"/>
      <c r="Y58"/>
      <c r="Z58"/>
      <c r="AA58"/>
      <c r="AB58"/>
      <c r="AC58"/>
      <c r="AD58"/>
      <c r="AE58"/>
      <c r="AF58"/>
      <c r="AG58"/>
      <c r="AH58"/>
      <c r="AI58"/>
      <c r="AJ58"/>
      <c r="AK58" s="1"/>
      <c r="AL58" s="1"/>
      <c r="AM58" s="1"/>
      <c r="AN58"/>
      <c r="AO58"/>
      <c r="AP58"/>
    </row>
    <row r="59" spans="2:42" s="10" customFormat="1" x14ac:dyDescent="0.3">
      <c r="B59"/>
      <c r="C59"/>
      <c r="D59"/>
      <c r="E59" s="455">
        <f>+E39</f>
        <v>10</v>
      </c>
      <c r="F59" s="455" t="s">
        <v>52</v>
      </c>
      <c r="G59" s="82" t="s">
        <v>48</v>
      </c>
      <c r="H59" s="83">
        <v>544</v>
      </c>
      <c r="I59" s="84"/>
      <c r="J59" s="85"/>
      <c r="K59" s="86">
        <f>546.92-3.86</f>
        <v>543.05999999999995</v>
      </c>
      <c r="L59" s="135"/>
      <c r="N59" s="136"/>
      <c r="O59" s="136"/>
      <c r="P59" s="136"/>
      <c r="Q59" s="136"/>
      <c r="R59" s="136"/>
      <c r="S59" s="136"/>
      <c r="Y59"/>
      <c r="Z59"/>
      <c r="AA59"/>
      <c r="AB59"/>
      <c r="AC59"/>
      <c r="AD59"/>
      <c r="AE59"/>
      <c r="AF59"/>
      <c r="AG59"/>
      <c r="AH59"/>
      <c r="AI59"/>
      <c r="AJ59"/>
      <c r="AK59" s="1"/>
      <c r="AL59" s="1"/>
      <c r="AM59" s="1"/>
      <c r="AN59"/>
      <c r="AO59"/>
      <c r="AP59"/>
    </row>
    <row r="60" spans="2:42" s="10" customFormat="1" x14ac:dyDescent="0.3">
      <c r="B60"/>
      <c r="C60"/>
      <c r="D60"/>
      <c r="E60" s="456"/>
      <c r="F60" s="456"/>
      <c r="G60" s="82" t="s">
        <v>50</v>
      </c>
      <c r="H60" s="83">
        <v>1</v>
      </c>
      <c r="I60" s="84"/>
      <c r="J60" s="85"/>
      <c r="K60" s="86">
        <v>3.86</v>
      </c>
      <c r="L60" s="135"/>
      <c r="N60" s="136"/>
      <c r="O60" s="136"/>
      <c r="P60" s="136"/>
      <c r="Q60" s="136"/>
      <c r="R60" s="136"/>
      <c r="S60" s="136"/>
      <c r="Y60"/>
      <c r="Z60"/>
      <c r="AA60"/>
      <c r="AB60"/>
      <c r="AC60"/>
      <c r="AD60"/>
      <c r="AE60"/>
      <c r="AF60"/>
      <c r="AG60"/>
      <c r="AH60"/>
      <c r="AI60"/>
      <c r="AJ60"/>
      <c r="AK60" s="1"/>
      <c r="AL60" s="1"/>
      <c r="AM60" s="1"/>
      <c r="AN60"/>
      <c r="AO60"/>
      <c r="AP60"/>
    </row>
    <row r="61" spans="2:42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546</v>
      </c>
      <c r="I61" s="88"/>
      <c r="J61" s="89"/>
      <c r="K61" s="90">
        <f>+K59+K60*2</f>
        <v>550.78</v>
      </c>
      <c r="L61" s="135"/>
      <c r="N61" s="136"/>
      <c r="O61" s="136"/>
      <c r="P61" s="136"/>
      <c r="Q61" s="136"/>
      <c r="R61" s="136"/>
      <c r="S61" s="136"/>
      <c r="Y61"/>
      <c r="Z61"/>
      <c r="AA61"/>
      <c r="AB61"/>
      <c r="AC61"/>
      <c r="AD61"/>
      <c r="AE61"/>
      <c r="AF61"/>
      <c r="AG61"/>
      <c r="AH61"/>
      <c r="AI61"/>
      <c r="AJ61"/>
      <c r="AK61" s="1"/>
      <c r="AL61" s="1"/>
      <c r="AM61" s="1"/>
      <c r="AN61"/>
      <c r="AO61"/>
      <c r="AP61"/>
    </row>
    <row r="62" spans="2:42" s="10" customFormat="1" x14ac:dyDescent="0.3">
      <c r="B62"/>
      <c r="C62"/>
      <c r="D62"/>
      <c r="E62" s="455">
        <f>+E42</f>
        <v>11</v>
      </c>
      <c r="F62" s="455" t="s">
        <v>53</v>
      </c>
      <c r="G62" s="82" t="s">
        <v>48</v>
      </c>
      <c r="H62" s="83">
        <v>445</v>
      </c>
      <c r="I62" s="84"/>
      <c r="J62" s="85"/>
      <c r="K62" s="86">
        <v>411.91</v>
      </c>
      <c r="L62" s="135"/>
      <c r="N62" s="136"/>
      <c r="O62" s="136"/>
      <c r="P62" s="136"/>
      <c r="Q62" s="136"/>
      <c r="R62" s="136"/>
      <c r="S62" s="136"/>
      <c r="Y62"/>
      <c r="Z62"/>
      <c r="AA62"/>
      <c r="AB62"/>
      <c r="AC62"/>
      <c r="AD62"/>
      <c r="AE62"/>
      <c r="AF62"/>
      <c r="AG62"/>
      <c r="AH62"/>
      <c r="AI62"/>
      <c r="AJ62"/>
      <c r="AK62" s="1"/>
      <c r="AL62" s="1"/>
      <c r="AM62" s="1"/>
      <c r="AN62"/>
      <c r="AO62"/>
      <c r="AP62"/>
    </row>
    <row r="63" spans="2:42" s="10" customFormat="1" x14ac:dyDescent="0.3">
      <c r="B63"/>
      <c r="C63"/>
      <c r="D63"/>
      <c r="E63" s="456"/>
      <c r="F63" s="456"/>
      <c r="G63" s="82" t="s">
        <v>50</v>
      </c>
      <c r="H63" s="83"/>
      <c r="I63" s="84"/>
      <c r="J63" s="85"/>
      <c r="K63" s="86"/>
      <c r="L63" s="135"/>
      <c r="N63" s="136"/>
      <c r="O63" s="136"/>
      <c r="P63" s="136"/>
      <c r="Q63" s="136"/>
      <c r="R63" s="136"/>
      <c r="S63" s="136"/>
      <c r="Y63"/>
      <c r="Z63"/>
      <c r="AA63"/>
      <c r="AB63"/>
      <c r="AC63"/>
      <c r="AD63"/>
      <c r="AE63"/>
      <c r="AF63"/>
      <c r="AG63"/>
      <c r="AH63"/>
      <c r="AI63"/>
      <c r="AJ63"/>
      <c r="AK63" s="1"/>
      <c r="AL63" s="1"/>
      <c r="AM63" s="1"/>
      <c r="AN63"/>
      <c r="AO63"/>
      <c r="AP63"/>
    </row>
    <row r="64" spans="2:42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445</v>
      </c>
      <c r="I64" s="88"/>
      <c r="J64" s="89"/>
      <c r="K64" s="90">
        <f>+K62+K63*2</f>
        <v>411.91</v>
      </c>
      <c r="L64" s="137" t="s">
        <v>54</v>
      </c>
      <c r="N64" s="136"/>
      <c r="O64" s="136"/>
      <c r="P64" s="136"/>
      <c r="Q64" s="136"/>
      <c r="R64" s="136"/>
      <c r="S64" s="136"/>
      <c r="Y64"/>
      <c r="Z64"/>
      <c r="AA64"/>
      <c r="AB64"/>
      <c r="AC64"/>
      <c r="AE64"/>
      <c r="AF64"/>
      <c r="AG64"/>
      <c r="AH64"/>
      <c r="AI64"/>
      <c r="AJ64"/>
      <c r="AK64" s="1"/>
      <c r="AL64" s="1"/>
      <c r="AM64" s="1"/>
      <c r="AN64"/>
      <c r="AO64"/>
      <c r="AP64"/>
    </row>
    <row r="65" spans="2:42" s="10" customFormat="1" x14ac:dyDescent="0.3">
      <c r="B65"/>
      <c r="C65"/>
      <c r="D65"/>
      <c r="E65" s="455">
        <f>+E45</f>
        <v>12</v>
      </c>
      <c r="F65" s="455" t="s">
        <v>55</v>
      </c>
      <c r="G65" s="82" t="s">
        <v>48</v>
      </c>
      <c r="H65" s="83">
        <v>451</v>
      </c>
      <c r="I65" s="84"/>
      <c r="J65" s="85"/>
      <c r="K65" s="86">
        <v>458.15</v>
      </c>
      <c r="L65" s="135"/>
      <c r="N65" s="136"/>
      <c r="O65" s="136"/>
      <c r="P65" s="136"/>
      <c r="Q65" s="136"/>
      <c r="R65" s="136"/>
      <c r="S65" s="136"/>
      <c r="Y65"/>
      <c r="Z65"/>
      <c r="AA65"/>
      <c r="AB65"/>
      <c r="AC65"/>
      <c r="AD65"/>
      <c r="AE65"/>
      <c r="AF65"/>
      <c r="AG65"/>
      <c r="AH65"/>
      <c r="AI65"/>
      <c r="AJ65"/>
      <c r="AK65" s="1"/>
      <c r="AL65" s="1"/>
      <c r="AM65" s="1"/>
      <c r="AN65"/>
      <c r="AO65"/>
      <c r="AP65"/>
    </row>
    <row r="66" spans="2:42" s="10" customFormat="1" x14ac:dyDescent="0.3">
      <c r="B66"/>
      <c r="C66"/>
      <c r="D66"/>
      <c r="E66" s="456"/>
      <c r="F66" s="456"/>
      <c r="G66" s="82" t="s">
        <v>50</v>
      </c>
      <c r="H66" s="83"/>
      <c r="I66" s="84"/>
      <c r="J66" s="85"/>
      <c r="K66" s="86"/>
      <c r="L66" s="135"/>
      <c r="N66" s="136"/>
      <c r="O66" s="136"/>
      <c r="P66" s="136"/>
      <c r="Q66" s="136"/>
      <c r="R66" s="136"/>
      <c r="S66" s="136"/>
      <c r="Y66"/>
      <c r="Z66"/>
      <c r="AA66"/>
      <c r="AB66"/>
      <c r="AC66"/>
      <c r="AD66"/>
      <c r="AE66"/>
      <c r="AF66"/>
      <c r="AG66"/>
      <c r="AH66"/>
      <c r="AI66"/>
      <c r="AJ66"/>
      <c r="AK66" s="1"/>
      <c r="AL66" s="1"/>
      <c r="AM66" s="1"/>
      <c r="AN66"/>
      <c r="AO66"/>
      <c r="AP66"/>
    </row>
    <row r="67" spans="2:42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451</v>
      </c>
      <c r="I67" s="88"/>
      <c r="J67" s="89"/>
      <c r="K67" s="90">
        <f>+K65+K66*2</f>
        <v>458.15</v>
      </c>
      <c r="L67" s="135"/>
      <c r="N67" s="136"/>
      <c r="O67" s="136"/>
      <c r="P67" s="136"/>
      <c r="Q67" s="136"/>
      <c r="R67" s="136"/>
      <c r="S67" s="136"/>
      <c r="Y67"/>
      <c r="Z67"/>
      <c r="AA67"/>
      <c r="AB67"/>
      <c r="AC67"/>
      <c r="AD67"/>
      <c r="AE67"/>
      <c r="AF67"/>
      <c r="AG67"/>
      <c r="AH67"/>
      <c r="AI67"/>
      <c r="AJ67"/>
      <c r="AK67" s="1"/>
      <c r="AL67" s="1"/>
      <c r="AM67" s="1"/>
      <c r="AN67"/>
      <c r="AO67"/>
      <c r="AP67"/>
    </row>
    <row r="68" spans="2:42" s="10" customFormat="1" x14ac:dyDescent="0.3">
      <c r="B68"/>
      <c r="C68"/>
      <c r="D68"/>
      <c r="E68" s="455">
        <f>+E48</f>
        <v>13</v>
      </c>
      <c r="F68" s="455" t="s">
        <v>56</v>
      </c>
      <c r="G68" s="82" t="s">
        <v>48</v>
      </c>
      <c r="H68" s="83">
        <v>331</v>
      </c>
      <c r="I68" s="84"/>
      <c r="J68" s="85"/>
      <c r="K68" s="86">
        <v>343.46</v>
      </c>
      <c r="L68" s="135"/>
      <c r="N68" s="136"/>
      <c r="O68" s="136"/>
      <c r="P68" s="136"/>
      <c r="Q68" s="136"/>
      <c r="R68" s="136"/>
      <c r="S68" s="136"/>
      <c r="Y68"/>
      <c r="Z68"/>
      <c r="AA68"/>
      <c r="AB68"/>
      <c r="AC68"/>
      <c r="AD68"/>
      <c r="AE68"/>
      <c r="AF68"/>
      <c r="AG68"/>
      <c r="AH68"/>
      <c r="AI68"/>
      <c r="AJ68"/>
      <c r="AK68" s="1"/>
      <c r="AL68" s="1"/>
      <c r="AM68" s="1"/>
      <c r="AN68"/>
      <c r="AO68"/>
      <c r="AP68"/>
    </row>
    <row r="69" spans="2:42" s="10" customFormat="1" x14ac:dyDescent="0.3">
      <c r="B69"/>
      <c r="C69"/>
      <c r="D69"/>
      <c r="E69" s="456"/>
      <c r="F69" s="456"/>
      <c r="G69" s="82" t="s">
        <v>50</v>
      </c>
      <c r="H69" s="83"/>
      <c r="I69" s="84"/>
      <c r="J69" s="85"/>
      <c r="K69" s="86"/>
      <c r="L69" s="135"/>
      <c r="N69" s="136"/>
      <c r="O69" s="136"/>
      <c r="P69" s="136"/>
      <c r="Q69" s="136"/>
      <c r="R69" s="136"/>
      <c r="S69" s="136"/>
      <c r="Y69"/>
      <c r="Z69"/>
      <c r="AA69"/>
      <c r="AB69"/>
      <c r="AC69"/>
      <c r="AD69"/>
      <c r="AE69"/>
      <c r="AF69"/>
      <c r="AG69"/>
      <c r="AH69"/>
      <c r="AI69"/>
      <c r="AJ69"/>
      <c r="AK69" s="1"/>
      <c r="AL69" s="1"/>
      <c r="AM69" s="1"/>
      <c r="AN69"/>
      <c r="AO69"/>
      <c r="AP69"/>
    </row>
    <row r="70" spans="2:42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331</v>
      </c>
      <c r="I70" s="88"/>
      <c r="J70" s="89"/>
      <c r="K70" s="90">
        <f>+K68+K69*2</f>
        <v>343.46</v>
      </c>
      <c r="L70" s="135"/>
      <c r="N70" s="136"/>
      <c r="O70" s="136"/>
      <c r="P70" s="136"/>
      <c r="Q70" s="136"/>
      <c r="R70" s="136"/>
      <c r="S70" s="136"/>
      <c r="Y70"/>
      <c r="Z70"/>
      <c r="AA70"/>
      <c r="AB70"/>
      <c r="AC70"/>
      <c r="AD70"/>
      <c r="AE70"/>
      <c r="AF70"/>
      <c r="AG70"/>
      <c r="AH70"/>
      <c r="AI70"/>
      <c r="AJ70"/>
      <c r="AK70" s="1"/>
      <c r="AL70" s="1"/>
      <c r="AM70" s="1"/>
      <c r="AN70"/>
      <c r="AO70"/>
      <c r="AP70"/>
    </row>
    <row r="71" spans="2:42" s="10" customFormat="1" x14ac:dyDescent="0.3">
      <c r="B71"/>
      <c r="C71"/>
      <c r="D71"/>
      <c r="E71" s="455">
        <f>+E51</f>
        <v>14</v>
      </c>
      <c r="F71" s="455" t="s">
        <v>38</v>
      </c>
      <c r="G71" s="82" t="s">
        <v>48</v>
      </c>
      <c r="H71" s="83"/>
      <c r="I71" s="84"/>
      <c r="J71" s="85"/>
      <c r="K71" s="86"/>
      <c r="L71" s="135"/>
      <c r="N71" s="136"/>
      <c r="O71" s="136"/>
      <c r="P71" s="136"/>
      <c r="Q71" s="136"/>
      <c r="R71" s="136"/>
      <c r="S71" s="136"/>
      <c r="Y71"/>
      <c r="Z71"/>
      <c r="AA71"/>
      <c r="AB71"/>
      <c r="AC71"/>
      <c r="AD71"/>
      <c r="AE71"/>
      <c r="AF71"/>
      <c r="AG71"/>
      <c r="AH71"/>
      <c r="AI71"/>
      <c r="AJ71"/>
      <c r="AK71" s="1"/>
      <c r="AL71" s="1"/>
      <c r="AM71" s="1"/>
      <c r="AN71"/>
      <c r="AO71"/>
      <c r="AP71"/>
    </row>
    <row r="72" spans="2:42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Y72"/>
      <c r="Z72"/>
      <c r="AA72"/>
      <c r="AB72"/>
      <c r="AC72"/>
      <c r="AD72"/>
      <c r="AE72"/>
      <c r="AF72"/>
      <c r="AG72"/>
      <c r="AH72"/>
      <c r="AI72"/>
      <c r="AJ72"/>
      <c r="AK72" s="1"/>
      <c r="AL72" s="1"/>
      <c r="AM72" s="1"/>
      <c r="AN72"/>
      <c r="AO72"/>
      <c r="AP72"/>
    </row>
    <row r="73" spans="2:42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0</v>
      </c>
      <c r="I73" s="88"/>
      <c r="J73" s="89"/>
      <c r="K73" s="90">
        <f>+K71+K72*2</f>
        <v>0</v>
      </c>
      <c r="L73" s="135"/>
      <c r="N73" s="136"/>
      <c r="O73" s="136"/>
      <c r="P73" s="136"/>
      <c r="Q73" s="136"/>
      <c r="R73" s="136"/>
      <c r="S73" s="136"/>
      <c r="Y73"/>
      <c r="Z73"/>
      <c r="AA73"/>
      <c r="AB73"/>
      <c r="AC73"/>
      <c r="AD73"/>
      <c r="AE73"/>
      <c r="AF73"/>
      <c r="AG73"/>
      <c r="AH73"/>
      <c r="AI73"/>
      <c r="AJ73"/>
      <c r="AK73" s="1"/>
      <c r="AL73" s="1"/>
      <c r="AM73" s="1"/>
      <c r="AN73"/>
      <c r="AO73"/>
      <c r="AP73"/>
    </row>
    <row r="76" spans="2:42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</row>
    <row r="77" spans="2:42" ht="18" customHeight="1" x14ac:dyDescent="0.3">
      <c r="B77" t="s">
        <v>5</v>
      </c>
      <c r="D77" s="7">
        <v>55</v>
      </c>
      <c r="F77" s="8" t="s">
        <v>6</v>
      </c>
      <c r="T77" s="9">
        <v>1.2</v>
      </c>
      <c r="Z77" s="12">
        <f>Z61</f>
        <v>0</v>
      </c>
      <c r="AA77" s="11">
        <f>AA61</f>
        <v>0</v>
      </c>
      <c r="AB77" s="12"/>
      <c r="AD77" s="8"/>
    </row>
    <row r="78" spans="2:42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441" t="s">
        <v>12</v>
      </c>
      <c r="U78" s="418"/>
      <c r="V78" s="442"/>
      <c r="W78" s="446" t="s">
        <v>13</v>
      </c>
      <c r="X78" s="418"/>
      <c r="Y78" s="418"/>
      <c r="Z78" s="13"/>
      <c r="AA78" s="14"/>
      <c r="AB78" s="447" t="s">
        <v>14</v>
      </c>
      <c r="AC78" s="449" t="s">
        <v>15</v>
      </c>
      <c r="AD78" s="418" t="s">
        <v>16</v>
      </c>
    </row>
    <row r="79" spans="2:42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5" t="s">
        <v>12</v>
      </c>
      <c r="U79" s="16" t="s">
        <v>17</v>
      </c>
      <c r="V79" s="17" t="s">
        <v>18</v>
      </c>
      <c r="W79" s="18" t="s">
        <v>13</v>
      </c>
      <c r="X79" s="16" t="s">
        <v>19</v>
      </c>
      <c r="Y79" s="19" t="s">
        <v>18</v>
      </c>
      <c r="Z79" s="234" t="s">
        <v>20</v>
      </c>
      <c r="AA79" s="20" t="s">
        <v>21</v>
      </c>
      <c r="AB79" s="448"/>
      <c r="AC79" s="450"/>
      <c r="AD79" s="419"/>
      <c r="AE79" s="21" t="s">
        <v>22</v>
      </c>
      <c r="AF79" s="21" t="s">
        <v>23</v>
      </c>
      <c r="AG79" s="22"/>
      <c r="AH79" s="22"/>
      <c r="AI79" s="22" t="s">
        <v>24</v>
      </c>
      <c r="AJ79" s="22"/>
      <c r="AK79" s="23" t="s">
        <v>25</v>
      </c>
      <c r="AL79" s="23" t="s">
        <v>26</v>
      </c>
      <c r="AM79" s="23" t="s">
        <v>27</v>
      </c>
      <c r="AN79" s="22"/>
      <c r="AO79" s="22">
        <f>SUM(AO80:AO85)</f>
        <v>-50</v>
      </c>
    </row>
    <row r="80" spans="2:42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95">
        <f>+T94</f>
        <v>0</v>
      </c>
      <c r="U80" s="96">
        <f>IF(F80=0,"휴무",T80/F80)</f>
        <v>0</v>
      </c>
      <c r="V80" s="97">
        <f>IFERROR(T80/#REF!,0)</f>
        <v>0</v>
      </c>
      <c r="W80" s="98">
        <f>+W94</f>
        <v>0</v>
      </c>
      <c r="X80" s="96">
        <f t="shared" ref="X80:X85" si="23">IF(F80=0,"휴무",W80/F80)</f>
        <v>0</v>
      </c>
      <c r="Y80" s="99">
        <f>IFERROR(W80/#REF!,0)</f>
        <v>0</v>
      </c>
      <c r="Z80" s="100" t="e">
        <f>IF(F80=0,"휴무",T80/#REF!*$Z$4)</f>
        <v>#REF!</v>
      </c>
      <c r="AA80" s="101" t="e">
        <f>IF(F80=0,"휴무",W80/#REF!*$AA$4)</f>
        <v>#REF!</v>
      </c>
      <c r="AB80" s="102" t="e">
        <f t="shared" ref="AB80:AB85" si="24">IF(F80=0,"휴무",Z80+AA80)</f>
        <v>#REF!</v>
      </c>
      <c r="AC80" s="103" t="e">
        <f t="shared" ref="AC80:AC85" si="25">IF(F80=0,"휴무",IF(AB80&gt;=100,"좋아요",IF(AB80&gt;=90,"90~99",IF(AB80&gt;=80,"80~89"," 사유?→"))))</f>
        <v>#REF!</v>
      </c>
      <c r="AD80" s="104"/>
      <c r="AE80" s="37">
        <f>AF80-F80</f>
        <v>-10</v>
      </c>
      <c r="AF80" s="38">
        <f>AM80</f>
        <v>0</v>
      </c>
      <c r="AG80" s="232" t="s">
        <v>29</v>
      </c>
      <c r="AH80" s="39"/>
      <c r="AI80" s="40" t="str">
        <f>IFERROR(Y80/V80*1000,"")</f>
        <v/>
      </c>
      <c r="AJ80" s="39"/>
      <c r="AK80" s="41"/>
      <c r="AL80" s="41"/>
      <c r="AM80" s="41"/>
      <c r="AN80" s="232"/>
      <c r="AO80" s="232">
        <f>AN80-F80</f>
        <v>-10</v>
      </c>
    </row>
    <row r="81" spans="2:41" ht="98.25" customHeight="1" x14ac:dyDescent="0.3">
      <c r="B81" s="459"/>
      <c r="C81" s="92">
        <v>20</v>
      </c>
      <c r="D81" s="228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95">
        <f>+T97</f>
        <v>0</v>
      </c>
      <c r="U81" s="62">
        <f>IF(F81=0,"휴무",T81/F81)</f>
        <v>0</v>
      </c>
      <c r="V81" s="63">
        <f>IFERROR(T81/#REF!,0)</f>
        <v>0</v>
      </c>
      <c r="W81" s="105">
        <f>+W97</f>
        <v>0</v>
      </c>
      <c r="X81" s="96">
        <f t="shared" si="23"/>
        <v>0</v>
      </c>
      <c r="Y81" s="65">
        <f>IFERROR(W81/#REF!,0)</f>
        <v>0</v>
      </c>
      <c r="Z81" s="106" t="e">
        <f>IF(F81=0,"휴무",T81/#REF!*$Z$4)</f>
        <v>#REF!</v>
      </c>
      <c r="AA81" s="107" t="e">
        <f>IF(F81=0,"휴무",W81/#REF!*$AA$4)</f>
        <v>#REF!</v>
      </c>
      <c r="AB81" s="66" t="e">
        <f t="shared" si="24"/>
        <v>#REF!</v>
      </c>
      <c r="AC81" s="108" t="e">
        <f t="shared" si="25"/>
        <v>#REF!</v>
      </c>
      <c r="AD81" s="109"/>
      <c r="AE81" s="37">
        <f>AF81-F81</f>
        <v>-10</v>
      </c>
      <c r="AF81" s="38">
        <f>AM81</f>
        <v>0</v>
      </c>
      <c r="AG81" s="232" t="s">
        <v>34</v>
      </c>
      <c r="AH81" s="39"/>
      <c r="AI81" s="40" t="str">
        <f>IFERROR(Y81/V81*1000,"")</f>
        <v/>
      </c>
      <c r="AJ81" s="39"/>
      <c r="AK81" s="41"/>
      <c r="AL81" s="41"/>
      <c r="AM81" s="41"/>
      <c r="AN81" s="232"/>
      <c r="AO81" s="232">
        <f>AN81-F81</f>
        <v>-10</v>
      </c>
    </row>
    <row r="82" spans="2:41" ht="98.25" customHeight="1" x14ac:dyDescent="0.3">
      <c r="B82" s="459"/>
      <c r="C82" s="92">
        <v>21</v>
      </c>
      <c r="D82" s="228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95">
        <f>+T100</f>
        <v>0</v>
      </c>
      <c r="U82" s="62">
        <f>IF(F82=0,"휴무",T82/F82)</f>
        <v>0</v>
      </c>
      <c r="V82" s="63">
        <f>IFERROR(T82/#REF!,0)</f>
        <v>0</v>
      </c>
      <c r="W82" s="105">
        <f>+W100</f>
        <v>0</v>
      </c>
      <c r="X82" s="96">
        <f t="shared" si="23"/>
        <v>0</v>
      </c>
      <c r="Y82" s="65">
        <f>IFERROR(W82/#REF!,0)</f>
        <v>0</v>
      </c>
      <c r="Z82" s="106" t="e">
        <f>IF(F82=0,"휴무",T82/#REF!*$Z$4)</f>
        <v>#REF!</v>
      </c>
      <c r="AA82" s="107" t="e">
        <f>IF(F82=0,"휴무",W82/#REF!*$AA$4)</f>
        <v>#REF!</v>
      </c>
      <c r="AB82" s="66" t="e">
        <f t="shared" si="24"/>
        <v>#REF!</v>
      </c>
      <c r="AC82" s="108" t="e">
        <f t="shared" si="25"/>
        <v>#REF!</v>
      </c>
      <c r="AD82" s="109"/>
      <c r="AE82" s="37">
        <f>AF82-F82</f>
        <v>-10</v>
      </c>
      <c r="AF82" s="38">
        <f>AM82</f>
        <v>0</v>
      </c>
      <c r="AG82" s="232" t="s">
        <v>36</v>
      </c>
      <c r="AH82" s="39"/>
      <c r="AI82" s="40" t="str">
        <f>IFERROR(Y82/V82*1000,"")</f>
        <v/>
      </c>
      <c r="AJ82" s="39"/>
      <c r="AK82" s="41"/>
      <c r="AL82" s="41"/>
      <c r="AM82" s="41"/>
      <c r="AN82" s="232"/>
      <c r="AO82" s="232">
        <f>AN82-F82</f>
        <v>-10</v>
      </c>
    </row>
    <row r="83" spans="2:41" ht="98.25" customHeight="1" x14ac:dyDescent="0.3">
      <c r="B83" s="459"/>
      <c r="C83" s="92">
        <v>22</v>
      </c>
      <c r="D83" s="228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95">
        <f>+T103</f>
        <v>0</v>
      </c>
      <c r="U83" s="62">
        <f>IF(F83=0,"휴무",T83/F83)</f>
        <v>0</v>
      </c>
      <c r="V83" s="63">
        <f>IFERROR(T83/#REF!,0)</f>
        <v>0</v>
      </c>
      <c r="W83" s="105">
        <f>+W103</f>
        <v>0</v>
      </c>
      <c r="X83" s="62">
        <f t="shared" si="23"/>
        <v>0</v>
      </c>
      <c r="Y83" s="65">
        <f>IFERROR(W83/#REF!,0)</f>
        <v>0</v>
      </c>
      <c r="Z83" s="106" t="e">
        <f>IF(F83=0,"휴무",T83/#REF!*$Z$4)</f>
        <v>#REF!</v>
      </c>
      <c r="AA83" s="107" t="e">
        <f>IF(F83=0,"휴무",W83/#REF!*$AA$4)</f>
        <v>#REF!</v>
      </c>
      <c r="AB83" s="66" t="e">
        <f t="shared" si="24"/>
        <v>#REF!</v>
      </c>
      <c r="AC83" s="110" t="e">
        <f t="shared" si="25"/>
        <v>#REF!</v>
      </c>
      <c r="AD83" s="104"/>
      <c r="AE83" s="37">
        <f>AF83-F83</f>
        <v>-10</v>
      </c>
      <c r="AF83" s="38">
        <f>AM83</f>
        <v>0</v>
      </c>
      <c r="AG83" s="232" t="s">
        <v>33</v>
      </c>
      <c r="AH83" s="39"/>
      <c r="AI83" s="40" t="str">
        <f>IFERROR(Y83/V83*1000,"")</f>
        <v/>
      </c>
      <c r="AJ83" s="39"/>
      <c r="AK83" s="41"/>
      <c r="AL83" s="41"/>
      <c r="AM83" s="41"/>
      <c r="AN83" s="232"/>
      <c r="AO83" s="232">
        <f>AN83-F83</f>
        <v>-10</v>
      </c>
    </row>
    <row r="84" spans="2:41" ht="98.25" customHeight="1" x14ac:dyDescent="0.3">
      <c r="B84" s="459"/>
      <c r="C84" s="92">
        <v>23</v>
      </c>
      <c r="D84" s="228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95">
        <f>+T104</f>
        <v>0</v>
      </c>
      <c r="U84" s="62">
        <f>IF(F84=0,"휴무",T84/F84)</f>
        <v>0</v>
      </c>
      <c r="V84" s="63">
        <f>IFERROR(T84/#REF!,0)</f>
        <v>0</v>
      </c>
      <c r="W84" s="105">
        <f>+W104</f>
        <v>0</v>
      </c>
      <c r="X84" s="62">
        <f t="shared" si="23"/>
        <v>0</v>
      </c>
      <c r="Y84" s="65">
        <f>IFERROR(W84/#REF!,0)</f>
        <v>0</v>
      </c>
      <c r="Z84" s="106" t="e">
        <f>IF(F84=0,"휴무",T84/#REF!*$Z$4)</f>
        <v>#REF!</v>
      </c>
      <c r="AA84" s="107" t="e">
        <f>IF(F84=0,"휴무",W84/#REF!*$AA$4)</f>
        <v>#REF!</v>
      </c>
      <c r="AB84" s="66" t="e">
        <f t="shared" si="24"/>
        <v>#REF!</v>
      </c>
      <c r="AC84" s="110" t="e">
        <f t="shared" si="25"/>
        <v>#REF!</v>
      </c>
      <c r="AD84" s="104"/>
      <c r="AE84" s="37">
        <f>AF84-F84</f>
        <v>-10</v>
      </c>
      <c r="AF84" s="38">
        <f>AM84</f>
        <v>0</v>
      </c>
      <c r="AG84" s="232" t="s">
        <v>46</v>
      </c>
      <c r="AH84" s="39"/>
      <c r="AI84" s="40" t="str">
        <f>IFERROR(Y84/V84*1000,"")</f>
        <v/>
      </c>
      <c r="AJ84" s="232"/>
      <c r="AK84" s="41"/>
      <c r="AL84" s="41"/>
      <c r="AM84" s="41"/>
      <c r="AN84" s="232"/>
      <c r="AO84" s="232">
        <f>AN84-F84</f>
        <v>-10</v>
      </c>
    </row>
    <row r="85" spans="2:41" ht="98.25" customHeight="1" x14ac:dyDescent="0.3">
      <c r="B85" s="459"/>
      <c r="C85" s="92">
        <v>25</v>
      </c>
      <c r="D85" s="228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95">
        <f>T109</f>
        <v>0</v>
      </c>
      <c r="U85" s="96">
        <v>58.924999999999997</v>
      </c>
      <c r="V85" s="97">
        <v>0.89280303030303021</v>
      </c>
      <c r="W85" s="98">
        <f>W109</f>
        <v>0</v>
      </c>
      <c r="X85" s="62" t="str">
        <f t="shared" si="23"/>
        <v>휴무</v>
      </c>
      <c r="Y85" s="65">
        <f>IFERROR(W85/#REF!,0)</f>
        <v>0</v>
      </c>
      <c r="Z85" s="106" t="str">
        <f>IF(F85=0,"휴무",T85/#REF!*$Z$4)</f>
        <v>휴무</v>
      </c>
      <c r="AA85" s="107" t="str">
        <f>IF(F85=0,"휴무",W85/#REF!*$AA$4)</f>
        <v>휴무</v>
      </c>
      <c r="AB85" s="66" t="str">
        <f t="shared" si="24"/>
        <v>휴무</v>
      </c>
      <c r="AC85" s="110" t="str">
        <f t="shared" si="25"/>
        <v>휴무</v>
      </c>
      <c r="AD85" s="104"/>
      <c r="AE85" s="37"/>
      <c r="AF85" s="38"/>
      <c r="AG85" s="232"/>
      <c r="AH85" s="39"/>
      <c r="AI85" s="40"/>
      <c r="AJ85" s="232"/>
      <c r="AK85" s="41"/>
      <c r="AL85" s="41"/>
      <c r="AM85" s="41"/>
      <c r="AN85" s="232"/>
      <c r="AO85" s="232"/>
    </row>
    <row r="86" spans="2:41" ht="36" customHeight="1" x14ac:dyDescent="0.3">
      <c r="B86" s="460" t="s">
        <v>39</v>
      </c>
      <c r="C86" s="461"/>
      <c r="D86" s="461"/>
      <c r="E86" s="462"/>
      <c r="F86" s="228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11">
        <f>SUM(T80:T85)</f>
        <v>0</v>
      </c>
      <c r="U86" s="112"/>
      <c r="V86" s="63">
        <f>IFERROR(T86/#REF!,0)</f>
        <v>0</v>
      </c>
      <c r="W86" s="113">
        <f>SUM(W80:W85)</f>
        <v>0</v>
      </c>
      <c r="X86" s="62"/>
      <c r="Y86" s="65">
        <f>IFERROR(W86/#REF!,0)</f>
        <v>0</v>
      </c>
      <c r="Z86" s="228"/>
      <c r="AA86" s="229"/>
      <c r="AB86" s="114"/>
      <c r="AC86" s="115"/>
      <c r="AD86" s="230"/>
      <c r="AE86" s="37">
        <f>AF86-F86</f>
        <v>-50</v>
      </c>
      <c r="AF86" s="38">
        <f>SUM(AF80:AF85)</f>
        <v>0</v>
      </c>
      <c r="AG86" s="232"/>
      <c r="AH86" s="232"/>
      <c r="AI86" s="40"/>
      <c r="AJ86" s="232"/>
      <c r="AK86" s="59"/>
      <c r="AL86" s="59"/>
      <c r="AM86" s="59"/>
      <c r="AN86" s="232"/>
      <c r="AO86" s="232"/>
    </row>
    <row r="87" spans="2:41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233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61">
        <f>U87*F87</f>
        <v>0</v>
      </c>
      <c r="U87" s="62">
        <f>T86/F86</f>
        <v>0</v>
      </c>
      <c r="V87" s="63">
        <f>IFERROR(T87/#REF!,0)</f>
        <v>0</v>
      </c>
      <c r="W87" s="64">
        <f>W86/F86*F87</f>
        <v>0</v>
      </c>
      <c r="X87" s="62">
        <f>IF(F87=0,"휴무",W87/F87)</f>
        <v>0</v>
      </c>
      <c r="Y87" s="65">
        <f>IFERROR(W87/#REF!,0)</f>
        <v>0</v>
      </c>
      <c r="Z87" s="60" t="e">
        <f>AVERAGE(Z80:Z85)</f>
        <v>#REF!</v>
      </c>
      <c r="AA87" s="60" t="e">
        <f>AVERAGE(AA80:AA85)</f>
        <v>#REF!</v>
      </c>
      <c r="AB87" s="66" t="e">
        <f>Z87+AA87</f>
        <v>#REF!</v>
      </c>
      <c r="AC87" s="115" t="e">
        <f>IF(F87=0,"휴무",IF(AB87&gt;=100,"좋아요",IF(AB87&gt;=90,"90~99",IF(AB87&gt;=80,"80~89"," 사유?→"))))</f>
        <v>#REF!</v>
      </c>
      <c r="AD87" s="68"/>
      <c r="AE87" s="69"/>
      <c r="AF87" s="69"/>
      <c r="AG87" s="69"/>
      <c r="AH87" s="69"/>
      <c r="AI87" s="40" t="str">
        <f>IFERROR(Y87/V87*1000,"")</f>
        <v/>
      </c>
      <c r="AJ87" s="69"/>
      <c r="AK87" s="10"/>
      <c r="AL87" s="10"/>
      <c r="AM87" s="10"/>
      <c r="AN87" s="69"/>
      <c r="AO87" s="69"/>
    </row>
    <row r="88" spans="2:41" x14ac:dyDescent="0.3">
      <c r="B88" s="70" t="s">
        <v>41</v>
      </c>
      <c r="C88" s="71"/>
      <c r="D88" s="71"/>
      <c r="E88" s="72"/>
      <c r="T88" s="22"/>
      <c r="V88" s="73">
        <f>V87*60</f>
        <v>0</v>
      </c>
      <c r="W88" s="74"/>
      <c r="X88" s="73"/>
      <c r="Y88" s="74">
        <f>Y87*40</f>
        <v>0</v>
      </c>
      <c r="Z88" s="81"/>
      <c r="AA88" s="81"/>
      <c r="AB88" s="74">
        <f>V88+Y88</f>
        <v>0</v>
      </c>
      <c r="AC88" s="232"/>
      <c r="AD88" s="232"/>
      <c r="AE88" s="232"/>
      <c r="AF88" s="232"/>
      <c r="AG88" s="232"/>
      <c r="AH88" s="232"/>
      <c r="AI88" s="232"/>
      <c r="AJ88" s="232"/>
      <c r="AK88" s="59"/>
      <c r="AL88" s="59"/>
      <c r="AM88" s="59"/>
      <c r="AN88" s="232"/>
      <c r="AO88" s="232"/>
    </row>
    <row r="89" spans="2:41" ht="17.25" thickBot="1" x14ac:dyDescent="0.35">
      <c r="B89" s="70" t="s">
        <v>61</v>
      </c>
      <c r="U89" s="10">
        <v>8.8000000000000007</v>
      </c>
    </row>
    <row r="90" spans="2:41" ht="17.25" thickBot="1" x14ac:dyDescent="0.35">
      <c r="B90" s="76" t="s">
        <v>42</v>
      </c>
      <c r="C90" s="77"/>
      <c r="D90" s="78" t="s">
        <v>43</v>
      </c>
      <c r="E90" s="78"/>
      <c r="F90" s="79"/>
      <c r="X90" s="10">
        <v>50</v>
      </c>
    </row>
    <row r="92" spans="2:41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3"/>
      <c r="U92" s="84"/>
      <c r="V92" s="85"/>
      <c r="W92" s="86"/>
    </row>
    <row r="93" spans="2:41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3"/>
      <c r="U93" s="84"/>
      <c r="V93" s="85"/>
      <c r="W93" s="86"/>
    </row>
    <row r="94" spans="2:41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7">
        <f>+T92+T93*1.6</f>
        <v>0</v>
      </c>
      <c r="U94" s="88"/>
      <c r="V94" s="89"/>
      <c r="W94" s="90">
        <f>+W92+W93*1.6</f>
        <v>0</v>
      </c>
    </row>
    <row r="95" spans="2:41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3"/>
      <c r="U95" s="84"/>
      <c r="V95" s="85"/>
      <c r="W95" s="86"/>
    </row>
    <row r="96" spans="2:41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3"/>
      <c r="U96" s="84"/>
      <c r="V96" s="85"/>
      <c r="W96" s="86"/>
    </row>
    <row r="97" spans="5:30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91">
        <f>+T95+T96*1.6</f>
        <v>0</v>
      </c>
      <c r="U97" s="88"/>
      <c r="V97" s="89"/>
      <c r="W97" s="90">
        <f>+W95+W96*1.6</f>
        <v>0</v>
      </c>
    </row>
    <row r="98" spans="5:30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84"/>
      <c r="V98" s="85"/>
      <c r="W98" s="86"/>
    </row>
    <row r="99" spans="5:30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3"/>
      <c r="U99" s="84"/>
      <c r="V99" s="85"/>
      <c r="W99" s="86"/>
    </row>
    <row r="100" spans="5:30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7">
        <f>+T98+T99*1.6</f>
        <v>0</v>
      </c>
      <c r="U100" s="88"/>
      <c r="V100" s="89"/>
      <c r="W100" s="90">
        <f>+W98+W99*1.6</f>
        <v>0</v>
      </c>
    </row>
    <row r="101" spans="5:30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3"/>
      <c r="U101" s="84"/>
      <c r="V101" s="85"/>
      <c r="W101" s="86"/>
    </row>
    <row r="102" spans="5:30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3"/>
      <c r="U102" s="84"/>
      <c r="V102" s="85"/>
      <c r="W102" s="86"/>
    </row>
    <row r="103" spans="5:30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7">
        <f>+T101+T102*1.6</f>
        <v>0</v>
      </c>
      <c r="U103" s="88"/>
      <c r="V103" s="89"/>
      <c r="W103" s="90">
        <f>+W101+W102*1.6</f>
        <v>0</v>
      </c>
    </row>
    <row r="104" spans="5:30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3"/>
      <c r="U104" s="84"/>
      <c r="V104" s="85"/>
      <c r="W104" s="86"/>
    </row>
    <row r="105" spans="5:30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3"/>
      <c r="U105" s="84"/>
      <c r="V105" s="85"/>
      <c r="W105" s="86"/>
    </row>
    <row r="106" spans="5:30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7">
        <f>+T104+T105*1.6</f>
        <v>0</v>
      </c>
      <c r="U106" s="88"/>
      <c r="V106" s="89"/>
      <c r="W106" s="90">
        <f>+W104+W105*1.6</f>
        <v>0</v>
      </c>
    </row>
    <row r="107" spans="5:30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3"/>
      <c r="U107" s="84"/>
      <c r="V107" s="85"/>
      <c r="W107" s="86"/>
      <c r="AD107" s="116"/>
    </row>
    <row r="108" spans="5:30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3"/>
      <c r="U108" s="84"/>
      <c r="V108" s="85"/>
      <c r="W108" s="86"/>
    </row>
    <row r="109" spans="5:30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7">
        <f>+T107+T108*1.6</f>
        <v>0</v>
      </c>
      <c r="U109" s="88"/>
      <c r="V109" s="89"/>
      <c r="W109" s="90">
        <f>+W107+W108*1.6</f>
        <v>0</v>
      </c>
    </row>
    <row r="114" spans="3:26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</row>
    <row r="116" spans="3:26" x14ac:dyDescent="0.3">
      <c r="C116" s="228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117"/>
      <c r="V116" s="118"/>
      <c r="W116" s="116"/>
      <c r="X116" s="117"/>
      <c r="Y116" s="116"/>
      <c r="Z116" s="116"/>
    </row>
    <row r="117" spans="3:26" x14ac:dyDescent="0.3">
      <c r="C117" s="228" t="s">
        <v>63</v>
      </c>
      <c r="D117" s="466" t="s">
        <v>12</v>
      </c>
      <c r="E117" s="466"/>
      <c r="F117" s="228" t="s">
        <v>64</v>
      </c>
      <c r="G117" s="228"/>
      <c r="H117" s="228"/>
      <c r="I117" s="228"/>
      <c r="J117" s="228"/>
      <c r="K117" s="228"/>
      <c r="L117" s="228"/>
      <c r="M117" s="228"/>
      <c r="N117" s="228"/>
      <c r="O117" s="228"/>
      <c r="P117" s="228"/>
      <c r="Q117" s="228"/>
      <c r="R117" s="228"/>
      <c r="S117" s="228"/>
      <c r="T117" s="228" t="s">
        <v>15</v>
      </c>
      <c r="U117" s="117"/>
      <c r="V117" s="118"/>
      <c r="W117" s="116"/>
      <c r="X117" s="117"/>
      <c r="Y117" s="116"/>
      <c r="Z117" s="116"/>
    </row>
    <row r="118" spans="3:26" x14ac:dyDescent="0.3">
      <c r="C118" s="119">
        <v>45075</v>
      </c>
      <c r="D118" s="466"/>
      <c r="E118" s="466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  <c r="T118" s="228"/>
      <c r="U118" s="117"/>
      <c r="V118" s="118"/>
      <c r="W118" s="116"/>
      <c r="X118" s="117"/>
      <c r="Y118" s="116"/>
      <c r="Z118" s="116"/>
    </row>
    <row r="119" spans="3:26" x14ac:dyDescent="0.3">
      <c r="C119" s="119">
        <v>45076</v>
      </c>
      <c r="D119" s="466"/>
      <c r="E119" s="466"/>
      <c r="F119" s="228"/>
      <c r="G119" s="228"/>
      <c r="H119" s="228"/>
      <c r="I119" s="228"/>
      <c r="J119" s="228"/>
      <c r="K119" s="228"/>
      <c r="L119" s="228"/>
      <c r="M119" s="228"/>
      <c r="N119" s="228"/>
      <c r="O119" s="228"/>
      <c r="P119" s="228"/>
      <c r="Q119" s="228"/>
      <c r="R119" s="228"/>
      <c r="S119" s="228"/>
      <c r="T119" s="228"/>
      <c r="U119" s="117"/>
      <c r="V119" s="118"/>
      <c r="W119" s="116"/>
      <c r="X119" s="117"/>
      <c r="Y119" s="116"/>
      <c r="Z119" s="116"/>
    </row>
    <row r="120" spans="3:26" x14ac:dyDescent="0.3">
      <c r="C120" s="119">
        <v>45077</v>
      </c>
      <c r="D120" s="466"/>
      <c r="E120" s="466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228"/>
      <c r="R120" s="228"/>
      <c r="S120" s="228"/>
      <c r="T120" s="228"/>
      <c r="U120" s="117"/>
      <c r="V120" s="118"/>
      <c r="W120" s="116"/>
      <c r="X120" s="117"/>
      <c r="Y120" s="116"/>
      <c r="Z120" s="116"/>
    </row>
    <row r="121" spans="3:26" x14ac:dyDescent="0.3">
      <c r="C121" s="119">
        <v>45078</v>
      </c>
      <c r="D121" s="466"/>
      <c r="E121" s="466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228"/>
      <c r="R121" s="228"/>
      <c r="S121" s="228"/>
      <c r="T121" s="228"/>
      <c r="U121" s="117"/>
      <c r="V121" s="118"/>
      <c r="W121" s="116"/>
      <c r="X121" s="117"/>
      <c r="Y121" s="116"/>
      <c r="Z121" s="116"/>
    </row>
    <row r="122" spans="3:26" x14ac:dyDescent="0.3">
      <c r="C122" s="119">
        <v>45079</v>
      </c>
      <c r="D122" s="466"/>
      <c r="E122" s="466"/>
      <c r="F122" s="228"/>
      <c r="G122" s="228"/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28"/>
      <c r="U122" s="117"/>
      <c r="V122" s="118"/>
      <c r="W122" s="116"/>
      <c r="X122" s="117"/>
      <c r="Y122" s="116"/>
      <c r="Z122" s="116"/>
    </row>
    <row r="123" spans="3:26" x14ac:dyDescent="0.3">
      <c r="C123" s="119">
        <v>45080</v>
      </c>
      <c r="D123" s="466"/>
      <c r="E123" s="466"/>
      <c r="F123" s="228"/>
      <c r="G123" s="228"/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28"/>
      <c r="U123" s="117"/>
      <c r="V123" s="118"/>
      <c r="W123" s="116"/>
      <c r="X123" s="117"/>
      <c r="Y123" s="116"/>
      <c r="Z123" s="116"/>
    </row>
    <row r="124" spans="3:26" x14ac:dyDescent="0.3">
      <c r="C124" s="228"/>
      <c r="D124" s="460"/>
      <c r="E124" s="462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8"/>
      <c r="Q124" s="228"/>
      <c r="R124" s="228"/>
      <c r="S124" s="228"/>
      <c r="T124" s="228"/>
      <c r="U124" s="117"/>
      <c r="V124" s="118"/>
      <c r="W124" s="116"/>
      <c r="X124" s="117"/>
      <c r="Y124" s="116"/>
      <c r="Z124" s="116"/>
    </row>
    <row r="125" spans="3:26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117"/>
      <c r="V125" s="118"/>
      <c r="W125" s="116"/>
      <c r="X125" s="117"/>
      <c r="Y125" s="116"/>
      <c r="Z125" s="116"/>
    </row>
    <row r="126" spans="3:26" x14ac:dyDescent="0.3">
      <c r="C126" s="228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117"/>
      <c r="V126" s="118"/>
      <c r="W126" s="116"/>
      <c r="X126" s="117"/>
      <c r="Y126" s="116"/>
      <c r="Z126" s="116"/>
    </row>
    <row r="127" spans="3:26" x14ac:dyDescent="0.3">
      <c r="C127" s="228" t="s">
        <v>63</v>
      </c>
      <c r="D127" s="466" t="s">
        <v>12</v>
      </c>
      <c r="E127" s="466"/>
      <c r="F127" s="228" t="s">
        <v>64</v>
      </c>
      <c r="G127" s="228"/>
      <c r="H127" s="228"/>
      <c r="I127" s="228"/>
      <c r="J127" s="228"/>
      <c r="K127" s="228"/>
      <c r="L127" s="228"/>
      <c r="M127" s="228"/>
      <c r="N127" s="228"/>
      <c r="O127" s="228"/>
      <c r="P127" s="228"/>
      <c r="Q127" s="228"/>
      <c r="R127" s="228"/>
      <c r="S127" s="228"/>
      <c r="T127" s="228" t="s">
        <v>15</v>
      </c>
      <c r="U127" s="117"/>
      <c r="V127" s="118"/>
      <c r="W127" s="116"/>
      <c r="X127" s="117"/>
      <c r="Y127" s="116"/>
      <c r="Z127" s="116"/>
    </row>
    <row r="128" spans="3:26" x14ac:dyDescent="0.3">
      <c r="C128" s="119">
        <v>45075</v>
      </c>
      <c r="D128" s="466"/>
      <c r="E128" s="466"/>
      <c r="F128" s="228"/>
      <c r="G128" s="228"/>
      <c r="H128" s="228"/>
      <c r="I128" s="228"/>
      <c r="J128" s="228"/>
      <c r="K128" s="228"/>
      <c r="L128" s="228"/>
      <c r="M128" s="228"/>
      <c r="N128" s="228"/>
      <c r="O128" s="228"/>
      <c r="P128" s="228"/>
      <c r="Q128" s="228"/>
      <c r="R128" s="228"/>
      <c r="S128" s="228"/>
      <c r="T128" s="228"/>
      <c r="U128" s="117"/>
      <c r="V128" s="118"/>
      <c r="W128" s="116"/>
      <c r="X128" s="117"/>
      <c r="Y128" s="116"/>
      <c r="Z128" s="116"/>
    </row>
    <row r="129" spans="3:26" x14ac:dyDescent="0.3">
      <c r="C129" s="119">
        <v>45076</v>
      </c>
      <c r="D129" s="466"/>
      <c r="E129" s="466"/>
      <c r="F129" s="228"/>
      <c r="G129" s="228"/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28"/>
      <c r="U129" s="117"/>
      <c r="V129" s="118"/>
      <c r="W129" s="116"/>
      <c r="X129" s="117"/>
      <c r="Y129" s="116"/>
      <c r="Z129" s="116"/>
    </row>
    <row r="130" spans="3:26" x14ac:dyDescent="0.3">
      <c r="C130" s="119">
        <v>45077</v>
      </c>
      <c r="D130" s="466"/>
      <c r="E130" s="466"/>
      <c r="F130" s="228"/>
      <c r="G130" s="228"/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28"/>
      <c r="U130" s="117"/>
      <c r="V130" s="118"/>
      <c r="W130" s="116"/>
      <c r="X130" s="117"/>
      <c r="Y130" s="116"/>
      <c r="Z130" s="116"/>
    </row>
    <row r="131" spans="3:26" x14ac:dyDescent="0.3">
      <c r="C131" s="119">
        <v>45078</v>
      </c>
      <c r="D131" s="466"/>
      <c r="E131" s="466"/>
      <c r="F131" s="228"/>
      <c r="G131" s="228"/>
      <c r="H131" s="228"/>
      <c r="I131" s="228"/>
      <c r="J131" s="228"/>
      <c r="K131" s="228"/>
      <c r="L131" s="228"/>
      <c r="M131" s="228"/>
      <c r="N131" s="228"/>
      <c r="O131" s="228"/>
      <c r="P131" s="228"/>
      <c r="Q131" s="228"/>
      <c r="R131" s="228"/>
      <c r="S131" s="228"/>
      <c r="T131" s="228"/>
      <c r="U131" s="117"/>
      <c r="V131" s="118"/>
      <c r="W131" s="116"/>
      <c r="X131" s="117"/>
      <c r="Y131" s="116"/>
      <c r="Z131" s="116"/>
    </row>
    <row r="132" spans="3:26" x14ac:dyDescent="0.3">
      <c r="C132" s="119">
        <v>45079</v>
      </c>
      <c r="D132" s="466"/>
      <c r="E132" s="466"/>
      <c r="F132" s="228"/>
      <c r="G132" s="228"/>
      <c r="H132" s="228"/>
      <c r="I132" s="228"/>
      <c r="J132" s="228"/>
      <c r="K132" s="228"/>
      <c r="L132" s="228"/>
      <c r="M132" s="228"/>
      <c r="N132" s="228"/>
      <c r="O132" s="228"/>
      <c r="P132" s="228"/>
      <c r="Q132" s="228"/>
      <c r="R132" s="228"/>
      <c r="S132" s="228"/>
      <c r="T132" s="228"/>
      <c r="U132" s="117"/>
      <c r="V132" s="118"/>
      <c r="W132" s="116"/>
      <c r="X132" s="117"/>
      <c r="Y132" s="116"/>
      <c r="Z132" s="116"/>
    </row>
    <row r="133" spans="3:26" x14ac:dyDescent="0.3">
      <c r="C133" s="119">
        <v>45080</v>
      </c>
      <c r="D133" s="466"/>
      <c r="E133" s="466"/>
      <c r="F133" s="228"/>
      <c r="G133" s="228"/>
      <c r="H133" s="228"/>
      <c r="I133" s="228"/>
      <c r="J133" s="228"/>
      <c r="K133" s="228"/>
      <c r="L133" s="228"/>
      <c r="M133" s="228"/>
      <c r="N133" s="228"/>
      <c r="O133" s="228"/>
      <c r="P133" s="228"/>
      <c r="Q133" s="228"/>
      <c r="R133" s="228"/>
      <c r="S133" s="228"/>
      <c r="T133" s="228"/>
      <c r="U133" s="117"/>
      <c r="V133" s="118"/>
      <c r="W133" s="116"/>
      <c r="X133" s="117"/>
      <c r="Y133" s="116"/>
      <c r="Z133" s="116"/>
    </row>
    <row r="134" spans="3:26" x14ac:dyDescent="0.3">
      <c r="C134" s="228"/>
      <c r="D134" s="460"/>
      <c r="E134" s="462"/>
      <c r="F134" s="228"/>
      <c r="G134" s="228"/>
      <c r="H134" s="228"/>
      <c r="I134" s="228"/>
      <c r="J134" s="228"/>
      <c r="K134" s="228"/>
      <c r="L134" s="228"/>
      <c r="M134" s="228"/>
      <c r="N134" s="228"/>
      <c r="O134" s="228"/>
      <c r="P134" s="228"/>
      <c r="Q134" s="228"/>
      <c r="R134" s="228"/>
      <c r="S134" s="228"/>
      <c r="T134" s="228"/>
      <c r="U134" s="117"/>
      <c r="V134" s="118"/>
      <c r="W134" s="116"/>
      <c r="X134" s="117"/>
      <c r="Y134" s="116"/>
      <c r="Z134" s="116"/>
    </row>
    <row r="135" spans="3:26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117"/>
      <c r="V135" s="118"/>
      <c r="W135" s="116"/>
      <c r="X135" s="117"/>
      <c r="Y135" s="116"/>
      <c r="Z135" s="116"/>
    </row>
    <row r="136" spans="3:26" x14ac:dyDescent="0.3">
      <c r="C136" s="228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117"/>
      <c r="V136" s="118"/>
      <c r="W136" s="116"/>
      <c r="X136" s="117"/>
      <c r="Y136" s="116"/>
      <c r="Z136" s="116"/>
    </row>
    <row r="137" spans="3:26" x14ac:dyDescent="0.3">
      <c r="C137" s="228" t="s">
        <v>63</v>
      </c>
      <c r="D137" s="466" t="s">
        <v>12</v>
      </c>
      <c r="E137" s="466"/>
      <c r="F137" s="228" t="s">
        <v>64</v>
      </c>
      <c r="G137" s="228"/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28" t="s">
        <v>15</v>
      </c>
      <c r="U137" s="117"/>
      <c r="V137" s="118"/>
      <c r="W137" s="116"/>
      <c r="X137" s="117"/>
      <c r="Y137" s="116"/>
      <c r="Z137" s="116"/>
    </row>
    <row r="138" spans="3:26" x14ac:dyDescent="0.3">
      <c r="C138" s="119">
        <v>45075</v>
      </c>
      <c r="D138" s="466"/>
      <c r="E138" s="466"/>
      <c r="F138" s="228"/>
      <c r="G138" s="228"/>
      <c r="H138" s="228"/>
      <c r="I138" s="228"/>
      <c r="J138" s="228"/>
      <c r="K138" s="228"/>
      <c r="L138" s="228"/>
      <c r="M138" s="228"/>
      <c r="N138" s="228"/>
      <c r="O138" s="228"/>
      <c r="P138" s="228"/>
      <c r="Q138" s="228"/>
      <c r="R138" s="228"/>
      <c r="S138" s="228"/>
      <c r="T138" s="228"/>
      <c r="U138" s="117"/>
      <c r="V138" s="118"/>
      <c r="W138" s="116"/>
      <c r="X138" s="117"/>
      <c r="Y138" s="116"/>
      <c r="Z138" s="116"/>
    </row>
    <row r="139" spans="3:26" x14ac:dyDescent="0.3">
      <c r="C139" s="119">
        <v>45076</v>
      </c>
      <c r="D139" s="466"/>
      <c r="E139" s="466"/>
      <c r="F139" s="228"/>
      <c r="G139" s="228"/>
      <c r="H139" s="228"/>
      <c r="I139" s="228"/>
      <c r="J139" s="228"/>
      <c r="K139" s="228"/>
      <c r="L139" s="228"/>
      <c r="M139" s="228"/>
      <c r="N139" s="228"/>
      <c r="O139" s="228"/>
      <c r="P139" s="228"/>
      <c r="Q139" s="228"/>
      <c r="R139" s="228"/>
      <c r="S139" s="228"/>
      <c r="T139" s="228"/>
      <c r="U139" s="117"/>
      <c r="V139" s="118"/>
      <c r="W139" s="116"/>
      <c r="X139" s="117"/>
      <c r="Y139" s="116"/>
      <c r="Z139" s="116"/>
    </row>
    <row r="140" spans="3:26" x14ac:dyDescent="0.3">
      <c r="C140" s="119">
        <v>45077</v>
      </c>
      <c r="D140" s="466"/>
      <c r="E140" s="466"/>
      <c r="F140" s="228"/>
      <c r="G140" s="228"/>
      <c r="H140" s="228"/>
      <c r="I140" s="228"/>
      <c r="J140" s="228"/>
      <c r="K140" s="228"/>
      <c r="L140" s="228"/>
      <c r="M140" s="228"/>
      <c r="N140" s="228"/>
      <c r="O140" s="228"/>
      <c r="P140" s="228"/>
      <c r="Q140" s="228"/>
      <c r="R140" s="228"/>
      <c r="S140" s="228"/>
      <c r="T140" s="228"/>
    </row>
    <row r="141" spans="3:26" x14ac:dyDescent="0.3">
      <c r="C141" s="119">
        <v>45078</v>
      </c>
      <c r="D141" s="466"/>
      <c r="E141" s="466"/>
      <c r="F141" s="228"/>
      <c r="G141" s="228"/>
      <c r="H141" s="228"/>
      <c r="I141" s="228"/>
      <c r="J141" s="228"/>
      <c r="K141" s="228"/>
      <c r="L141" s="228"/>
      <c r="M141" s="228"/>
      <c r="N141" s="228"/>
      <c r="O141" s="228"/>
      <c r="P141" s="228"/>
      <c r="Q141" s="228"/>
      <c r="R141" s="228"/>
      <c r="S141" s="228"/>
      <c r="T141" s="228"/>
    </row>
    <row r="142" spans="3:26" x14ac:dyDescent="0.3">
      <c r="C142" s="119">
        <v>45079</v>
      </c>
      <c r="D142" s="466"/>
      <c r="E142" s="466"/>
      <c r="F142" s="228"/>
      <c r="G142" s="228"/>
      <c r="H142" s="228"/>
      <c r="I142" s="228"/>
      <c r="J142" s="228"/>
      <c r="K142" s="228"/>
      <c r="L142" s="228"/>
      <c r="M142" s="228"/>
      <c r="N142" s="228"/>
      <c r="O142" s="228"/>
      <c r="P142" s="228"/>
      <c r="Q142" s="228"/>
      <c r="R142" s="228"/>
      <c r="S142" s="228"/>
      <c r="T142" s="228"/>
    </row>
    <row r="143" spans="3:26" x14ac:dyDescent="0.3">
      <c r="C143" s="119">
        <v>45080</v>
      </c>
      <c r="D143" s="466"/>
      <c r="E143" s="466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28"/>
    </row>
    <row r="144" spans="3:26" x14ac:dyDescent="0.3">
      <c r="C144" s="228"/>
      <c r="D144" s="460"/>
      <c r="E144" s="462"/>
      <c r="F144" s="228"/>
      <c r="G144" s="228"/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28"/>
    </row>
  </sheetData>
  <mergeCells count="113">
    <mergeCell ref="T5:V5"/>
    <mergeCell ref="W5:Y5"/>
    <mergeCell ref="AB5:AB6"/>
    <mergeCell ref="AC5:AC6"/>
    <mergeCell ref="AD5:AD6"/>
    <mergeCell ref="B7:B12"/>
    <mergeCell ref="B2:AD2"/>
    <mergeCell ref="B3:AD3"/>
    <mergeCell ref="B5:C6"/>
    <mergeCell ref="D5:D6"/>
    <mergeCell ref="E5:E6"/>
    <mergeCell ref="F5:F6"/>
    <mergeCell ref="G5:G6"/>
    <mergeCell ref="H5:H6"/>
    <mergeCell ref="I5:R5"/>
    <mergeCell ref="S5:S6"/>
    <mergeCell ref="B13:E13"/>
    <mergeCell ref="B14:E14"/>
    <mergeCell ref="B19:AD19"/>
    <mergeCell ref="B21:B22"/>
    <mergeCell ref="C21:C22"/>
    <mergeCell ref="D21:D22"/>
    <mergeCell ref="E21:E22"/>
    <mergeCell ref="F21:F22"/>
    <mergeCell ref="G21:G22"/>
    <mergeCell ref="H21:H22"/>
    <mergeCell ref="AB21:AB22"/>
    <mergeCell ref="AC21:AC22"/>
    <mergeCell ref="AD21:AD22"/>
    <mergeCell ref="B23:B28"/>
    <mergeCell ref="B29:E29"/>
    <mergeCell ref="B30:E30"/>
    <mergeCell ref="I21:R21"/>
    <mergeCell ref="S21:S22"/>
    <mergeCell ref="T21:V21"/>
    <mergeCell ref="W21:Y21"/>
    <mergeCell ref="Z21:Z22"/>
    <mergeCell ref="AA21:AA22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AD78:AD79"/>
    <mergeCell ref="B80:B85"/>
    <mergeCell ref="B86:E86"/>
    <mergeCell ref="B87:E87"/>
    <mergeCell ref="E92:E94"/>
    <mergeCell ref="F92:F94"/>
    <mergeCell ref="B76:AD76"/>
    <mergeCell ref="B78:B79"/>
    <mergeCell ref="C78:C79"/>
    <mergeCell ref="D78:D79"/>
    <mergeCell ref="E78:E79"/>
    <mergeCell ref="F78:F79"/>
    <mergeCell ref="T78:V78"/>
    <mergeCell ref="W78:Y78"/>
    <mergeCell ref="AB78:AB79"/>
    <mergeCell ref="AC78:AC79"/>
    <mergeCell ref="E104:E106"/>
    <mergeCell ref="F104:F106"/>
    <mergeCell ref="E107:E109"/>
    <mergeCell ref="F107:F109"/>
    <mergeCell ref="C114:T114"/>
    <mergeCell ref="D117:E117"/>
    <mergeCell ref="E95:E97"/>
    <mergeCell ref="F95:F97"/>
    <mergeCell ref="E98:E100"/>
    <mergeCell ref="F98:F100"/>
    <mergeCell ref="E101:E103"/>
    <mergeCell ref="F101:F103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</mergeCells>
  <phoneticPr fontId="4" type="noConversion"/>
  <dataValidations count="3">
    <dataValidation type="list" allowBlank="1" showInputMessage="1" showErrorMessage="1" sqref="AG23:AG25 AG7 AG10 AG80:AG82">
      <formula1>$AD$6:$AD$8</formula1>
    </dataValidation>
    <dataValidation type="list" allowBlank="1" showInputMessage="1" showErrorMessage="1" sqref="E80:E85 E23:E27 E7:E11">
      <formula1>$AG$7:$AG$12</formula1>
    </dataValidation>
    <dataValidation type="list" allowBlank="1" showInputMessage="1" showErrorMessage="1" sqref="E12 E28">
      <formula1>$AF$6:$AF$11</formula1>
    </dataValidation>
  </dataValidations>
  <pageMargins left="0.62992125984251968" right="0.62992125984251968" top="0.94488188976377963" bottom="0.55118110236220474" header="0.31496062992125984" footer="0.31496062992125984"/>
  <pageSetup paperSize="9" scale="26" orientation="landscape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Y144"/>
  <sheetViews>
    <sheetView showGridLines="0" zoomScale="70" zoomScaleNormal="70" workbookViewId="0">
      <pane xSplit="4" ySplit="6" topLeftCell="E25" activePane="bottomRight" state="frozen"/>
      <selection pane="topRight" activeCell="D1" sqref="D1"/>
      <selection pane="bottomLeft" activeCell="A6" sqref="A6"/>
      <selection pane="bottomRight" activeCell="E28" sqref="E28:F28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19" width="8.625" style="8" customWidth="1"/>
    <col min="20" max="20" width="10.75" style="75" customWidth="1"/>
    <col min="21" max="21" width="10.875" style="10" customWidth="1"/>
    <col min="22" max="22" width="7.375" style="11" customWidth="1"/>
    <col min="23" max="23" width="12.25" customWidth="1"/>
    <col min="24" max="24" width="7.75" style="10" customWidth="1"/>
    <col min="25" max="25" width="10.375" customWidth="1"/>
    <col min="26" max="26" width="9.5" customWidth="1"/>
    <col min="27" max="27" width="10" customWidth="1"/>
    <col min="28" max="28" width="7.125" customWidth="1"/>
    <col min="29" max="29" width="8.375" customWidth="1"/>
    <col min="30" max="30" width="63" customWidth="1"/>
    <col min="31" max="32" width="9.125" hidden="1" customWidth="1"/>
    <col min="33" max="33" width="8.75" hidden="1" customWidth="1"/>
    <col min="34" max="34" width="2.75" hidden="1" customWidth="1"/>
    <col min="35" max="35" width="9.125" hidden="1" customWidth="1"/>
    <col min="36" max="36" width="0" hidden="1" customWidth="1"/>
    <col min="37" max="39" width="9.125" style="1" hidden="1" customWidth="1"/>
    <col min="40" max="41" width="0" hidden="1" customWidth="1"/>
    <col min="42" max="42" width="11.75" hidden="1" customWidth="1"/>
    <col min="43" max="43" width="3.25" customWidth="1"/>
  </cols>
  <sheetData>
    <row r="2" spans="2:51" ht="20.25" x14ac:dyDescent="0.3">
      <c r="B2" s="425" t="s">
        <v>141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V2" s="2" t="s">
        <v>0</v>
      </c>
      <c r="AW2" s="223" t="s">
        <v>1</v>
      </c>
      <c r="AX2" s="223" t="s">
        <v>2</v>
      </c>
      <c r="AY2" s="3" t="s">
        <v>3</v>
      </c>
    </row>
    <row r="3" spans="2:51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V3" s="4"/>
      <c r="AW3" s="5"/>
      <c r="AX3" s="5"/>
      <c r="AY3" s="6"/>
    </row>
    <row r="4" spans="2:51" x14ac:dyDescent="0.3">
      <c r="B4" t="s">
        <v>5</v>
      </c>
      <c r="D4" s="7">
        <v>55</v>
      </c>
      <c r="F4" s="8" t="s">
        <v>6</v>
      </c>
      <c r="T4" s="9">
        <v>1.2</v>
      </c>
      <c r="Z4" s="12">
        <v>50</v>
      </c>
      <c r="AA4" s="11">
        <f>50*10.89/10</f>
        <v>54.45</v>
      </c>
      <c r="AB4" s="12"/>
      <c r="AD4" s="8"/>
    </row>
    <row r="5" spans="2:51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8"/>
      <c r="S5" s="439" t="s">
        <v>11</v>
      </c>
      <c r="T5" s="441" t="s">
        <v>12</v>
      </c>
      <c r="U5" s="418"/>
      <c r="V5" s="442"/>
      <c r="W5" s="446" t="s">
        <v>13</v>
      </c>
      <c r="X5" s="418"/>
      <c r="Y5" s="418"/>
      <c r="Z5" s="13"/>
      <c r="AA5" s="14"/>
      <c r="AB5" s="447" t="s">
        <v>14</v>
      </c>
      <c r="AC5" s="449" t="s">
        <v>15</v>
      </c>
      <c r="AD5" s="418" t="s">
        <v>16</v>
      </c>
    </row>
    <row r="6" spans="2:51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226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76</v>
      </c>
      <c r="Q6" s="18" t="s">
        <v>77</v>
      </c>
      <c r="R6" s="127" t="s">
        <v>80</v>
      </c>
      <c r="S6" s="440"/>
      <c r="T6" s="15" t="s">
        <v>12</v>
      </c>
      <c r="U6" s="16" t="s">
        <v>17</v>
      </c>
      <c r="V6" s="17" t="s">
        <v>18</v>
      </c>
      <c r="W6" s="18" t="s">
        <v>13</v>
      </c>
      <c r="X6" s="16" t="s">
        <v>19</v>
      </c>
      <c r="Y6" s="19" t="s">
        <v>18</v>
      </c>
      <c r="Z6" s="226" t="s">
        <v>20</v>
      </c>
      <c r="AA6" s="20" t="s">
        <v>21</v>
      </c>
      <c r="AB6" s="448"/>
      <c r="AC6" s="450"/>
      <c r="AD6" s="419"/>
      <c r="AE6" s="21" t="s">
        <v>22</v>
      </c>
      <c r="AF6" s="21" t="s">
        <v>23</v>
      </c>
      <c r="AI6" s="22" t="s">
        <v>24</v>
      </c>
      <c r="AK6" s="23" t="s">
        <v>25</v>
      </c>
      <c r="AL6" s="23" t="s">
        <v>26</v>
      </c>
      <c r="AM6" s="23" t="s">
        <v>27</v>
      </c>
      <c r="AO6" s="22">
        <f>SUM(AO7:AO12)</f>
        <v>-33.5</v>
      </c>
    </row>
    <row r="7" spans="2:51" s="224" customFormat="1" ht="99" customHeight="1" thickTop="1" x14ac:dyDescent="0.3">
      <c r="B7" s="420">
        <v>3</v>
      </c>
      <c r="C7" s="24">
        <v>2</v>
      </c>
      <c r="D7" s="25" t="s">
        <v>7</v>
      </c>
      <c r="E7" s="26" t="s">
        <v>33</v>
      </c>
      <c r="F7" s="25">
        <v>0</v>
      </c>
      <c r="G7" s="128"/>
      <c r="H7" s="128"/>
      <c r="I7" s="123" t="s">
        <v>85</v>
      </c>
      <c r="J7" s="123" t="s">
        <v>86</v>
      </c>
      <c r="K7" s="123" t="s">
        <v>73</v>
      </c>
      <c r="L7" s="123" t="s">
        <v>87</v>
      </c>
      <c r="M7" s="123"/>
      <c r="N7" s="129" t="s">
        <v>90</v>
      </c>
      <c r="O7" s="123" t="s">
        <v>74</v>
      </c>
      <c r="P7" s="123" t="s">
        <v>91</v>
      </c>
      <c r="Q7" s="123" t="s">
        <v>89</v>
      </c>
      <c r="R7" s="125">
        <f t="shared" ref="R7:R13" si="0">COUNTA(I7:M7)+COUNTA(N7:Q7)/2</f>
        <v>6</v>
      </c>
      <c r="S7" s="27">
        <f t="shared" ref="S7:S12" si="1">F7*$D$4*$T$4</f>
        <v>0</v>
      </c>
      <c r="T7" s="28">
        <f>+H38</f>
        <v>0</v>
      </c>
      <c r="U7" s="29" t="str">
        <f t="shared" ref="U7:U12" si="2">IF(F7=0,"휴무",T7/F7)</f>
        <v>휴무</v>
      </c>
      <c r="V7" s="30">
        <f t="shared" ref="V7:V13" si="3">IFERROR(T7/S7,0)</f>
        <v>0</v>
      </c>
      <c r="W7" s="31">
        <f>+K38</f>
        <v>0</v>
      </c>
      <c r="X7" s="29" t="str">
        <f t="shared" ref="X7:X12" si="4">IF(F7=0,"휴무",W7/F7)</f>
        <v>휴무</v>
      </c>
      <c r="Y7" s="32">
        <f t="shared" ref="Y7:Y13" si="5">IFERROR(W7/S7,0)</f>
        <v>0</v>
      </c>
      <c r="Z7" s="33" t="str">
        <f t="shared" ref="Z7:Z12" si="6">IF(F7=0,"휴무",T7/S7*$Z$4)</f>
        <v>휴무</v>
      </c>
      <c r="AA7" s="34" t="str">
        <f t="shared" ref="AA7:AA12" si="7">IF(F7=0,"휴무",W7/S7*$AA$4)</f>
        <v>휴무</v>
      </c>
      <c r="AB7" s="138" t="str">
        <f t="shared" ref="AB7:AB13" si="8">IF(F7=0,"휴무",Z7+AA7)</f>
        <v>휴무</v>
      </c>
      <c r="AC7" s="35" t="str">
        <f t="shared" ref="AC7:AC13" si="9">IF(F7=0,"휴무",IF(AB7&gt;=100,"좋아요",IF(AB7&gt;=90,"90~99",IF(AB7&gt;=80,"80~89"," 사유?→"))))</f>
        <v>휴무</v>
      </c>
      <c r="AD7" s="36"/>
      <c r="AE7" s="37">
        <f>AF7-F7</f>
        <v>0</v>
      </c>
      <c r="AF7" s="38">
        <f>AM7</f>
        <v>0</v>
      </c>
      <c r="AG7" s="224" t="s">
        <v>29</v>
      </c>
      <c r="AH7" s="39"/>
      <c r="AI7" s="40" t="str">
        <f>IFERROR(Y7/V7*1000,"")</f>
        <v/>
      </c>
      <c r="AJ7" s="39"/>
      <c r="AK7" s="41"/>
      <c r="AL7" s="41"/>
      <c r="AM7" s="41"/>
      <c r="AO7" s="224">
        <f t="shared" ref="AO7:AO12" si="10">AN7-F7</f>
        <v>0</v>
      </c>
      <c r="AP7" s="42"/>
    </row>
    <row r="8" spans="2:51" s="224" customFormat="1" ht="99.75" customHeight="1" x14ac:dyDescent="0.3">
      <c r="B8" s="421"/>
      <c r="C8" s="24">
        <f>+C7+1</f>
        <v>3</v>
      </c>
      <c r="D8" s="43" t="s">
        <v>30</v>
      </c>
      <c r="E8" s="26" t="s">
        <v>29</v>
      </c>
      <c r="F8" s="25">
        <v>8.5</v>
      </c>
      <c r="G8" s="125">
        <v>454</v>
      </c>
      <c r="H8" s="125">
        <f>(G8/T8)*100</f>
        <v>98.910675381263616</v>
      </c>
      <c r="I8" s="123" t="s">
        <v>85</v>
      </c>
      <c r="J8" s="123" t="s">
        <v>86</v>
      </c>
      <c r="K8" s="123" t="s">
        <v>73</v>
      </c>
      <c r="L8" s="123" t="s">
        <v>87</v>
      </c>
      <c r="M8" s="123"/>
      <c r="N8" s="129" t="s">
        <v>90</v>
      </c>
      <c r="O8" s="123" t="s">
        <v>74</v>
      </c>
      <c r="P8" s="123" t="s">
        <v>91</v>
      </c>
      <c r="Q8" s="123" t="s">
        <v>89</v>
      </c>
      <c r="R8" s="125">
        <f t="shared" si="0"/>
        <v>6</v>
      </c>
      <c r="S8" s="27">
        <f t="shared" si="1"/>
        <v>561</v>
      </c>
      <c r="T8" s="28">
        <f>+H41</f>
        <v>459</v>
      </c>
      <c r="U8" s="44">
        <f t="shared" si="2"/>
        <v>54</v>
      </c>
      <c r="V8" s="45">
        <f t="shared" si="3"/>
        <v>0.81818181818181823</v>
      </c>
      <c r="W8" s="46">
        <f>+K41</f>
        <v>289.85000000000002</v>
      </c>
      <c r="X8" s="29">
        <f t="shared" si="4"/>
        <v>34.1</v>
      </c>
      <c r="Y8" s="47">
        <f t="shared" si="5"/>
        <v>0.51666666666666672</v>
      </c>
      <c r="Z8" s="48">
        <f t="shared" si="6"/>
        <v>40.909090909090914</v>
      </c>
      <c r="AA8" s="49">
        <f t="shared" si="7"/>
        <v>28.132500000000004</v>
      </c>
      <c r="AB8" s="139">
        <f t="shared" si="8"/>
        <v>69.041590909090914</v>
      </c>
      <c r="AC8" s="161" t="str">
        <f t="shared" si="9"/>
        <v xml:space="preserve"> 사유?→</v>
      </c>
      <c r="AD8" s="160" t="s">
        <v>142</v>
      </c>
      <c r="AE8" s="37">
        <f>AF8-F8</f>
        <v>-8.5</v>
      </c>
      <c r="AF8" s="38">
        <f>AM8</f>
        <v>0</v>
      </c>
      <c r="AG8" s="224" t="s">
        <v>31</v>
      </c>
      <c r="AH8" s="39"/>
      <c r="AI8" s="40">
        <f>IFERROR(Y8/V8*1000,"")</f>
        <v>631.48148148148152</v>
      </c>
      <c r="AJ8" s="39"/>
      <c r="AK8" s="41"/>
      <c r="AL8" s="41"/>
      <c r="AM8" s="41"/>
      <c r="AO8" s="224">
        <f t="shared" si="10"/>
        <v>-8.5</v>
      </c>
      <c r="AP8" s="42"/>
    </row>
    <row r="9" spans="2:51" s="224" customFormat="1" ht="97.5" customHeight="1" x14ac:dyDescent="0.3">
      <c r="B9" s="421"/>
      <c r="C9" s="24">
        <f>+C8+1</f>
        <v>4</v>
      </c>
      <c r="D9" s="43" t="s">
        <v>32</v>
      </c>
      <c r="E9" s="26" t="s">
        <v>29</v>
      </c>
      <c r="F9" s="25">
        <v>8</v>
      </c>
      <c r="G9" s="125">
        <v>394</v>
      </c>
      <c r="H9" s="125">
        <f>(G9/T9)*100</f>
        <v>99.244332493702771</v>
      </c>
      <c r="I9" s="123" t="s">
        <v>85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91</v>
      </c>
      <c r="Q9" s="123" t="s">
        <v>89</v>
      </c>
      <c r="R9" s="125">
        <f t="shared" si="0"/>
        <v>6</v>
      </c>
      <c r="S9" s="27">
        <f t="shared" si="1"/>
        <v>528</v>
      </c>
      <c r="T9" s="51">
        <f>+H44</f>
        <v>397</v>
      </c>
      <c r="U9" s="44">
        <f t="shared" si="2"/>
        <v>49.625</v>
      </c>
      <c r="V9" s="45">
        <f t="shared" si="3"/>
        <v>0.75189393939393945</v>
      </c>
      <c r="W9" s="46">
        <f>+K44</f>
        <v>391.92</v>
      </c>
      <c r="X9" s="44">
        <f t="shared" si="4"/>
        <v>48.99</v>
      </c>
      <c r="Y9" s="47">
        <f t="shared" si="5"/>
        <v>0.74227272727272731</v>
      </c>
      <c r="Z9" s="48">
        <f t="shared" si="6"/>
        <v>37.594696969696969</v>
      </c>
      <c r="AA9" s="49">
        <f t="shared" si="7"/>
        <v>40.41675</v>
      </c>
      <c r="AB9" s="139">
        <f t="shared" si="8"/>
        <v>78.011446969696976</v>
      </c>
      <c r="AC9" s="161" t="str">
        <f t="shared" si="9"/>
        <v xml:space="preserve"> 사유?→</v>
      </c>
      <c r="AD9" s="160" t="s">
        <v>143</v>
      </c>
      <c r="AE9" s="37">
        <f>AF9-F9</f>
        <v>-8</v>
      </c>
      <c r="AF9" s="38">
        <f>AM9</f>
        <v>0</v>
      </c>
      <c r="AG9" s="224" t="s">
        <v>34</v>
      </c>
      <c r="AH9" s="39"/>
      <c r="AI9" s="40">
        <f>IFERROR(Y9/V9*1000,"")</f>
        <v>987.20403022670018</v>
      </c>
      <c r="AJ9" s="39"/>
      <c r="AK9" s="41"/>
      <c r="AL9" s="41"/>
      <c r="AM9" s="41"/>
      <c r="AO9" s="224">
        <f t="shared" si="10"/>
        <v>-8</v>
      </c>
      <c r="AP9" s="42"/>
    </row>
    <row r="10" spans="2:51" s="224" customFormat="1" ht="95.25" customHeight="1" x14ac:dyDescent="0.3">
      <c r="B10" s="421"/>
      <c r="C10" s="24">
        <f>+C9+1</f>
        <v>5</v>
      </c>
      <c r="D10" s="43" t="s">
        <v>35</v>
      </c>
      <c r="E10" s="26" t="s">
        <v>29</v>
      </c>
      <c r="F10" s="25">
        <v>8.5</v>
      </c>
      <c r="G10" s="125">
        <v>540</v>
      </c>
      <c r="H10" s="125">
        <f>(G10/T10)*100</f>
        <v>100</v>
      </c>
      <c r="I10" s="123" t="s">
        <v>85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74</v>
      </c>
      <c r="P10" s="123" t="s">
        <v>91</v>
      </c>
      <c r="Q10" s="123" t="s">
        <v>89</v>
      </c>
      <c r="R10" s="125">
        <f t="shared" si="0"/>
        <v>6</v>
      </c>
      <c r="S10" s="27">
        <f t="shared" si="1"/>
        <v>561</v>
      </c>
      <c r="T10" s="28">
        <f>+H47</f>
        <v>540</v>
      </c>
      <c r="U10" s="44">
        <f t="shared" si="2"/>
        <v>63.529411764705884</v>
      </c>
      <c r="V10" s="45">
        <f t="shared" si="3"/>
        <v>0.96256684491978606</v>
      </c>
      <c r="W10" s="46">
        <f>+K47</f>
        <v>412.4</v>
      </c>
      <c r="X10" s="29">
        <f t="shared" si="4"/>
        <v>48.517647058823528</v>
      </c>
      <c r="Y10" s="47">
        <f t="shared" si="5"/>
        <v>0.73511586452762923</v>
      </c>
      <c r="Z10" s="48">
        <f t="shared" si="6"/>
        <v>48.128342245989302</v>
      </c>
      <c r="AA10" s="49">
        <f t="shared" si="7"/>
        <v>40.027058823529416</v>
      </c>
      <c r="AB10" s="139">
        <f t="shared" si="8"/>
        <v>88.155401069518717</v>
      </c>
      <c r="AC10" s="50" t="str">
        <f t="shared" si="9"/>
        <v>80~89</v>
      </c>
      <c r="AD10" s="36"/>
      <c r="AE10" s="37">
        <f>AF10-F10</f>
        <v>-8.5</v>
      </c>
      <c r="AF10" s="38">
        <f>AM10</f>
        <v>0</v>
      </c>
      <c r="AG10" s="224" t="s">
        <v>36</v>
      </c>
      <c r="AH10" s="39"/>
      <c r="AI10" s="40">
        <f>IFERROR(Y10/V10*1000,"")</f>
        <v>763.70370370370381</v>
      </c>
      <c r="AJ10" s="39"/>
      <c r="AK10" s="41"/>
      <c r="AL10" s="41"/>
      <c r="AM10" s="41"/>
      <c r="AO10" s="224">
        <f t="shared" si="10"/>
        <v>-8.5</v>
      </c>
      <c r="AP10" s="42"/>
    </row>
    <row r="11" spans="2:51" s="224" customFormat="1" ht="102.75" customHeight="1" x14ac:dyDescent="0.3">
      <c r="B11" s="421"/>
      <c r="C11" s="24">
        <f>+C10+1</f>
        <v>6</v>
      </c>
      <c r="D11" s="43" t="s">
        <v>37</v>
      </c>
      <c r="E11" s="26" t="s">
        <v>29</v>
      </c>
      <c r="F11" s="25">
        <v>8.5</v>
      </c>
      <c r="G11" s="125">
        <v>409</v>
      </c>
      <c r="H11" s="125">
        <f>(G11/T11)*100</f>
        <v>99.271844660194176</v>
      </c>
      <c r="I11" s="123" t="s">
        <v>85</v>
      </c>
      <c r="J11" s="123" t="s">
        <v>86</v>
      </c>
      <c r="K11" s="123" t="s">
        <v>73</v>
      </c>
      <c r="L11" s="123" t="s">
        <v>87</v>
      </c>
      <c r="M11" s="123"/>
      <c r="N11" s="129" t="s">
        <v>90</v>
      </c>
      <c r="O11" s="123" t="s">
        <v>74</v>
      </c>
      <c r="P11" s="123" t="s">
        <v>91</v>
      </c>
      <c r="Q11" s="123" t="s">
        <v>89</v>
      </c>
      <c r="R11" s="125">
        <f t="shared" si="0"/>
        <v>6</v>
      </c>
      <c r="S11" s="27">
        <f t="shared" si="1"/>
        <v>561</v>
      </c>
      <c r="T11" s="28">
        <f>+H50</f>
        <v>412</v>
      </c>
      <c r="U11" s="44">
        <f t="shared" si="2"/>
        <v>48.470588235294116</v>
      </c>
      <c r="V11" s="45">
        <f t="shared" si="3"/>
        <v>0.73440285204991085</v>
      </c>
      <c r="W11" s="46">
        <f>+K50</f>
        <v>345.65</v>
      </c>
      <c r="X11" s="44">
        <f t="shared" si="4"/>
        <v>40.664705882352941</v>
      </c>
      <c r="Y11" s="47">
        <f t="shared" si="5"/>
        <v>0.61613190730837786</v>
      </c>
      <c r="Z11" s="48">
        <f t="shared" si="6"/>
        <v>36.720142602495542</v>
      </c>
      <c r="AA11" s="49">
        <f t="shared" si="7"/>
        <v>33.548382352941175</v>
      </c>
      <c r="AB11" s="139">
        <f t="shared" si="8"/>
        <v>70.268524955436718</v>
      </c>
      <c r="AC11" s="161" t="str">
        <f t="shared" si="9"/>
        <v xml:space="preserve"> 사유?→</v>
      </c>
      <c r="AD11" s="160" t="s">
        <v>145</v>
      </c>
      <c r="AE11" s="37">
        <f>AF11-F11</f>
        <v>-8.5</v>
      </c>
      <c r="AF11" s="38">
        <f>AM11</f>
        <v>0</v>
      </c>
      <c r="AG11" s="224" t="s">
        <v>33</v>
      </c>
      <c r="AH11" s="39"/>
      <c r="AI11" s="40">
        <f>IFERROR(Y11/V11*1000,"")</f>
        <v>838.95631067961165</v>
      </c>
      <c r="AK11" s="41"/>
      <c r="AL11" s="41"/>
      <c r="AM11" s="41"/>
      <c r="AO11" s="224">
        <f t="shared" si="10"/>
        <v>-8.5</v>
      </c>
      <c r="AP11" s="42"/>
    </row>
    <row r="12" spans="2:51" s="224" customFormat="1" ht="102.75" customHeight="1" x14ac:dyDescent="0.3">
      <c r="B12" s="421"/>
      <c r="C12" s="24">
        <f>+C11+1</f>
        <v>7</v>
      </c>
      <c r="D12" s="43" t="s">
        <v>38</v>
      </c>
      <c r="E12" s="26" t="s">
        <v>33</v>
      </c>
      <c r="F12" s="25">
        <v>0</v>
      </c>
      <c r="G12" s="125"/>
      <c r="H12" s="125"/>
      <c r="I12" s="121"/>
      <c r="J12" s="121"/>
      <c r="K12" s="121"/>
      <c r="L12" s="121"/>
      <c r="M12" s="121"/>
      <c r="N12" s="121"/>
      <c r="O12" s="121"/>
      <c r="P12" s="121"/>
      <c r="Q12" s="121"/>
      <c r="R12" s="125">
        <f t="shared" si="0"/>
        <v>0</v>
      </c>
      <c r="S12" s="227">
        <f t="shared" si="1"/>
        <v>0</v>
      </c>
      <c r="T12" s="28">
        <f>+H53</f>
        <v>0</v>
      </c>
      <c r="U12" s="29" t="str">
        <f t="shared" si="2"/>
        <v>휴무</v>
      </c>
      <c r="V12" s="30">
        <f t="shared" si="3"/>
        <v>0</v>
      </c>
      <c r="W12" s="31">
        <f>+K53</f>
        <v>0</v>
      </c>
      <c r="X12" s="44" t="str">
        <f t="shared" si="4"/>
        <v>휴무</v>
      </c>
      <c r="Y12" s="47">
        <f t="shared" si="5"/>
        <v>0</v>
      </c>
      <c r="Z12" s="48" t="str">
        <f t="shared" si="6"/>
        <v>휴무</v>
      </c>
      <c r="AA12" s="49" t="str">
        <f t="shared" si="7"/>
        <v>휴무</v>
      </c>
      <c r="AB12" s="139" t="str">
        <f t="shared" si="8"/>
        <v>휴무</v>
      </c>
      <c r="AC12" s="50" t="str">
        <f t="shared" si="9"/>
        <v>휴무</v>
      </c>
      <c r="AD12" s="36"/>
      <c r="AE12" s="37"/>
      <c r="AF12" s="38"/>
      <c r="AH12" s="39"/>
      <c r="AI12" s="40"/>
      <c r="AK12" s="41"/>
      <c r="AL12" s="41"/>
      <c r="AM12" s="41"/>
      <c r="AO12" s="224">
        <f t="shared" si="10"/>
        <v>0</v>
      </c>
      <c r="AP12" s="42"/>
    </row>
    <row r="13" spans="2:51" s="224" customFormat="1" ht="36" customHeight="1" x14ac:dyDescent="0.3">
      <c r="B13" s="422" t="s">
        <v>39</v>
      </c>
      <c r="C13" s="423"/>
      <c r="D13" s="423"/>
      <c r="E13" s="424"/>
      <c r="F13" s="43">
        <f>SUM(F7:F12)</f>
        <v>33.5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5">
        <f t="shared" si="0"/>
        <v>0</v>
      </c>
      <c r="S13" s="52">
        <f>SUM(S7:S12)</f>
        <v>2211</v>
      </c>
      <c r="T13" s="53">
        <f>SUM(T7:T12)</f>
        <v>1808</v>
      </c>
      <c r="U13" s="54">
        <f>T13/F13</f>
        <v>53.970149253731343</v>
      </c>
      <c r="V13" s="45">
        <f t="shared" si="3"/>
        <v>0.81772953414744465</v>
      </c>
      <c r="W13" s="55">
        <f>SUM(W7:W12)</f>
        <v>1439.8200000000002</v>
      </c>
      <c r="X13" s="44">
        <f>W13/F13</f>
        <v>42.979701492537316</v>
      </c>
      <c r="Y13" s="47">
        <f t="shared" si="5"/>
        <v>0.65120759837177755</v>
      </c>
      <c r="Z13" s="56">
        <f>T13/S13*Z4</f>
        <v>40.886476707372232</v>
      </c>
      <c r="AA13" s="57">
        <f>W13/S13*AA4</f>
        <v>35.458253731343291</v>
      </c>
      <c r="AB13" s="140">
        <f t="shared" si="8"/>
        <v>76.344730438715516</v>
      </c>
      <c r="AC13" s="162" t="str">
        <f t="shared" si="9"/>
        <v xml:space="preserve"> 사유?→</v>
      </c>
      <c r="AD13" s="43"/>
      <c r="AE13" s="37">
        <f>AF13-F13</f>
        <v>-33.5</v>
      </c>
      <c r="AF13" s="38">
        <f>SUM(AF7:AF12)</f>
        <v>0</v>
      </c>
      <c r="AI13" s="40"/>
      <c r="AK13" s="59"/>
      <c r="AL13" s="59"/>
      <c r="AM13" s="59"/>
    </row>
    <row r="14" spans="2:51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5.583333333333333</v>
      </c>
      <c r="G14" s="225"/>
      <c r="H14" s="225"/>
      <c r="I14" s="225"/>
      <c r="J14" s="225"/>
      <c r="K14" s="225"/>
      <c r="L14" s="225"/>
      <c r="M14" s="225"/>
      <c r="N14" s="225"/>
      <c r="O14" s="225"/>
      <c r="P14" s="225"/>
      <c r="Q14" s="225"/>
      <c r="R14" s="225"/>
      <c r="S14" s="225"/>
      <c r="T14" s="61">
        <f>U14*F14</f>
        <v>301.33333333333331</v>
      </c>
      <c r="U14" s="62">
        <f>T13/F13</f>
        <v>53.970149253731343</v>
      </c>
      <c r="V14" s="63">
        <f>IFERROR(T14/#REF!,0)</f>
        <v>0</v>
      </c>
      <c r="W14" s="64">
        <f>W13/F13*F14</f>
        <v>239.97</v>
      </c>
      <c r="X14" s="62">
        <f>IF(F14=0,"휴무",W14/F14)</f>
        <v>42.979701492537316</v>
      </c>
      <c r="Y14" s="65">
        <f>IFERROR(W14/#REF!,0)</f>
        <v>0</v>
      </c>
      <c r="Z14" s="60">
        <f>AVERAGE(Z7:Z12)</f>
        <v>40.83806818181818</v>
      </c>
      <c r="AA14" s="60">
        <f>AVERAGE(AA7:AA12)</f>
        <v>35.531172794117651</v>
      </c>
      <c r="AB14" s="141">
        <f>Z14+AA14</f>
        <v>76.369240975935838</v>
      </c>
      <c r="AC14" s="67"/>
      <c r="AD14" s="68"/>
      <c r="AI14" s="40" t="str">
        <f>IFERROR(Y14/V14*1000,"")</f>
        <v/>
      </c>
      <c r="AK14" s="10"/>
      <c r="AL14" s="10"/>
      <c r="AM14" s="10"/>
    </row>
    <row r="15" spans="2:51" s="224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22"/>
      <c r="U15" s="10"/>
      <c r="V15" s="73">
        <f>V14*60</f>
        <v>0</v>
      </c>
      <c r="W15" s="74"/>
      <c r="X15" s="73"/>
      <c r="Y15" s="74">
        <f>Y14*40</f>
        <v>0</v>
      </c>
      <c r="AB15" s="142">
        <f>V15+Y15</f>
        <v>0</v>
      </c>
      <c r="AK15" s="59"/>
      <c r="AL15" s="59"/>
      <c r="AM15" s="59"/>
    </row>
    <row r="16" spans="2:51" ht="17.25" thickBot="1" x14ac:dyDescent="0.35">
      <c r="B16" s="70"/>
    </row>
    <row r="17" spans="2:42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2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</row>
    <row r="20" spans="2:42" x14ac:dyDescent="0.3">
      <c r="B20" t="s">
        <v>5</v>
      </c>
      <c r="D20" s="7">
        <v>55</v>
      </c>
      <c r="F20" s="8" t="s">
        <v>6</v>
      </c>
      <c r="T20" s="9">
        <v>1.2</v>
      </c>
      <c r="Z20" s="12">
        <f>Z4</f>
        <v>50</v>
      </c>
      <c r="AA20" s="11">
        <f>AA4</f>
        <v>54.45</v>
      </c>
      <c r="AB20" s="12"/>
      <c r="AD20" s="8"/>
    </row>
    <row r="21" spans="2:42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8"/>
      <c r="S21" s="439" t="s">
        <v>11</v>
      </c>
      <c r="T21" s="441" t="s">
        <v>12</v>
      </c>
      <c r="U21" s="418"/>
      <c r="V21" s="442"/>
      <c r="W21" s="446" t="s">
        <v>13</v>
      </c>
      <c r="X21" s="418"/>
      <c r="Y21" s="418"/>
      <c r="Z21" s="451" t="s">
        <v>20</v>
      </c>
      <c r="AA21" s="453" t="s">
        <v>21</v>
      </c>
      <c r="AB21" s="447" t="s">
        <v>14</v>
      </c>
      <c r="AC21" s="449" t="s">
        <v>15</v>
      </c>
      <c r="AD21" s="418" t="s">
        <v>16</v>
      </c>
    </row>
    <row r="22" spans="2:42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76</v>
      </c>
      <c r="Q22" s="18" t="s">
        <v>77</v>
      </c>
      <c r="R22" s="127" t="s">
        <v>80</v>
      </c>
      <c r="S22" s="440"/>
      <c r="T22" s="15" t="s">
        <v>12</v>
      </c>
      <c r="U22" s="16" t="s">
        <v>17</v>
      </c>
      <c r="V22" s="17" t="s">
        <v>18</v>
      </c>
      <c r="W22" s="18" t="s">
        <v>13</v>
      </c>
      <c r="X22" s="16" t="s">
        <v>19</v>
      </c>
      <c r="Y22" s="19" t="s">
        <v>18</v>
      </c>
      <c r="Z22" s="452"/>
      <c r="AA22" s="454"/>
      <c r="AB22" s="448"/>
      <c r="AC22" s="450"/>
      <c r="AD22" s="419"/>
      <c r="AE22" s="21" t="s">
        <v>22</v>
      </c>
      <c r="AF22" s="21" t="s">
        <v>23</v>
      </c>
      <c r="AI22" s="22" t="s">
        <v>24</v>
      </c>
      <c r="AK22" s="23" t="s">
        <v>25</v>
      </c>
      <c r="AL22" s="23" t="s">
        <v>26</v>
      </c>
      <c r="AM22" s="23" t="s">
        <v>27</v>
      </c>
      <c r="AO22" s="22">
        <f>SUM(AO23:AO28)</f>
        <v>-33.5</v>
      </c>
    </row>
    <row r="23" spans="2:42" s="224" customFormat="1" ht="99" customHeight="1" thickTop="1" x14ac:dyDescent="0.3">
      <c r="B23" s="420">
        <f>+B7</f>
        <v>3</v>
      </c>
      <c r="C23" s="24">
        <f t="shared" ref="C23:C28" si="11">+C7</f>
        <v>2</v>
      </c>
      <c r="D23" s="25" t="s">
        <v>7</v>
      </c>
      <c r="E23" s="26" t="s">
        <v>33</v>
      </c>
      <c r="F23" s="25">
        <v>0</v>
      </c>
      <c r="G23" s="128"/>
      <c r="H23" s="128"/>
      <c r="I23" s="123" t="s">
        <v>78</v>
      </c>
      <c r="J23" s="123" t="s">
        <v>88</v>
      </c>
      <c r="K23" s="123" t="s">
        <v>92</v>
      </c>
      <c r="L23" s="123" t="s">
        <v>84</v>
      </c>
      <c r="M23" s="123"/>
      <c r="N23" s="129" t="s">
        <v>90</v>
      </c>
      <c r="O23" s="123" t="s">
        <v>74</v>
      </c>
      <c r="P23" s="123" t="s">
        <v>91</v>
      </c>
      <c r="Q23" s="123" t="s">
        <v>89</v>
      </c>
      <c r="R23" s="124">
        <f t="shared" ref="R23:R28" si="12">COUNTA(I23:M23)+COUNTA(N23:Q23)/2</f>
        <v>6</v>
      </c>
      <c r="S23" s="27">
        <f t="shared" ref="S23:S28" si="13">F23*$D$4*$T$4</f>
        <v>0</v>
      </c>
      <c r="T23" s="28">
        <f>+H58</f>
        <v>0</v>
      </c>
      <c r="U23" s="29" t="str">
        <f t="shared" ref="U23:U28" si="14">IF(F23=0,"휴무",T23/F23)</f>
        <v>휴무</v>
      </c>
      <c r="V23" s="30">
        <f t="shared" ref="V23:V29" si="15">IFERROR(T23/S23,0)</f>
        <v>0</v>
      </c>
      <c r="W23" s="31">
        <f>+K58</f>
        <v>0</v>
      </c>
      <c r="X23" s="29" t="str">
        <f t="shared" ref="X23:X28" si="16">IF(F23=0,"휴무",W23/F23)</f>
        <v>휴무</v>
      </c>
      <c r="Y23" s="32">
        <f t="shared" ref="Y23:Y29" si="17">IFERROR(W23/S23,0)</f>
        <v>0</v>
      </c>
      <c r="Z23" s="33" t="str">
        <f t="shared" ref="Z23:Z28" si="18">IF(F23=0,"휴무",T23/S23*$Z$4)</f>
        <v>휴무</v>
      </c>
      <c r="AA23" s="34" t="str">
        <f t="shared" ref="AA23:AA28" si="19">IF(F23=0,"휴무",W23/S23*$AA$4)</f>
        <v>휴무</v>
      </c>
      <c r="AB23" s="138" t="str">
        <f t="shared" ref="AB23:AB29" si="20">IF(F23=0,"휴무",Z23+AA23)</f>
        <v>휴무</v>
      </c>
      <c r="AC23" s="35" t="str">
        <f t="shared" ref="AC23:AC29" si="21">IF(F23=0,"휴무",IF(AB23&gt;=100,"좋아요",IF(AB23&gt;=90,"90~99",IF(AB23&gt;=80,"80~89"," 사유?→"))))</f>
        <v>휴무</v>
      </c>
      <c r="AD23" s="36"/>
      <c r="AE23" s="37">
        <f>AF23-F23</f>
        <v>0</v>
      </c>
      <c r="AF23" s="38">
        <f>AM23</f>
        <v>0</v>
      </c>
      <c r="AG23" s="224" t="s">
        <v>29</v>
      </c>
      <c r="AH23" s="39"/>
      <c r="AI23" s="40" t="str">
        <f>IFERROR(Y23/V23*1000,"")</f>
        <v/>
      </c>
      <c r="AJ23" s="39"/>
      <c r="AK23" s="41"/>
      <c r="AL23" s="41"/>
      <c r="AM23" s="41"/>
      <c r="AO23" s="224">
        <f t="shared" ref="AO23:AO28" si="22">AN23-F23</f>
        <v>0</v>
      </c>
      <c r="AP23" s="42"/>
    </row>
    <row r="24" spans="2:42" s="224" customFormat="1" ht="99.75" customHeight="1" x14ac:dyDescent="0.3">
      <c r="B24" s="421"/>
      <c r="C24" s="24">
        <f t="shared" si="11"/>
        <v>3</v>
      </c>
      <c r="D24" s="43" t="s">
        <v>30</v>
      </c>
      <c r="E24" s="26" t="s">
        <v>29</v>
      </c>
      <c r="F24" s="25">
        <v>8.5</v>
      </c>
      <c r="G24" s="125">
        <v>594</v>
      </c>
      <c r="H24" s="125">
        <f>(G24/T24)*100</f>
        <v>99.831932773109244</v>
      </c>
      <c r="I24" s="123" t="s">
        <v>78</v>
      </c>
      <c r="J24" s="123" t="s">
        <v>88</v>
      </c>
      <c r="K24" s="123" t="s">
        <v>92</v>
      </c>
      <c r="L24" s="123" t="s">
        <v>99</v>
      </c>
      <c r="M24" s="123"/>
      <c r="N24" s="129" t="s">
        <v>90</v>
      </c>
      <c r="O24" s="123" t="s">
        <v>74</v>
      </c>
      <c r="P24" s="123" t="s">
        <v>91</v>
      </c>
      <c r="Q24" s="123" t="s">
        <v>89</v>
      </c>
      <c r="R24" s="124">
        <f t="shared" si="12"/>
        <v>6</v>
      </c>
      <c r="S24" s="27">
        <f t="shared" si="13"/>
        <v>561</v>
      </c>
      <c r="T24" s="28">
        <f>+H61</f>
        <v>595</v>
      </c>
      <c r="U24" s="44">
        <f t="shared" si="14"/>
        <v>70</v>
      </c>
      <c r="V24" s="45">
        <f t="shared" si="15"/>
        <v>1.0606060606060606</v>
      </c>
      <c r="W24" s="46">
        <f>+K61</f>
        <v>461.01</v>
      </c>
      <c r="X24" s="29">
        <f t="shared" si="16"/>
        <v>54.236470588235292</v>
      </c>
      <c r="Y24" s="47">
        <f t="shared" si="17"/>
        <v>0.82176470588235295</v>
      </c>
      <c r="Z24" s="48">
        <f t="shared" si="18"/>
        <v>53.030303030303031</v>
      </c>
      <c r="AA24" s="49">
        <f t="shared" si="19"/>
        <v>44.745088235294119</v>
      </c>
      <c r="AB24" s="139">
        <f t="shared" si="20"/>
        <v>97.77539126559715</v>
      </c>
      <c r="AC24" s="80" t="str">
        <f t="shared" si="21"/>
        <v>90~99</v>
      </c>
      <c r="AD24" s="36"/>
      <c r="AE24" s="37">
        <f>AF24-F24</f>
        <v>-8.5</v>
      </c>
      <c r="AF24" s="38">
        <f>AM24</f>
        <v>0</v>
      </c>
      <c r="AG24" s="224" t="s">
        <v>34</v>
      </c>
      <c r="AH24" s="39"/>
      <c r="AI24" s="40">
        <f>IFERROR(Y24/V24*1000,"")</f>
        <v>774.80672268907574</v>
      </c>
      <c r="AJ24" s="39"/>
      <c r="AK24" s="41"/>
      <c r="AL24" s="41"/>
      <c r="AM24" s="41"/>
      <c r="AO24" s="224">
        <f t="shared" si="22"/>
        <v>-8.5</v>
      </c>
      <c r="AP24" s="42"/>
    </row>
    <row r="25" spans="2:42" s="224" customFormat="1" ht="97.5" customHeight="1" x14ac:dyDescent="0.3">
      <c r="B25" s="421"/>
      <c r="C25" s="24">
        <f t="shared" si="11"/>
        <v>4</v>
      </c>
      <c r="D25" s="43" t="s">
        <v>32</v>
      </c>
      <c r="E25" s="26" t="s">
        <v>29</v>
      </c>
      <c r="F25" s="25">
        <v>8</v>
      </c>
      <c r="G25" s="124">
        <v>503</v>
      </c>
      <c r="H25" s="124">
        <f>(G25/T25)*100</f>
        <v>94.371482176360217</v>
      </c>
      <c r="I25" s="123" t="s">
        <v>78</v>
      </c>
      <c r="J25" s="123" t="s">
        <v>88</v>
      </c>
      <c r="K25" s="123" t="s">
        <v>92</v>
      </c>
      <c r="L25" s="123" t="s">
        <v>84</v>
      </c>
      <c r="M25" s="123"/>
      <c r="N25" s="129" t="s">
        <v>90</v>
      </c>
      <c r="O25" s="123" t="s">
        <v>74</v>
      </c>
      <c r="P25" s="123" t="s">
        <v>91</v>
      </c>
      <c r="Q25" s="123" t="s">
        <v>89</v>
      </c>
      <c r="R25" s="124">
        <f t="shared" si="12"/>
        <v>6</v>
      </c>
      <c r="S25" s="27">
        <f t="shared" si="13"/>
        <v>528</v>
      </c>
      <c r="T25" s="28">
        <f>+H64</f>
        <v>533</v>
      </c>
      <c r="U25" s="44">
        <f t="shared" si="14"/>
        <v>66.625</v>
      </c>
      <c r="V25" s="45">
        <f t="shared" si="15"/>
        <v>1.009469696969697</v>
      </c>
      <c r="W25" s="46">
        <f>+K64</f>
        <v>278.88</v>
      </c>
      <c r="X25" s="29">
        <f t="shared" si="16"/>
        <v>34.86</v>
      </c>
      <c r="Y25" s="47">
        <f t="shared" si="17"/>
        <v>0.5281818181818182</v>
      </c>
      <c r="Z25" s="48">
        <f t="shared" si="18"/>
        <v>50.473484848484851</v>
      </c>
      <c r="AA25" s="49">
        <f t="shared" si="19"/>
        <v>28.759500000000003</v>
      </c>
      <c r="AB25" s="139">
        <f t="shared" si="20"/>
        <v>79.232984848484847</v>
      </c>
      <c r="AC25" s="161" t="str">
        <f t="shared" si="21"/>
        <v xml:space="preserve"> 사유?→</v>
      </c>
      <c r="AD25" s="160" t="s">
        <v>144</v>
      </c>
      <c r="AE25" s="37">
        <f>AF25-F25</f>
        <v>-8</v>
      </c>
      <c r="AF25" s="38">
        <f>AM25</f>
        <v>0</v>
      </c>
      <c r="AG25" s="224" t="s">
        <v>36</v>
      </c>
      <c r="AH25" s="39"/>
      <c r="AI25" s="40">
        <f>IFERROR(Y25/V25*1000,"")</f>
        <v>523.22701688555355</v>
      </c>
      <c r="AJ25" s="39"/>
      <c r="AK25" s="41"/>
      <c r="AL25" s="41"/>
      <c r="AM25" s="41"/>
      <c r="AO25" s="224">
        <f t="shared" si="22"/>
        <v>-8</v>
      </c>
      <c r="AP25" s="42"/>
    </row>
    <row r="26" spans="2:42" s="224" customFormat="1" ht="115.5" customHeight="1" x14ac:dyDescent="0.3">
      <c r="B26" s="421"/>
      <c r="C26" s="24">
        <f t="shared" si="11"/>
        <v>5</v>
      </c>
      <c r="D26" s="43" t="s">
        <v>35</v>
      </c>
      <c r="E26" s="26" t="s">
        <v>29</v>
      </c>
      <c r="F26" s="25">
        <v>8.5</v>
      </c>
      <c r="G26" s="124">
        <v>536</v>
      </c>
      <c r="H26" s="124">
        <f>(G26/T26)*100</f>
        <v>99.075785582255079</v>
      </c>
      <c r="I26" s="123" t="s">
        <v>78</v>
      </c>
      <c r="J26" s="123" t="s">
        <v>88</v>
      </c>
      <c r="K26" s="123" t="s">
        <v>92</v>
      </c>
      <c r="L26" s="123" t="s">
        <v>84</v>
      </c>
      <c r="M26" s="123"/>
      <c r="N26" s="129" t="s">
        <v>90</v>
      </c>
      <c r="O26" s="123" t="s">
        <v>74</v>
      </c>
      <c r="P26" s="123" t="s">
        <v>91</v>
      </c>
      <c r="Q26" s="123" t="s">
        <v>89</v>
      </c>
      <c r="R26" s="124">
        <f t="shared" si="12"/>
        <v>6</v>
      </c>
      <c r="S26" s="27">
        <f t="shared" si="13"/>
        <v>561</v>
      </c>
      <c r="T26" s="28">
        <f>+H67</f>
        <v>541</v>
      </c>
      <c r="U26" s="44">
        <f t="shared" si="14"/>
        <v>63.647058823529413</v>
      </c>
      <c r="V26" s="45">
        <f t="shared" si="15"/>
        <v>0.964349376114082</v>
      </c>
      <c r="W26" s="46">
        <f>+K67</f>
        <v>427.36</v>
      </c>
      <c r="X26" s="44">
        <f t="shared" si="16"/>
        <v>50.277647058823533</v>
      </c>
      <c r="Y26" s="47">
        <f t="shared" si="17"/>
        <v>0.76178253119429595</v>
      </c>
      <c r="Z26" s="48">
        <f t="shared" si="18"/>
        <v>48.217468805704101</v>
      </c>
      <c r="AA26" s="49">
        <f t="shared" si="19"/>
        <v>41.479058823529414</v>
      </c>
      <c r="AB26" s="139">
        <f t="shared" si="20"/>
        <v>89.696527629233515</v>
      </c>
      <c r="AC26" s="50" t="str">
        <f t="shared" si="21"/>
        <v>80~89</v>
      </c>
      <c r="AD26" s="36"/>
      <c r="AE26" s="37">
        <f>AF26-F26</f>
        <v>-8.5</v>
      </c>
      <c r="AF26" s="38">
        <f>AM26</f>
        <v>0</v>
      </c>
      <c r="AG26" s="224" t="s">
        <v>33</v>
      </c>
      <c r="AH26" s="39"/>
      <c r="AI26" s="40">
        <f>IFERROR(Y26/V26*1000,"")</f>
        <v>789.94454713493531</v>
      </c>
      <c r="AJ26" s="39"/>
      <c r="AK26" s="41"/>
      <c r="AL26" s="41"/>
      <c r="AM26" s="41"/>
      <c r="AO26" s="224">
        <f t="shared" si="22"/>
        <v>-8.5</v>
      </c>
      <c r="AP26" s="42"/>
    </row>
    <row r="27" spans="2:42" s="224" customFormat="1" ht="104.25" customHeight="1" x14ac:dyDescent="0.3">
      <c r="B27" s="421"/>
      <c r="C27" s="24">
        <f t="shared" si="11"/>
        <v>6</v>
      </c>
      <c r="D27" s="43" t="s">
        <v>37</v>
      </c>
      <c r="E27" s="26" t="s">
        <v>29</v>
      </c>
      <c r="F27" s="25">
        <v>8.5</v>
      </c>
      <c r="G27" s="125">
        <v>522</v>
      </c>
      <c r="H27" s="130">
        <f>(G27/T27)*100</f>
        <v>93.048128342245988</v>
      </c>
      <c r="I27" s="123" t="s">
        <v>78</v>
      </c>
      <c r="J27" s="123" t="s">
        <v>88</v>
      </c>
      <c r="K27" s="123" t="s">
        <v>92</v>
      </c>
      <c r="L27" s="123" t="s">
        <v>84</v>
      </c>
      <c r="M27" s="123"/>
      <c r="N27" s="129" t="s">
        <v>90</v>
      </c>
      <c r="O27" s="123" t="s">
        <v>74</v>
      </c>
      <c r="P27" s="123" t="s">
        <v>91</v>
      </c>
      <c r="Q27" s="123" t="s">
        <v>89</v>
      </c>
      <c r="R27" s="125">
        <f t="shared" si="12"/>
        <v>6</v>
      </c>
      <c r="S27" s="27">
        <f t="shared" si="13"/>
        <v>561</v>
      </c>
      <c r="T27" s="28">
        <f>+H70</f>
        <v>561</v>
      </c>
      <c r="U27" s="44">
        <f t="shared" si="14"/>
        <v>66</v>
      </c>
      <c r="V27" s="45">
        <f t="shared" si="15"/>
        <v>1</v>
      </c>
      <c r="W27" s="46">
        <f>+K70</f>
        <v>414.41999999999996</v>
      </c>
      <c r="X27" s="44">
        <f t="shared" si="16"/>
        <v>48.755294117647054</v>
      </c>
      <c r="Y27" s="47">
        <f t="shared" si="17"/>
        <v>0.73871657754010689</v>
      </c>
      <c r="Z27" s="48">
        <f t="shared" si="18"/>
        <v>50</v>
      </c>
      <c r="AA27" s="49">
        <f t="shared" si="19"/>
        <v>40.223117647058821</v>
      </c>
      <c r="AB27" s="139">
        <f t="shared" si="20"/>
        <v>90.223117647058814</v>
      </c>
      <c r="AC27" s="50" t="str">
        <f t="shared" si="21"/>
        <v>90~99</v>
      </c>
      <c r="AD27" s="36"/>
      <c r="AE27" s="37">
        <f>AF27-F27</f>
        <v>-8.5</v>
      </c>
      <c r="AF27" s="38">
        <f>AM27</f>
        <v>0</v>
      </c>
      <c r="AG27" s="224" t="s">
        <v>46</v>
      </c>
      <c r="AH27" s="39"/>
      <c r="AI27" s="40">
        <f>IFERROR(Y27/V27*1000,"")</f>
        <v>738.71657754010687</v>
      </c>
      <c r="AK27" s="41"/>
      <c r="AL27" s="41"/>
      <c r="AM27" s="41"/>
      <c r="AO27" s="224">
        <f t="shared" si="22"/>
        <v>-8.5</v>
      </c>
      <c r="AP27" s="42"/>
    </row>
    <row r="28" spans="2:42" s="224" customFormat="1" ht="104.25" customHeight="1" x14ac:dyDescent="0.3">
      <c r="B28" s="421"/>
      <c r="C28" s="24">
        <f t="shared" si="11"/>
        <v>7</v>
      </c>
      <c r="D28" s="43" t="s">
        <v>47</v>
      </c>
      <c r="E28" s="26" t="s">
        <v>33</v>
      </c>
      <c r="F28" s="25">
        <v>0</v>
      </c>
      <c r="G28" s="124"/>
      <c r="H28" s="124"/>
      <c r="I28" s="123"/>
      <c r="J28" s="123"/>
      <c r="K28" s="123"/>
      <c r="L28" s="123"/>
      <c r="M28" s="121"/>
      <c r="N28" s="123"/>
      <c r="O28" s="121"/>
      <c r="P28" s="123"/>
      <c r="Q28" s="123"/>
      <c r="R28" s="124">
        <f t="shared" si="12"/>
        <v>0</v>
      </c>
      <c r="S28" s="227">
        <f t="shared" si="13"/>
        <v>0</v>
      </c>
      <c r="T28" s="28">
        <f>+H73</f>
        <v>0</v>
      </c>
      <c r="U28" s="29" t="str">
        <f t="shared" si="14"/>
        <v>휴무</v>
      </c>
      <c r="V28" s="30">
        <f t="shared" si="15"/>
        <v>0</v>
      </c>
      <c r="W28" s="31">
        <f>+K73</f>
        <v>0</v>
      </c>
      <c r="X28" s="44" t="str">
        <f t="shared" si="16"/>
        <v>휴무</v>
      </c>
      <c r="Y28" s="47">
        <f t="shared" si="17"/>
        <v>0</v>
      </c>
      <c r="Z28" s="48" t="str">
        <f t="shared" si="18"/>
        <v>휴무</v>
      </c>
      <c r="AA28" s="49" t="str">
        <f t="shared" si="19"/>
        <v>휴무</v>
      </c>
      <c r="AB28" s="139" t="str">
        <f t="shared" si="20"/>
        <v>휴무</v>
      </c>
      <c r="AC28" s="50" t="str">
        <f t="shared" si="21"/>
        <v>휴무</v>
      </c>
      <c r="AD28" s="36"/>
      <c r="AE28" s="37"/>
      <c r="AF28" s="38"/>
      <c r="AH28" s="39"/>
      <c r="AI28" s="40"/>
      <c r="AK28" s="41"/>
      <c r="AL28" s="41"/>
      <c r="AM28" s="41"/>
      <c r="AO28" s="224">
        <f t="shared" si="22"/>
        <v>0</v>
      </c>
      <c r="AP28" s="42"/>
    </row>
    <row r="29" spans="2:42" s="224" customFormat="1" ht="36" customHeight="1" x14ac:dyDescent="0.3">
      <c r="B29" s="422" t="s">
        <v>39</v>
      </c>
      <c r="C29" s="423"/>
      <c r="D29" s="423"/>
      <c r="E29" s="424"/>
      <c r="F29" s="43">
        <f>SUM(F23:F28)</f>
        <v>33.5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6"/>
      <c r="S29" s="52">
        <f>SUM(S23:S28)</f>
        <v>2211</v>
      </c>
      <c r="T29" s="53">
        <f>SUM(T23:T28)</f>
        <v>2230</v>
      </c>
      <c r="U29" s="54">
        <f>T29/F29</f>
        <v>66.567164179104481</v>
      </c>
      <c r="V29" s="45">
        <f t="shared" si="15"/>
        <v>1.0085933966530982</v>
      </c>
      <c r="W29" s="55">
        <f>SUM(W23:W28)</f>
        <v>1581.67</v>
      </c>
      <c r="X29" s="44">
        <f>W29/F29</f>
        <v>47.214029850746272</v>
      </c>
      <c r="Y29" s="47">
        <f t="shared" si="17"/>
        <v>0.71536408864767076</v>
      </c>
      <c r="Z29" s="56">
        <f>T29/S29*Z20</f>
        <v>50.429669832654909</v>
      </c>
      <c r="AA29" s="57">
        <f>W29/S29*AA20</f>
        <v>38.951574626865678</v>
      </c>
      <c r="AB29" s="140">
        <f t="shared" si="20"/>
        <v>89.381244459520587</v>
      </c>
      <c r="AC29" s="58" t="str">
        <f t="shared" si="21"/>
        <v>80~89</v>
      </c>
      <c r="AD29" s="43"/>
      <c r="AE29" s="37">
        <f>AF29-F29</f>
        <v>-33.5</v>
      </c>
      <c r="AF29" s="38">
        <f>SUM(AF23:AF28)</f>
        <v>0</v>
      </c>
      <c r="AI29" s="40"/>
      <c r="AK29" s="59"/>
      <c r="AL29" s="59"/>
      <c r="AM29" s="59"/>
    </row>
    <row r="30" spans="2:42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5.583333333333333</v>
      </c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5"/>
      <c r="R30" s="225"/>
      <c r="S30" s="225"/>
      <c r="T30" s="61">
        <f>U30*F30</f>
        <v>371.66666666666669</v>
      </c>
      <c r="U30" s="62">
        <f>T29/F29</f>
        <v>66.567164179104481</v>
      </c>
      <c r="V30" s="63">
        <f>IFERROR(T30/#REF!,0)</f>
        <v>0</v>
      </c>
      <c r="W30" s="64">
        <f>W29/F29*F30</f>
        <v>263.61166666666668</v>
      </c>
      <c r="X30" s="62">
        <f>IF(F30=0,"휴무",W30/F30)</f>
        <v>47.214029850746272</v>
      </c>
      <c r="Y30" s="65">
        <f>IFERROR(W30/#REF!,0)</f>
        <v>0</v>
      </c>
      <c r="Z30" s="60">
        <f>AVERAGE(Z23:Z28)</f>
        <v>50.430314171122994</v>
      </c>
      <c r="AA30" s="60">
        <f>AVERAGE(AA23:AA28)</f>
        <v>38.801691176470591</v>
      </c>
      <c r="AB30" s="141">
        <f>Z30+AA30</f>
        <v>89.232005347593585</v>
      </c>
      <c r="AC30" s="67"/>
      <c r="AD30" s="68"/>
      <c r="AI30" s="40" t="str">
        <f>IFERROR(Y30/V30*1000,"")</f>
        <v/>
      </c>
      <c r="AK30" s="10"/>
      <c r="AL30" s="10"/>
      <c r="AM30" s="10"/>
    </row>
    <row r="31" spans="2:42" s="224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22"/>
      <c r="U31" s="10"/>
      <c r="V31" s="73">
        <f>V30*60</f>
        <v>0</v>
      </c>
      <c r="W31" s="74"/>
      <c r="X31" s="73"/>
      <c r="Y31" s="74">
        <f>Y30*40</f>
        <v>0</v>
      </c>
      <c r="Z31" s="81"/>
      <c r="AA31" s="81"/>
      <c r="AB31" s="142">
        <f>V31+Y31</f>
        <v>0</v>
      </c>
      <c r="AK31" s="59"/>
      <c r="AL31" s="59"/>
      <c r="AM31" s="59"/>
    </row>
    <row r="32" spans="2:42" x14ac:dyDescent="0.3">
      <c r="B32" s="120" t="s">
        <v>67</v>
      </c>
      <c r="U32" s="10">
        <v>8.8000000000000007</v>
      </c>
    </row>
    <row r="33" spans="2:42" ht="17.25" thickBot="1" x14ac:dyDescent="0.35">
      <c r="B33" s="70"/>
    </row>
    <row r="34" spans="2:42" ht="17.25" thickBot="1" x14ac:dyDescent="0.35">
      <c r="B34" s="76" t="s">
        <v>42</v>
      </c>
      <c r="C34" s="77"/>
      <c r="D34" s="78" t="s">
        <v>43</v>
      </c>
      <c r="E34" s="78"/>
      <c r="F34" s="79"/>
      <c r="X34" s="10">
        <v>50</v>
      </c>
    </row>
    <row r="36" spans="2:42" s="10" customFormat="1" x14ac:dyDescent="0.3">
      <c r="B36"/>
      <c r="C36"/>
      <c r="D36"/>
      <c r="E36" s="455">
        <f>+C7</f>
        <v>2</v>
      </c>
      <c r="F36" s="455" t="s">
        <v>7</v>
      </c>
      <c r="G36" s="82" t="s">
        <v>48</v>
      </c>
      <c r="H36" s="83"/>
      <c r="I36" s="84"/>
      <c r="J36" s="85"/>
      <c r="K36" s="86"/>
      <c r="L36" s="135"/>
      <c r="N36" s="136"/>
      <c r="O36" s="136"/>
      <c r="P36" s="136"/>
      <c r="Q36" s="136"/>
      <c r="R36" s="136"/>
      <c r="S36" s="136"/>
      <c r="Y36"/>
      <c r="Z36"/>
      <c r="AA36"/>
      <c r="AB36"/>
      <c r="AC36"/>
      <c r="AD36"/>
      <c r="AE36"/>
      <c r="AF36"/>
      <c r="AG36"/>
      <c r="AH36"/>
      <c r="AI36"/>
      <c r="AJ36"/>
      <c r="AK36" s="1"/>
      <c r="AL36" s="1"/>
      <c r="AM36" s="1"/>
      <c r="AN36"/>
      <c r="AO36"/>
      <c r="AP36"/>
    </row>
    <row r="37" spans="2:42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Y37"/>
      <c r="Z37"/>
      <c r="AA37"/>
      <c r="AB37"/>
      <c r="AC37"/>
      <c r="AD37"/>
      <c r="AE37"/>
      <c r="AF37"/>
      <c r="AG37"/>
      <c r="AH37"/>
      <c r="AI37"/>
      <c r="AJ37"/>
      <c r="AK37" s="1"/>
      <c r="AL37" s="1"/>
      <c r="AM37" s="1"/>
      <c r="AN37"/>
      <c r="AO37"/>
      <c r="AP37"/>
    </row>
    <row r="38" spans="2:42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0</v>
      </c>
      <c r="I38" s="88"/>
      <c r="J38" s="89"/>
      <c r="K38" s="90">
        <f>+K36+K37*2</f>
        <v>0</v>
      </c>
      <c r="L38" s="135"/>
      <c r="N38" s="136"/>
      <c r="O38" s="136"/>
      <c r="P38" s="136"/>
      <c r="Q38" s="136"/>
      <c r="R38" s="136"/>
      <c r="S38" s="136"/>
      <c r="Y38"/>
      <c r="Z38"/>
      <c r="AA38"/>
      <c r="AB38"/>
      <c r="AC38"/>
      <c r="AD38"/>
      <c r="AE38"/>
      <c r="AF38"/>
      <c r="AG38"/>
      <c r="AH38"/>
      <c r="AI38"/>
      <c r="AJ38"/>
      <c r="AK38" s="1"/>
      <c r="AL38" s="1"/>
      <c r="AM38" s="1"/>
      <c r="AN38"/>
      <c r="AO38"/>
      <c r="AP38"/>
    </row>
    <row r="39" spans="2:42" s="10" customFormat="1" x14ac:dyDescent="0.3">
      <c r="B39"/>
      <c r="C39"/>
      <c r="D39"/>
      <c r="E39" s="455">
        <f>+C8</f>
        <v>3</v>
      </c>
      <c r="F39" s="455" t="s">
        <v>52</v>
      </c>
      <c r="G39" s="82" t="s">
        <v>48</v>
      </c>
      <c r="H39" s="83">
        <v>459</v>
      </c>
      <c r="I39" s="84"/>
      <c r="J39" s="85"/>
      <c r="K39" s="86">
        <v>289.85000000000002</v>
      </c>
      <c r="L39" s="135"/>
      <c r="N39" s="136"/>
      <c r="O39" s="136"/>
      <c r="P39" s="136"/>
      <c r="Q39" s="136"/>
      <c r="R39" s="136"/>
      <c r="S39" s="136"/>
      <c r="Y39"/>
      <c r="Z39"/>
      <c r="AA39"/>
      <c r="AB39"/>
      <c r="AC39"/>
      <c r="AD39"/>
      <c r="AE39"/>
      <c r="AF39"/>
      <c r="AG39"/>
      <c r="AH39"/>
      <c r="AI39"/>
      <c r="AJ39"/>
      <c r="AK39" s="1"/>
      <c r="AL39" s="1"/>
      <c r="AM39" s="1"/>
      <c r="AN39"/>
      <c r="AO39"/>
      <c r="AP39"/>
    </row>
    <row r="40" spans="2:42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Y40"/>
      <c r="Z40"/>
      <c r="AA40"/>
      <c r="AB40"/>
      <c r="AC40"/>
      <c r="AD40"/>
      <c r="AE40"/>
      <c r="AF40"/>
      <c r="AG40"/>
      <c r="AH40"/>
      <c r="AI40"/>
      <c r="AJ40"/>
      <c r="AK40" s="1"/>
      <c r="AL40" s="1"/>
      <c r="AM40" s="1"/>
      <c r="AN40"/>
      <c r="AO40"/>
      <c r="AP40"/>
    </row>
    <row r="41" spans="2:42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459</v>
      </c>
      <c r="I41" s="88"/>
      <c r="J41" s="89"/>
      <c r="K41" s="90">
        <f>+K39+K40*2</f>
        <v>289.85000000000002</v>
      </c>
      <c r="L41" s="135"/>
      <c r="N41" s="136"/>
      <c r="O41" s="136"/>
      <c r="P41" s="136"/>
      <c r="Q41" s="136"/>
      <c r="R41" s="136"/>
      <c r="S41" s="136"/>
      <c r="Y41"/>
      <c r="Z41"/>
      <c r="AA41"/>
      <c r="AB41"/>
      <c r="AC41"/>
      <c r="AD41"/>
      <c r="AE41"/>
      <c r="AF41"/>
      <c r="AG41"/>
      <c r="AH41"/>
      <c r="AI41"/>
      <c r="AJ41"/>
      <c r="AK41" s="1"/>
      <c r="AL41" s="1"/>
      <c r="AM41" s="1"/>
      <c r="AN41"/>
      <c r="AO41"/>
      <c r="AP41"/>
    </row>
    <row r="42" spans="2:42" s="10" customFormat="1" x14ac:dyDescent="0.3">
      <c r="B42"/>
      <c r="C42"/>
      <c r="D42"/>
      <c r="E42" s="455">
        <f>+C9</f>
        <v>4</v>
      </c>
      <c r="F42" s="455" t="s">
        <v>53</v>
      </c>
      <c r="G42" s="82" t="s">
        <v>48</v>
      </c>
      <c r="H42" s="83">
        <v>397</v>
      </c>
      <c r="I42" s="84"/>
      <c r="J42" s="85"/>
      <c r="K42" s="86">
        <v>391.92</v>
      </c>
      <c r="L42" s="135"/>
      <c r="N42" s="136"/>
      <c r="O42" s="136"/>
      <c r="P42" s="136"/>
      <c r="Q42" s="136"/>
      <c r="R42" s="136"/>
      <c r="S42" s="136"/>
      <c r="Y42"/>
      <c r="Z42"/>
      <c r="AA42"/>
      <c r="AB42"/>
      <c r="AC42"/>
      <c r="AD42"/>
      <c r="AE42"/>
      <c r="AF42"/>
      <c r="AG42"/>
      <c r="AH42"/>
      <c r="AI42"/>
      <c r="AJ42"/>
      <c r="AK42" s="1"/>
      <c r="AL42" s="1"/>
      <c r="AM42" s="1"/>
      <c r="AN42"/>
      <c r="AO42"/>
      <c r="AP42"/>
    </row>
    <row r="43" spans="2:42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Y43"/>
      <c r="Z43"/>
      <c r="AA43"/>
      <c r="AB43"/>
      <c r="AC43"/>
      <c r="AD43"/>
      <c r="AE43"/>
      <c r="AF43"/>
      <c r="AG43"/>
      <c r="AH43"/>
      <c r="AI43"/>
      <c r="AJ43"/>
      <c r="AK43" s="1"/>
      <c r="AL43" s="1"/>
      <c r="AM43" s="1"/>
      <c r="AN43"/>
      <c r="AO43"/>
      <c r="AP43"/>
    </row>
    <row r="44" spans="2:42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397</v>
      </c>
      <c r="I44" s="88"/>
      <c r="J44" s="89"/>
      <c r="K44" s="90">
        <f>+K42+K43*2</f>
        <v>391.92</v>
      </c>
      <c r="L44" s="137" t="s">
        <v>54</v>
      </c>
      <c r="N44" s="136"/>
      <c r="O44" s="136"/>
      <c r="P44" s="136"/>
      <c r="Q44" s="136"/>
      <c r="R44" s="136"/>
      <c r="S44" s="136"/>
      <c r="Y44"/>
      <c r="Z44"/>
      <c r="AA44"/>
      <c r="AB44"/>
      <c r="AC44"/>
      <c r="AE44"/>
      <c r="AF44"/>
      <c r="AG44"/>
      <c r="AH44"/>
      <c r="AI44"/>
      <c r="AJ44"/>
      <c r="AK44" s="1"/>
      <c r="AL44" s="1"/>
      <c r="AM44" s="1"/>
      <c r="AN44"/>
      <c r="AO44"/>
      <c r="AP44"/>
    </row>
    <row r="45" spans="2:42" s="10" customFormat="1" x14ac:dyDescent="0.3">
      <c r="B45"/>
      <c r="C45"/>
      <c r="D45"/>
      <c r="E45" s="455">
        <f>+C10</f>
        <v>5</v>
      </c>
      <c r="F45" s="455" t="s">
        <v>55</v>
      </c>
      <c r="G45" s="82" t="s">
        <v>48</v>
      </c>
      <c r="H45" s="83">
        <v>540</v>
      </c>
      <c r="I45" s="84"/>
      <c r="J45" s="85"/>
      <c r="K45" s="86">
        <v>412.4</v>
      </c>
      <c r="L45" s="135"/>
      <c r="N45" s="136"/>
      <c r="O45" s="136"/>
      <c r="P45" s="136"/>
      <c r="Q45" s="136"/>
      <c r="R45" s="136"/>
      <c r="S45" s="136"/>
      <c r="Y45"/>
      <c r="Z45"/>
      <c r="AA45"/>
      <c r="AB45"/>
      <c r="AC45"/>
      <c r="AD45"/>
      <c r="AE45"/>
      <c r="AF45"/>
      <c r="AG45"/>
      <c r="AH45"/>
      <c r="AI45"/>
      <c r="AJ45"/>
      <c r="AK45" s="1"/>
      <c r="AL45" s="1"/>
      <c r="AM45" s="1"/>
      <c r="AN45"/>
      <c r="AO45"/>
      <c r="AP45"/>
    </row>
    <row r="46" spans="2:42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Y46"/>
      <c r="Z46"/>
      <c r="AA46"/>
      <c r="AB46"/>
      <c r="AC46"/>
      <c r="AD46"/>
      <c r="AE46"/>
      <c r="AF46"/>
      <c r="AG46"/>
      <c r="AH46"/>
      <c r="AI46"/>
      <c r="AJ46"/>
      <c r="AK46" s="1"/>
      <c r="AL46" s="1"/>
      <c r="AM46" s="1"/>
      <c r="AN46"/>
      <c r="AO46"/>
      <c r="AP46"/>
    </row>
    <row r="47" spans="2:42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540</v>
      </c>
      <c r="I47" s="88"/>
      <c r="J47" s="89"/>
      <c r="K47" s="90">
        <f>+K45+K46*2</f>
        <v>412.4</v>
      </c>
      <c r="L47" s="135"/>
      <c r="N47" s="136"/>
      <c r="O47" s="136"/>
      <c r="P47" s="136"/>
      <c r="Q47" s="136"/>
      <c r="R47" s="136"/>
      <c r="S47" s="136"/>
      <c r="Y47"/>
      <c r="Z47"/>
      <c r="AA47"/>
      <c r="AB47"/>
      <c r="AC47"/>
      <c r="AD47"/>
      <c r="AE47"/>
      <c r="AF47"/>
      <c r="AG47"/>
      <c r="AH47"/>
      <c r="AI47"/>
      <c r="AJ47"/>
      <c r="AK47" s="1"/>
      <c r="AL47" s="1"/>
      <c r="AM47" s="1"/>
      <c r="AN47"/>
      <c r="AO47"/>
      <c r="AP47"/>
    </row>
    <row r="48" spans="2:42" s="10" customFormat="1" x14ac:dyDescent="0.3">
      <c r="B48"/>
      <c r="C48"/>
      <c r="D48"/>
      <c r="E48" s="455">
        <f>+C11</f>
        <v>6</v>
      </c>
      <c r="F48" s="455" t="s">
        <v>56</v>
      </c>
      <c r="G48" s="82" t="s">
        <v>48</v>
      </c>
      <c r="H48" s="83">
        <v>412</v>
      </c>
      <c r="I48" s="84"/>
      <c r="J48" s="85"/>
      <c r="K48" s="86">
        <v>345.65</v>
      </c>
      <c r="L48" s="135"/>
      <c r="N48" s="136"/>
      <c r="O48" s="136"/>
      <c r="P48" s="136"/>
      <c r="Q48" s="136"/>
      <c r="R48" s="136"/>
      <c r="S48" s="136"/>
      <c r="Y48"/>
      <c r="Z48"/>
      <c r="AA48"/>
      <c r="AB48"/>
      <c r="AC48"/>
      <c r="AD48"/>
      <c r="AE48"/>
      <c r="AF48"/>
      <c r="AG48"/>
      <c r="AH48"/>
      <c r="AI48"/>
      <c r="AJ48"/>
      <c r="AK48" s="1"/>
      <c r="AL48" s="1"/>
      <c r="AM48" s="1"/>
      <c r="AN48"/>
      <c r="AO48"/>
      <c r="AP48"/>
    </row>
    <row r="49" spans="2:42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Y49"/>
      <c r="Z49"/>
      <c r="AA49"/>
      <c r="AB49"/>
      <c r="AC49"/>
      <c r="AD49"/>
      <c r="AE49"/>
      <c r="AF49"/>
      <c r="AG49"/>
      <c r="AH49"/>
      <c r="AI49"/>
      <c r="AJ49"/>
      <c r="AK49" s="1"/>
      <c r="AL49" s="1"/>
      <c r="AM49" s="1"/>
      <c r="AN49"/>
      <c r="AO49"/>
      <c r="AP49"/>
    </row>
    <row r="50" spans="2:42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412</v>
      </c>
      <c r="I50" s="88"/>
      <c r="J50" s="89"/>
      <c r="K50" s="90">
        <f>+K48+K49*2</f>
        <v>345.65</v>
      </c>
      <c r="L50" s="135"/>
      <c r="N50" s="136"/>
      <c r="O50" s="136"/>
      <c r="P50" s="136"/>
      <c r="Q50" s="136"/>
      <c r="R50" s="136"/>
      <c r="S50" s="136"/>
      <c r="Y50"/>
      <c r="Z50"/>
      <c r="AA50"/>
      <c r="AB50"/>
      <c r="AC50"/>
      <c r="AD50"/>
      <c r="AE50"/>
      <c r="AF50"/>
      <c r="AG50"/>
      <c r="AH50"/>
      <c r="AI50"/>
      <c r="AJ50"/>
      <c r="AK50" s="1"/>
      <c r="AL50" s="1"/>
      <c r="AM50" s="1"/>
      <c r="AN50"/>
      <c r="AO50"/>
      <c r="AP50"/>
    </row>
    <row r="51" spans="2:42" s="10" customFormat="1" x14ac:dyDescent="0.3">
      <c r="B51"/>
      <c r="C51"/>
      <c r="D51"/>
      <c r="E51" s="455">
        <f>+C12</f>
        <v>7</v>
      </c>
      <c r="F51" s="455" t="s">
        <v>38</v>
      </c>
      <c r="G51" s="82" t="s">
        <v>48</v>
      </c>
      <c r="H51" s="83"/>
      <c r="I51" s="84"/>
      <c r="J51" s="85"/>
      <c r="K51" s="86"/>
      <c r="L51" s="135"/>
      <c r="N51" s="136"/>
      <c r="O51" s="136"/>
      <c r="P51" s="136"/>
      <c r="Q51" s="136"/>
      <c r="R51" s="136"/>
      <c r="S51" s="136"/>
      <c r="Y51"/>
      <c r="Z51"/>
      <c r="AA51"/>
      <c r="AB51"/>
      <c r="AC51"/>
      <c r="AD51"/>
      <c r="AE51"/>
      <c r="AF51"/>
      <c r="AG51"/>
      <c r="AH51"/>
      <c r="AI51"/>
      <c r="AJ51"/>
      <c r="AK51" s="1"/>
      <c r="AL51" s="1"/>
      <c r="AM51" s="1"/>
      <c r="AN51"/>
      <c r="AO51"/>
      <c r="AP51"/>
    </row>
    <row r="52" spans="2:42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Y52"/>
      <c r="Z52"/>
      <c r="AA52"/>
      <c r="AB52"/>
      <c r="AC52"/>
      <c r="AD52"/>
      <c r="AE52"/>
      <c r="AF52"/>
      <c r="AG52"/>
      <c r="AH52"/>
      <c r="AI52"/>
      <c r="AJ52"/>
      <c r="AK52" s="1"/>
      <c r="AL52" s="1"/>
      <c r="AM52" s="1"/>
      <c r="AN52"/>
      <c r="AO52"/>
      <c r="AP52"/>
    </row>
    <row r="53" spans="2:42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0</v>
      </c>
      <c r="I53" s="88"/>
      <c r="J53" s="89"/>
      <c r="K53" s="90">
        <f>+K51+K52*2</f>
        <v>0</v>
      </c>
      <c r="L53" s="135"/>
      <c r="N53" s="136"/>
      <c r="O53" s="136"/>
      <c r="P53" s="136"/>
      <c r="Q53" s="136"/>
      <c r="R53" s="136"/>
      <c r="S53" s="136"/>
      <c r="Y53"/>
      <c r="Z53"/>
      <c r="AA53"/>
      <c r="AB53"/>
      <c r="AC53"/>
      <c r="AD53"/>
      <c r="AE53"/>
      <c r="AF53"/>
      <c r="AG53"/>
      <c r="AH53"/>
      <c r="AI53"/>
      <c r="AJ53"/>
      <c r="AK53" s="1"/>
      <c r="AL53" s="1"/>
      <c r="AM53" s="1"/>
      <c r="AN53"/>
      <c r="AO53"/>
      <c r="AP53"/>
    </row>
    <row r="54" spans="2:42" x14ac:dyDescent="0.3">
      <c r="H54" s="75"/>
      <c r="I54" s="10"/>
      <c r="J54" s="11"/>
      <c r="K54"/>
    </row>
    <row r="55" spans="2:42" x14ac:dyDescent="0.3">
      <c r="H55" s="75"/>
      <c r="I55" s="10"/>
      <c r="J55" s="11"/>
      <c r="K55"/>
    </row>
    <row r="56" spans="2:42" s="10" customFormat="1" x14ac:dyDescent="0.3">
      <c r="B56"/>
      <c r="C56"/>
      <c r="D56"/>
      <c r="E56" s="455">
        <f>+E36</f>
        <v>2</v>
      </c>
      <c r="F56" s="455" t="s">
        <v>7</v>
      </c>
      <c r="G56" s="82" t="s">
        <v>48</v>
      </c>
      <c r="H56" s="83"/>
      <c r="I56" s="84"/>
      <c r="J56" s="85"/>
      <c r="K56" s="86"/>
      <c r="L56" s="135"/>
      <c r="N56" s="136"/>
      <c r="O56" s="136"/>
      <c r="P56" s="136"/>
      <c r="Q56" s="136"/>
      <c r="R56" s="136"/>
      <c r="S56" s="136"/>
      <c r="Y56"/>
      <c r="Z56"/>
      <c r="AA56"/>
      <c r="AB56"/>
      <c r="AC56"/>
      <c r="AD56"/>
      <c r="AE56"/>
      <c r="AF56"/>
      <c r="AG56"/>
      <c r="AH56"/>
      <c r="AI56"/>
      <c r="AJ56"/>
      <c r="AK56" s="1"/>
      <c r="AL56" s="1"/>
      <c r="AM56" s="1"/>
      <c r="AN56"/>
      <c r="AO56"/>
      <c r="AP56"/>
    </row>
    <row r="57" spans="2:42" s="10" customFormat="1" x14ac:dyDescent="0.3">
      <c r="B57"/>
      <c r="C57" t="s">
        <v>57</v>
      </c>
      <c r="D57"/>
      <c r="E57" s="456"/>
      <c r="F57" s="456"/>
      <c r="G57" s="82" t="s">
        <v>50</v>
      </c>
      <c r="H57" s="83"/>
      <c r="I57" s="84"/>
      <c r="J57" s="85"/>
      <c r="K57" s="86"/>
      <c r="L57" s="135"/>
      <c r="N57" s="136"/>
      <c r="O57" s="136"/>
      <c r="P57" s="136"/>
      <c r="Q57" s="136"/>
      <c r="R57" s="136"/>
      <c r="S57" s="136"/>
      <c r="Y57"/>
      <c r="Z57"/>
      <c r="AA57"/>
      <c r="AB57"/>
      <c r="AC57"/>
      <c r="AD57"/>
      <c r="AE57"/>
      <c r="AF57"/>
      <c r="AG57"/>
      <c r="AH57"/>
      <c r="AI57"/>
      <c r="AJ57"/>
      <c r="AK57" s="1"/>
      <c r="AL57" s="1"/>
      <c r="AM57" s="1"/>
      <c r="AN57"/>
      <c r="AO57"/>
      <c r="AP57"/>
    </row>
    <row r="58" spans="2:42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0</v>
      </c>
      <c r="I58" s="88"/>
      <c r="J58" s="89"/>
      <c r="K58" s="90">
        <f>+K56+K57*2</f>
        <v>0</v>
      </c>
      <c r="L58" s="135"/>
      <c r="N58" s="136"/>
      <c r="O58" s="136"/>
      <c r="P58" s="136"/>
      <c r="Q58" s="136"/>
      <c r="R58" s="136"/>
      <c r="S58" s="136"/>
      <c r="Y58"/>
      <c r="Z58"/>
      <c r="AA58"/>
      <c r="AB58"/>
      <c r="AC58"/>
      <c r="AD58"/>
      <c r="AE58"/>
      <c r="AF58"/>
      <c r="AG58"/>
      <c r="AH58"/>
      <c r="AI58"/>
      <c r="AJ58"/>
      <c r="AK58" s="1"/>
      <c r="AL58" s="1"/>
      <c r="AM58" s="1"/>
      <c r="AN58"/>
      <c r="AO58"/>
      <c r="AP58"/>
    </row>
    <row r="59" spans="2:42" s="10" customFormat="1" x14ac:dyDescent="0.3">
      <c r="B59"/>
      <c r="C59"/>
      <c r="D59"/>
      <c r="E59" s="455">
        <f>+E39</f>
        <v>3</v>
      </c>
      <c r="F59" s="455" t="s">
        <v>52</v>
      </c>
      <c r="G59" s="82" t="s">
        <v>48</v>
      </c>
      <c r="H59" s="83">
        <v>595</v>
      </c>
      <c r="I59" s="84"/>
      <c r="J59" s="85"/>
      <c r="K59" s="86">
        <v>461.01</v>
      </c>
      <c r="L59" s="135"/>
      <c r="N59" s="136"/>
      <c r="O59" s="136"/>
      <c r="P59" s="136"/>
      <c r="Q59" s="136"/>
      <c r="R59" s="136"/>
      <c r="S59" s="136"/>
      <c r="Y59"/>
      <c r="Z59"/>
      <c r="AA59"/>
      <c r="AB59"/>
      <c r="AC59"/>
      <c r="AD59"/>
      <c r="AE59"/>
      <c r="AF59"/>
      <c r="AG59"/>
      <c r="AH59"/>
      <c r="AI59"/>
      <c r="AJ59"/>
      <c r="AK59" s="1"/>
      <c r="AL59" s="1"/>
      <c r="AM59" s="1"/>
      <c r="AN59"/>
      <c r="AO59"/>
      <c r="AP59"/>
    </row>
    <row r="60" spans="2:42" s="10" customFormat="1" x14ac:dyDescent="0.3">
      <c r="B60"/>
      <c r="C60"/>
      <c r="D60"/>
      <c r="E60" s="456"/>
      <c r="F60" s="456"/>
      <c r="G60" s="82" t="s">
        <v>50</v>
      </c>
      <c r="H60" s="83"/>
      <c r="I60" s="84"/>
      <c r="J60" s="85"/>
      <c r="K60" s="86"/>
      <c r="L60" s="135"/>
      <c r="N60" s="136"/>
      <c r="O60" s="136"/>
      <c r="P60" s="136"/>
      <c r="Q60" s="136"/>
      <c r="R60" s="136"/>
      <c r="S60" s="136"/>
      <c r="Y60"/>
      <c r="Z60"/>
      <c r="AA60"/>
      <c r="AB60"/>
      <c r="AC60"/>
      <c r="AD60"/>
      <c r="AE60"/>
      <c r="AF60"/>
      <c r="AG60"/>
      <c r="AH60"/>
      <c r="AI60"/>
      <c r="AJ60"/>
      <c r="AK60" s="1"/>
      <c r="AL60" s="1"/>
      <c r="AM60" s="1"/>
      <c r="AN60"/>
      <c r="AO60"/>
      <c r="AP60"/>
    </row>
    <row r="61" spans="2:42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595</v>
      </c>
      <c r="I61" s="88"/>
      <c r="J61" s="89"/>
      <c r="K61" s="90">
        <f>+K59+K60*2</f>
        <v>461.01</v>
      </c>
      <c r="L61" s="135"/>
      <c r="N61" s="136"/>
      <c r="O61" s="136"/>
      <c r="P61" s="136"/>
      <c r="Q61" s="136"/>
      <c r="R61" s="136"/>
      <c r="S61" s="136"/>
      <c r="Y61"/>
      <c r="Z61"/>
      <c r="AA61"/>
      <c r="AB61"/>
      <c r="AC61"/>
      <c r="AD61"/>
      <c r="AE61"/>
      <c r="AF61"/>
      <c r="AG61"/>
      <c r="AH61"/>
      <c r="AI61"/>
      <c r="AJ61"/>
      <c r="AK61" s="1"/>
      <c r="AL61" s="1"/>
      <c r="AM61" s="1"/>
      <c r="AN61"/>
      <c r="AO61"/>
      <c r="AP61"/>
    </row>
    <row r="62" spans="2:42" s="10" customFormat="1" x14ac:dyDescent="0.3">
      <c r="B62"/>
      <c r="C62"/>
      <c r="D62"/>
      <c r="E62" s="455">
        <f>+E42</f>
        <v>4</v>
      </c>
      <c r="F62" s="455" t="s">
        <v>53</v>
      </c>
      <c r="G62" s="82" t="s">
        <v>48</v>
      </c>
      <c r="H62" s="83">
        <f>504-29</f>
        <v>475</v>
      </c>
      <c r="I62" s="84"/>
      <c r="J62" s="85"/>
      <c r="K62" s="86">
        <f>266.43-12.45</f>
        <v>253.98000000000002</v>
      </c>
      <c r="L62" s="135"/>
      <c r="N62" s="136"/>
      <c r="O62" s="136"/>
      <c r="P62" s="136"/>
      <c r="Q62" s="136"/>
      <c r="R62" s="136"/>
      <c r="S62" s="136"/>
      <c r="Y62"/>
      <c r="Z62"/>
      <c r="AA62"/>
      <c r="AB62"/>
      <c r="AC62"/>
      <c r="AD62"/>
      <c r="AE62"/>
      <c r="AF62"/>
      <c r="AG62"/>
      <c r="AH62"/>
      <c r="AI62"/>
      <c r="AJ62"/>
      <c r="AK62" s="1"/>
      <c r="AL62" s="1"/>
      <c r="AM62" s="1"/>
      <c r="AN62"/>
      <c r="AO62"/>
      <c r="AP62"/>
    </row>
    <row r="63" spans="2:42" s="10" customFormat="1" x14ac:dyDescent="0.3">
      <c r="B63"/>
      <c r="C63"/>
      <c r="D63"/>
      <c r="E63" s="456"/>
      <c r="F63" s="456"/>
      <c r="G63" s="82" t="s">
        <v>50</v>
      </c>
      <c r="H63" s="83">
        <v>29</v>
      </c>
      <c r="I63" s="84"/>
      <c r="J63" s="85"/>
      <c r="K63" s="86">
        <v>12.45</v>
      </c>
      <c r="L63" s="135"/>
      <c r="N63" s="136"/>
      <c r="O63" s="136"/>
      <c r="P63" s="136"/>
      <c r="Q63" s="136"/>
      <c r="R63" s="136"/>
      <c r="S63" s="136"/>
      <c r="Y63"/>
      <c r="Z63"/>
      <c r="AA63"/>
      <c r="AB63"/>
      <c r="AC63"/>
      <c r="AD63"/>
      <c r="AE63"/>
      <c r="AF63"/>
      <c r="AG63"/>
      <c r="AH63"/>
      <c r="AI63"/>
      <c r="AJ63"/>
      <c r="AK63" s="1"/>
      <c r="AL63" s="1"/>
      <c r="AM63" s="1"/>
      <c r="AN63"/>
      <c r="AO63"/>
      <c r="AP63"/>
    </row>
    <row r="64" spans="2:42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533</v>
      </c>
      <c r="I64" s="88"/>
      <c r="J64" s="89"/>
      <c r="K64" s="90">
        <f>+K62+K63*2</f>
        <v>278.88</v>
      </c>
      <c r="L64" s="137" t="s">
        <v>54</v>
      </c>
      <c r="N64" s="136"/>
      <c r="O64" s="136"/>
      <c r="P64" s="136"/>
      <c r="Q64" s="136"/>
      <c r="R64" s="136"/>
      <c r="S64" s="136"/>
      <c r="Y64"/>
      <c r="Z64"/>
      <c r="AA64"/>
      <c r="AB64"/>
      <c r="AC64"/>
      <c r="AE64"/>
      <c r="AF64"/>
      <c r="AG64"/>
      <c r="AH64"/>
      <c r="AI64"/>
      <c r="AJ64"/>
      <c r="AK64" s="1"/>
      <c r="AL64" s="1"/>
      <c r="AM64" s="1"/>
      <c r="AN64"/>
      <c r="AO64"/>
      <c r="AP64"/>
    </row>
    <row r="65" spans="2:42" s="10" customFormat="1" x14ac:dyDescent="0.3">
      <c r="B65"/>
      <c r="C65"/>
      <c r="D65"/>
      <c r="E65" s="455">
        <f>+E45</f>
        <v>5</v>
      </c>
      <c r="F65" s="455" t="s">
        <v>55</v>
      </c>
      <c r="G65" s="82" t="s">
        <v>48</v>
      </c>
      <c r="H65" s="83">
        <v>541</v>
      </c>
      <c r="I65" s="84"/>
      <c r="J65" s="85"/>
      <c r="K65" s="86">
        <v>427.36</v>
      </c>
      <c r="L65" s="135"/>
      <c r="N65" s="136"/>
      <c r="O65" s="136"/>
      <c r="P65" s="136"/>
      <c r="Q65" s="136"/>
      <c r="R65" s="136"/>
      <c r="S65" s="136"/>
      <c r="Y65"/>
      <c r="Z65"/>
      <c r="AA65"/>
      <c r="AB65"/>
      <c r="AC65"/>
      <c r="AD65"/>
      <c r="AE65"/>
      <c r="AF65"/>
      <c r="AG65"/>
      <c r="AH65"/>
      <c r="AI65"/>
      <c r="AJ65"/>
      <c r="AK65" s="1"/>
      <c r="AL65" s="1"/>
      <c r="AM65" s="1"/>
      <c r="AN65"/>
      <c r="AO65"/>
      <c r="AP65"/>
    </row>
    <row r="66" spans="2:42" s="10" customFormat="1" x14ac:dyDescent="0.3">
      <c r="B66"/>
      <c r="C66"/>
      <c r="D66"/>
      <c r="E66" s="456"/>
      <c r="F66" s="456"/>
      <c r="G66" s="82" t="s">
        <v>50</v>
      </c>
      <c r="H66" s="83"/>
      <c r="I66" s="84"/>
      <c r="J66" s="85"/>
      <c r="K66" s="86"/>
      <c r="L66" s="135"/>
      <c r="N66" s="136"/>
      <c r="O66" s="136"/>
      <c r="P66" s="136"/>
      <c r="Q66" s="136"/>
      <c r="R66" s="136"/>
      <c r="S66" s="136"/>
      <c r="Y66"/>
      <c r="Z66"/>
      <c r="AA66"/>
      <c r="AB66"/>
      <c r="AC66"/>
      <c r="AD66"/>
      <c r="AE66"/>
      <c r="AF66"/>
      <c r="AG66"/>
      <c r="AH66"/>
      <c r="AI66"/>
      <c r="AJ66"/>
      <c r="AK66" s="1"/>
      <c r="AL66" s="1"/>
      <c r="AM66" s="1"/>
      <c r="AN66"/>
      <c r="AO66"/>
      <c r="AP66"/>
    </row>
    <row r="67" spans="2:42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541</v>
      </c>
      <c r="I67" s="88"/>
      <c r="J67" s="89"/>
      <c r="K67" s="90">
        <f>+K65+K66*2</f>
        <v>427.36</v>
      </c>
      <c r="L67" s="135"/>
      <c r="N67" s="136"/>
      <c r="O67" s="136"/>
      <c r="P67" s="136"/>
      <c r="Q67" s="136"/>
      <c r="R67" s="136"/>
      <c r="S67" s="136"/>
      <c r="Y67"/>
      <c r="Z67"/>
      <c r="AA67"/>
      <c r="AB67"/>
      <c r="AC67"/>
      <c r="AD67"/>
      <c r="AE67"/>
      <c r="AF67"/>
      <c r="AG67"/>
      <c r="AH67"/>
      <c r="AI67"/>
      <c r="AJ67"/>
      <c r="AK67" s="1"/>
      <c r="AL67" s="1"/>
      <c r="AM67" s="1"/>
      <c r="AN67"/>
      <c r="AO67"/>
      <c r="AP67"/>
    </row>
    <row r="68" spans="2:42" s="10" customFormat="1" x14ac:dyDescent="0.3">
      <c r="B68"/>
      <c r="C68"/>
      <c r="D68"/>
      <c r="E68" s="455">
        <f>+E48</f>
        <v>6</v>
      </c>
      <c r="F68" s="455" t="s">
        <v>56</v>
      </c>
      <c r="G68" s="82" t="s">
        <v>48</v>
      </c>
      <c r="H68" s="83">
        <f>528-33</f>
        <v>495</v>
      </c>
      <c r="I68" s="84"/>
      <c r="J68" s="85"/>
      <c r="K68" s="86">
        <f>399.28-15.14</f>
        <v>384.14</v>
      </c>
      <c r="L68" s="135"/>
      <c r="N68" s="136"/>
      <c r="O68" s="136"/>
      <c r="P68" s="136"/>
      <c r="Q68" s="136"/>
      <c r="R68" s="136"/>
      <c r="S68" s="136"/>
      <c r="Y68"/>
      <c r="Z68"/>
      <c r="AA68"/>
      <c r="AB68"/>
      <c r="AC68"/>
      <c r="AD68"/>
      <c r="AE68"/>
      <c r="AF68"/>
      <c r="AG68"/>
      <c r="AH68"/>
      <c r="AI68"/>
      <c r="AJ68"/>
      <c r="AK68" s="1"/>
      <c r="AL68" s="1"/>
      <c r="AM68" s="1"/>
      <c r="AN68"/>
      <c r="AO68"/>
      <c r="AP68"/>
    </row>
    <row r="69" spans="2:42" s="10" customFormat="1" x14ac:dyDescent="0.3">
      <c r="B69"/>
      <c r="C69"/>
      <c r="D69"/>
      <c r="E69" s="456"/>
      <c r="F69" s="456"/>
      <c r="G69" s="82" t="s">
        <v>50</v>
      </c>
      <c r="H69" s="83">
        <v>33</v>
      </c>
      <c r="I69" s="84"/>
      <c r="J69" s="85"/>
      <c r="K69" s="86">
        <v>15.14</v>
      </c>
      <c r="L69" s="135"/>
      <c r="N69" s="136"/>
      <c r="O69" s="136"/>
      <c r="P69" s="136"/>
      <c r="Q69" s="136"/>
      <c r="R69" s="136"/>
      <c r="S69" s="136"/>
      <c r="Y69"/>
      <c r="Z69"/>
      <c r="AA69"/>
      <c r="AB69"/>
      <c r="AC69"/>
      <c r="AD69"/>
      <c r="AE69"/>
      <c r="AF69"/>
      <c r="AG69"/>
      <c r="AH69"/>
      <c r="AI69"/>
      <c r="AJ69"/>
      <c r="AK69" s="1"/>
      <c r="AL69" s="1"/>
      <c r="AM69" s="1"/>
      <c r="AN69"/>
      <c r="AO69"/>
      <c r="AP69"/>
    </row>
    <row r="70" spans="2:42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561</v>
      </c>
      <c r="I70" s="88"/>
      <c r="J70" s="89"/>
      <c r="K70" s="90">
        <f>+K68+K69*2</f>
        <v>414.41999999999996</v>
      </c>
      <c r="L70" s="135"/>
      <c r="N70" s="136"/>
      <c r="O70" s="136"/>
      <c r="P70" s="136"/>
      <c r="Q70" s="136"/>
      <c r="R70" s="136"/>
      <c r="S70" s="136"/>
      <c r="Y70"/>
      <c r="Z70"/>
      <c r="AA70"/>
      <c r="AB70"/>
      <c r="AC70"/>
      <c r="AD70"/>
      <c r="AE70"/>
      <c r="AF70"/>
      <c r="AG70"/>
      <c r="AH70"/>
      <c r="AI70"/>
      <c r="AJ70"/>
      <c r="AK70" s="1"/>
      <c r="AL70" s="1"/>
      <c r="AM70" s="1"/>
      <c r="AN70"/>
      <c r="AO70"/>
      <c r="AP70"/>
    </row>
    <row r="71" spans="2:42" s="10" customFormat="1" x14ac:dyDescent="0.3">
      <c r="B71"/>
      <c r="C71"/>
      <c r="D71"/>
      <c r="E71" s="455">
        <f>+E51</f>
        <v>7</v>
      </c>
      <c r="F71" s="455" t="s">
        <v>38</v>
      </c>
      <c r="G71" s="82" t="s">
        <v>48</v>
      </c>
      <c r="H71" s="83"/>
      <c r="I71" s="84"/>
      <c r="J71" s="85"/>
      <c r="K71" s="86"/>
      <c r="L71" s="135"/>
      <c r="N71" s="136"/>
      <c r="O71" s="136"/>
      <c r="P71" s="136"/>
      <c r="Q71" s="136"/>
      <c r="R71" s="136"/>
      <c r="S71" s="136"/>
      <c r="Y71"/>
      <c r="Z71"/>
      <c r="AA71"/>
      <c r="AB71"/>
      <c r="AC71"/>
      <c r="AD71"/>
      <c r="AE71"/>
      <c r="AF71"/>
      <c r="AG71"/>
      <c r="AH71"/>
      <c r="AI71"/>
      <c r="AJ71"/>
      <c r="AK71" s="1"/>
      <c r="AL71" s="1"/>
      <c r="AM71" s="1"/>
      <c r="AN71"/>
      <c r="AO71"/>
      <c r="AP71"/>
    </row>
    <row r="72" spans="2:42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Y72"/>
      <c r="Z72"/>
      <c r="AA72"/>
      <c r="AB72"/>
      <c r="AC72"/>
      <c r="AD72"/>
      <c r="AE72"/>
      <c r="AF72"/>
      <c r="AG72"/>
      <c r="AH72"/>
      <c r="AI72"/>
      <c r="AJ72"/>
      <c r="AK72" s="1"/>
      <c r="AL72" s="1"/>
      <c r="AM72" s="1"/>
      <c r="AN72"/>
      <c r="AO72"/>
      <c r="AP72"/>
    </row>
    <row r="73" spans="2:42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0</v>
      </c>
      <c r="I73" s="88"/>
      <c r="J73" s="89"/>
      <c r="K73" s="90">
        <f>+K71+K72*2</f>
        <v>0</v>
      </c>
      <c r="L73" s="135"/>
      <c r="N73" s="136"/>
      <c r="O73" s="136"/>
      <c r="P73" s="136"/>
      <c r="Q73" s="136"/>
      <c r="R73" s="136"/>
      <c r="S73" s="136"/>
      <c r="Y73"/>
      <c r="Z73"/>
      <c r="AA73"/>
      <c r="AB73"/>
      <c r="AC73"/>
      <c r="AD73"/>
      <c r="AE73"/>
      <c r="AF73"/>
      <c r="AG73"/>
      <c r="AH73"/>
      <c r="AI73"/>
      <c r="AJ73"/>
      <c r="AK73" s="1"/>
      <c r="AL73" s="1"/>
      <c r="AM73" s="1"/>
      <c r="AN73"/>
      <c r="AO73"/>
      <c r="AP73"/>
    </row>
    <row r="76" spans="2:42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</row>
    <row r="77" spans="2:42" ht="18" customHeight="1" x14ac:dyDescent="0.3">
      <c r="B77" t="s">
        <v>5</v>
      </c>
      <c r="D77" s="7">
        <v>55</v>
      </c>
      <c r="F77" s="8" t="s">
        <v>6</v>
      </c>
      <c r="T77" s="9">
        <v>1.2</v>
      </c>
      <c r="Z77" s="12">
        <f>Z61</f>
        <v>0</v>
      </c>
      <c r="AA77" s="11">
        <f>AA61</f>
        <v>0</v>
      </c>
      <c r="AB77" s="12"/>
      <c r="AD77" s="8"/>
    </row>
    <row r="78" spans="2:42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441" t="s">
        <v>12</v>
      </c>
      <c r="U78" s="418"/>
      <c r="V78" s="442"/>
      <c r="W78" s="446" t="s">
        <v>13</v>
      </c>
      <c r="X78" s="418"/>
      <c r="Y78" s="418"/>
      <c r="Z78" s="13"/>
      <c r="AA78" s="14"/>
      <c r="AB78" s="447" t="s">
        <v>14</v>
      </c>
      <c r="AC78" s="449" t="s">
        <v>15</v>
      </c>
      <c r="AD78" s="418" t="s">
        <v>16</v>
      </c>
    </row>
    <row r="79" spans="2:42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5" t="s">
        <v>12</v>
      </c>
      <c r="U79" s="16" t="s">
        <v>17</v>
      </c>
      <c r="V79" s="17" t="s">
        <v>18</v>
      </c>
      <c r="W79" s="18" t="s">
        <v>13</v>
      </c>
      <c r="X79" s="16" t="s">
        <v>19</v>
      </c>
      <c r="Y79" s="19" t="s">
        <v>18</v>
      </c>
      <c r="Z79" s="226" t="s">
        <v>20</v>
      </c>
      <c r="AA79" s="20" t="s">
        <v>21</v>
      </c>
      <c r="AB79" s="448"/>
      <c r="AC79" s="450"/>
      <c r="AD79" s="419"/>
      <c r="AE79" s="21" t="s">
        <v>22</v>
      </c>
      <c r="AF79" s="21" t="s">
        <v>23</v>
      </c>
      <c r="AG79" s="22"/>
      <c r="AH79" s="22"/>
      <c r="AI79" s="22" t="s">
        <v>24</v>
      </c>
      <c r="AJ79" s="22"/>
      <c r="AK79" s="23" t="s">
        <v>25</v>
      </c>
      <c r="AL79" s="23" t="s">
        <v>26</v>
      </c>
      <c r="AM79" s="23" t="s">
        <v>27</v>
      </c>
      <c r="AN79" s="22"/>
      <c r="AO79" s="22">
        <f>SUM(AO80:AO85)</f>
        <v>-50</v>
      </c>
    </row>
    <row r="80" spans="2:42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95">
        <f>+T94</f>
        <v>0</v>
      </c>
      <c r="U80" s="96">
        <f>IF(F80=0,"휴무",T80/F80)</f>
        <v>0</v>
      </c>
      <c r="V80" s="97">
        <f>IFERROR(T80/#REF!,0)</f>
        <v>0</v>
      </c>
      <c r="W80" s="98">
        <f>+W94</f>
        <v>0</v>
      </c>
      <c r="X80" s="96">
        <f t="shared" ref="X80:X85" si="23">IF(F80=0,"휴무",W80/F80)</f>
        <v>0</v>
      </c>
      <c r="Y80" s="99">
        <f>IFERROR(W80/#REF!,0)</f>
        <v>0</v>
      </c>
      <c r="Z80" s="100" t="e">
        <f>IF(F80=0,"휴무",T80/#REF!*$Z$4)</f>
        <v>#REF!</v>
      </c>
      <c r="AA80" s="101" t="e">
        <f>IF(F80=0,"휴무",W80/#REF!*$AA$4)</f>
        <v>#REF!</v>
      </c>
      <c r="AB80" s="102" t="e">
        <f t="shared" ref="AB80:AB85" si="24">IF(F80=0,"휴무",Z80+AA80)</f>
        <v>#REF!</v>
      </c>
      <c r="AC80" s="103" t="e">
        <f t="shared" ref="AC80:AC85" si="25">IF(F80=0,"휴무",IF(AB80&gt;=100,"좋아요",IF(AB80&gt;=90,"90~99",IF(AB80&gt;=80,"80~89"," 사유?→"))))</f>
        <v>#REF!</v>
      </c>
      <c r="AD80" s="104"/>
      <c r="AE80" s="37">
        <f>AF80-F80</f>
        <v>-10</v>
      </c>
      <c r="AF80" s="38">
        <f>AM80</f>
        <v>0</v>
      </c>
      <c r="AG80" s="224" t="s">
        <v>29</v>
      </c>
      <c r="AH80" s="39"/>
      <c r="AI80" s="40" t="str">
        <f>IFERROR(Y80/V80*1000,"")</f>
        <v/>
      </c>
      <c r="AJ80" s="39"/>
      <c r="AK80" s="41"/>
      <c r="AL80" s="41"/>
      <c r="AM80" s="41"/>
      <c r="AN80" s="224"/>
      <c r="AO80" s="224">
        <f>AN80-F80</f>
        <v>-10</v>
      </c>
    </row>
    <row r="81" spans="2:41" ht="98.25" customHeight="1" x14ac:dyDescent="0.3">
      <c r="B81" s="459"/>
      <c r="C81" s="92">
        <v>20</v>
      </c>
      <c r="D81" s="220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95">
        <f>+T97</f>
        <v>0</v>
      </c>
      <c r="U81" s="62">
        <f>IF(F81=0,"휴무",T81/F81)</f>
        <v>0</v>
      </c>
      <c r="V81" s="63">
        <f>IFERROR(T81/#REF!,0)</f>
        <v>0</v>
      </c>
      <c r="W81" s="105">
        <f>+W97</f>
        <v>0</v>
      </c>
      <c r="X81" s="96">
        <f t="shared" si="23"/>
        <v>0</v>
      </c>
      <c r="Y81" s="65">
        <f>IFERROR(W81/#REF!,0)</f>
        <v>0</v>
      </c>
      <c r="Z81" s="106" t="e">
        <f>IF(F81=0,"휴무",T81/#REF!*$Z$4)</f>
        <v>#REF!</v>
      </c>
      <c r="AA81" s="107" t="e">
        <f>IF(F81=0,"휴무",W81/#REF!*$AA$4)</f>
        <v>#REF!</v>
      </c>
      <c r="AB81" s="66" t="e">
        <f t="shared" si="24"/>
        <v>#REF!</v>
      </c>
      <c r="AC81" s="108" t="e">
        <f t="shared" si="25"/>
        <v>#REF!</v>
      </c>
      <c r="AD81" s="109"/>
      <c r="AE81" s="37">
        <f>AF81-F81</f>
        <v>-10</v>
      </c>
      <c r="AF81" s="38">
        <f>AM81</f>
        <v>0</v>
      </c>
      <c r="AG81" s="224" t="s">
        <v>34</v>
      </c>
      <c r="AH81" s="39"/>
      <c r="AI81" s="40" t="str">
        <f>IFERROR(Y81/V81*1000,"")</f>
        <v/>
      </c>
      <c r="AJ81" s="39"/>
      <c r="AK81" s="41"/>
      <c r="AL81" s="41"/>
      <c r="AM81" s="41"/>
      <c r="AN81" s="224"/>
      <c r="AO81" s="224">
        <f>AN81-F81</f>
        <v>-10</v>
      </c>
    </row>
    <row r="82" spans="2:41" ht="98.25" customHeight="1" x14ac:dyDescent="0.3">
      <c r="B82" s="459"/>
      <c r="C82" s="92">
        <v>21</v>
      </c>
      <c r="D82" s="220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95">
        <f>+T100</f>
        <v>0</v>
      </c>
      <c r="U82" s="62">
        <f>IF(F82=0,"휴무",T82/F82)</f>
        <v>0</v>
      </c>
      <c r="V82" s="63">
        <f>IFERROR(T82/#REF!,0)</f>
        <v>0</v>
      </c>
      <c r="W82" s="105">
        <f>+W100</f>
        <v>0</v>
      </c>
      <c r="X82" s="96">
        <f t="shared" si="23"/>
        <v>0</v>
      </c>
      <c r="Y82" s="65">
        <f>IFERROR(W82/#REF!,0)</f>
        <v>0</v>
      </c>
      <c r="Z82" s="106" t="e">
        <f>IF(F82=0,"휴무",T82/#REF!*$Z$4)</f>
        <v>#REF!</v>
      </c>
      <c r="AA82" s="107" t="e">
        <f>IF(F82=0,"휴무",W82/#REF!*$AA$4)</f>
        <v>#REF!</v>
      </c>
      <c r="AB82" s="66" t="e">
        <f t="shared" si="24"/>
        <v>#REF!</v>
      </c>
      <c r="AC82" s="108" t="e">
        <f t="shared" si="25"/>
        <v>#REF!</v>
      </c>
      <c r="AD82" s="109"/>
      <c r="AE82" s="37">
        <f>AF82-F82</f>
        <v>-10</v>
      </c>
      <c r="AF82" s="38">
        <f>AM82</f>
        <v>0</v>
      </c>
      <c r="AG82" s="224" t="s">
        <v>36</v>
      </c>
      <c r="AH82" s="39"/>
      <c r="AI82" s="40" t="str">
        <f>IFERROR(Y82/V82*1000,"")</f>
        <v/>
      </c>
      <c r="AJ82" s="39"/>
      <c r="AK82" s="41"/>
      <c r="AL82" s="41"/>
      <c r="AM82" s="41"/>
      <c r="AN82" s="224"/>
      <c r="AO82" s="224">
        <f>AN82-F82</f>
        <v>-10</v>
      </c>
    </row>
    <row r="83" spans="2:41" ht="98.25" customHeight="1" x14ac:dyDescent="0.3">
      <c r="B83" s="459"/>
      <c r="C83" s="92">
        <v>22</v>
      </c>
      <c r="D83" s="220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95">
        <f>+T103</f>
        <v>0</v>
      </c>
      <c r="U83" s="62">
        <f>IF(F83=0,"휴무",T83/F83)</f>
        <v>0</v>
      </c>
      <c r="V83" s="63">
        <f>IFERROR(T83/#REF!,0)</f>
        <v>0</v>
      </c>
      <c r="W83" s="105">
        <f>+W103</f>
        <v>0</v>
      </c>
      <c r="X83" s="62">
        <f t="shared" si="23"/>
        <v>0</v>
      </c>
      <c r="Y83" s="65">
        <f>IFERROR(W83/#REF!,0)</f>
        <v>0</v>
      </c>
      <c r="Z83" s="106" t="e">
        <f>IF(F83=0,"휴무",T83/#REF!*$Z$4)</f>
        <v>#REF!</v>
      </c>
      <c r="AA83" s="107" t="e">
        <f>IF(F83=0,"휴무",W83/#REF!*$AA$4)</f>
        <v>#REF!</v>
      </c>
      <c r="AB83" s="66" t="e">
        <f t="shared" si="24"/>
        <v>#REF!</v>
      </c>
      <c r="AC83" s="110" t="e">
        <f t="shared" si="25"/>
        <v>#REF!</v>
      </c>
      <c r="AD83" s="104"/>
      <c r="AE83" s="37">
        <f>AF83-F83</f>
        <v>-10</v>
      </c>
      <c r="AF83" s="38">
        <f>AM83</f>
        <v>0</v>
      </c>
      <c r="AG83" s="224" t="s">
        <v>33</v>
      </c>
      <c r="AH83" s="39"/>
      <c r="AI83" s="40" t="str">
        <f>IFERROR(Y83/V83*1000,"")</f>
        <v/>
      </c>
      <c r="AJ83" s="39"/>
      <c r="AK83" s="41"/>
      <c r="AL83" s="41"/>
      <c r="AM83" s="41"/>
      <c r="AN83" s="224"/>
      <c r="AO83" s="224">
        <f>AN83-F83</f>
        <v>-10</v>
      </c>
    </row>
    <row r="84" spans="2:41" ht="98.25" customHeight="1" x14ac:dyDescent="0.3">
      <c r="B84" s="459"/>
      <c r="C84" s="92">
        <v>23</v>
      </c>
      <c r="D84" s="220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95">
        <f>+T104</f>
        <v>0</v>
      </c>
      <c r="U84" s="62">
        <f>IF(F84=0,"휴무",T84/F84)</f>
        <v>0</v>
      </c>
      <c r="V84" s="63">
        <f>IFERROR(T84/#REF!,0)</f>
        <v>0</v>
      </c>
      <c r="W84" s="105">
        <f>+W104</f>
        <v>0</v>
      </c>
      <c r="X84" s="62">
        <f t="shared" si="23"/>
        <v>0</v>
      </c>
      <c r="Y84" s="65">
        <f>IFERROR(W84/#REF!,0)</f>
        <v>0</v>
      </c>
      <c r="Z84" s="106" t="e">
        <f>IF(F84=0,"휴무",T84/#REF!*$Z$4)</f>
        <v>#REF!</v>
      </c>
      <c r="AA84" s="107" t="e">
        <f>IF(F84=0,"휴무",W84/#REF!*$AA$4)</f>
        <v>#REF!</v>
      </c>
      <c r="AB84" s="66" t="e">
        <f t="shared" si="24"/>
        <v>#REF!</v>
      </c>
      <c r="AC84" s="110" t="e">
        <f t="shared" si="25"/>
        <v>#REF!</v>
      </c>
      <c r="AD84" s="104"/>
      <c r="AE84" s="37">
        <f>AF84-F84</f>
        <v>-10</v>
      </c>
      <c r="AF84" s="38">
        <f>AM84</f>
        <v>0</v>
      </c>
      <c r="AG84" s="224" t="s">
        <v>46</v>
      </c>
      <c r="AH84" s="39"/>
      <c r="AI84" s="40" t="str">
        <f>IFERROR(Y84/V84*1000,"")</f>
        <v/>
      </c>
      <c r="AJ84" s="224"/>
      <c r="AK84" s="41"/>
      <c r="AL84" s="41"/>
      <c r="AM84" s="41"/>
      <c r="AN84" s="224"/>
      <c r="AO84" s="224">
        <f>AN84-F84</f>
        <v>-10</v>
      </c>
    </row>
    <row r="85" spans="2:41" ht="98.25" customHeight="1" x14ac:dyDescent="0.3">
      <c r="B85" s="459"/>
      <c r="C85" s="92">
        <v>25</v>
      </c>
      <c r="D85" s="220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225"/>
      <c r="H85" s="225"/>
      <c r="I85" s="225"/>
      <c r="J85" s="225"/>
      <c r="K85" s="225"/>
      <c r="L85" s="225"/>
      <c r="M85" s="225"/>
      <c r="N85" s="225"/>
      <c r="O85" s="225"/>
      <c r="P85" s="225"/>
      <c r="Q85" s="225"/>
      <c r="R85" s="225"/>
      <c r="S85" s="225"/>
      <c r="T85" s="95">
        <f>T109</f>
        <v>0</v>
      </c>
      <c r="U85" s="96">
        <v>58.924999999999997</v>
      </c>
      <c r="V85" s="97">
        <v>0.89280303030303021</v>
      </c>
      <c r="W85" s="98">
        <f>W109</f>
        <v>0</v>
      </c>
      <c r="X85" s="62" t="str">
        <f t="shared" si="23"/>
        <v>휴무</v>
      </c>
      <c r="Y85" s="65">
        <f>IFERROR(W85/#REF!,0)</f>
        <v>0</v>
      </c>
      <c r="Z85" s="106" t="str">
        <f>IF(F85=0,"휴무",T85/#REF!*$Z$4)</f>
        <v>휴무</v>
      </c>
      <c r="AA85" s="107" t="str">
        <f>IF(F85=0,"휴무",W85/#REF!*$AA$4)</f>
        <v>휴무</v>
      </c>
      <c r="AB85" s="66" t="str">
        <f t="shared" si="24"/>
        <v>휴무</v>
      </c>
      <c r="AC85" s="110" t="str">
        <f t="shared" si="25"/>
        <v>휴무</v>
      </c>
      <c r="AD85" s="104"/>
      <c r="AE85" s="37"/>
      <c r="AF85" s="38"/>
      <c r="AG85" s="224"/>
      <c r="AH85" s="39"/>
      <c r="AI85" s="40"/>
      <c r="AJ85" s="224"/>
      <c r="AK85" s="41"/>
      <c r="AL85" s="41"/>
      <c r="AM85" s="41"/>
      <c r="AN85" s="224"/>
      <c r="AO85" s="224"/>
    </row>
    <row r="86" spans="2:41" ht="36" customHeight="1" x14ac:dyDescent="0.3">
      <c r="B86" s="460" t="s">
        <v>39</v>
      </c>
      <c r="C86" s="461"/>
      <c r="D86" s="461"/>
      <c r="E86" s="462"/>
      <c r="F86" s="220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11">
        <f>SUM(T80:T85)</f>
        <v>0</v>
      </c>
      <c r="U86" s="112"/>
      <c r="V86" s="63">
        <f>IFERROR(T86/#REF!,0)</f>
        <v>0</v>
      </c>
      <c r="W86" s="113">
        <f>SUM(W80:W85)</f>
        <v>0</v>
      </c>
      <c r="X86" s="62"/>
      <c r="Y86" s="65">
        <f>IFERROR(W86/#REF!,0)</f>
        <v>0</v>
      </c>
      <c r="Z86" s="220"/>
      <c r="AA86" s="221"/>
      <c r="AB86" s="114"/>
      <c r="AC86" s="115"/>
      <c r="AD86" s="222"/>
      <c r="AE86" s="37">
        <f>AF86-F86</f>
        <v>-50</v>
      </c>
      <c r="AF86" s="38">
        <f>SUM(AF80:AF85)</f>
        <v>0</v>
      </c>
      <c r="AG86" s="224"/>
      <c r="AH86" s="224"/>
      <c r="AI86" s="40"/>
      <c r="AJ86" s="224"/>
      <c r="AK86" s="59"/>
      <c r="AL86" s="59"/>
      <c r="AM86" s="59"/>
      <c r="AN86" s="224"/>
      <c r="AO86" s="224"/>
    </row>
    <row r="87" spans="2:41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225"/>
      <c r="H87" s="225"/>
      <c r="I87" s="225"/>
      <c r="J87" s="225"/>
      <c r="K87" s="225"/>
      <c r="L87" s="225"/>
      <c r="M87" s="225"/>
      <c r="N87" s="225"/>
      <c r="O87" s="225"/>
      <c r="P87" s="225"/>
      <c r="Q87" s="225"/>
      <c r="R87" s="225"/>
      <c r="S87" s="225"/>
      <c r="T87" s="61">
        <f>U87*F87</f>
        <v>0</v>
      </c>
      <c r="U87" s="62">
        <f>T86/F86</f>
        <v>0</v>
      </c>
      <c r="V87" s="63">
        <f>IFERROR(T87/#REF!,0)</f>
        <v>0</v>
      </c>
      <c r="W87" s="64">
        <f>W86/F86*F87</f>
        <v>0</v>
      </c>
      <c r="X87" s="62">
        <f>IF(F87=0,"휴무",W87/F87)</f>
        <v>0</v>
      </c>
      <c r="Y87" s="65">
        <f>IFERROR(W87/#REF!,0)</f>
        <v>0</v>
      </c>
      <c r="Z87" s="60" t="e">
        <f>AVERAGE(Z80:Z85)</f>
        <v>#REF!</v>
      </c>
      <c r="AA87" s="60" t="e">
        <f>AVERAGE(AA80:AA85)</f>
        <v>#REF!</v>
      </c>
      <c r="AB87" s="66" t="e">
        <f>Z87+AA87</f>
        <v>#REF!</v>
      </c>
      <c r="AC87" s="115" t="e">
        <f>IF(F87=0,"휴무",IF(AB87&gt;=100,"좋아요",IF(AB87&gt;=90,"90~99",IF(AB87&gt;=80,"80~89"," 사유?→"))))</f>
        <v>#REF!</v>
      </c>
      <c r="AD87" s="68"/>
      <c r="AE87" s="69"/>
      <c r="AF87" s="69"/>
      <c r="AG87" s="69"/>
      <c r="AH87" s="69"/>
      <c r="AI87" s="40" t="str">
        <f>IFERROR(Y87/V87*1000,"")</f>
        <v/>
      </c>
      <c r="AJ87" s="69"/>
      <c r="AK87" s="10"/>
      <c r="AL87" s="10"/>
      <c r="AM87" s="10"/>
      <c r="AN87" s="69"/>
      <c r="AO87" s="69"/>
    </row>
    <row r="88" spans="2:41" x14ac:dyDescent="0.3">
      <c r="B88" s="70" t="s">
        <v>41</v>
      </c>
      <c r="C88" s="71"/>
      <c r="D88" s="71"/>
      <c r="E88" s="72"/>
      <c r="T88" s="22"/>
      <c r="V88" s="73">
        <f>V87*60</f>
        <v>0</v>
      </c>
      <c r="W88" s="74"/>
      <c r="X88" s="73"/>
      <c r="Y88" s="74">
        <f>Y87*40</f>
        <v>0</v>
      </c>
      <c r="Z88" s="81"/>
      <c r="AA88" s="81"/>
      <c r="AB88" s="74">
        <f>V88+Y88</f>
        <v>0</v>
      </c>
      <c r="AC88" s="224"/>
      <c r="AD88" s="224"/>
      <c r="AE88" s="224"/>
      <c r="AF88" s="224"/>
      <c r="AG88" s="224"/>
      <c r="AH88" s="224"/>
      <c r="AI88" s="224"/>
      <c r="AJ88" s="224"/>
      <c r="AK88" s="59"/>
      <c r="AL88" s="59"/>
      <c r="AM88" s="59"/>
      <c r="AN88" s="224"/>
      <c r="AO88" s="224"/>
    </row>
    <row r="89" spans="2:41" ht="17.25" thickBot="1" x14ac:dyDescent="0.35">
      <c r="B89" s="70" t="s">
        <v>61</v>
      </c>
      <c r="U89" s="10">
        <v>8.8000000000000007</v>
      </c>
    </row>
    <row r="90" spans="2:41" ht="17.25" thickBot="1" x14ac:dyDescent="0.35">
      <c r="B90" s="76" t="s">
        <v>42</v>
      </c>
      <c r="C90" s="77"/>
      <c r="D90" s="78" t="s">
        <v>43</v>
      </c>
      <c r="E90" s="78"/>
      <c r="F90" s="79"/>
      <c r="X90" s="10">
        <v>50</v>
      </c>
    </row>
    <row r="92" spans="2:41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3"/>
      <c r="U92" s="84"/>
      <c r="V92" s="85"/>
      <c r="W92" s="86"/>
    </row>
    <row r="93" spans="2:41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3"/>
      <c r="U93" s="84"/>
      <c r="V93" s="85"/>
      <c r="W93" s="86"/>
    </row>
    <row r="94" spans="2:41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7">
        <f>+T92+T93*1.6</f>
        <v>0</v>
      </c>
      <c r="U94" s="88"/>
      <c r="V94" s="89"/>
      <c r="W94" s="90">
        <f>+W92+W93*1.6</f>
        <v>0</v>
      </c>
    </row>
    <row r="95" spans="2:41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3"/>
      <c r="U95" s="84"/>
      <c r="V95" s="85"/>
      <c r="W95" s="86"/>
    </row>
    <row r="96" spans="2:41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3"/>
      <c r="U96" s="84"/>
      <c r="V96" s="85"/>
      <c r="W96" s="86"/>
    </row>
    <row r="97" spans="5:30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91">
        <f>+T95+T96*1.6</f>
        <v>0</v>
      </c>
      <c r="U97" s="88"/>
      <c r="V97" s="89"/>
      <c r="W97" s="90">
        <f>+W95+W96*1.6</f>
        <v>0</v>
      </c>
    </row>
    <row r="98" spans="5:30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84"/>
      <c r="V98" s="85"/>
      <c r="W98" s="86"/>
    </row>
    <row r="99" spans="5:30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3"/>
      <c r="U99" s="84"/>
      <c r="V99" s="85"/>
      <c r="W99" s="86"/>
    </row>
    <row r="100" spans="5:30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7">
        <f>+T98+T99*1.6</f>
        <v>0</v>
      </c>
      <c r="U100" s="88"/>
      <c r="V100" s="89"/>
      <c r="W100" s="90">
        <f>+W98+W99*1.6</f>
        <v>0</v>
      </c>
    </row>
    <row r="101" spans="5:30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3"/>
      <c r="U101" s="84"/>
      <c r="V101" s="85"/>
      <c r="W101" s="86"/>
    </row>
    <row r="102" spans="5:30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3"/>
      <c r="U102" s="84"/>
      <c r="V102" s="85"/>
      <c r="W102" s="86"/>
    </row>
    <row r="103" spans="5:30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7">
        <f>+T101+T102*1.6</f>
        <v>0</v>
      </c>
      <c r="U103" s="88"/>
      <c r="V103" s="89"/>
      <c r="W103" s="90">
        <f>+W101+W102*1.6</f>
        <v>0</v>
      </c>
    </row>
    <row r="104" spans="5:30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3"/>
      <c r="U104" s="84"/>
      <c r="V104" s="85"/>
      <c r="W104" s="86"/>
    </row>
    <row r="105" spans="5:30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3"/>
      <c r="U105" s="84"/>
      <c r="V105" s="85"/>
      <c r="W105" s="86"/>
    </row>
    <row r="106" spans="5:30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7">
        <f>+T104+T105*1.6</f>
        <v>0</v>
      </c>
      <c r="U106" s="88"/>
      <c r="V106" s="89"/>
      <c r="W106" s="90">
        <f>+W104+W105*1.6</f>
        <v>0</v>
      </c>
    </row>
    <row r="107" spans="5:30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3"/>
      <c r="U107" s="84"/>
      <c r="V107" s="85"/>
      <c r="W107" s="86"/>
      <c r="AD107" s="116"/>
    </row>
    <row r="108" spans="5:30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3"/>
      <c r="U108" s="84"/>
      <c r="V108" s="85"/>
      <c r="W108" s="86"/>
    </row>
    <row r="109" spans="5:30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7">
        <f>+T107+T108*1.6</f>
        <v>0</v>
      </c>
      <c r="U109" s="88"/>
      <c r="V109" s="89"/>
      <c r="W109" s="90">
        <f>+W107+W108*1.6</f>
        <v>0</v>
      </c>
    </row>
    <row r="114" spans="3:26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</row>
    <row r="116" spans="3:26" x14ac:dyDescent="0.3">
      <c r="C116" s="220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117"/>
      <c r="V116" s="118"/>
      <c r="W116" s="116"/>
      <c r="X116" s="117"/>
      <c r="Y116" s="116"/>
      <c r="Z116" s="116"/>
    </row>
    <row r="117" spans="3:26" x14ac:dyDescent="0.3">
      <c r="C117" s="220" t="s">
        <v>63</v>
      </c>
      <c r="D117" s="466" t="s">
        <v>12</v>
      </c>
      <c r="E117" s="466"/>
      <c r="F117" s="220" t="s">
        <v>64</v>
      </c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 t="s">
        <v>15</v>
      </c>
      <c r="U117" s="117"/>
      <c r="V117" s="118"/>
      <c r="W117" s="116"/>
      <c r="X117" s="117"/>
      <c r="Y117" s="116"/>
      <c r="Z117" s="116"/>
    </row>
    <row r="118" spans="3:26" x14ac:dyDescent="0.3">
      <c r="C118" s="119">
        <v>45075</v>
      </c>
      <c r="D118" s="466"/>
      <c r="E118" s="466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117"/>
      <c r="V118" s="118"/>
      <c r="W118" s="116"/>
      <c r="X118" s="117"/>
      <c r="Y118" s="116"/>
      <c r="Z118" s="116"/>
    </row>
    <row r="119" spans="3:26" x14ac:dyDescent="0.3">
      <c r="C119" s="119">
        <v>45076</v>
      </c>
      <c r="D119" s="466"/>
      <c r="E119" s="466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117"/>
      <c r="V119" s="118"/>
      <c r="W119" s="116"/>
      <c r="X119" s="117"/>
      <c r="Y119" s="116"/>
      <c r="Z119" s="116"/>
    </row>
    <row r="120" spans="3:26" x14ac:dyDescent="0.3">
      <c r="C120" s="119">
        <v>45077</v>
      </c>
      <c r="D120" s="466"/>
      <c r="E120" s="466"/>
      <c r="F120" s="220"/>
      <c r="G120" s="220"/>
      <c r="H120" s="220"/>
      <c r="I120" s="220"/>
      <c r="J120" s="220"/>
      <c r="K120" s="220"/>
      <c r="L120" s="220"/>
      <c r="M120" s="220"/>
      <c r="N120" s="220"/>
      <c r="O120" s="220"/>
      <c r="P120" s="220"/>
      <c r="Q120" s="220"/>
      <c r="R120" s="220"/>
      <c r="S120" s="220"/>
      <c r="T120" s="220"/>
      <c r="U120" s="117"/>
      <c r="V120" s="118"/>
      <c r="W120" s="116"/>
      <c r="X120" s="117"/>
      <c r="Y120" s="116"/>
      <c r="Z120" s="116"/>
    </row>
    <row r="121" spans="3:26" x14ac:dyDescent="0.3">
      <c r="C121" s="119">
        <v>45078</v>
      </c>
      <c r="D121" s="466"/>
      <c r="E121" s="466"/>
      <c r="F121" s="220"/>
      <c r="G121" s="220"/>
      <c r="H121" s="220"/>
      <c r="I121" s="220"/>
      <c r="J121" s="220"/>
      <c r="K121" s="220"/>
      <c r="L121" s="220"/>
      <c r="M121" s="220"/>
      <c r="N121" s="220"/>
      <c r="O121" s="220"/>
      <c r="P121" s="220"/>
      <c r="Q121" s="220"/>
      <c r="R121" s="220"/>
      <c r="S121" s="220"/>
      <c r="T121" s="220"/>
      <c r="U121" s="117"/>
      <c r="V121" s="118"/>
      <c r="W121" s="116"/>
      <c r="X121" s="117"/>
      <c r="Y121" s="116"/>
      <c r="Z121" s="116"/>
    </row>
    <row r="122" spans="3:26" x14ac:dyDescent="0.3">
      <c r="C122" s="119">
        <v>45079</v>
      </c>
      <c r="D122" s="466"/>
      <c r="E122" s="466"/>
      <c r="F122" s="220"/>
      <c r="G122" s="220"/>
      <c r="H122" s="220"/>
      <c r="I122" s="220"/>
      <c r="J122" s="220"/>
      <c r="K122" s="220"/>
      <c r="L122" s="220"/>
      <c r="M122" s="220"/>
      <c r="N122" s="220"/>
      <c r="O122" s="220"/>
      <c r="P122" s="220"/>
      <c r="Q122" s="220"/>
      <c r="R122" s="220"/>
      <c r="S122" s="220"/>
      <c r="T122" s="220"/>
      <c r="U122" s="117"/>
      <c r="V122" s="118"/>
      <c r="W122" s="116"/>
      <c r="X122" s="117"/>
      <c r="Y122" s="116"/>
      <c r="Z122" s="116"/>
    </row>
    <row r="123" spans="3:26" x14ac:dyDescent="0.3">
      <c r="C123" s="119">
        <v>45080</v>
      </c>
      <c r="D123" s="466"/>
      <c r="E123" s="466"/>
      <c r="F123" s="220"/>
      <c r="G123" s="220"/>
      <c r="H123" s="220"/>
      <c r="I123" s="220"/>
      <c r="J123" s="220"/>
      <c r="K123" s="220"/>
      <c r="L123" s="220"/>
      <c r="M123" s="220"/>
      <c r="N123" s="220"/>
      <c r="O123" s="220"/>
      <c r="P123" s="220"/>
      <c r="Q123" s="220"/>
      <c r="R123" s="220"/>
      <c r="S123" s="220"/>
      <c r="T123" s="220"/>
      <c r="U123" s="117"/>
      <c r="V123" s="118"/>
      <c r="W123" s="116"/>
      <c r="X123" s="117"/>
      <c r="Y123" s="116"/>
      <c r="Z123" s="116"/>
    </row>
    <row r="124" spans="3:26" x14ac:dyDescent="0.3">
      <c r="C124" s="220"/>
      <c r="D124" s="460"/>
      <c r="E124" s="462"/>
      <c r="F124" s="220"/>
      <c r="G124" s="220"/>
      <c r="H124" s="220"/>
      <c r="I124" s="220"/>
      <c r="J124" s="220"/>
      <c r="K124" s="220"/>
      <c r="L124" s="220"/>
      <c r="M124" s="220"/>
      <c r="N124" s="220"/>
      <c r="O124" s="220"/>
      <c r="P124" s="220"/>
      <c r="Q124" s="220"/>
      <c r="R124" s="220"/>
      <c r="S124" s="220"/>
      <c r="T124" s="220"/>
      <c r="U124" s="117"/>
      <c r="V124" s="118"/>
      <c r="W124" s="116"/>
      <c r="X124" s="117"/>
      <c r="Y124" s="116"/>
      <c r="Z124" s="116"/>
    </row>
    <row r="125" spans="3:26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117"/>
      <c r="V125" s="118"/>
      <c r="W125" s="116"/>
      <c r="X125" s="117"/>
      <c r="Y125" s="116"/>
      <c r="Z125" s="116"/>
    </row>
    <row r="126" spans="3:26" x14ac:dyDescent="0.3">
      <c r="C126" s="220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117"/>
      <c r="V126" s="118"/>
      <c r="W126" s="116"/>
      <c r="X126" s="117"/>
      <c r="Y126" s="116"/>
      <c r="Z126" s="116"/>
    </row>
    <row r="127" spans="3:26" x14ac:dyDescent="0.3">
      <c r="C127" s="220" t="s">
        <v>63</v>
      </c>
      <c r="D127" s="466" t="s">
        <v>12</v>
      </c>
      <c r="E127" s="466"/>
      <c r="F127" s="220" t="s">
        <v>64</v>
      </c>
      <c r="G127" s="220"/>
      <c r="H127" s="220"/>
      <c r="I127" s="220"/>
      <c r="J127" s="220"/>
      <c r="K127" s="220"/>
      <c r="L127" s="220"/>
      <c r="M127" s="220"/>
      <c r="N127" s="220"/>
      <c r="O127" s="220"/>
      <c r="P127" s="220"/>
      <c r="Q127" s="220"/>
      <c r="R127" s="220"/>
      <c r="S127" s="220"/>
      <c r="T127" s="220" t="s">
        <v>15</v>
      </c>
      <c r="U127" s="117"/>
      <c r="V127" s="118"/>
      <c r="W127" s="116"/>
      <c r="X127" s="117"/>
      <c r="Y127" s="116"/>
      <c r="Z127" s="116"/>
    </row>
    <row r="128" spans="3:26" x14ac:dyDescent="0.3">
      <c r="C128" s="119">
        <v>45075</v>
      </c>
      <c r="D128" s="466"/>
      <c r="E128" s="466"/>
      <c r="F128" s="220"/>
      <c r="G128" s="220"/>
      <c r="H128" s="220"/>
      <c r="I128" s="220"/>
      <c r="J128" s="220"/>
      <c r="K128" s="220"/>
      <c r="L128" s="220"/>
      <c r="M128" s="220"/>
      <c r="N128" s="220"/>
      <c r="O128" s="220"/>
      <c r="P128" s="220"/>
      <c r="Q128" s="220"/>
      <c r="R128" s="220"/>
      <c r="S128" s="220"/>
      <c r="T128" s="220"/>
      <c r="U128" s="117"/>
      <c r="V128" s="118"/>
      <c r="W128" s="116"/>
      <c r="X128" s="117"/>
      <c r="Y128" s="116"/>
      <c r="Z128" s="116"/>
    </row>
    <row r="129" spans="3:26" x14ac:dyDescent="0.3">
      <c r="C129" s="119">
        <v>45076</v>
      </c>
      <c r="D129" s="466"/>
      <c r="E129" s="466"/>
      <c r="F129" s="220"/>
      <c r="G129" s="220"/>
      <c r="H129" s="220"/>
      <c r="I129" s="220"/>
      <c r="J129" s="220"/>
      <c r="K129" s="220"/>
      <c r="L129" s="220"/>
      <c r="M129" s="220"/>
      <c r="N129" s="220"/>
      <c r="O129" s="220"/>
      <c r="P129" s="220"/>
      <c r="Q129" s="220"/>
      <c r="R129" s="220"/>
      <c r="S129" s="220"/>
      <c r="T129" s="220"/>
      <c r="U129" s="117"/>
      <c r="V129" s="118"/>
      <c r="W129" s="116"/>
      <c r="X129" s="117"/>
      <c r="Y129" s="116"/>
      <c r="Z129" s="116"/>
    </row>
    <row r="130" spans="3:26" x14ac:dyDescent="0.3">
      <c r="C130" s="119">
        <v>45077</v>
      </c>
      <c r="D130" s="466"/>
      <c r="E130" s="466"/>
      <c r="F130" s="220"/>
      <c r="G130" s="220"/>
      <c r="H130" s="220"/>
      <c r="I130" s="220"/>
      <c r="J130" s="220"/>
      <c r="K130" s="220"/>
      <c r="L130" s="220"/>
      <c r="M130" s="220"/>
      <c r="N130" s="220"/>
      <c r="O130" s="220"/>
      <c r="P130" s="220"/>
      <c r="Q130" s="220"/>
      <c r="R130" s="220"/>
      <c r="S130" s="220"/>
      <c r="T130" s="220"/>
      <c r="U130" s="117"/>
      <c r="V130" s="118"/>
      <c r="W130" s="116"/>
      <c r="X130" s="117"/>
      <c r="Y130" s="116"/>
      <c r="Z130" s="116"/>
    </row>
    <row r="131" spans="3:26" x14ac:dyDescent="0.3">
      <c r="C131" s="119">
        <v>45078</v>
      </c>
      <c r="D131" s="466"/>
      <c r="E131" s="466"/>
      <c r="F131" s="220"/>
      <c r="G131" s="220"/>
      <c r="H131" s="220"/>
      <c r="I131" s="220"/>
      <c r="J131" s="220"/>
      <c r="K131" s="220"/>
      <c r="L131" s="220"/>
      <c r="M131" s="220"/>
      <c r="N131" s="220"/>
      <c r="O131" s="220"/>
      <c r="P131" s="220"/>
      <c r="Q131" s="220"/>
      <c r="R131" s="220"/>
      <c r="S131" s="220"/>
      <c r="T131" s="220"/>
      <c r="U131" s="117"/>
      <c r="V131" s="118"/>
      <c r="W131" s="116"/>
      <c r="X131" s="117"/>
      <c r="Y131" s="116"/>
      <c r="Z131" s="116"/>
    </row>
    <row r="132" spans="3:26" x14ac:dyDescent="0.3">
      <c r="C132" s="119">
        <v>45079</v>
      </c>
      <c r="D132" s="466"/>
      <c r="E132" s="466"/>
      <c r="F132" s="220"/>
      <c r="G132" s="220"/>
      <c r="H132" s="220"/>
      <c r="I132" s="220"/>
      <c r="J132" s="220"/>
      <c r="K132" s="220"/>
      <c r="L132" s="220"/>
      <c r="M132" s="220"/>
      <c r="N132" s="220"/>
      <c r="O132" s="220"/>
      <c r="P132" s="220"/>
      <c r="Q132" s="220"/>
      <c r="R132" s="220"/>
      <c r="S132" s="220"/>
      <c r="T132" s="220"/>
      <c r="U132" s="117"/>
      <c r="V132" s="118"/>
      <c r="W132" s="116"/>
      <c r="X132" s="117"/>
      <c r="Y132" s="116"/>
      <c r="Z132" s="116"/>
    </row>
    <row r="133" spans="3:26" x14ac:dyDescent="0.3">
      <c r="C133" s="119">
        <v>45080</v>
      </c>
      <c r="D133" s="466"/>
      <c r="E133" s="466"/>
      <c r="F133" s="220"/>
      <c r="G133" s="220"/>
      <c r="H133" s="220"/>
      <c r="I133" s="220"/>
      <c r="J133" s="220"/>
      <c r="K133" s="220"/>
      <c r="L133" s="220"/>
      <c r="M133" s="220"/>
      <c r="N133" s="220"/>
      <c r="O133" s="220"/>
      <c r="P133" s="220"/>
      <c r="Q133" s="220"/>
      <c r="R133" s="220"/>
      <c r="S133" s="220"/>
      <c r="T133" s="220"/>
      <c r="U133" s="117"/>
      <c r="V133" s="118"/>
      <c r="W133" s="116"/>
      <c r="X133" s="117"/>
      <c r="Y133" s="116"/>
      <c r="Z133" s="116"/>
    </row>
    <row r="134" spans="3:26" x14ac:dyDescent="0.3">
      <c r="C134" s="220"/>
      <c r="D134" s="460"/>
      <c r="E134" s="462"/>
      <c r="F134" s="220"/>
      <c r="G134" s="220"/>
      <c r="H134" s="220"/>
      <c r="I134" s="220"/>
      <c r="J134" s="220"/>
      <c r="K134" s="220"/>
      <c r="L134" s="220"/>
      <c r="M134" s="220"/>
      <c r="N134" s="220"/>
      <c r="O134" s="220"/>
      <c r="P134" s="220"/>
      <c r="Q134" s="220"/>
      <c r="R134" s="220"/>
      <c r="S134" s="220"/>
      <c r="T134" s="220"/>
      <c r="U134" s="117"/>
      <c r="V134" s="118"/>
      <c r="W134" s="116"/>
      <c r="X134" s="117"/>
      <c r="Y134" s="116"/>
      <c r="Z134" s="116"/>
    </row>
    <row r="135" spans="3:26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117"/>
      <c r="V135" s="118"/>
      <c r="W135" s="116"/>
      <c r="X135" s="117"/>
      <c r="Y135" s="116"/>
      <c r="Z135" s="116"/>
    </row>
    <row r="136" spans="3:26" x14ac:dyDescent="0.3">
      <c r="C136" s="220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117"/>
      <c r="V136" s="118"/>
      <c r="W136" s="116"/>
      <c r="X136" s="117"/>
      <c r="Y136" s="116"/>
      <c r="Z136" s="116"/>
    </row>
    <row r="137" spans="3:26" x14ac:dyDescent="0.3">
      <c r="C137" s="220" t="s">
        <v>63</v>
      </c>
      <c r="D137" s="466" t="s">
        <v>12</v>
      </c>
      <c r="E137" s="466"/>
      <c r="F137" s="220" t="s">
        <v>64</v>
      </c>
      <c r="G137" s="220"/>
      <c r="H137" s="220"/>
      <c r="I137" s="220"/>
      <c r="J137" s="220"/>
      <c r="K137" s="220"/>
      <c r="L137" s="220"/>
      <c r="M137" s="220"/>
      <c r="N137" s="220"/>
      <c r="O137" s="220"/>
      <c r="P137" s="220"/>
      <c r="Q137" s="220"/>
      <c r="R137" s="220"/>
      <c r="S137" s="220"/>
      <c r="T137" s="220" t="s">
        <v>15</v>
      </c>
      <c r="U137" s="117"/>
      <c r="V137" s="118"/>
      <c r="W137" s="116"/>
      <c r="X137" s="117"/>
      <c r="Y137" s="116"/>
      <c r="Z137" s="116"/>
    </row>
    <row r="138" spans="3:26" x14ac:dyDescent="0.3">
      <c r="C138" s="119">
        <v>45075</v>
      </c>
      <c r="D138" s="466"/>
      <c r="E138" s="466"/>
      <c r="F138" s="220"/>
      <c r="G138" s="220"/>
      <c r="H138" s="220"/>
      <c r="I138" s="220"/>
      <c r="J138" s="220"/>
      <c r="K138" s="220"/>
      <c r="L138" s="220"/>
      <c r="M138" s="220"/>
      <c r="N138" s="220"/>
      <c r="O138" s="220"/>
      <c r="P138" s="220"/>
      <c r="Q138" s="220"/>
      <c r="R138" s="220"/>
      <c r="S138" s="220"/>
      <c r="T138" s="220"/>
      <c r="U138" s="117"/>
      <c r="V138" s="118"/>
      <c r="W138" s="116"/>
      <c r="X138" s="117"/>
      <c r="Y138" s="116"/>
      <c r="Z138" s="116"/>
    </row>
    <row r="139" spans="3:26" x14ac:dyDescent="0.3">
      <c r="C139" s="119">
        <v>45076</v>
      </c>
      <c r="D139" s="466"/>
      <c r="E139" s="466"/>
      <c r="F139" s="220"/>
      <c r="G139" s="220"/>
      <c r="H139" s="220"/>
      <c r="I139" s="220"/>
      <c r="J139" s="220"/>
      <c r="K139" s="220"/>
      <c r="L139" s="220"/>
      <c r="M139" s="220"/>
      <c r="N139" s="220"/>
      <c r="O139" s="220"/>
      <c r="P139" s="220"/>
      <c r="Q139" s="220"/>
      <c r="R139" s="220"/>
      <c r="S139" s="220"/>
      <c r="T139" s="220"/>
      <c r="U139" s="117"/>
      <c r="V139" s="118"/>
      <c r="W139" s="116"/>
      <c r="X139" s="117"/>
      <c r="Y139" s="116"/>
      <c r="Z139" s="116"/>
    </row>
    <row r="140" spans="3:26" x14ac:dyDescent="0.3">
      <c r="C140" s="119">
        <v>45077</v>
      </c>
      <c r="D140" s="466"/>
      <c r="E140" s="466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</row>
    <row r="141" spans="3:26" x14ac:dyDescent="0.3">
      <c r="C141" s="119">
        <v>45078</v>
      </c>
      <c r="D141" s="466"/>
      <c r="E141" s="466"/>
      <c r="F141" s="220"/>
      <c r="G141" s="220"/>
      <c r="H141" s="220"/>
      <c r="I141" s="220"/>
      <c r="J141" s="220"/>
      <c r="K141" s="220"/>
      <c r="L141" s="220"/>
      <c r="M141" s="220"/>
      <c r="N141" s="220"/>
      <c r="O141" s="220"/>
      <c r="P141" s="220"/>
      <c r="Q141" s="220"/>
      <c r="R141" s="220"/>
      <c r="S141" s="220"/>
      <c r="T141" s="220"/>
    </row>
    <row r="142" spans="3:26" x14ac:dyDescent="0.3">
      <c r="C142" s="119">
        <v>45079</v>
      </c>
      <c r="D142" s="466"/>
      <c r="E142" s="466"/>
      <c r="F142" s="220"/>
      <c r="G142" s="220"/>
      <c r="H142" s="220"/>
      <c r="I142" s="220"/>
      <c r="J142" s="220"/>
      <c r="K142" s="220"/>
      <c r="L142" s="220"/>
      <c r="M142" s="220"/>
      <c r="N142" s="220"/>
      <c r="O142" s="220"/>
      <c r="P142" s="220"/>
      <c r="Q142" s="220"/>
      <c r="R142" s="220"/>
      <c r="S142" s="220"/>
      <c r="T142" s="220"/>
    </row>
    <row r="143" spans="3:26" x14ac:dyDescent="0.3">
      <c r="C143" s="119">
        <v>45080</v>
      </c>
      <c r="D143" s="466"/>
      <c r="E143" s="466"/>
      <c r="F143" s="220"/>
      <c r="G143" s="220"/>
      <c r="H143" s="220"/>
      <c r="I143" s="220"/>
      <c r="J143" s="220"/>
      <c r="K143" s="220"/>
      <c r="L143" s="220"/>
      <c r="M143" s="220"/>
      <c r="N143" s="220"/>
      <c r="O143" s="220"/>
      <c r="P143" s="220"/>
      <c r="Q143" s="220"/>
      <c r="R143" s="220"/>
      <c r="S143" s="220"/>
      <c r="T143" s="220"/>
    </row>
    <row r="144" spans="3:26" x14ac:dyDescent="0.3">
      <c r="C144" s="220"/>
      <c r="D144" s="460"/>
      <c r="E144" s="462"/>
      <c r="F144" s="220"/>
      <c r="G144" s="220"/>
      <c r="H144" s="220"/>
      <c r="I144" s="220"/>
      <c r="J144" s="220"/>
      <c r="K144" s="220"/>
      <c r="L144" s="220"/>
      <c r="M144" s="220"/>
      <c r="N144" s="220"/>
      <c r="O144" s="220"/>
      <c r="P144" s="220"/>
      <c r="Q144" s="220"/>
      <c r="R144" s="220"/>
      <c r="S144" s="220"/>
      <c r="T144" s="220"/>
    </row>
  </sheetData>
  <mergeCells count="113">
    <mergeCell ref="T5:V5"/>
    <mergeCell ref="W5:Y5"/>
    <mergeCell ref="AB5:AB6"/>
    <mergeCell ref="AC5:AC6"/>
    <mergeCell ref="AD5:AD6"/>
    <mergeCell ref="B7:B12"/>
    <mergeCell ref="B2:AD2"/>
    <mergeCell ref="B3:AD3"/>
    <mergeCell ref="B5:C6"/>
    <mergeCell ref="D5:D6"/>
    <mergeCell ref="E5:E6"/>
    <mergeCell ref="F5:F6"/>
    <mergeCell ref="G5:G6"/>
    <mergeCell ref="H5:H6"/>
    <mergeCell ref="I5:R5"/>
    <mergeCell ref="S5:S6"/>
    <mergeCell ref="B13:E13"/>
    <mergeCell ref="B14:E14"/>
    <mergeCell ref="B19:AD19"/>
    <mergeCell ref="B21:B22"/>
    <mergeCell ref="C21:C22"/>
    <mergeCell ref="D21:D22"/>
    <mergeCell ref="E21:E22"/>
    <mergeCell ref="F21:F22"/>
    <mergeCell ref="G21:G22"/>
    <mergeCell ref="H21:H22"/>
    <mergeCell ref="AB21:AB22"/>
    <mergeCell ref="AC21:AC22"/>
    <mergeCell ref="AD21:AD22"/>
    <mergeCell ref="B23:B28"/>
    <mergeCell ref="B29:E29"/>
    <mergeCell ref="B30:E30"/>
    <mergeCell ref="I21:R21"/>
    <mergeCell ref="S21:S22"/>
    <mergeCell ref="T21:V21"/>
    <mergeCell ref="W21:Y21"/>
    <mergeCell ref="Z21:Z22"/>
    <mergeCell ref="AA21:AA22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AD78:AD79"/>
    <mergeCell ref="B80:B85"/>
    <mergeCell ref="B86:E86"/>
    <mergeCell ref="B87:E87"/>
    <mergeCell ref="E92:E94"/>
    <mergeCell ref="F92:F94"/>
    <mergeCell ref="B76:AD76"/>
    <mergeCell ref="B78:B79"/>
    <mergeCell ref="C78:C79"/>
    <mergeCell ref="D78:D79"/>
    <mergeCell ref="E78:E79"/>
    <mergeCell ref="F78:F79"/>
    <mergeCell ref="T78:V78"/>
    <mergeCell ref="W78:Y78"/>
    <mergeCell ref="AB78:AB79"/>
    <mergeCell ref="AC78:AC79"/>
    <mergeCell ref="E104:E106"/>
    <mergeCell ref="F104:F106"/>
    <mergeCell ref="E107:E109"/>
    <mergeCell ref="F107:F109"/>
    <mergeCell ref="C114:T114"/>
    <mergeCell ref="D117:E117"/>
    <mergeCell ref="E95:E97"/>
    <mergeCell ref="F95:F97"/>
    <mergeCell ref="E98:E100"/>
    <mergeCell ref="F98:F100"/>
    <mergeCell ref="E101:E103"/>
    <mergeCell ref="F101:F103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</mergeCells>
  <phoneticPr fontId="4" type="noConversion"/>
  <dataValidations count="3">
    <dataValidation type="list" allowBlank="1" showInputMessage="1" showErrorMessage="1" sqref="AG23:AG25 AG7 AG10 AG80:AG82">
      <formula1>$AD$6:$AD$8</formula1>
    </dataValidation>
    <dataValidation type="list" allowBlank="1" showInputMessage="1" showErrorMessage="1" sqref="E80:E85 E24:E27 E8:E11">
      <formula1>$AG$7:$AG$12</formula1>
    </dataValidation>
    <dataValidation type="list" allowBlank="1" showInputMessage="1" showErrorMessage="1" sqref="E7 E23 E12 E28">
      <formula1>$AF$6:$AF$11</formula1>
    </dataValidation>
  </dataValidations>
  <pageMargins left="0.62992125984251968" right="0.62992125984251968" top="0.94488188976377963" bottom="0.55118110236220474" header="0.31496062992125984" footer="0.31496062992125984"/>
  <pageSetup paperSize="9" scale="26" orientation="landscape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Y144"/>
  <sheetViews>
    <sheetView showGridLines="0" zoomScale="80" zoomScaleNormal="80" workbookViewId="0">
      <pane xSplit="4" ySplit="6" topLeftCell="E27" activePane="bottomRight" state="frozen"/>
      <selection pane="topRight" activeCell="D1" sqref="D1"/>
      <selection pane="bottomLeft" activeCell="A6" sqref="A6"/>
      <selection pane="bottomRight" activeCell="E28" sqref="E28:F28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19" width="8.625" style="8" customWidth="1"/>
    <col min="20" max="20" width="10.75" style="75" customWidth="1"/>
    <col min="21" max="21" width="10.875" style="10" customWidth="1"/>
    <col min="22" max="22" width="7.375" style="11" customWidth="1"/>
    <col min="23" max="23" width="12.25" customWidth="1"/>
    <col min="24" max="24" width="7.75" style="10" customWidth="1"/>
    <col min="25" max="25" width="10.375" customWidth="1"/>
    <col min="26" max="26" width="9.5" customWidth="1"/>
    <col min="27" max="27" width="10" customWidth="1"/>
    <col min="28" max="28" width="7.125" customWidth="1"/>
    <col min="29" max="29" width="8.375" customWidth="1"/>
    <col min="30" max="30" width="67.375" customWidth="1"/>
    <col min="31" max="32" width="9.125" hidden="1" customWidth="1"/>
    <col min="33" max="33" width="8.75" hidden="1" customWidth="1"/>
    <col min="34" max="34" width="2.75" hidden="1" customWidth="1"/>
    <col min="35" max="35" width="9.125" hidden="1" customWidth="1"/>
    <col min="36" max="36" width="0" hidden="1" customWidth="1"/>
    <col min="37" max="39" width="9.125" style="1" hidden="1" customWidth="1"/>
    <col min="40" max="41" width="0" hidden="1" customWidth="1"/>
    <col min="42" max="42" width="11.75" hidden="1" customWidth="1"/>
    <col min="43" max="43" width="3.25" customWidth="1"/>
  </cols>
  <sheetData>
    <row r="2" spans="2:51" ht="20.25" x14ac:dyDescent="0.3">
      <c r="B2" s="425" t="s">
        <v>136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V2" s="2" t="s">
        <v>0</v>
      </c>
      <c r="AW2" s="215" t="s">
        <v>1</v>
      </c>
      <c r="AX2" s="215" t="s">
        <v>2</v>
      </c>
      <c r="AY2" s="3" t="s">
        <v>3</v>
      </c>
    </row>
    <row r="3" spans="2:51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V3" s="4"/>
      <c r="AW3" s="5"/>
      <c r="AX3" s="5"/>
      <c r="AY3" s="6"/>
    </row>
    <row r="4" spans="2:51" x14ac:dyDescent="0.3">
      <c r="B4" t="s">
        <v>5</v>
      </c>
      <c r="D4" s="7">
        <v>55</v>
      </c>
      <c r="F4" s="8" t="s">
        <v>6</v>
      </c>
      <c r="T4" s="9">
        <v>1.2</v>
      </c>
      <c r="Z4" s="12">
        <v>50</v>
      </c>
      <c r="AA4" s="11">
        <f>50*10.89/10</f>
        <v>54.45</v>
      </c>
      <c r="AB4" s="12"/>
      <c r="AD4" s="8"/>
    </row>
    <row r="5" spans="2:51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8"/>
      <c r="S5" s="439" t="s">
        <v>11</v>
      </c>
      <c r="T5" s="441" t="s">
        <v>12</v>
      </c>
      <c r="U5" s="418"/>
      <c r="V5" s="442"/>
      <c r="W5" s="446" t="s">
        <v>13</v>
      </c>
      <c r="X5" s="418"/>
      <c r="Y5" s="418"/>
      <c r="Z5" s="13"/>
      <c r="AA5" s="14"/>
      <c r="AB5" s="447" t="s">
        <v>14</v>
      </c>
      <c r="AC5" s="449" t="s">
        <v>15</v>
      </c>
      <c r="AD5" s="418" t="s">
        <v>16</v>
      </c>
    </row>
    <row r="6" spans="2:51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218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76</v>
      </c>
      <c r="Q6" s="18" t="s">
        <v>77</v>
      </c>
      <c r="R6" s="127" t="s">
        <v>80</v>
      </c>
      <c r="S6" s="440"/>
      <c r="T6" s="15" t="s">
        <v>12</v>
      </c>
      <c r="U6" s="16" t="s">
        <v>17</v>
      </c>
      <c r="V6" s="17" t="s">
        <v>18</v>
      </c>
      <c r="W6" s="18" t="s">
        <v>13</v>
      </c>
      <c r="X6" s="16" t="s">
        <v>19</v>
      </c>
      <c r="Y6" s="19" t="s">
        <v>18</v>
      </c>
      <c r="Z6" s="218" t="s">
        <v>20</v>
      </c>
      <c r="AA6" s="20" t="s">
        <v>21</v>
      </c>
      <c r="AB6" s="448"/>
      <c r="AC6" s="450"/>
      <c r="AD6" s="419"/>
      <c r="AE6" s="21" t="s">
        <v>22</v>
      </c>
      <c r="AF6" s="21" t="s">
        <v>23</v>
      </c>
      <c r="AI6" s="22" t="s">
        <v>24</v>
      </c>
      <c r="AK6" s="23" t="s">
        <v>25</v>
      </c>
      <c r="AL6" s="23" t="s">
        <v>26</v>
      </c>
      <c r="AM6" s="23" t="s">
        <v>27</v>
      </c>
      <c r="AO6" s="22">
        <f>SUM(AO7:AO12)</f>
        <v>-41.5</v>
      </c>
    </row>
    <row r="7" spans="2:51" s="216" customFormat="1" ht="99" customHeight="1" thickTop="1" x14ac:dyDescent="0.3">
      <c r="B7" s="420">
        <v>2</v>
      </c>
      <c r="C7" s="24">
        <v>23</v>
      </c>
      <c r="D7" s="25" t="s">
        <v>7</v>
      </c>
      <c r="E7" s="26" t="s">
        <v>29</v>
      </c>
      <c r="F7" s="25">
        <v>8.5</v>
      </c>
      <c r="G7" s="128">
        <v>462</v>
      </c>
      <c r="H7" s="128">
        <f>(G7/T7)*100</f>
        <v>100</v>
      </c>
      <c r="I7" s="123" t="s">
        <v>85</v>
      </c>
      <c r="J7" s="123" t="s">
        <v>86</v>
      </c>
      <c r="K7" s="123" t="s">
        <v>73</v>
      </c>
      <c r="L7" s="123" t="s">
        <v>87</v>
      </c>
      <c r="M7" s="123"/>
      <c r="N7" s="129" t="s">
        <v>90</v>
      </c>
      <c r="O7" s="123" t="s">
        <v>74</v>
      </c>
      <c r="P7" s="123" t="s">
        <v>91</v>
      </c>
      <c r="Q7" s="123" t="s">
        <v>89</v>
      </c>
      <c r="R7" s="125">
        <f t="shared" ref="R7:R13" si="0">COUNTA(I7:M7)+COUNTA(N7:Q7)/2</f>
        <v>6</v>
      </c>
      <c r="S7" s="27">
        <f t="shared" ref="S7:S12" si="1">F7*$D$4*$T$4</f>
        <v>561</v>
      </c>
      <c r="T7" s="28">
        <f>+H38</f>
        <v>462</v>
      </c>
      <c r="U7" s="29">
        <f t="shared" ref="U7:U12" si="2">IF(F7=0,"휴무",T7/F7)</f>
        <v>54.352941176470587</v>
      </c>
      <c r="V7" s="30">
        <f t="shared" ref="V7:V13" si="3">IFERROR(T7/S7,0)</f>
        <v>0.82352941176470584</v>
      </c>
      <c r="W7" s="31">
        <f>+K38</f>
        <v>372.22</v>
      </c>
      <c r="X7" s="29">
        <f t="shared" ref="X7:X12" si="4">IF(F7=0,"휴무",W7/F7)</f>
        <v>43.790588235294123</v>
      </c>
      <c r="Y7" s="32">
        <f t="shared" ref="Y7:Y13" si="5">IFERROR(W7/S7,0)</f>
        <v>0.66349376114082004</v>
      </c>
      <c r="Z7" s="33">
        <f t="shared" ref="Z7:Z12" si="6">IF(F7=0,"휴무",T7/S7*$Z$4)</f>
        <v>41.17647058823529</v>
      </c>
      <c r="AA7" s="34">
        <f t="shared" ref="AA7:AA12" si="7">IF(F7=0,"휴무",W7/S7*$AA$4)</f>
        <v>36.127235294117654</v>
      </c>
      <c r="AB7" s="138">
        <f t="shared" ref="AB7:AB13" si="8">IF(F7=0,"휴무",Z7+AA7)</f>
        <v>77.303705882352943</v>
      </c>
      <c r="AC7" s="159" t="str">
        <f t="shared" ref="AC7:AC13" si="9">IF(F7=0,"휴무",IF(AB7&gt;=100,"좋아요",IF(AB7&gt;=90,"90~99",IF(AB7&gt;=80,"80~89"," 사유?→"))))</f>
        <v xml:space="preserve"> 사유?→</v>
      </c>
      <c r="AD7" s="160" t="s">
        <v>137</v>
      </c>
      <c r="AE7" s="37">
        <f>AF7-F7</f>
        <v>-8.5</v>
      </c>
      <c r="AF7" s="38">
        <f>AM7</f>
        <v>0</v>
      </c>
      <c r="AG7" s="216" t="s">
        <v>29</v>
      </c>
      <c r="AH7" s="39"/>
      <c r="AI7" s="40">
        <f>IFERROR(Y7/V7*1000,"")</f>
        <v>805.67099567099581</v>
      </c>
      <c r="AJ7" s="39"/>
      <c r="AK7" s="41"/>
      <c r="AL7" s="41"/>
      <c r="AM7" s="41"/>
      <c r="AO7" s="216">
        <f t="shared" ref="AO7:AO12" si="10">AN7-F7</f>
        <v>-8.5</v>
      </c>
      <c r="AP7" s="42"/>
    </row>
    <row r="8" spans="2:51" s="216" customFormat="1" ht="110.25" customHeight="1" x14ac:dyDescent="0.3">
      <c r="B8" s="421"/>
      <c r="C8" s="24">
        <f>+C7+1</f>
        <v>24</v>
      </c>
      <c r="D8" s="43" t="s">
        <v>30</v>
      </c>
      <c r="E8" s="26" t="s">
        <v>28</v>
      </c>
      <c r="F8" s="25">
        <v>8</v>
      </c>
      <c r="G8" s="125">
        <v>387</v>
      </c>
      <c r="H8" s="125">
        <f>(G8/T8)*100</f>
        <v>98.976982097186706</v>
      </c>
      <c r="I8" s="123" t="s">
        <v>85</v>
      </c>
      <c r="J8" s="123" t="s">
        <v>86</v>
      </c>
      <c r="K8" s="123" t="s">
        <v>73</v>
      </c>
      <c r="L8" s="123" t="s">
        <v>87</v>
      </c>
      <c r="M8" s="123"/>
      <c r="N8" s="129" t="s">
        <v>90</v>
      </c>
      <c r="O8" s="123" t="s">
        <v>74</v>
      </c>
      <c r="P8" s="123" t="s">
        <v>91</v>
      </c>
      <c r="Q8" s="123" t="s">
        <v>89</v>
      </c>
      <c r="R8" s="125">
        <f t="shared" si="0"/>
        <v>6</v>
      </c>
      <c r="S8" s="27">
        <f t="shared" si="1"/>
        <v>528</v>
      </c>
      <c r="T8" s="28">
        <f>+H41</f>
        <v>391</v>
      </c>
      <c r="U8" s="44">
        <f t="shared" si="2"/>
        <v>48.875</v>
      </c>
      <c r="V8" s="45">
        <f t="shared" si="3"/>
        <v>0.74053030303030298</v>
      </c>
      <c r="W8" s="46">
        <f>+K41</f>
        <v>282.11</v>
      </c>
      <c r="X8" s="29">
        <f t="shared" si="4"/>
        <v>35.263750000000002</v>
      </c>
      <c r="Y8" s="47">
        <f t="shared" si="5"/>
        <v>0.53429924242424243</v>
      </c>
      <c r="Z8" s="48">
        <f t="shared" si="6"/>
        <v>37.026515151515149</v>
      </c>
      <c r="AA8" s="49">
        <f t="shared" si="7"/>
        <v>29.092593750000002</v>
      </c>
      <c r="AB8" s="139">
        <f t="shared" si="8"/>
        <v>66.119108901515148</v>
      </c>
      <c r="AC8" s="161" t="str">
        <f t="shared" si="9"/>
        <v xml:space="preserve"> 사유?→</v>
      </c>
      <c r="AD8" s="160" t="s">
        <v>139</v>
      </c>
      <c r="AE8" s="37">
        <f>AF8-F8</f>
        <v>-8</v>
      </c>
      <c r="AF8" s="38">
        <f>AM8</f>
        <v>0</v>
      </c>
      <c r="AG8" s="216" t="s">
        <v>31</v>
      </c>
      <c r="AH8" s="39"/>
      <c r="AI8" s="40">
        <f>IFERROR(Y8/V8*1000,"")</f>
        <v>721.50895140664966</v>
      </c>
      <c r="AJ8" s="39"/>
      <c r="AK8" s="41"/>
      <c r="AL8" s="41"/>
      <c r="AM8" s="41"/>
      <c r="AO8" s="216">
        <f t="shared" si="10"/>
        <v>-8</v>
      </c>
      <c r="AP8" s="42"/>
    </row>
    <row r="9" spans="2:51" s="216" customFormat="1" ht="97.5" customHeight="1" x14ac:dyDescent="0.3">
      <c r="B9" s="421"/>
      <c r="C9" s="24">
        <f>+C8+1</f>
        <v>25</v>
      </c>
      <c r="D9" s="43" t="s">
        <v>32</v>
      </c>
      <c r="E9" s="26" t="s">
        <v>29</v>
      </c>
      <c r="F9" s="25">
        <v>8</v>
      </c>
      <c r="G9" s="125">
        <v>96</v>
      </c>
      <c r="H9" s="125">
        <f>(G9/T9)*100</f>
        <v>95.049504950495049</v>
      </c>
      <c r="I9" s="123" t="s">
        <v>85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91</v>
      </c>
      <c r="Q9" s="123" t="s">
        <v>89</v>
      </c>
      <c r="R9" s="125">
        <f t="shared" si="0"/>
        <v>6</v>
      </c>
      <c r="S9" s="27">
        <f t="shared" si="1"/>
        <v>528</v>
      </c>
      <c r="T9" s="51">
        <f>+H44</f>
        <v>101</v>
      </c>
      <c r="U9" s="44">
        <f t="shared" si="2"/>
        <v>12.625</v>
      </c>
      <c r="V9" s="45">
        <f t="shared" si="3"/>
        <v>0.19128787878787878</v>
      </c>
      <c r="W9" s="46">
        <f>+K44</f>
        <v>571.52</v>
      </c>
      <c r="X9" s="44">
        <f t="shared" si="4"/>
        <v>71.44</v>
      </c>
      <c r="Y9" s="47">
        <f t="shared" si="5"/>
        <v>1.0824242424242423</v>
      </c>
      <c r="Z9" s="48">
        <f t="shared" si="6"/>
        <v>9.5643939393939394</v>
      </c>
      <c r="AA9" s="49">
        <f t="shared" si="7"/>
        <v>58.937999999999995</v>
      </c>
      <c r="AB9" s="139">
        <f t="shared" si="8"/>
        <v>68.50239393939394</v>
      </c>
      <c r="AC9" s="161" t="str">
        <f t="shared" si="9"/>
        <v xml:space="preserve"> 사유?→</v>
      </c>
      <c r="AD9" s="160" t="s">
        <v>138</v>
      </c>
      <c r="AE9" s="37">
        <f>AF9-F9</f>
        <v>-8</v>
      </c>
      <c r="AF9" s="38">
        <f>AM9</f>
        <v>0</v>
      </c>
      <c r="AG9" s="216" t="s">
        <v>34</v>
      </c>
      <c r="AH9" s="39"/>
      <c r="AI9" s="40">
        <f>IFERROR(Y9/V9*1000,"")</f>
        <v>5658.6138613861385</v>
      </c>
      <c r="AJ9" s="39"/>
      <c r="AK9" s="41"/>
      <c r="AL9" s="41"/>
      <c r="AM9" s="41"/>
      <c r="AO9" s="216">
        <f t="shared" si="10"/>
        <v>-8</v>
      </c>
      <c r="AP9" s="42"/>
    </row>
    <row r="10" spans="2:51" s="216" customFormat="1" ht="95.25" customHeight="1" x14ac:dyDescent="0.3">
      <c r="B10" s="421"/>
      <c r="C10" s="24">
        <f>+C9+1</f>
        <v>26</v>
      </c>
      <c r="D10" s="43" t="s">
        <v>35</v>
      </c>
      <c r="E10" s="26" t="s">
        <v>29</v>
      </c>
      <c r="F10" s="25">
        <v>8.5</v>
      </c>
      <c r="G10" s="125">
        <v>331</v>
      </c>
      <c r="H10" s="125">
        <f>(G10/T10)*100</f>
        <v>97.928994082840234</v>
      </c>
      <c r="I10" s="123" t="s">
        <v>85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74</v>
      </c>
      <c r="P10" s="123" t="s">
        <v>91</v>
      </c>
      <c r="Q10" s="123" t="s">
        <v>89</v>
      </c>
      <c r="R10" s="125">
        <f t="shared" si="0"/>
        <v>6</v>
      </c>
      <c r="S10" s="27">
        <f t="shared" si="1"/>
        <v>561</v>
      </c>
      <c r="T10" s="28">
        <f>+H47</f>
        <v>338</v>
      </c>
      <c r="U10" s="44">
        <f t="shared" si="2"/>
        <v>39.764705882352942</v>
      </c>
      <c r="V10" s="45">
        <f t="shared" si="3"/>
        <v>0.6024955436720143</v>
      </c>
      <c r="W10" s="46">
        <f>+K47</f>
        <v>491.38</v>
      </c>
      <c r="X10" s="29">
        <f t="shared" si="4"/>
        <v>57.809411764705885</v>
      </c>
      <c r="Y10" s="47">
        <f t="shared" si="5"/>
        <v>0.87590017825311939</v>
      </c>
      <c r="Z10" s="48">
        <f t="shared" si="6"/>
        <v>30.124777183600713</v>
      </c>
      <c r="AA10" s="49">
        <f t="shared" si="7"/>
        <v>47.692764705882354</v>
      </c>
      <c r="AB10" s="139">
        <f t="shared" si="8"/>
        <v>77.817541889483067</v>
      </c>
      <c r="AC10" s="161" t="str">
        <f t="shared" si="9"/>
        <v xml:space="preserve"> 사유?→</v>
      </c>
      <c r="AD10" s="160" t="s">
        <v>140</v>
      </c>
      <c r="AE10" s="37">
        <f>AF10-F10</f>
        <v>-8.5</v>
      </c>
      <c r="AF10" s="38">
        <f>AM10</f>
        <v>0</v>
      </c>
      <c r="AG10" s="216" t="s">
        <v>36</v>
      </c>
      <c r="AH10" s="39"/>
      <c r="AI10" s="40">
        <f>IFERROR(Y10/V10*1000,"")</f>
        <v>1453.7869822485206</v>
      </c>
      <c r="AJ10" s="39"/>
      <c r="AK10" s="41"/>
      <c r="AL10" s="41"/>
      <c r="AM10" s="41"/>
      <c r="AO10" s="216">
        <f t="shared" si="10"/>
        <v>-8.5</v>
      </c>
      <c r="AP10" s="42"/>
    </row>
    <row r="11" spans="2:51" s="216" customFormat="1" ht="102.75" customHeight="1" x14ac:dyDescent="0.3">
      <c r="B11" s="421"/>
      <c r="C11" s="24">
        <f>+C10+1</f>
        <v>27</v>
      </c>
      <c r="D11" s="43" t="s">
        <v>37</v>
      </c>
      <c r="E11" s="26" t="s">
        <v>29</v>
      </c>
      <c r="F11" s="25">
        <v>8.5</v>
      </c>
      <c r="G11" s="125">
        <v>495</v>
      </c>
      <c r="H11" s="125">
        <f>(G11/T11)*100</f>
        <v>99.198396793587179</v>
      </c>
      <c r="I11" s="123" t="s">
        <v>85</v>
      </c>
      <c r="J11" s="123" t="s">
        <v>86</v>
      </c>
      <c r="K11" s="123" t="s">
        <v>73</v>
      </c>
      <c r="L11" s="123" t="s">
        <v>87</v>
      </c>
      <c r="M11" s="123"/>
      <c r="N11" s="129" t="s">
        <v>90</v>
      </c>
      <c r="O11" s="123" t="s">
        <v>74</v>
      </c>
      <c r="P11" s="123" t="s">
        <v>91</v>
      </c>
      <c r="Q11" s="123" t="s">
        <v>89</v>
      </c>
      <c r="R11" s="125">
        <f t="shared" si="0"/>
        <v>6</v>
      </c>
      <c r="S11" s="27">
        <f t="shared" si="1"/>
        <v>561</v>
      </c>
      <c r="T11" s="28">
        <f>+H50</f>
        <v>499</v>
      </c>
      <c r="U11" s="44">
        <f t="shared" si="2"/>
        <v>58.705882352941174</v>
      </c>
      <c r="V11" s="45">
        <f t="shared" si="3"/>
        <v>0.88948306595365423</v>
      </c>
      <c r="W11" s="46">
        <f>+K50</f>
        <v>443.52</v>
      </c>
      <c r="X11" s="44">
        <f t="shared" si="4"/>
        <v>52.178823529411765</v>
      </c>
      <c r="Y11" s="47">
        <f t="shared" si="5"/>
        <v>0.79058823529411759</v>
      </c>
      <c r="Z11" s="48">
        <f t="shared" si="6"/>
        <v>44.474153297682712</v>
      </c>
      <c r="AA11" s="49">
        <f t="shared" si="7"/>
        <v>43.047529411764707</v>
      </c>
      <c r="AB11" s="139">
        <f t="shared" si="8"/>
        <v>87.521682709447418</v>
      </c>
      <c r="AC11" s="50" t="str">
        <f t="shared" si="9"/>
        <v>80~89</v>
      </c>
      <c r="AD11" s="36"/>
      <c r="AE11" s="37">
        <f>AF11-F11</f>
        <v>-8.5</v>
      </c>
      <c r="AF11" s="38">
        <f>AM11</f>
        <v>0</v>
      </c>
      <c r="AG11" s="216" t="s">
        <v>33</v>
      </c>
      <c r="AH11" s="39"/>
      <c r="AI11" s="40">
        <f>IFERROR(Y11/V11*1000,"")</f>
        <v>888.81763527054102</v>
      </c>
      <c r="AK11" s="41"/>
      <c r="AL11" s="41"/>
      <c r="AM11" s="41"/>
      <c r="AO11" s="216">
        <f t="shared" si="10"/>
        <v>-8.5</v>
      </c>
      <c r="AP11" s="42"/>
    </row>
    <row r="12" spans="2:51" s="216" customFormat="1" ht="102.75" customHeight="1" x14ac:dyDescent="0.3">
      <c r="B12" s="421"/>
      <c r="C12" s="24">
        <f>+C11+1</f>
        <v>28</v>
      </c>
      <c r="D12" s="43" t="s">
        <v>38</v>
      </c>
      <c r="E12" s="26" t="s">
        <v>33</v>
      </c>
      <c r="F12" s="25">
        <v>0</v>
      </c>
      <c r="G12" s="125"/>
      <c r="H12" s="125"/>
      <c r="I12" s="121"/>
      <c r="J12" s="121"/>
      <c r="K12" s="121"/>
      <c r="L12" s="121"/>
      <c r="M12" s="121"/>
      <c r="N12" s="121"/>
      <c r="O12" s="121"/>
      <c r="P12" s="121"/>
      <c r="Q12" s="121"/>
      <c r="R12" s="125">
        <f t="shared" si="0"/>
        <v>0</v>
      </c>
      <c r="S12" s="219">
        <f t="shared" si="1"/>
        <v>0</v>
      </c>
      <c r="T12" s="28">
        <f>+H53</f>
        <v>0</v>
      </c>
      <c r="U12" s="29" t="str">
        <f t="shared" si="2"/>
        <v>휴무</v>
      </c>
      <c r="V12" s="30">
        <f t="shared" si="3"/>
        <v>0</v>
      </c>
      <c r="W12" s="31">
        <f>+K53</f>
        <v>0</v>
      </c>
      <c r="X12" s="44" t="str">
        <f t="shared" si="4"/>
        <v>휴무</v>
      </c>
      <c r="Y12" s="47">
        <f t="shared" si="5"/>
        <v>0</v>
      </c>
      <c r="Z12" s="48" t="str">
        <f t="shared" si="6"/>
        <v>휴무</v>
      </c>
      <c r="AA12" s="49" t="str">
        <f t="shared" si="7"/>
        <v>휴무</v>
      </c>
      <c r="AB12" s="139" t="str">
        <f t="shared" si="8"/>
        <v>휴무</v>
      </c>
      <c r="AC12" s="50" t="str">
        <f t="shared" si="9"/>
        <v>휴무</v>
      </c>
      <c r="AD12" s="36"/>
      <c r="AE12" s="37"/>
      <c r="AF12" s="38"/>
      <c r="AH12" s="39"/>
      <c r="AI12" s="40"/>
      <c r="AK12" s="41"/>
      <c r="AL12" s="41"/>
      <c r="AM12" s="41"/>
      <c r="AO12" s="216">
        <f t="shared" si="10"/>
        <v>0</v>
      </c>
      <c r="AP12" s="42"/>
    </row>
    <row r="13" spans="2:51" s="216" customFormat="1" ht="36" customHeight="1" x14ac:dyDescent="0.3">
      <c r="B13" s="422" t="s">
        <v>39</v>
      </c>
      <c r="C13" s="423"/>
      <c r="D13" s="423"/>
      <c r="E13" s="424"/>
      <c r="F13" s="43">
        <f>SUM(F7:F12)</f>
        <v>41.5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5">
        <f t="shared" si="0"/>
        <v>0</v>
      </c>
      <c r="S13" s="52">
        <f>SUM(S7:S12)</f>
        <v>2739</v>
      </c>
      <c r="T13" s="53">
        <f>SUM(T7:T12)</f>
        <v>1791</v>
      </c>
      <c r="U13" s="54">
        <f>T13/F13</f>
        <v>43.156626506024097</v>
      </c>
      <c r="V13" s="45">
        <f t="shared" si="3"/>
        <v>0.65388828039430447</v>
      </c>
      <c r="W13" s="55">
        <f>SUM(W7:W12)</f>
        <v>2160.75</v>
      </c>
      <c r="X13" s="44">
        <f>W13/F13</f>
        <v>52.066265060240966</v>
      </c>
      <c r="Y13" s="47">
        <f t="shared" si="5"/>
        <v>0.78888280394304489</v>
      </c>
      <c r="Z13" s="56">
        <f>T13/S13*Z4</f>
        <v>32.694414019715225</v>
      </c>
      <c r="AA13" s="57">
        <f>W13/S13*AA4</f>
        <v>42.954668674698794</v>
      </c>
      <c r="AB13" s="140">
        <f t="shared" si="8"/>
        <v>75.64908269441402</v>
      </c>
      <c r="AC13" s="162" t="str">
        <f t="shared" si="9"/>
        <v xml:space="preserve"> 사유?→</v>
      </c>
      <c r="AD13" s="43"/>
      <c r="AE13" s="37">
        <f>AF13-F13</f>
        <v>-41.5</v>
      </c>
      <c r="AF13" s="38">
        <f>SUM(AF7:AF12)</f>
        <v>0</v>
      </c>
      <c r="AI13" s="40"/>
      <c r="AK13" s="59"/>
      <c r="AL13" s="59"/>
      <c r="AM13" s="59"/>
    </row>
    <row r="14" spans="2:51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6.916666666666667</v>
      </c>
      <c r="G14" s="217"/>
      <c r="H14" s="217"/>
      <c r="I14" s="217"/>
      <c r="J14" s="217"/>
      <c r="K14" s="217"/>
      <c r="L14" s="217"/>
      <c r="M14" s="217"/>
      <c r="N14" s="217"/>
      <c r="O14" s="217"/>
      <c r="P14" s="217"/>
      <c r="Q14" s="217"/>
      <c r="R14" s="217"/>
      <c r="S14" s="217"/>
      <c r="T14" s="61">
        <f>U14*F14</f>
        <v>298.5</v>
      </c>
      <c r="U14" s="62">
        <f>T13/F13</f>
        <v>43.156626506024097</v>
      </c>
      <c r="V14" s="63">
        <f>IFERROR(T14/#REF!,0)</f>
        <v>0</v>
      </c>
      <c r="W14" s="64">
        <f>W13/F13*F14</f>
        <v>360.125</v>
      </c>
      <c r="X14" s="62">
        <f>IF(F14=0,"휴무",W14/F14)</f>
        <v>52.066265060240958</v>
      </c>
      <c r="Y14" s="65">
        <f>IFERROR(W14/#REF!,0)</f>
        <v>0</v>
      </c>
      <c r="Z14" s="60">
        <f>AVERAGE(Z7:Z12)</f>
        <v>32.473262032085557</v>
      </c>
      <c r="AA14" s="60">
        <f>AVERAGE(AA7:AA12)</f>
        <v>42.979624632352945</v>
      </c>
      <c r="AB14" s="141">
        <f>Z14+AA14</f>
        <v>75.452886664438495</v>
      </c>
      <c r="AC14" s="67"/>
      <c r="AD14" s="68"/>
      <c r="AI14" s="40" t="str">
        <f>IFERROR(Y14/V14*1000,"")</f>
        <v/>
      </c>
      <c r="AK14" s="10"/>
      <c r="AL14" s="10"/>
      <c r="AM14" s="10"/>
    </row>
    <row r="15" spans="2:51" s="216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22"/>
      <c r="U15" s="10"/>
      <c r="V15" s="73">
        <f>V14*60</f>
        <v>0</v>
      </c>
      <c r="W15" s="74"/>
      <c r="X15" s="73"/>
      <c r="Y15" s="74">
        <f>Y14*40</f>
        <v>0</v>
      </c>
      <c r="AB15" s="142">
        <f>V15+Y15</f>
        <v>0</v>
      </c>
      <c r="AK15" s="59"/>
      <c r="AL15" s="59"/>
      <c r="AM15" s="59"/>
    </row>
    <row r="16" spans="2:51" ht="17.25" thickBot="1" x14ac:dyDescent="0.35">
      <c r="B16" s="70"/>
    </row>
    <row r="17" spans="2:42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2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</row>
    <row r="20" spans="2:42" x14ac:dyDescent="0.3">
      <c r="B20" t="s">
        <v>5</v>
      </c>
      <c r="D20" s="7">
        <v>55</v>
      </c>
      <c r="F20" s="8" t="s">
        <v>6</v>
      </c>
      <c r="T20" s="9">
        <v>1.2</v>
      </c>
      <c r="Z20" s="12">
        <f>Z4</f>
        <v>50</v>
      </c>
      <c r="AA20" s="11">
        <f>AA4</f>
        <v>54.45</v>
      </c>
      <c r="AB20" s="12"/>
      <c r="AD20" s="8"/>
    </row>
    <row r="21" spans="2:42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8"/>
      <c r="S21" s="439" t="s">
        <v>11</v>
      </c>
      <c r="T21" s="441" t="s">
        <v>12</v>
      </c>
      <c r="U21" s="418"/>
      <c r="V21" s="442"/>
      <c r="W21" s="446" t="s">
        <v>13</v>
      </c>
      <c r="X21" s="418"/>
      <c r="Y21" s="418"/>
      <c r="Z21" s="451" t="s">
        <v>20</v>
      </c>
      <c r="AA21" s="453" t="s">
        <v>21</v>
      </c>
      <c r="AB21" s="447" t="s">
        <v>14</v>
      </c>
      <c r="AC21" s="449" t="s">
        <v>15</v>
      </c>
      <c r="AD21" s="418" t="s">
        <v>16</v>
      </c>
    </row>
    <row r="22" spans="2:42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76</v>
      </c>
      <c r="Q22" s="18" t="s">
        <v>77</v>
      </c>
      <c r="R22" s="127" t="s">
        <v>80</v>
      </c>
      <c r="S22" s="440"/>
      <c r="T22" s="15" t="s">
        <v>12</v>
      </c>
      <c r="U22" s="16" t="s">
        <v>17</v>
      </c>
      <c r="V22" s="17" t="s">
        <v>18</v>
      </c>
      <c r="W22" s="18" t="s">
        <v>13</v>
      </c>
      <c r="X22" s="16" t="s">
        <v>19</v>
      </c>
      <c r="Y22" s="19" t="s">
        <v>18</v>
      </c>
      <c r="Z22" s="452"/>
      <c r="AA22" s="454"/>
      <c r="AB22" s="448"/>
      <c r="AC22" s="450"/>
      <c r="AD22" s="419"/>
      <c r="AE22" s="21" t="s">
        <v>22</v>
      </c>
      <c r="AF22" s="21" t="s">
        <v>23</v>
      </c>
      <c r="AI22" s="22" t="s">
        <v>24</v>
      </c>
      <c r="AK22" s="23" t="s">
        <v>25</v>
      </c>
      <c r="AL22" s="23" t="s">
        <v>26</v>
      </c>
      <c r="AM22" s="23" t="s">
        <v>27</v>
      </c>
      <c r="AO22" s="22">
        <f>SUM(AO23:AO28)</f>
        <v>-42</v>
      </c>
    </row>
    <row r="23" spans="2:42" s="216" customFormat="1" ht="99" customHeight="1" thickTop="1" x14ac:dyDescent="0.3">
      <c r="B23" s="420">
        <f>+B7</f>
        <v>2</v>
      </c>
      <c r="C23" s="24">
        <f t="shared" ref="C23:C28" si="11">+C7</f>
        <v>23</v>
      </c>
      <c r="D23" s="25" t="s">
        <v>7</v>
      </c>
      <c r="E23" s="26" t="s">
        <v>29</v>
      </c>
      <c r="F23" s="25">
        <v>8.5</v>
      </c>
      <c r="G23" s="128">
        <v>421</v>
      </c>
      <c r="H23" s="128">
        <f>(G23/T23)*100</f>
        <v>100</v>
      </c>
      <c r="I23" s="123" t="s">
        <v>78</v>
      </c>
      <c r="J23" s="123" t="s">
        <v>88</v>
      </c>
      <c r="K23" s="123" t="s">
        <v>92</v>
      </c>
      <c r="L23" s="123" t="s">
        <v>84</v>
      </c>
      <c r="M23" s="123"/>
      <c r="N23" s="129" t="s">
        <v>90</v>
      </c>
      <c r="O23" s="123" t="s">
        <v>74</v>
      </c>
      <c r="P23" s="123" t="s">
        <v>91</v>
      </c>
      <c r="Q23" s="123" t="s">
        <v>89</v>
      </c>
      <c r="R23" s="124">
        <f t="shared" ref="R23:R28" si="12">COUNTA(I23:M23)+COUNTA(N23:Q23)/2</f>
        <v>6</v>
      </c>
      <c r="S23" s="27">
        <f t="shared" ref="S23:S28" si="13">F23*$D$4*$T$4</f>
        <v>561</v>
      </c>
      <c r="T23" s="28">
        <f>+H58</f>
        <v>421</v>
      </c>
      <c r="U23" s="29">
        <f t="shared" ref="U23:U28" si="14">IF(F23=0,"휴무",T23/F23)</f>
        <v>49.529411764705884</v>
      </c>
      <c r="V23" s="30">
        <f t="shared" ref="V23:V29" si="15">IFERROR(T23/S23,0)</f>
        <v>0.75044563279857401</v>
      </c>
      <c r="W23" s="31">
        <f>+K58</f>
        <v>569.85</v>
      </c>
      <c r="X23" s="29">
        <f t="shared" ref="X23:X28" si="16">IF(F23=0,"휴무",W23/F23)</f>
        <v>67.04117647058824</v>
      </c>
      <c r="Y23" s="32">
        <f t="shared" ref="Y23:Y29" si="17">IFERROR(W23/S23,0)</f>
        <v>1.0157754010695188</v>
      </c>
      <c r="Z23" s="33">
        <f t="shared" ref="Z23:Z28" si="18">IF(F23=0,"휴무",T23/S23*$Z$4)</f>
        <v>37.5222816399287</v>
      </c>
      <c r="AA23" s="34">
        <f t="shared" ref="AA23:AA28" si="19">IF(F23=0,"휴무",W23/S23*$AA$4)</f>
        <v>55.308970588235304</v>
      </c>
      <c r="AB23" s="138">
        <f t="shared" ref="AB23:AB29" si="20">IF(F23=0,"휴무",Z23+AA23)</f>
        <v>92.831252228164004</v>
      </c>
      <c r="AC23" s="35" t="str">
        <f t="shared" ref="AC23:AC29" si="21">IF(F23=0,"휴무",IF(AB23&gt;=100,"좋아요",IF(AB23&gt;=90,"90~99",IF(AB23&gt;=80,"80~89"," 사유?→"))))</f>
        <v>90~99</v>
      </c>
      <c r="AD23" s="36"/>
      <c r="AE23" s="37">
        <f>AF23-F23</f>
        <v>-8.5</v>
      </c>
      <c r="AF23" s="38">
        <f>AM23</f>
        <v>0</v>
      </c>
      <c r="AG23" s="216" t="s">
        <v>29</v>
      </c>
      <c r="AH23" s="39"/>
      <c r="AI23" s="40">
        <f>IFERROR(Y23/V23*1000,"")</f>
        <v>1353.5629453681711</v>
      </c>
      <c r="AJ23" s="39"/>
      <c r="AK23" s="41"/>
      <c r="AL23" s="41"/>
      <c r="AM23" s="41"/>
      <c r="AO23" s="216">
        <f t="shared" ref="AO23:AO28" si="22">AN23-F23</f>
        <v>-8.5</v>
      </c>
      <c r="AP23" s="42"/>
    </row>
    <row r="24" spans="2:42" s="216" customFormat="1" ht="99.75" customHeight="1" x14ac:dyDescent="0.3">
      <c r="B24" s="421"/>
      <c r="C24" s="24">
        <f t="shared" si="11"/>
        <v>24</v>
      </c>
      <c r="D24" s="43" t="s">
        <v>30</v>
      </c>
      <c r="E24" s="26" t="s">
        <v>28</v>
      </c>
      <c r="F24" s="25">
        <v>8.5</v>
      </c>
      <c r="G24" s="125">
        <v>469</v>
      </c>
      <c r="H24" s="125">
        <f>(G24/T24)*100</f>
        <v>85.740402193784277</v>
      </c>
      <c r="I24" s="123" t="s">
        <v>78</v>
      </c>
      <c r="J24" s="123" t="s">
        <v>88</v>
      </c>
      <c r="K24" s="123" t="s">
        <v>92</v>
      </c>
      <c r="L24" s="123" t="s">
        <v>84</v>
      </c>
      <c r="M24" s="123"/>
      <c r="N24" s="129" t="s">
        <v>90</v>
      </c>
      <c r="O24" s="123" t="s">
        <v>74</v>
      </c>
      <c r="P24" s="123" t="s">
        <v>91</v>
      </c>
      <c r="Q24" s="123" t="s">
        <v>89</v>
      </c>
      <c r="R24" s="124">
        <f t="shared" si="12"/>
        <v>6</v>
      </c>
      <c r="S24" s="27">
        <f t="shared" si="13"/>
        <v>561</v>
      </c>
      <c r="T24" s="28">
        <f>+H61</f>
        <v>547</v>
      </c>
      <c r="U24" s="44">
        <f t="shared" si="14"/>
        <v>64.352941176470594</v>
      </c>
      <c r="V24" s="45">
        <f t="shared" si="15"/>
        <v>0.97504456327985745</v>
      </c>
      <c r="W24" s="46">
        <f>+K61</f>
        <v>488.61</v>
      </c>
      <c r="X24" s="29">
        <f t="shared" si="16"/>
        <v>57.483529411764707</v>
      </c>
      <c r="Y24" s="47">
        <f t="shared" si="17"/>
        <v>0.87096256684491979</v>
      </c>
      <c r="Z24" s="48">
        <f t="shared" si="18"/>
        <v>48.752228163992875</v>
      </c>
      <c r="AA24" s="49">
        <f t="shared" si="19"/>
        <v>47.423911764705885</v>
      </c>
      <c r="AB24" s="139">
        <f t="shared" si="20"/>
        <v>96.17613992869876</v>
      </c>
      <c r="AC24" s="80" t="str">
        <f t="shared" si="21"/>
        <v>90~99</v>
      </c>
      <c r="AD24" s="36"/>
      <c r="AE24" s="37">
        <f>AF24-F24</f>
        <v>-8.5</v>
      </c>
      <c r="AF24" s="38">
        <f>AM24</f>
        <v>0</v>
      </c>
      <c r="AG24" s="216" t="s">
        <v>34</v>
      </c>
      <c r="AH24" s="39"/>
      <c r="AI24" s="40">
        <f>IFERROR(Y24/V24*1000,"")</f>
        <v>893.25411334552098</v>
      </c>
      <c r="AJ24" s="39"/>
      <c r="AK24" s="41"/>
      <c r="AL24" s="41"/>
      <c r="AM24" s="41"/>
      <c r="AO24" s="216">
        <f t="shared" si="22"/>
        <v>-8.5</v>
      </c>
      <c r="AP24" s="42"/>
    </row>
    <row r="25" spans="2:42" s="216" customFormat="1" ht="97.5" customHeight="1" x14ac:dyDescent="0.3">
      <c r="B25" s="421"/>
      <c r="C25" s="24">
        <f t="shared" si="11"/>
        <v>25</v>
      </c>
      <c r="D25" s="43" t="s">
        <v>32</v>
      </c>
      <c r="E25" s="26" t="s">
        <v>29</v>
      </c>
      <c r="F25" s="25">
        <v>8</v>
      </c>
      <c r="G25" s="124">
        <v>501</v>
      </c>
      <c r="H25" s="124">
        <f>(G25/T25)*100</f>
        <v>86.52849740932642</v>
      </c>
      <c r="I25" s="123" t="s">
        <v>78</v>
      </c>
      <c r="J25" s="123" t="s">
        <v>88</v>
      </c>
      <c r="K25" s="123" t="s">
        <v>92</v>
      </c>
      <c r="L25" s="123" t="s">
        <v>84</v>
      </c>
      <c r="M25" s="123"/>
      <c r="N25" s="129" t="s">
        <v>90</v>
      </c>
      <c r="O25" s="123" t="s">
        <v>74</v>
      </c>
      <c r="P25" s="123" t="s">
        <v>91</v>
      </c>
      <c r="Q25" s="123" t="s">
        <v>89</v>
      </c>
      <c r="R25" s="124">
        <f t="shared" si="12"/>
        <v>6</v>
      </c>
      <c r="S25" s="27">
        <f t="shared" si="13"/>
        <v>528</v>
      </c>
      <c r="T25" s="28">
        <f>+H64</f>
        <v>579</v>
      </c>
      <c r="U25" s="44">
        <f t="shared" si="14"/>
        <v>72.375</v>
      </c>
      <c r="V25" s="45">
        <f t="shared" si="15"/>
        <v>1.0965909090909092</v>
      </c>
      <c r="W25" s="46">
        <f>+K64</f>
        <v>461.61</v>
      </c>
      <c r="X25" s="29">
        <f t="shared" si="16"/>
        <v>57.701250000000002</v>
      </c>
      <c r="Y25" s="47">
        <f t="shared" si="17"/>
        <v>0.87426136363636364</v>
      </c>
      <c r="Z25" s="48">
        <f t="shared" si="18"/>
        <v>54.82954545454546</v>
      </c>
      <c r="AA25" s="49">
        <f t="shared" si="19"/>
        <v>47.603531250000003</v>
      </c>
      <c r="AB25" s="139">
        <f t="shared" si="20"/>
        <v>102.43307670454547</v>
      </c>
      <c r="AC25" s="50" t="str">
        <f t="shared" si="21"/>
        <v>좋아요</v>
      </c>
      <c r="AD25" s="36"/>
      <c r="AE25" s="37">
        <f>AF25-F25</f>
        <v>-8</v>
      </c>
      <c r="AF25" s="38">
        <f>AM25</f>
        <v>0</v>
      </c>
      <c r="AG25" s="216" t="s">
        <v>36</v>
      </c>
      <c r="AH25" s="39"/>
      <c r="AI25" s="40">
        <f>IFERROR(Y25/V25*1000,"")</f>
        <v>797.25388601036263</v>
      </c>
      <c r="AJ25" s="39"/>
      <c r="AK25" s="41"/>
      <c r="AL25" s="41"/>
      <c r="AM25" s="41"/>
      <c r="AO25" s="216">
        <f t="shared" si="22"/>
        <v>-8</v>
      </c>
      <c r="AP25" s="42"/>
    </row>
    <row r="26" spans="2:42" s="216" customFormat="1" ht="115.5" customHeight="1" x14ac:dyDescent="0.3">
      <c r="B26" s="421"/>
      <c r="C26" s="24">
        <f t="shared" si="11"/>
        <v>26</v>
      </c>
      <c r="D26" s="43" t="s">
        <v>35</v>
      </c>
      <c r="E26" s="26" t="s">
        <v>29</v>
      </c>
      <c r="F26" s="25">
        <v>8.5</v>
      </c>
      <c r="G26" s="124">
        <v>428</v>
      </c>
      <c r="H26" s="124">
        <f>(G26/T26)*100</f>
        <v>77.396021699819173</v>
      </c>
      <c r="I26" s="123" t="s">
        <v>78</v>
      </c>
      <c r="J26" s="123" t="s">
        <v>88</v>
      </c>
      <c r="K26" s="123" t="s">
        <v>92</v>
      </c>
      <c r="L26" s="123" t="s">
        <v>84</v>
      </c>
      <c r="M26" s="123"/>
      <c r="N26" s="129" t="s">
        <v>90</v>
      </c>
      <c r="O26" s="123" t="s">
        <v>74</v>
      </c>
      <c r="P26" s="123" t="s">
        <v>91</v>
      </c>
      <c r="Q26" s="123" t="s">
        <v>89</v>
      </c>
      <c r="R26" s="124">
        <f t="shared" si="12"/>
        <v>6</v>
      </c>
      <c r="S26" s="27">
        <f t="shared" si="13"/>
        <v>561</v>
      </c>
      <c r="T26" s="28">
        <f>+H67</f>
        <v>553</v>
      </c>
      <c r="U26" s="44">
        <f t="shared" si="14"/>
        <v>65.058823529411768</v>
      </c>
      <c r="V26" s="45">
        <f t="shared" si="15"/>
        <v>0.98573975044563278</v>
      </c>
      <c r="W26" s="46">
        <f>+K67</f>
        <v>430.55999999999995</v>
      </c>
      <c r="X26" s="44">
        <f t="shared" si="16"/>
        <v>50.654117647058818</v>
      </c>
      <c r="Y26" s="47">
        <f t="shared" si="17"/>
        <v>0.76748663101604264</v>
      </c>
      <c r="Z26" s="48">
        <f t="shared" si="18"/>
        <v>49.286987522281642</v>
      </c>
      <c r="AA26" s="49">
        <f t="shared" si="19"/>
        <v>41.789647058823526</v>
      </c>
      <c r="AB26" s="139">
        <f t="shared" si="20"/>
        <v>91.076634581105168</v>
      </c>
      <c r="AC26" s="50" t="str">
        <f t="shared" si="21"/>
        <v>90~99</v>
      </c>
      <c r="AD26" s="36"/>
      <c r="AE26" s="37">
        <f>AF26-F26</f>
        <v>-8.5</v>
      </c>
      <c r="AF26" s="38">
        <f>AM26</f>
        <v>0</v>
      </c>
      <c r="AG26" s="216" t="s">
        <v>33</v>
      </c>
      <c r="AH26" s="39"/>
      <c r="AI26" s="40">
        <f>IFERROR(Y26/V26*1000,"")</f>
        <v>778.58951175406855</v>
      </c>
      <c r="AJ26" s="39"/>
      <c r="AK26" s="41"/>
      <c r="AL26" s="41"/>
      <c r="AM26" s="41"/>
      <c r="AO26" s="216">
        <f t="shared" si="22"/>
        <v>-8.5</v>
      </c>
      <c r="AP26" s="42"/>
    </row>
    <row r="27" spans="2:42" s="216" customFormat="1" ht="104.25" customHeight="1" x14ac:dyDescent="0.3">
      <c r="B27" s="421"/>
      <c r="C27" s="24">
        <f t="shared" si="11"/>
        <v>27</v>
      </c>
      <c r="D27" s="43" t="s">
        <v>37</v>
      </c>
      <c r="E27" s="26" t="s">
        <v>29</v>
      </c>
      <c r="F27" s="25">
        <v>8.5</v>
      </c>
      <c r="G27" s="125">
        <v>523</v>
      </c>
      <c r="H27" s="130">
        <f>(G27/T27)*100</f>
        <v>99.809160305343511</v>
      </c>
      <c r="I27" s="123" t="s">
        <v>78</v>
      </c>
      <c r="J27" s="123" t="s">
        <v>88</v>
      </c>
      <c r="K27" s="123" t="s">
        <v>92</v>
      </c>
      <c r="L27" s="123" t="s">
        <v>84</v>
      </c>
      <c r="M27" s="123"/>
      <c r="N27" s="129" t="s">
        <v>90</v>
      </c>
      <c r="O27" s="123" t="s">
        <v>74</v>
      </c>
      <c r="P27" s="123" t="s">
        <v>91</v>
      </c>
      <c r="Q27" s="123" t="s">
        <v>89</v>
      </c>
      <c r="R27" s="125">
        <f t="shared" si="12"/>
        <v>6</v>
      </c>
      <c r="S27" s="27">
        <f t="shared" si="13"/>
        <v>561</v>
      </c>
      <c r="T27" s="28">
        <f>+H70</f>
        <v>524</v>
      </c>
      <c r="U27" s="44">
        <f t="shared" si="14"/>
        <v>61.647058823529413</v>
      </c>
      <c r="V27" s="45">
        <f t="shared" si="15"/>
        <v>0.93404634581105173</v>
      </c>
      <c r="W27" s="46">
        <f>+K70</f>
        <v>505.52</v>
      </c>
      <c r="X27" s="44">
        <f t="shared" si="16"/>
        <v>59.472941176470584</v>
      </c>
      <c r="Y27" s="47">
        <f t="shared" si="17"/>
        <v>0.90110516934046347</v>
      </c>
      <c r="Z27" s="48">
        <f t="shared" si="18"/>
        <v>46.702317290552585</v>
      </c>
      <c r="AA27" s="49">
        <f t="shared" si="19"/>
        <v>49.065176470588241</v>
      </c>
      <c r="AB27" s="139">
        <f t="shared" si="20"/>
        <v>95.767493761140827</v>
      </c>
      <c r="AC27" s="50" t="str">
        <f t="shared" si="21"/>
        <v>90~99</v>
      </c>
      <c r="AD27" s="36"/>
      <c r="AE27" s="37">
        <f>AF27-F27</f>
        <v>-8.5</v>
      </c>
      <c r="AF27" s="38">
        <f>AM27</f>
        <v>0</v>
      </c>
      <c r="AG27" s="216" t="s">
        <v>46</v>
      </c>
      <c r="AH27" s="39"/>
      <c r="AI27" s="40">
        <f>IFERROR(Y27/V27*1000,"")</f>
        <v>964.73282442748086</v>
      </c>
      <c r="AK27" s="41"/>
      <c r="AL27" s="41"/>
      <c r="AM27" s="41"/>
      <c r="AO27" s="216">
        <f t="shared" si="22"/>
        <v>-8.5</v>
      </c>
      <c r="AP27" s="42"/>
    </row>
    <row r="28" spans="2:42" s="216" customFormat="1" ht="104.25" customHeight="1" x14ac:dyDescent="0.3">
      <c r="B28" s="421"/>
      <c r="C28" s="24">
        <f t="shared" si="11"/>
        <v>28</v>
      </c>
      <c r="D28" s="43" t="s">
        <v>47</v>
      </c>
      <c r="E28" s="26" t="s">
        <v>33</v>
      </c>
      <c r="F28" s="25">
        <v>0</v>
      </c>
      <c r="G28" s="124"/>
      <c r="H28" s="124"/>
      <c r="I28" s="123"/>
      <c r="J28" s="123"/>
      <c r="K28" s="123"/>
      <c r="L28" s="123"/>
      <c r="M28" s="121"/>
      <c r="N28" s="123"/>
      <c r="O28" s="121"/>
      <c r="P28" s="123"/>
      <c r="Q28" s="123"/>
      <c r="R28" s="124">
        <f t="shared" si="12"/>
        <v>0</v>
      </c>
      <c r="S28" s="219">
        <f t="shared" si="13"/>
        <v>0</v>
      </c>
      <c r="T28" s="28">
        <f>+H73</f>
        <v>0</v>
      </c>
      <c r="U28" s="29" t="str">
        <f t="shared" si="14"/>
        <v>휴무</v>
      </c>
      <c r="V28" s="30">
        <f t="shared" si="15"/>
        <v>0</v>
      </c>
      <c r="W28" s="31">
        <f>+K73</f>
        <v>0</v>
      </c>
      <c r="X28" s="44" t="str">
        <f t="shared" si="16"/>
        <v>휴무</v>
      </c>
      <c r="Y28" s="47">
        <f t="shared" si="17"/>
        <v>0</v>
      </c>
      <c r="Z28" s="48" t="str">
        <f t="shared" si="18"/>
        <v>휴무</v>
      </c>
      <c r="AA28" s="49" t="str">
        <f t="shared" si="19"/>
        <v>휴무</v>
      </c>
      <c r="AB28" s="139" t="str">
        <f t="shared" si="20"/>
        <v>휴무</v>
      </c>
      <c r="AC28" s="50" t="str">
        <f t="shared" si="21"/>
        <v>휴무</v>
      </c>
      <c r="AD28" s="36"/>
      <c r="AE28" s="37"/>
      <c r="AF28" s="38"/>
      <c r="AH28" s="39"/>
      <c r="AI28" s="40"/>
      <c r="AK28" s="41"/>
      <c r="AL28" s="41"/>
      <c r="AM28" s="41"/>
      <c r="AO28" s="216">
        <f t="shared" si="22"/>
        <v>0</v>
      </c>
      <c r="AP28" s="42"/>
    </row>
    <row r="29" spans="2:42" s="216" customFormat="1" ht="36" customHeight="1" x14ac:dyDescent="0.3">
      <c r="B29" s="422" t="s">
        <v>39</v>
      </c>
      <c r="C29" s="423"/>
      <c r="D29" s="423"/>
      <c r="E29" s="424"/>
      <c r="F29" s="43">
        <f>SUM(F23:F28)</f>
        <v>42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6"/>
      <c r="S29" s="52">
        <f>SUM(S23:S28)</f>
        <v>2772</v>
      </c>
      <c r="T29" s="53">
        <f>SUM(T23:T28)</f>
        <v>2624</v>
      </c>
      <c r="U29" s="54">
        <f>T29/F29</f>
        <v>62.476190476190474</v>
      </c>
      <c r="V29" s="45">
        <f t="shared" si="15"/>
        <v>0.94660894660894657</v>
      </c>
      <c r="W29" s="55">
        <f>SUM(W23:W28)</f>
        <v>2456.15</v>
      </c>
      <c r="X29" s="44">
        <f>W29/F29</f>
        <v>58.479761904761908</v>
      </c>
      <c r="Y29" s="47">
        <f t="shared" si="17"/>
        <v>0.8860569985569986</v>
      </c>
      <c r="Z29" s="56">
        <f>T29/S29*Z20</f>
        <v>47.330447330447328</v>
      </c>
      <c r="AA29" s="57">
        <f>W29/S29*AA20</f>
        <v>48.245803571428574</v>
      </c>
      <c r="AB29" s="140">
        <f t="shared" si="20"/>
        <v>95.576250901875909</v>
      </c>
      <c r="AC29" s="58" t="str">
        <f t="shared" si="21"/>
        <v>90~99</v>
      </c>
      <c r="AD29" s="43"/>
      <c r="AE29" s="37">
        <f>AF29-F29</f>
        <v>-42</v>
      </c>
      <c r="AF29" s="38">
        <f>SUM(AF23:AF28)</f>
        <v>0</v>
      </c>
      <c r="AI29" s="40"/>
      <c r="AK29" s="59"/>
      <c r="AL29" s="59"/>
      <c r="AM29" s="59"/>
    </row>
    <row r="30" spans="2:42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7</v>
      </c>
      <c r="G30" s="217"/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61">
        <f>U30*F30</f>
        <v>437.33333333333331</v>
      </c>
      <c r="U30" s="62">
        <f>T29/F29</f>
        <v>62.476190476190474</v>
      </c>
      <c r="V30" s="63">
        <f>IFERROR(T30/#REF!,0)</f>
        <v>0</v>
      </c>
      <c r="W30" s="64">
        <f>W29/F29*F30</f>
        <v>409.35833333333335</v>
      </c>
      <c r="X30" s="62">
        <f>IF(F30=0,"휴무",W30/F30)</f>
        <v>58.479761904761908</v>
      </c>
      <c r="Y30" s="65">
        <f>IFERROR(W30/#REF!,0)</f>
        <v>0</v>
      </c>
      <c r="Z30" s="60">
        <f>AVERAGE(Z23:Z28)</f>
        <v>47.418672014260252</v>
      </c>
      <c r="AA30" s="60">
        <f>AVERAGE(AA23:AA28)</f>
        <v>48.238247426470593</v>
      </c>
      <c r="AB30" s="141">
        <f>Z30+AA30</f>
        <v>95.656919440730846</v>
      </c>
      <c r="AC30" s="67"/>
      <c r="AD30" s="68"/>
      <c r="AI30" s="40" t="str">
        <f>IFERROR(Y30/V30*1000,"")</f>
        <v/>
      </c>
      <c r="AK30" s="10"/>
      <c r="AL30" s="10"/>
      <c r="AM30" s="10"/>
    </row>
    <row r="31" spans="2:42" s="216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22"/>
      <c r="U31" s="10"/>
      <c r="V31" s="73">
        <f>V30*60</f>
        <v>0</v>
      </c>
      <c r="W31" s="74"/>
      <c r="X31" s="73"/>
      <c r="Y31" s="74">
        <f>Y30*40</f>
        <v>0</v>
      </c>
      <c r="Z31" s="81"/>
      <c r="AA31" s="81"/>
      <c r="AB31" s="142">
        <f>V31+Y31</f>
        <v>0</v>
      </c>
      <c r="AK31" s="59"/>
      <c r="AL31" s="59"/>
      <c r="AM31" s="59"/>
    </row>
    <row r="32" spans="2:42" x14ac:dyDescent="0.3">
      <c r="B32" s="120" t="s">
        <v>67</v>
      </c>
      <c r="U32" s="10">
        <v>8.8000000000000007</v>
      </c>
    </row>
    <row r="33" spans="2:42" ht="17.25" thickBot="1" x14ac:dyDescent="0.35">
      <c r="B33" s="70"/>
    </row>
    <row r="34" spans="2:42" ht="17.25" thickBot="1" x14ac:dyDescent="0.35">
      <c r="B34" s="76" t="s">
        <v>42</v>
      </c>
      <c r="C34" s="77"/>
      <c r="D34" s="78" t="s">
        <v>43</v>
      </c>
      <c r="E34" s="78"/>
      <c r="F34" s="79"/>
      <c r="X34" s="10">
        <v>50</v>
      </c>
    </row>
    <row r="36" spans="2:42" s="10" customFormat="1" x14ac:dyDescent="0.3">
      <c r="B36"/>
      <c r="C36"/>
      <c r="D36"/>
      <c r="E36" s="455">
        <f>+C7</f>
        <v>23</v>
      </c>
      <c r="F36" s="455" t="s">
        <v>7</v>
      </c>
      <c r="G36" s="82" t="s">
        <v>48</v>
      </c>
      <c r="H36" s="83">
        <v>462</v>
      </c>
      <c r="I36" s="84"/>
      <c r="J36" s="85"/>
      <c r="K36" s="86">
        <v>372.22</v>
      </c>
      <c r="L36" s="135"/>
      <c r="N36" s="136"/>
      <c r="O36" s="136"/>
      <c r="P36" s="136"/>
      <c r="Q36" s="136"/>
      <c r="R36" s="136"/>
      <c r="S36" s="136"/>
      <c r="Y36"/>
      <c r="Z36"/>
      <c r="AA36"/>
      <c r="AB36"/>
      <c r="AC36"/>
      <c r="AD36"/>
      <c r="AE36"/>
      <c r="AF36"/>
      <c r="AG36"/>
      <c r="AH36"/>
      <c r="AI36"/>
      <c r="AJ36"/>
      <c r="AK36" s="1"/>
      <c r="AL36" s="1"/>
      <c r="AM36" s="1"/>
      <c r="AN36"/>
      <c r="AO36"/>
      <c r="AP36"/>
    </row>
    <row r="37" spans="2:42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Y37"/>
      <c r="Z37"/>
      <c r="AA37"/>
      <c r="AB37"/>
      <c r="AC37"/>
      <c r="AD37"/>
      <c r="AE37"/>
      <c r="AF37"/>
      <c r="AG37"/>
      <c r="AH37"/>
      <c r="AI37"/>
      <c r="AJ37"/>
      <c r="AK37" s="1"/>
      <c r="AL37" s="1"/>
      <c r="AM37" s="1"/>
      <c r="AN37"/>
      <c r="AO37"/>
      <c r="AP37"/>
    </row>
    <row r="38" spans="2:42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462</v>
      </c>
      <c r="I38" s="88"/>
      <c r="J38" s="89"/>
      <c r="K38" s="90">
        <f>+K36+K37*2</f>
        <v>372.22</v>
      </c>
      <c r="L38" s="135"/>
      <c r="N38" s="136"/>
      <c r="O38" s="136"/>
      <c r="P38" s="136"/>
      <c r="Q38" s="136"/>
      <c r="R38" s="136"/>
      <c r="S38" s="136"/>
      <c r="Y38"/>
      <c r="Z38"/>
      <c r="AA38"/>
      <c r="AB38"/>
      <c r="AC38"/>
      <c r="AD38"/>
      <c r="AE38"/>
      <c r="AF38"/>
      <c r="AG38"/>
      <c r="AH38"/>
      <c r="AI38"/>
      <c r="AJ38"/>
      <c r="AK38" s="1"/>
      <c r="AL38" s="1"/>
      <c r="AM38" s="1"/>
      <c r="AN38"/>
      <c r="AO38"/>
      <c r="AP38"/>
    </row>
    <row r="39" spans="2:42" s="10" customFormat="1" x14ac:dyDescent="0.3">
      <c r="B39"/>
      <c r="C39"/>
      <c r="D39"/>
      <c r="E39" s="455">
        <f>+C8</f>
        <v>24</v>
      </c>
      <c r="F39" s="455" t="s">
        <v>52</v>
      </c>
      <c r="G39" s="82" t="s">
        <v>48</v>
      </c>
      <c r="H39" s="83">
        <v>391</v>
      </c>
      <c r="I39" s="84"/>
      <c r="J39" s="85"/>
      <c r="K39" s="86">
        <v>282.11</v>
      </c>
      <c r="L39" s="135"/>
      <c r="N39" s="136"/>
      <c r="O39" s="136"/>
      <c r="P39" s="136"/>
      <c r="Q39" s="136"/>
      <c r="R39" s="136"/>
      <c r="S39" s="136"/>
      <c r="Y39"/>
      <c r="Z39"/>
      <c r="AA39"/>
      <c r="AB39"/>
      <c r="AC39"/>
      <c r="AD39"/>
      <c r="AE39"/>
      <c r="AF39"/>
      <c r="AG39"/>
      <c r="AH39"/>
      <c r="AI39"/>
      <c r="AJ39"/>
      <c r="AK39" s="1"/>
      <c r="AL39" s="1"/>
      <c r="AM39" s="1"/>
      <c r="AN39"/>
      <c r="AO39"/>
      <c r="AP39"/>
    </row>
    <row r="40" spans="2:42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Y40"/>
      <c r="Z40"/>
      <c r="AA40"/>
      <c r="AB40"/>
      <c r="AC40"/>
      <c r="AD40"/>
      <c r="AE40"/>
      <c r="AF40"/>
      <c r="AG40"/>
      <c r="AH40"/>
      <c r="AI40"/>
      <c r="AJ40"/>
      <c r="AK40" s="1"/>
      <c r="AL40" s="1"/>
      <c r="AM40" s="1"/>
      <c r="AN40"/>
      <c r="AO40"/>
      <c r="AP40"/>
    </row>
    <row r="41" spans="2:42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391</v>
      </c>
      <c r="I41" s="88"/>
      <c r="J41" s="89"/>
      <c r="K41" s="90">
        <f>+K39+K40*2</f>
        <v>282.11</v>
      </c>
      <c r="L41" s="135"/>
      <c r="N41" s="136"/>
      <c r="O41" s="136"/>
      <c r="P41" s="136"/>
      <c r="Q41" s="136"/>
      <c r="R41" s="136"/>
      <c r="S41" s="136"/>
      <c r="Y41"/>
      <c r="Z41"/>
      <c r="AA41"/>
      <c r="AB41"/>
      <c r="AC41"/>
      <c r="AD41"/>
      <c r="AE41"/>
      <c r="AF41"/>
      <c r="AG41"/>
      <c r="AH41"/>
      <c r="AI41"/>
      <c r="AJ41"/>
      <c r="AK41" s="1"/>
      <c r="AL41" s="1"/>
      <c r="AM41" s="1"/>
      <c r="AN41"/>
      <c r="AO41"/>
      <c r="AP41"/>
    </row>
    <row r="42" spans="2:42" s="10" customFormat="1" x14ac:dyDescent="0.3">
      <c r="B42"/>
      <c r="C42"/>
      <c r="D42"/>
      <c r="E42" s="455">
        <f>+C9</f>
        <v>25</v>
      </c>
      <c r="F42" s="455" t="s">
        <v>53</v>
      </c>
      <c r="G42" s="82" t="s">
        <v>48</v>
      </c>
      <c r="H42" s="83">
        <v>101</v>
      </c>
      <c r="I42" s="84"/>
      <c r="J42" s="85"/>
      <c r="K42" s="86">
        <v>571.52</v>
      </c>
      <c r="L42" s="135"/>
      <c r="N42" s="136"/>
      <c r="O42" s="136"/>
      <c r="P42" s="136"/>
      <c r="Q42" s="136"/>
      <c r="R42" s="136"/>
      <c r="S42" s="136"/>
      <c r="Y42"/>
      <c r="Z42"/>
      <c r="AA42"/>
      <c r="AB42"/>
      <c r="AC42"/>
      <c r="AD42"/>
      <c r="AE42"/>
      <c r="AF42"/>
      <c r="AG42"/>
      <c r="AH42"/>
      <c r="AI42"/>
      <c r="AJ42"/>
      <c r="AK42" s="1"/>
      <c r="AL42" s="1"/>
      <c r="AM42" s="1"/>
      <c r="AN42"/>
      <c r="AO42"/>
      <c r="AP42"/>
    </row>
    <row r="43" spans="2:42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Y43"/>
      <c r="Z43"/>
      <c r="AA43"/>
      <c r="AB43"/>
      <c r="AC43"/>
      <c r="AD43"/>
      <c r="AE43"/>
      <c r="AF43"/>
      <c r="AG43"/>
      <c r="AH43"/>
      <c r="AI43"/>
      <c r="AJ43"/>
      <c r="AK43" s="1"/>
      <c r="AL43" s="1"/>
      <c r="AM43" s="1"/>
      <c r="AN43"/>
      <c r="AO43"/>
      <c r="AP43"/>
    </row>
    <row r="44" spans="2:42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101</v>
      </c>
      <c r="I44" s="88"/>
      <c r="J44" s="89"/>
      <c r="K44" s="90">
        <f>+K42+K43*2</f>
        <v>571.52</v>
      </c>
      <c r="L44" s="137" t="s">
        <v>54</v>
      </c>
      <c r="N44" s="136"/>
      <c r="O44" s="136"/>
      <c r="P44" s="136"/>
      <c r="Q44" s="136"/>
      <c r="R44" s="136"/>
      <c r="S44" s="136"/>
      <c r="Y44"/>
      <c r="Z44"/>
      <c r="AA44"/>
      <c r="AB44"/>
      <c r="AC44"/>
      <c r="AE44"/>
      <c r="AF44"/>
      <c r="AG44"/>
      <c r="AH44"/>
      <c r="AI44"/>
      <c r="AJ44"/>
      <c r="AK44" s="1"/>
      <c r="AL44" s="1"/>
      <c r="AM44" s="1"/>
      <c r="AN44"/>
      <c r="AO44"/>
      <c r="AP44"/>
    </row>
    <row r="45" spans="2:42" s="10" customFormat="1" x14ac:dyDescent="0.3">
      <c r="B45"/>
      <c r="C45"/>
      <c r="D45"/>
      <c r="E45" s="455">
        <f>+C10</f>
        <v>26</v>
      </c>
      <c r="F45" s="455" t="s">
        <v>55</v>
      </c>
      <c r="G45" s="82" t="s">
        <v>48</v>
      </c>
      <c r="H45" s="83">
        <v>338</v>
      </c>
      <c r="I45" s="84"/>
      <c r="J45" s="85"/>
      <c r="K45" s="86">
        <v>491.38</v>
      </c>
      <c r="L45" s="135"/>
      <c r="N45" s="136"/>
      <c r="O45" s="136"/>
      <c r="P45" s="136"/>
      <c r="Q45" s="136"/>
      <c r="R45" s="136"/>
      <c r="S45" s="136"/>
      <c r="Y45"/>
      <c r="Z45"/>
      <c r="AA45"/>
      <c r="AB45"/>
      <c r="AC45"/>
      <c r="AD45"/>
      <c r="AE45"/>
      <c r="AF45"/>
      <c r="AG45"/>
      <c r="AH45"/>
      <c r="AI45"/>
      <c r="AJ45"/>
      <c r="AK45" s="1"/>
      <c r="AL45" s="1"/>
      <c r="AM45" s="1"/>
      <c r="AN45"/>
      <c r="AO45"/>
      <c r="AP45"/>
    </row>
    <row r="46" spans="2:42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Y46"/>
      <c r="Z46"/>
      <c r="AA46"/>
      <c r="AB46"/>
      <c r="AC46"/>
      <c r="AD46"/>
      <c r="AE46"/>
      <c r="AF46"/>
      <c r="AG46"/>
      <c r="AH46"/>
      <c r="AI46"/>
      <c r="AJ46"/>
      <c r="AK46" s="1"/>
      <c r="AL46" s="1"/>
      <c r="AM46" s="1"/>
      <c r="AN46"/>
      <c r="AO46"/>
      <c r="AP46"/>
    </row>
    <row r="47" spans="2:42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338</v>
      </c>
      <c r="I47" s="88"/>
      <c r="J47" s="89"/>
      <c r="K47" s="90">
        <f>+K45+K46*2</f>
        <v>491.38</v>
      </c>
      <c r="L47" s="135"/>
      <c r="N47" s="136"/>
      <c r="O47" s="136"/>
      <c r="P47" s="136"/>
      <c r="Q47" s="136"/>
      <c r="R47" s="136"/>
      <c r="S47" s="136"/>
      <c r="Y47"/>
      <c r="Z47"/>
      <c r="AA47"/>
      <c r="AB47"/>
      <c r="AC47"/>
      <c r="AD47"/>
      <c r="AE47"/>
      <c r="AF47"/>
      <c r="AG47"/>
      <c r="AH47"/>
      <c r="AI47"/>
      <c r="AJ47"/>
      <c r="AK47" s="1"/>
      <c r="AL47" s="1"/>
      <c r="AM47" s="1"/>
      <c r="AN47"/>
      <c r="AO47"/>
      <c r="AP47"/>
    </row>
    <row r="48" spans="2:42" s="10" customFormat="1" x14ac:dyDescent="0.3">
      <c r="B48"/>
      <c r="C48"/>
      <c r="D48"/>
      <c r="E48" s="455">
        <f>+C11</f>
        <v>27</v>
      </c>
      <c r="F48" s="455" t="s">
        <v>56</v>
      </c>
      <c r="G48" s="82" t="s">
        <v>48</v>
      </c>
      <c r="H48" s="83">
        <v>499</v>
      </c>
      <c r="I48" s="84"/>
      <c r="J48" s="85"/>
      <c r="K48" s="86">
        <v>443.52</v>
      </c>
      <c r="L48" s="135"/>
      <c r="N48" s="136"/>
      <c r="O48" s="136"/>
      <c r="P48" s="136"/>
      <c r="Q48" s="136"/>
      <c r="R48" s="136"/>
      <c r="S48" s="136"/>
      <c r="Y48"/>
      <c r="Z48"/>
      <c r="AA48"/>
      <c r="AB48"/>
      <c r="AC48"/>
      <c r="AD48"/>
      <c r="AE48"/>
      <c r="AF48"/>
      <c r="AG48"/>
      <c r="AH48"/>
      <c r="AI48"/>
      <c r="AJ48"/>
      <c r="AK48" s="1"/>
      <c r="AL48" s="1"/>
      <c r="AM48" s="1"/>
      <c r="AN48"/>
      <c r="AO48"/>
      <c r="AP48"/>
    </row>
    <row r="49" spans="2:42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Y49"/>
      <c r="Z49"/>
      <c r="AA49"/>
      <c r="AB49"/>
      <c r="AC49"/>
      <c r="AD49"/>
      <c r="AE49"/>
      <c r="AF49"/>
      <c r="AG49"/>
      <c r="AH49"/>
      <c r="AI49"/>
      <c r="AJ49"/>
      <c r="AK49" s="1"/>
      <c r="AL49" s="1"/>
      <c r="AM49" s="1"/>
      <c r="AN49"/>
      <c r="AO49"/>
      <c r="AP49"/>
    </row>
    <row r="50" spans="2:42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499</v>
      </c>
      <c r="I50" s="88"/>
      <c r="J50" s="89"/>
      <c r="K50" s="90">
        <f>+K48+K49*2</f>
        <v>443.52</v>
      </c>
      <c r="L50" s="135"/>
      <c r="N50" s="136"/>
      <c r="O50" s="136"/>
      <c r="P50" s="136"/>
      <c r="Q50" s="136"/>
      <c r="R50" s="136"/>
      <c r="S50" s="136"/>
      <c r="Y50"/>
      <c r="Z50"/>
      <c r="AA50"/>
      <c r="AB50"/>
      <c r="AC50"/>
      <c r="AD50"/>
      <c r="AE50"/>
      <c r="AF50"/>
      <c r="AG50"/>
      <c r="AH50"/>
      <c r="AI50"/>
      <c r="AJ50"/>
      <c r="AK50" s="1"/>
      <c r="AL50" s="1"/>
      <c r="AM50" s="1"/>
      <c r="AN50"/>
      <c r="AO50"/>
      <c r="AP50"/>
    </row>
    <row r="51" spans="2:42" s="10" customFormat="1" x14ac:dyDescent="0.3">
      <c r="B51"/>
      <c r="C51"/>
      <c r="D51"/>
      <c r="E51" s="455">
        <f>+C12</f>
        <v>28</v>
      </c>
      <c r="F51" s="455" t="s">
        <v>38</v>
      </c>
      <c r="G51" s="82" t="s">
        <v>48</v>
      </c>
      <c r="H51" s="83"/>
      <c r="I51" s="84"/>
      <c r="J51" s="85"/>
      <c r="K51" s="86"/>
      <c r="L51" s="135"/>
      <c r="N51" s="136"/>
      <c r="O51" s="136"/>
      <c r="P51" s="136"/>
      <c r="Q51" s="136"/>
      <c r="R51" s="136"/>
      <c r="S51" s="136"/>
      <c r="Y51"/>
      <c r="Z51"/>
      <c r="AA51"/>
      <c r="AB51"/>
      <c r="AC51"/>
      <c r="AD51"/>
      <c r="AE51"/>
      <c r="AF51"/>
      <c r="AG51"/>
      <c r="AH51"/>
      <c r="AI51"/>
      <c r="AJ51"/>
      <c r="AK51" s="1"/>
      <c r="AL51" s="1"/>
      <c r="AM51" s="1"/>
      <c r="AN51"/>
      <c r="AO51"/>
      <c r="AP51"/>
    </row>
    <row r="52" spans="2:42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Y52"/>
      <c r="Z52"/>
      <c r="AA52"/>
      <c r="AB52"/>
      <c r="AC52"/>
      <c r="AD52"/>
      <c r="AE52"/>
      <c r="AF52"/>
      <c r="AG52"/>
      <c r="AH52"/>
      <c r="AI52"/>
      <c r="AJ52"/>
      <c r="AK52" s="1"/>
      <c r="AL52" s="1"/>
      <c r="AM52" s="1"/>
      <c r="AN52"/>
      <c r="AO52"/>
      <c r="AP52"/>
    </row>
    <row r="53" spans="2:42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0</v>
      </c>
      <c r="I53" s="88"/>
      <c r="J53" s="89"/>
      <c r="K53" s="90">
        <f>+K51+K52*2</f>
        <v>0</v>
      </c>
      <c r="L53" s="135"/>
      <c r="N53" s="136"/>
      <c r="O53" s="136"/>
      <c r="P53" s="136"/>
      <c r="Q53" s="136"/>
      <c r="R53" s="136"/>
      <c r="S53" s="136"/>
      <c r="Y53"/>
      <c r="Z53"/>
      <c r="AA53"/>
      <c r="AB53"/>
      <c r="AC53"/>
      <c r="AD53"/>
      <c r="AE53"/>
      <c r="AF53"/>
      <c r="AG53"/>
      <c r="AH53"/>
      <c r="AI53"/>
      <c r="AJ53"/>
      <c r="AK53" s="1"/>
      <c r="AL53" s="1"/>
      <c r="AM53" s="1"/>
      <c r="AN53"/>
      <c r="AO53"/>
      <c r="AP53"/>
    </row>
    <row r="54" spans="2:42" x14ac:dyDescent="0.3">
      <c r="H54" s="75"/>
      <c r="I54" s="10"/>
      <c r="J54" s="11"/>
      <c r="K54"/>
    </row>
    <row r="55" spans="2:42" x14ac:dyDescent="0.3">
      <c r="H55" s="75"/>
      <c r="I55" s="10"/>
      <c r="J55" s="11"/>
      <c r="K55"/>
    </row>
    <row r="56" spans="2:42" s="10" customFormat="1" x14ac:dyDescent="0.3">
      <c r="B56"/>
      <c r="C56"/>
      <c r="D56"/>
      <c r="E56" s="455">
        <f>+E36</f>
        <v>23</v>
      </c>
      <c r="F56" s="455" t="s">
        <v>7</v>
      </c>
      <c r="G56" s="82" t="s">
        <v>48</v>
      </c>
      <c r="H56" s="83">
        <v>421</v>
      </c>
      <c r="I56" s="84"/>
      <c r="J56" s="85"/>
      <c r="K56" s="86">
        <v>569.85</v>
      </c>
      <c r="L56" s="135"/>
      <c r="N56" s="136"/>
      <c r="O56" s="136"/>
      <c r="P56" s="136"/>
      <c r="Q56" s="136"/>
      <c r="R56" s="136"/>
      <c r="S56" s="136"/>
      <c r="Y56"/>
      <c r="Z56"/>
      <c r="AA56"/>
      <c r="AB56"/>
      <c r="AC56"/>
      <c r="AD56"/>
      <c r="AE56"/>
      <c r="AF56"/>
      <c r="AG56"/>
      <c r="AH56"/>
      <c r="AI56"/>
      <c r="AJ56"/>
      <c r="AK56" s="1"/>
      <c r="AL56" s="1"/>
      <c r="AM56" s="1"/>
      <c r="AN56"/>
      <c r="AO56"/>
      <c r="AP56"/>
    </row>
    <row r="57" spans="2:42" s="10" customFormat="1" x14ac:dyDescent="0.3">
      <c r="B57"/>
      <c r="C57" t="s">
        <v>57</v>
      </c>
      <c r="D57"/>
      <c r="E57" s="456"/>
      <c r="F57" s="456"/>
      <c r="G57" s="82" t="s">
        <v>50</v>
      </c>
      <c r="H57" s="83"/>
      <c r="I57" s="84"/>
      <c r="J57" s="85"/>
      <c r="K57" s="86"/>
      <c r="L57" s="135"/>
      <c r="N57" s="136"/>
      <c r="O57" s="136"/>
      <c r="P57" s="136"/>
      <c r="Q57" s="136"/>
      <c r="R57" s="136"/>
      <c r="S57" s="136"/>
      <c r="Y57"/>
      <c r="Z57"/>
      <c r="AA57"/>
      <c r="AB57"/>
      <c r="AC57"/>
      <c r="AD57"/>
      <c r="AE57"/>
      <c r="AF57"/>
      <c r="AG57"/>
      <c r="AH57"/>
      <c r="AI57"/>
      <c r="AJ57"/>
      <c r="AK57" s="1"/>
      <c r="AL57" s="1"/>
      <c r="AM57" s="1"/>
      <c r="AN57"/>
      <c r="AO57"/>
      <c r="AP57"/>
    </row>
    <row r="58" spans="2:42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421</v>
      </c>
      <c r="I58" s="88"/>
      <c r="J58" s="89"/>
      <c r="K58" s="90">
        <f>+K56+K57*2</f>
        <v>569.85</v>
      </c>
      <c r="L58" s="135"/>
      <c r="N58" s="136"/>
      <c r="O58" s="136"/>
      <c r="P58" s="136"/>
      <c r="Q58" s="136"/>
      <c r="R58" s="136"/>
      <c r="S58" s="136"/>
      <c r="Y58"/>
      <c r="Z58"/>
      <c r="AA58"/>
      <c r="AB58"/>
      <c r="AC58"/>
      <c r="AD58"/>
      <c r="AE58"/>
      <c r="AF58"/>
      <c r="AG58"/>
      <c r="AH58"/>
      <c r="AI58"/>
      <c r="AJ58"/>
      <c r="AK58" s="1"/>
      <c r="AL58" s="1"/>
      <c r="AM58" s="1"/>
      <c r="AN58"/>
      <c r="AO58"/>
      <c r="AP58"/>
    </row>
    <row r="59" spans="2:42" s="10" customFormat="1" x14ac:dyDescent="0.3">
      <c r="B59"/>
      <c r="C59"/>
      <c r="D59"/>
      <c r="E59" s="455">
        <f>+E39</f>
        <v>24</v>
      </c>
      <c r="F59" s="455" t="s">
        <v>52</v>
      </c>
      <c r="G59" s="82" t="s">
        <v>48</v>
      </c>
      <c r="H59" s="83">
        <f>473-74</f>
        <v>399</v>
      </c>
      <c r="I59" s="84"/>
      <c r="J59" s="85"/>
      <c r="K59" s="86">
        <f>401.25-87.36</f>
        <v>313.89</v>
      </c>
      <c r="L59" s="135"/>
      <c r="N59" s="136"/>
      <c r="O59" s="136"/>
      <c r="P59" s="136"/>
      <c r="Q59" s="136"/>
      <c r="R59" s="136"/>
      <c r="S59" s="136"/>
      <c r="Y59"/>
      <c r="Z59"/>
      <c r="AA59"/>
      <c r="AB59"/>
      <c r="AC59"/>
      <c r="AD59"/>
      <c r="AE59"/>
      <c r="AF59"/>
      <c r="AG59"/>
      <c r="AH59"/>
      <c r="AI59"/>
      <c r="AJ59"/>
      <c r="AK59" s="1"/>
      <c r="AL59" s="1"/>
      <c r="AM59" s="1"/>
      <c r="AN59"/>
      <c r="AO59"/>
      <c r="AP59"/>
    </row>
    <row r="60" spans="2:42" s="10" customFormat="1" x14ac:dyDescent="0.3">
      <c r="B60"/>
      <c r="C60"/>
      <c r="D60"/>
      <c r="E60" s="456"/>
      <c r="F60" s="456"/>
      <c r="G60" s="82" t="s">
        <v>50</v>
      </c>
      <c r="H60" s="83">
        <v>74</v>
      </c>
      <c r="I60" s="84"/>
      <c r="J60" s="85"/>
      <c r="K60" s="86">
        <v>87.36</v>
      </c>
      <c r="L60" s="135"/>
      <c r="N60" s="136"/>
      <c r="O60" s="136"/>
      <c r="P60" s="136"/>
      <c r="Q60" s="136"/>
      <c r="R60" s="136"/>
      <c r="S60" s="136"/>
      <c r="Y60"/>
      <c r="Z60"/>
      <c r="AA60"/>
      <c r="AB60"/>
      <c r="AC60"/>
      <c r="AD60"/>
      <c r="AE60"/>
      <c r="AF60"/>
      <c r="AG60"/>
      <c r="AH60"/>
      <c r="AI60"/>
      <c r="AJ60"/>
      <c r="AK60" s="1"/>
      <c r="AL60" s="1"/>
      <c r="AM60" s="1"/>
      <c r="AN60"/>
      <c r="AO60"/>
      <c r="AP60"/>
    </row>
    <row r="61" spans="2:42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547</v>
      </c>
      <c r="I61" s="88"/>
      <c r="J61" s="89"/>
      <c r="K61" s="90">
        <f>+K59+K60*2</f>
        <v>488.61</v>
      </c>
      <c r="L61" s="135"/>
      <c r="N61" s="136"/>
      <c r="O61" s="136"/>
      <c r="P61" s="136"/>
      <c r="Q61" s="136"/>
      <c r="R61" s="136"/>
      <c r="S61" s="136"/>
      <c r="Y61"/>
      <c r="Z61"/>
      <c r="AA61"/>
      <c r="AB61"/>
      <c r="AC61"/>
      <c r="AD61"/>
      <c r="AE61"/>
      <c r="AF61"/>
      <c r="AG61"/>
      <c r="AH61"/>
      <c r="AI61"/>
      <c r="AJ61"/>
      <c r="AK61" s="1"/>
      <c r="AL61" s="1"/>
      <c r="AM61" s="1"/>
      <c r="AN61"/>
      <c r="AO61"/>
      <c r="AP61"/>
    </row>
    <row r="62" spans="2:42" s="10" customFormat="1" x14ac:dyDescent="0.3">
      <c r="B62"/>
      <c r="C62"/>
      <c r="D62"/>
      <c r="E62" s="455">
        <f>+E42</f>
        <v>25</v>
      </c>
      <c r="F62" s="455" t="s">
        <v>53</v>
      </c>
      <c r="G62" s="82" t="s">
        <v>48</v>
      </c>
      <c r="H62" s="83">
        <f>505-74</f>
        <v>431</v>
      </c>
      <c r="I62" s="84"/>
      <c r="J62" s="85"/>
      <c r="K62" s="86">
        <f>375.56-86.05</f>
        <v>289.51</v>
      </c>
      <c r="L62" s="135"/>
      <c r="N62" s="136"/>
      <c r="O62" s="136"/>
      <c r="P62" s="136"/>
      <c r="Q62" s="136"/>
      <c r="R62" s="136"/>
      <c r="S62" s="136"/>
      <c r="Y62"/>
      <c r="Z62"/>
      <c r="AA62"/>
      <c r="AB62"/>
      <c r="AC62"/>
      <c r="AD62"/>
      <c r="AE62"/>
      <c r="AF62"/>
      <c r="AG62"/>
      <c r="AH62"/>
      <c r="AI62"/>
      <c r="AJ62"/>
      <c r="AK62" s="1"/>
      <c r="AL62" s="1"/>
      <c r="AM62" s="1"/>
      <c r="AN62"/>
      <c r="AO62"/>
      <c r="AP62"/>
    </row>
    <row r="63" spans="2:42" s="10" customFormat="1" x14ac:dyDescent="0.3">
      <c r="B63"/>
      <c r="C63"/>
      <c r="D63"/>
      <c r="E63" s="456"/>
      <c r="F63" s="456"/>
      <c r="G63" s="82" t="s">
        <v>50</v>
      </c>
      <c r="H63" s="83">
        <v>74</v>
      </c>
      <c r="I63" s="84"/>
      <c r="J63" s="85"/>
      <c r="K63" s="86">
        <v>86.05</v>
      </c>
      <c r="L63" s="135"/>
      <c r="N63" s="136"/>
      <c r="O63" s="136"/>
      <c r="P63" s="136"/>
      <c r="Q63" s="136"/>
      <c r="R63" s="136"/>
      <c r="S63" s="136"/>
      <c r="Y63"/>
      <c r="Z63"/>
      <c r="AA63"/>
      <c r="AB63"/>
      <c r="AC63"/>
      <c r="AD63"/>
      <c r="AE63"/>
      <c r="AF63"/>
      <c r="AG63"/>
      <c r="AH63"/>
      <c r="AI63"/>
      <c r="AJ63"/>
      <c r="AK63" s="1"/>
      <c r="AL63" s="1"/>
      <c r="AM63" s="1"/>
      <c r="AN63"/>
      <c r="AO63"/>
      <c r="AP63"/>
    </row>
    <row r="64" spans="2:42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579</v>
      </c>
      <c r="I64" s="88"/>
      <c r="J64" s="89"/>
      <c r="K64" s="90">
        <f>+K62+K63*2</f>
        <v>461.61</v>
      </c>
      <c r="L64" s="137" t="s">
        <v>54</v>
      </c>
      <c r="N64" s="136"/>
      <c r="O64" s="136"/>
      <c r="P64" s="136"/>
      <c r="Q64" s="136"/>
      <c r="R64" s="136"/>
      <c r="S64" s="136"/>
      <c r="Y64"/>
      <c r="Z64"/>
      <c r="AA64"/>
      <c r="AB64"/>
      <c r="AC64"/>
      <c r="AE64"/>
      <c r="AF64"/>
      <c r="AG64"/>
      <c r="AH64"/>
      <c r="AI64"/>
      <c r="AJ64"/>
      <c r="AK64" s="1"/>
      <c r="AL64" s="1"/>
      <c r="AM64" s="1"/>
      <c r="AN64"/>
      <c r="AO64"/>
      <c r="AP64"/>
    </row>
    <row r="65" spans="2:42" s="10" customFormat="1" x14ac:dyDescent="0.3">
      <c r="B65"/>
      <c r="C65"/>
      <c r="D65"/>
      <c r="E65" s="455">
        <f>+E45</f>
        <v>26</v>
      </c>
      <c r="F65" s="455" t="s">
        <v>55</v>
      </c>
      <c r="G65" s="82" t="s">
        <v>48</v>
      </c>
      <c r="H65" s="83">
        <f>430-123</f>
        <v>307</v>
      </c>
      <c r="I65" s="84"/>
      <c r="J65" s="85"/>
      <c r="K65" s="86">
        <f>319.2-111.36</f>
        <v>207.83999999999997</v>
      </c>
      <c r="L65" s="135"/>
      <c r="N65" s="136"/>
      <c r="O65" s="136"/>
      <c r="P65" s="136"/>
      <c r="Q65" s="136"/>
      <c r="R65" s="136"/>
      <c r="S65" s="136"/>
      <c r="Y65"/>
      <c r="Z65"/>
      <c r="AA65"/>
      <c r="AB65"/>
      <c r="AC65"/>
      <c r="AD65"/>
      <c r="AE65"/>
      <c r="AF65"/>
      <c r="AG65"/>
      <c r="AH65"/>
      <c r="AI65"/>
      <c r="AJ65"/>
      <c r="AK65" s="1"/>
      <c r="AL65" s="1"/>
      <c r="AM65" s="1"/>
      <c r="AN65"/>
      <c r="AO65"/>
      <c r="AP65"/>
    </row>
    <row r="66" spans="2:42" s="10" customFormat="1" x14ac:dyDescent="0.3">
      <c r="B66"/>
      <c r="C66"/>
      <c r="D66"/>
      <c r="E66" s="456"/>
      <c r="F66" s="456"/>
      <c r="G66" s="82" t="s">
        <v>50</v>
      </c>
      <c r="H66" s="83">
        <v>123</v>
      </c>
      <c r="I66" s="84"/>
      <c r="J66" s="85"/>
      <c r="K66" s="86">
        <v>111.36</v>
      </c>
      <c r="L66" s="135"/>
      <c r="N66" s="136"/>
      <c r="O66" s="136"/>
      <c r="P66" s="136"/>
      <c r="Q66" s="136"/>
      <c r="R66" s="136"/>
      <c r="S66" s="136"/>
      <c r="Y66"/>
      <c r="Z66"/>
      <c r="AA66"/>
      <c r="AB66"/>
      <c r="AC66"/>
      <c r="AD66"/>
      <c r="AE66"/>
      <c r="AF66"/>
      <c r="AG66"/>
      <c r="AH66"/>
      <c r="AI66"/>
      <c r="AJ66"/>
      <c r="AK66" s="1"/>
      <c r="AL66" s="1"/>
      <c r="AM66" s="1"/>
      <c r="AN66"/>
      <c r="AO66"/>
      <c r="AP66"/>
    </row>
    <row r="67" spans="2:42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553</v>
      </c>
      <c r="I67" s="88"/>
      <c r="J67" s="89"/>
      <c r="K67" s="90">
        <f>+K65+K66*2</f>
        <v>430.55999999999995</v>
      </c>
      <c r="L67" s="135"/>
      <c r="N67" s="136"/>
      <c r="O67" s="136"/>
      <c r="P67" s="136"/>
      <c r="Q67" s="136"/>
      <c r="R67" s="136"/>
      <c r="S67" s="136"/>
      <c r="Y67"/>
      <c r="Z67"/>
      <c r="AA67"/>
      <c r="AB67"/>
      <c r="AC67"/>
      <c r="AD67"/>
      <c r="AE67"/>
      <c r="AF67"/>
      <c r="AG67"/>
      <c r="AH67"/>
      <c r="AI67"/>
      <c r="AJ67"/>
      <c r="AK67" s="1"/>
      <c r="AL67" s="1"/>
      <c r="AM67" s="1"/>
      <c r="AN67"/>
      <c r="AO67"/>
      <c r="AP67"/>
    </row>
    <row r="68" spans="2:42" s="10" customFormat="1" x14ac:dyDescent="0.3">
      <c r="B68"/>
      <c r="C68"/>
      <c r="D68"/>
      <c r="E68" s="455">
        <f>+E48</f>
        <v>27</v>
      </c>
      <c r="F68" s="455" t="s">
        <v>56</v>
      </c>
      <c r="G68" s="82" t="s">
        <v>48</v>
      </c>
      <c r="H68" s="83">
        <v>524</v>
      </c>
      <c r="I68" s="84"/>
      <c r="J68" s="85"/>
      <c r="K68" s="86">
        <v>505.52</v>
      </c>
      <c r="L68" s="135"/>
      <c r="N68" s="136"/>
      <c r="O68" s="136"/>
      <c r="P68" s="136"/>
      <c r="Q68" s="136"/>
      <c r="R68" s="136"/>
      <c r="S68" s="136"/>
      <c r="Y68"/>
      <c r="Z68"/>
      <c r="AA68"/>
      <c r="AB68"/>
      <c r="AC68"/>
      <c r="AD68"/>
      <c r="AE68"/>
      <c r="AF68"/>
      <c r="AG68"/>
      <c r="AH68"/>
      <c r="AI68"/>
      <c r="AJ68"/>
      <c r="AK68" s="1"/>
      <c r="AL68" s="1"/>
      <c r="AM68" s="1"/>
      <c r="AN68"/>
      <c r="AO68"/>
      <c r="AP68"/>
    </row>
    <row r="69" spans="2:42" s="10" customFormat="1" x14ac:dyDescent="0.3">
      <c r="B69"/>
      <c r="C69"/>
      <c r="D69"/>
      <c r="E69" s="456"/>
      <c r="F69" s="456"/>
      <c r="G69" s="82" t="s">
        <v>50</v>
      </c>
      <c r="H69" s="83"/>
      <c r="I69" s="84"/>
      <c r="J69" s="85"/>
      <c r="K69" s="86"/>
      <c r="L69" s="135"/>
      <c r="N69" s="136"/>
      <c r="O69" s="136"/>
      <c r="P69" s="136"/>
      <c r="Q69" s="136"/>
      <c r="R69" s="136"/>
      <c r="S69" s="136"/>
      <c r="Y69"/>
      <c r="Z69"/>
      <c r="AA69"/>
      <c r="AB69"/>
      <c r="AC69"/>
      <c r="AD69"/>
      <c r="AE69"/>
      <c r="AF69"/>
      <c r="AG69"/>
      <c r="AH69"/>
      <c r="AI69"/>
      <c r="AJ69"/>
      <c r="AK69" s="1"/>
      <c r="AL69" s="1"/>
      <c r="AM69" s="1"/>
      <c r="AN69"/>
      <c r="AO69"/>
      <c r="AP69"/>
    </row>
    <row r="70" spans="2:42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524</v>
      </c>
      <c r="I70" s="88"/>
      <c r="J70" s="89"/>
      <c r="K70" s="90">
        <f>+K68+K69*2</f>
        <v>505.52</v>
      </c>
      <c r="L70" s="135"/>
      <c r="N70" s="136"/>
      <c r="O70" s="136"/>
      <c r="P70" s="136"/>
      <c r="Q70" s="136"/>
      <c r="R70" s="136"/>
      <c r="S70" s="136"/>
      <c r="Y70"/>
      <c r="Z70"/>
      <c r="AA70"/>
      <c r="AB70"/>
      <c r="AC70"/>
      <c r="AD70"/>
      <c r="AE70"/>
      <c r="AF70"/>
      <c r="AG70"/>
      <c r="AH70"/>
      <c r="AI70"/>
      <c r="AJ70"/>
      <c r="AK70" s="1"/>
      <c r="AL70" s="1"/>
      <c r="AM70" s="1"/>
      <c r="AN70"/>
      <c r="AO70"/>
      <c r="AP70"/>
    </row>
    <row r="71" spans="2:42" s="10" customFormat="1" x14ac:dyDescent="0.3">
      <c r="B71"/>
      <c r="C71"/>
      <c r="D71"/>
      <c r="E71" s="455">
        <f>+E51</f>
        <v>28</v>
      </c>
      <c r="F71" s="455" t="s">
        <v>38</v>
      </c>
      <c r="G71" s="82" t="s">
        <v>48</v>
      </c>
      <c r="H71" s="83"/>
      <c r="I71" s="84"/>
      <c r="J71" s="85"/>
      <c r="K71" s="86"/>
      <c r="L71" s="135"/>
      <c r="N71" s="136"/>
      <c r="O71" s="136"/>
      <c r="P71" s="136"/>
      <c r="Q71" s="136"/>
      <c r="R71" s="136"/>
      <c r="S71" s="136"/>
      <c r="Y71"/>
      <c r="Z71"/>
      <c r="AA71"/>
      <c r="AB71"/>
      <c r="AC71"/>
      <c r="AD71"/>
      <c r="AE71"/>
      <c r="AF71"/>
      <c r="AG71"/>
      <c r="AH71"/>
      <c r="AI71"/>
      <c r="AJ71"/>
      <c r="AK71" s="1"/>
      <c r="AL71" s="1"/>
      <c r="AM71" s="1"/>
      <c r="AN71"/>
      <c r="AO71"/>
      <c r="AP71"/>
    </row>
    <row r="72" spans="2:42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Y72"/>
      <c r="Z72"/>
      <c r="AA72"/>
      <c r="AB72"/>
      <c r="AC72"/>
      <c r="AD72"/>
      <c r="AE72"/>
      <c r="AF72"/>
      <c r="AG72"/>
      <c r="AH72"/>
      <c r="AI72"/>
      <c r="AJ72"/>
      <c r="AK72" s="1"/>
      <c r="AL72" s="1"/>
      <c r="AM72" s="1"/>
      <c r="AN72"/>
      <c r="AO72"/>
      <c r="AP72"/>
    </row>
    <row r="73" spans="2:42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0</v>
      </c>
      <c r="I73" s="88"/>
      <c r="J73" s="89"/>
      <c r="K73" s="90">
        <f>+K71+K72*2</f>
        <v>0</v>
      </c>
      <c r="L73" s="135"/>
      <c r="N73" s="136"/>
      <c r="O73" s="136"/>
      <c r="P73" s="136"/>
      <c r="Q73" s="136"/>
      <c r="R73" s="136"/>
      <c r="S73" s="136"/>
      <c r="Y73"/>
      <c r="Z73"/>
      <c r="AA73"/>
      <c r="AB73"/>
      <c r="AC73"/>
      <c r="AD73"/>
      <c r="AE73"/>
      <c r="AF73"/>
      <c r="AG73"/>
      <c r="AH73"/>
      <c r="AI73"/>
      <c r="AJ73"/>
      <c r="AK73" s="1"/>
      <c r="AL73" s="1"/>
      <c r="AM73" s="1"/>
      <c r="AN73"/>
      <c r="AO73"/>
      <c r="AP73"/>
    </row>
    <row r="76" spans="2:42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</row>
    <row r="77" spans="2:42" ht="18" customHeight="1" x14ac:dyDescent="0.3">
      <c r="B77" t="s">
        <v>5</v>
      </c>
      <c r="D77" s="7">
        <v>55</v>
      </c>
      <c r="F77" s="8" t="s">
        <v>6</v>
      </c>
      <c r="T77" s="9">
        <v>1.2</v>
      </c>
      <c r="Z77" s="12">
        <f>Z61</f>
        <v>0</v>
      </c>
      <c r="AA77" s="11">
        <f>AA61</f>
        <v>0</v>
      </c>
      <c r="AB77" s="12"/>
      <c r="AD77" s="8"/>
    </row>
    <row r="78" spans="2:42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441" t="s">
        <v>12</v>
      </c>
      <c r="U78" s="418"/>
      <c r="V78" s="442"/>
      <c r="W78" s="446" t="s">
        <v>13</v>
      </c>
      <c r="X78" s="418"/>
      <c r="Y78" s="418"/>
      <c r="Z78" s="13"/>
      <c r="AA78" s="14"/>
      <c r="AB78" s="447" t="s">
        <v>14</v>
      </c>
      <c r="AC78" s="449" t="s">
        <v>15</v>
      </c>
      <c r="AD78" s="418" t="s">
        <v>16</v>
      </c>
    </row>
    <row r="79" spans="2:42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5" t="s">
        <v>12</v>
      </c>
      <c r="U79" s="16" t="s">
        <v>17</v>
      </c>
      <c r="V79" s="17" t="s">
        <v>18</v>
      </c>
      <c r="W79" s="18" t="s">
        <v>13</v>
      </c>
      <c r="X79" s="16" t="s">
        <v>19</v>
      </c>
      <c r="Y79" s="19" t="s">
        <v>18</v>
      </c>
      <c r="Z79" s="218" t="s">
        <v>20</v>
      </c>
      <c r="AA79" s="20" t="s">
        <v>21</v>
      </c>
      <c r="AB79" s="448"/>
      <c r="AC79" s="450"/>
      <c r="AD79" s="419"/>
      <c r="AE79" s="21" t="s">
        <v>22</v>
      </c>
      <c r="AF79" s="21" t="s">
        <v>23</v>
      </c>
      <c r="AG79" s="22"/>
      <c r="AH79" s="22"/>
      <c r="AI79" s="22" t="s">
        <v>24</v>
      </c>
      <c r="AJ79" s="22"/>
      <c r="AK79" s="23" t="s">
        <v>25</v>
      </c>
      <c r="AL79" s="23" t="s">
        <v>26</v>
      </c>
      <c r="AM79" s="23" t="s">
        <v>27</v>
      </c>
      <c r="AN79" s="22"/>
      <c r="AO79" s="22">
        <f>SUM(AO80:AO85)</f>
        <v>-50</v>
      </c>
    </row>
    <row r="80" spans="2:42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95">
        <f>+T94</f>
        <v>0</v>
      </c>
      <c r="U80" s="96">
        <f>IF(F80=0,"휴무",T80/F80)</f>
        <v>0</v>
      </c>
      <c r="V80" s="97">
        <f>IFERROR(T80/#REF!,0)</f>
        <v>0</v>
      </c>
      <c r="W80" s="98">
        <f>+W94</f>
        <v>0</v>
      </c>
      <c r="X80" s="96">
        <f t="shared" ref="X80:X85" si="23">IF(F80=0,"휴무",W80/F80)</f>
        <v>0</v>
      </c>
      <c r="Y80" s="99">
        <f>IFERROR(W80/#REF!,0)</f>
        <v>0</v>
      </c>
      <c r="Z80" s="100" t="e">
        <f>IF(F80=0,"휴무",T80/#REF!*$Z$4)</f>
        <v>#REF!</v>
      </c>
      <c r="AA80" s="101" t="e">
        <f>IF(F80=0,"휴무",W80/#REF!*$AA$4)</f>
        <v>#REF!</v>
      </c>
      <c r="AB80" s="102" t="e">
        <f t="shared" ref="AB80:AB85" si="24">IF(F80=0,"휴무",Z80+AA80)</f>
        <v>#REF!</v>
      </c>
      <c r="AC80" s="103" t="e">
        <f t="shared" ref="AC80:AC85" si="25">IF(F80=0,"휴무",IF(AB80&gt;=100,"좋아요",IF(AB80&gt;=90,"90~99",IF(AB80&gt;=80,"80~89"," 사유?→"))))</f>
        <v>#REF!</v>
      </c>
      <c r="AD80" s="104"/>
      <c r="AE80" s="37">
        <f>AF80-F80</f>
        <v>-10</v>
      </c>
      <c r="AF80" s="38">
        <f>AM80</f>
        <v>0</v>
      </c>
      <c r="AG80" s="216" t="s">
        <v>29</v>
      </c>
      <c r="AH80" s="39"/>
      <c r="AI80" s="40" t="str">
        <f>IFERROR(Y80/V80*1000,"")</f>
        <v/>
      </c>
      <c r="AJ80" s="39"/>
      <c r="AK80" s="41"/>
      <c r="AL80" s="41"/>
      <c r="AM80" s="41"/>
      <c r="AN80" s="216"/>
      <c r="AO80" s="216">
        <f>AN80-F80</f>
        <v>-10</v>
      </c>
    </row>
    <row r="81" spans="2:41" ht="98.25" customHeight="1" x14ac:dyDescent="0.3">
      <c r="B81" s="459"/>
      <c r="C81" s="92">
        <v>20</v>
      </c>
      <c r="D81" s="212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95">
        <f>+T97</f>
        <v>0</v>
      </c>
      <c r="U81" s="62">
        <f>IF(F81=0,"휴무",T81/F81)</f>
        <v>0</v>
      </c>
      <c r="V81" s="63">
        <f>IFERROR(T81/#REF!,0)</f>
        <v>0</v>
      </c>
      <c r="W81" s="105">
        <f>+W97</f>
        <v>0</v>
      </c>
      <c r="X81" s="96">
        <f t="shared" si="23"/>
        <v>0</v>
      </c>
      <c r="Y81" s="65">
        <f>IFERROR(W81/#REF!,0)</f>
        <v>0</v>
      </c>
      <c r="Z81" s="106" t="e">
        <f>IF(F81=0,"휴무",T81/#REF!*$Z$4)</f>
        <v>#REF!</v>
      </c>
      <c r="AA81" s="107" t="e">
        <f>IF(F81=0,"휴무",W81/#REF!*$AA$4)</f>
        <v>#REF!</v>
      </c>
      <c r="AB81" s="66" t="e">
        <f t="shared" si="24"/>
        <v>#REF!</v>
      </c>
      <c r="AC81" s="108" t="e">
        <f t="shared" si="25"/>
        <v>#REF!</v>
      </c>
      <c r="AD81" s="109"/>
      <c r="AE81" s="37">
        <f>AF81-F81</f>
        <v>-10</v>
      </c>
      <c r="AF81" s="38">
        <f>AM81</f>
        <v>0</v>
      </c>
      <c r="AG81" s="216" t="s">
        <v>34</v>
      </c>
      <c r="AH81" s="39"/>
      <c r="AI81" s="40" t="str">
        <f>IFERROR(Y81/V81*1000,"")</f>
        <v/>
      </c>
      <c r="AJ81" s="39"/>
      <c r="AK81" s="41"/>
      <c r="AL81" s="41"/>
      <c r="AM81" s="41"/>
      <c r="AN81" s="216"/>
      <c r="AO81" s="216">
        <f>AN81-F81</f>
        <v>-10</v>
      </c>
    </row>
    <row r="82" spans="2:41" ht="98.25" customHeight="1" x14ac:dyDescent="0.3">
      <c r="B82" s="459"/>
      <c r="C82" s="92">
        <v>21</v>
      </c>
      <c r="D82" s="212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95">
        <f>+T100</f>
        <v>0</v>
      </c>
      <c r="U82" s="62">
        <f>IF(F82=0,"휴무",T82/F82)</f>
        <v>0</v>
      </c>
      <c r="V82" s="63">
        <f>IFERROR(T82/#REF!,0)</f>
        <v>0</v>
      </c>
      <c r="W82" s="105">
        <f>+W100</f>
        <v>0</v>
      </c>
      <c r="X82" s="96">
        <f t="shared" si="23"/>
        <v>0</v>
      </c>
      <c r="Y82" s="65">
        <f>IFERROR(W82/#REF!,0)</f>
        <v>0</v>
      </c>
      <c r="Z82" s="106" t="e">
        <f>IF(F82=0,"휴무",T82/#REF!*$Z$4)</f>
        <v>#REF!</v>
      </c>
      <c r="AA82" s="107" t="e">
        <f>IF(F82=0,"휴무",W82/#REF!*$AA$4)</f>
        <v>#REF!</v>
      </c>
      <c r="AB82" s="66" t="e">
        <f t="shared" si="24"/>
        <v>#REF!</v>
      </c>
      <c r="AC82" s="108" t="e">
        <f t="shared" si="25"/>
        <v>#REF!</v>
      </c>
      <c r="AD82" s="109"/>
      <c r="AE82" s="37">
        <f>AF82-F82</f>
        <v>-10</v>
      </c>
      <c r="AF82" s="38">
        <f>AM82</f>
        <v>0</v>
      </c>
      <c r="AG82" s="216" t="s">
        <v>36</v>
      </c>
      <c r="AH82" s="39"/>
      <c r="AI82" s="40" t="str">
        <f>IFERROR(Y82/V82*1000,"")</f>
        <v/>
      </c>
      <c r="AJ82" s="39"/>
      <c r="AK82" s="41"/>
      <c r="AL82" s="41"/>
      <c r="AM82" s="41"/>
      <c r="AN82" s="216"/>
      <c r="AO82" s="216">
        <f>AN82-F82</f>
        <v>-10</v>
      </c>
    </row>
    <row r="83" spans="2:41" ht="98.25" customHeight="1" x14ac:dyDescent="0.3">
      <c r="B83" s="459"/>
      <c r="C83" s="92">
        <v>22</v>
      </c>
      <c r="D83" s="212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95">
        <f>+T103</f>
        <v>0</v>
      </c>
      <c r="U83" s="62">
        <f>IF(F83=0,"휴무",T83/F83)</f>
        <v>0</v>
      </c>
      <c r="V83" s="63">
        <f>IFERROR(T83/#REF!,0)</f>
        <v>0</v>
      </c>
      <c r="W83" s="105">
        <f>+W103</f>
        <v>0</v>
      </c>
      <c r="X83" s="62">
        <f t="shared" si="23"/>
        <v>0</v>
      </c>
      <c r="Y83" s="65">
        <f>IFERROR(W83/#REF!,0)</f>
        <v>0</v>
      </c>
      <c r="Z83" s="106" t="e">
        <f>IF(F83=0,"휴무",T83/#REF!*$Z$4)</f>
        <v>#REF!</v>
      </c>
      <c r="AA83" s="107" t="e">
        <f>IF(F83=0,"휴무",W83/#REF!*$AA$4)</f>
        <v>#REF!</v>
      </c>
      <c r="AB83" s="66" t="e">
        <f t="shared" si="24"/>
        <v>#REF!</v>
      </c>
      <c r="AC83" s="110" t="e">
        <f t="shared" si="25"/>
        <v>#REF!</v>
      </c>
      <c r="AD83" s="104"/>
      <c r="AE83" s="37">
        <f>AF83-F83</f>
        <v>-10</v>
      </c>
      <c r="AF83" s="38">
        <f>AM83</f>
        <v>0</v>
      </c>
      <c r="AG83" s="216" t="s">
        <v>33</v>
      </c>
      <c r="AH83" s="39"/>
      <c r="AI83" s="40" t="str">
        <f>IFERROR(Y83/V83*1000,"")</f>
        <v/>
      </c>
      <c r="AJ83" s="39"/>
      <c r="AK83" s="41"/>
      <c r="AL83" s="41"/>
      <c r="AM83" s="41"/>
      <c r="AN83" s="216"/>
      <c r="AO83" s="216">
        <f>AN83-F83</f>
        <v>-10</v>
      </c>
    </row>
    <row r="84" spans="2:41" ht="98.25" customHeight="1" x14ac:dyDescent="0.3">
      <c r="B84" s="459"/>
      <c r="C84" s="92">
        <v>23</v>
      </c>
      <c r="D84" s="212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95">
        <f>+T104</f>
        <v>0</v>
      </c>
      <c r="U84" s="62">
        <f>IF(F84=0,"휴무",T84/F84)</f>
        <v>0</v>
      </c>
      <c r="V84" s="63">
        <f>IFERROR(T84/#REF!,0)</f>
        <v>0</v>
      </c>
      <c r="W84" s="105">
        <f>+W104</f>
        <v>0</v>
      </c>
      <c r="X84" s="62">
        <f t="shared" si="23"/>
        <v>0</v>
      </c>
      <c r="Y84" s="65">
        <f>IFERROR(W84/#REF!,0)</f>
        <v>0</v>
      </c>
      <c r="Z84" s="106" t="e">
        <f>IF(F84=0,"휴무",T84/#REF!*$Z$4)</f>
        <v>#REF!</v>
      </c>
      <c r="AA84" s="107" t="e">
        <f>IF(F84=0,"휴무",W84/#REF!*$AA$4)</f>
        <v>#REF!</v>
      </c>
      <c r="AB84" s="66" t="e">
        <f t="shared" si="24"/>
        <v>#REF!</v>
      </c>
      <c r="AC84" s="110" t="e">
        <f t="shared" si="25"/>
        <v>#REF!</v>
      </c>
      <c r="AD84" s="104"/>
      <c r="AE84" s="37">
        <f>AF84-F84</f>
        <v>-10</v>
      </c>
      <c r="AF84" s="38">
        <f>AM84</f>
        <v>0</v>
      </c>
      <c r="AG84" s="216" t="s">
        <v>46</v>
      </c>
      <c r="AH84" s="39"/>
      <c r="AI84" s="40" t="str">
        <f>IFERROR(Y84/V84*1000,"")</f>
        <v/>
      </c>
      <c r="AJ84" s="216"/>
      <c r="AK84" s="41"/>
      <c r="AL84" s="41"/>
      <c r="AM84" s="41"/>
      <c r="AN84" s="216"/>
      <c r="AO84" s="216">
        <f>AN84-F84</f>
        <v>-10</v>
      </c>
    </row>
    <row r="85" spans="2:41" ht="98.25" customHeight="1" x14ac:dyDescent="0.3">
      <c r="B85" s="459"/>
      <c r="C85" s="92">
        <v>25</v>
      </c>
      <c r="D85" s="212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95">
        <f>T109</f>
        <v>0</v>
      </c>
      <c r="U85" s="96">
        <v>58.924999999999997</v>
      </c>
      <c r="V85" s="97">
        <v>0.89280303030303021</v>
      </c>
      <c r="W85" s="98">
        <f>W109</f>
        <v>0</v>
      </c>
      <c r="X85" s="62" t="str">
        <f t="shared" si="23"/>
        <v>휴무</v>
      </c>
      <c r="Y85" s="65">
        <f>IFERROR(W85/#REF!,0)</f>
        <v>0</v>
      </c>
      <c r="Z85" s="106" t="str">
        <f>IF(F85=0,"휴무",T85/#REF!*$Z$4)</f>
        <v>휴무</v>
      </c>
      <c r="AA85" s="107" t="str">
        <f>IF(F85=0,"휴무",W85/#REF!*$AA$4)</f>
        <v>휴무</v>
      </c>
      <c r="AB85" s="66" t="str">
        <f t="shared" si="24"/>
        <v>휴무</v>
      </c>
      <c r="AC85" s="110" t="str">
        <f t="shared" si="25"/>
        <v>휴무</v>
      </c>
      <c r="AD85" s="104"/>
      <c r="AE85" s="37"/>
      <c r="AF85" s="38"/>
      <c r="AG85" s="216"/>
      <c r="AH85" s="39"/>
      <c r="AI85" s="40"/>
      <c r="AJ85" s="216"/>
      <c r="AK85" s="41"/>
      <c r="AL85" s="41"/>
      <c r="AM85" s="41"/>
      <c r="AN85" s="216"/>
      <c r="AO85" s="216"/>
    </row>
    <row r="86" spans="2:41" ht="36" customHeight="1" x14ac:dyDescent="0.3">
      <c r="B86" s="460" t="s">
        <v>39</v>
      </c>
      <c r="C86" s="461"/>
      <c r="D86" s="461"/>
      <c r="E86" s="462"/>
      <c r="F86" s="212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11">
        <f>SUM(T80:T85)</f>
        <v>0</v>
      </c>
      <c r="U86" s="112"/>
      <c r="V86" s="63">
        <f>IFERROR(T86/#REF!,0)</f>
        <v>0</v>
      </c>
      <c r="W86" s="113">
        <f>SUM(W80:W85)</f>
        <v>0</v>
      </c>
      <c r="X86" s="62"/>
      <c r="Y86" s="65">
        <f>IFERROR(W86/#REF!,0)</f>
        <v>0</v>
      </c>
      <c r="Z86" s="212"/>
      <c r="AA86" s="213"/>
      <c r="AB86" s="114"/>
      <c r="AC86" s="115"/>
      <c r="AD86" s="214"/>
      <c r="AE86" s="37">
        <f>AF86-F86</f>
        <v>-50</v>
      </c>
      <c r="AF86" s="38">
        <f>SUM(AF80:AF85)</f>
        <v>0</v>
      </c>
      <c r="AG86" s="216"/>
      <c r="AH86" s="216"/>
      <c r="AI86" s="40"/>
      <c r="AJ86" s="216"/>
      <c r="AK86" s="59"/>
      <c r="AL86" s="59"/>
      <c r="AM86" s="59"/>
      <c r="AN86" s="216"/>
      <c r="AO86" s="216"/>
    </row>
    <row r="87" spans="2:41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61">
        <f>U87*F87</f>
        <v>0</v>
      </c>
      <c r="U87" s="62">
        <f>T86/F86</f>
        <v>0</v>
      </c>
      <c r="V87" s="63">
        <f>IFERROR(T87/#REF!,0)</f>
        <v>0</v>
      </c>
      <c r="W87" s="64">
        <f>W86/F86*F87</f>
        <v>0</v>
      </c>
      <c r="X87" s="62">
        <f>IF(F87=0,"휴무",W87/F87)</f>
        <v>0</v>
      </c>
      <c r="Y87" s="65">
        <f>IFERROR(W87/#REF!,0)</f>
        <v>0</v>
      </c>
      <c r="Z87" s="60" t="e">
        <f>AVERAGE(Z80:Z85)</f>
        <v>#REF!</v>
      </c>
      <c r="AA87" s="60" t="e">
        <f>AVERAGE(AA80:AA85)</f>
        <v>#REF!</v>
      </c>
      <c r="AB87" s="66" t="e">
        <f>Z87+AA87</f>
        <v>#REF!</v>
      </c>
      <c r="AC87" s="115" t="e">
        <f>IF(F87=0,"휴무",IF(AB87&gt;=100,"좋아요",IF(AB87&gt;=90,"90~99",IF(AB87&gt;=80,"80~89"," 사유?→"))))</f>
        <v>#REF!</v>
      </c>
      <c r="AD87" s="68"/>
      <c r="AE87" s="69"/>
      <c r="AF87" s="69"/>
      <c r="AG87" s="69"/>
      <c r="AH87" s="69"/>
      <c r="AI87" s="40" t="str">
        <f>IFERROR(Y87/V87*1000,"")</f>
        <v/>
      </c>
      <c r="AJ87" s="69"/>
      <c r="AK87" s="10"/>
      <c r="AL87" s="10"/>
      <c r="AM87" s="10"/>
      <c r="AN87" s="69"/>
      <c r="AO87" s="69"/>
    </row>
    <row r="88" spans="2:41" x14ac:dyDescent="0.3">
      <c r="B88" s="70" t="s">
        <v>41</v>
      </c>
      <c r="C88" s="71"/>
      <c r="D88" s="71"/>
      <c r="E88" s="72"/>
      <c r="T88" s="22"/>
      <c r="V88" s="73">
        <f>V87*60</f>
        <v>0</v>
      </c>
      <c r="W88" s="74"/>
      <c r="X88" s="73"/>
      <c r="Y88" s="74">
        <f>Y87*40</f>
        <v>0</v>
      </c>
      <c r="Z88" s="81"/>
      <c r="AA88" s="81"/>
      <c r="AB88" s="74">
        <f>V88+Y88</f>
        <v>0</v>
      </c>
      <c r="AC88" s="216"/>
      <c r="AD88" s="216"/>
      <c r="AE88" s="216"/>
      <c r="AF88" s="216"/>
      <c r="AG88" s="216"/>
      <c r="AH88" s="216"/>
      <c r="AI88" s="216"/>
      <c r="AJ88" s="216"/>
      <c r="AK88" s="59"/>
      <c r="AL88" s="59"/>
      <c r="AM88" s="59"/>
      <c r="AN88" s="216"/>
      <c r="AO88" s="216"/>
    </row>
    <row r="89" spans="2:41" ht="17.25" thickBot="1" x14ac:dyDescent="0.35">
      <c r="B89" s="70" t="s">
        <v>61</v>
      </c>
      <c r="U89" s="10">
        <v>8.8000000000000007</v>
      </c>
    </row>
    <row r="90" spans="2:41" ht="17.25" thickBot="1" x14ac:dyDescent="0.35">
      <c r="B90" s="76" t="s">
        <v>42</v>
      </c>
      <c r="C90" s="77"/>
      <c r="D90" s="78" t="s">
        <v>43</v>
      </c>
      <c r="E90" s="78"/>
      <c r="F90" s="79"/>
      <c r="X90" s="10">
        <v>50</v>
      </c>
    </row>
    <row r="92" spans="2:41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3"/>
      <c r="U92" s="84"/>
      <c r="V92" s="85"/>
      <c r="W92" s="86"/>
    </row>
    <row r="93" spans="2:41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3"/>
      <c r="U93" s="84"/>
      <c r="V93" s="85"/>
      <c r="W93" s="86"/>
    </row>
    <row r="94" spans="2:41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7">
        <f>+T92+T93*1.6</f>
        <v>0</v>
      </c>
      <c r="U94" s="88"/>
      <c r="V94" s="89"/>
      <c r="W94" s="90">
        <f>+W92+W93*1.6</f>
        <v>0</v>
      </c>
    </row>
    <row r="95" spans="2:41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3"/>
      <c r="U95" s="84"/>
      <c r="V95" s="85"/>
      <c r="W95" s="86"/>
    </row>
    <row r="96" spans="2:41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3"/>
      <c r="U96" s="84"/>
      <c r="V96" s="85"/>
      <c r="W96" s="86"/>
    </row>
    <row r="97" spans="5:30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91">
        <f>+T95+T96*1.6</f>
        <v>0</v>
      </c>
      <c r="U97" s="88"/>
      <c r="V97" s="89"/>
      <c r="W97" s="90">
        <f>+W95+W96*1.6</f>
        <v>0</v>
      </c>
    </row>
    <row r="98" spans="5:30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84"/>
      <c r="V98" s="85"/>
      <c r="W98" s="86"/>
    </row>
    <row r="99" spans="5:30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3"/>
      <c r="U99" s="84"/>
      <c r="V99" s="85"/>
      <c r="W99" s="86"/>
    </row>
    <row r="100" spans="5:30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7">
        <f>+T98+T99*1.6</f>
        <v>0</v>
      </c>
      <c r="U100" s="88"/>
      <c r="V100" s="89"/>
      <c r="W100" s="90">
        <f>+W98+W99*1.6</f>
        <v>0</v>
      </c>
    </row>
    <row r="101" spans="5:30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3"/>
      <c r="U101" s="84"/>
      <c r="V101" s="85"/>
      <c r="W101" s="86"/>
    </row>
    <row r="102" spans="5:30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3"/>
      <c r="U102" s="84"/>
      <c r="V102" s="85"/>
      <c r="W102" s="86"/>
    </row>
    <row r="103" spans="5:30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7">
        <f>+T101+T102*1.6</f>
        <v>0</v>
      </c>
      <c r="U103" s="88"/>
      <c r="V103" s="89"/>
      <c r="W103" s="90">
        <f>+W101+W102*1.6</f>
        <v>0</v>
      </c>
    </row>
    <row r="104" spans="5:30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3"/>
      <c r="U104" s="84"/>
      <c r="V104" s="85"/>
      <c r="W104" s="86"/>
    </row>
    <row r="105" spans="5:30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3"/>
      <c r="U105" s="84"/>
      <c r="V105" s="85"/>
      <c r="W105" s="86"/>
    </row>
    <row r="106" spans="5:30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7">
        <f>+T104+T105*1.6</f>
        <v>0</v>
      </c>
      <c r="U106" s="88"/>
      <c r="V106" s="89"/>
      <c r="W106" s="90">
        <f>+W104+W105*1.6</f>
        <v>0</v>
      </c>
    </row>
    <row r="107" spans="5:30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3"/>
      <c r="U107" s="84"/>
      <c r="V107" s="85"/>
      <c r="W107" s="86"/>
      <c r="AD107" s="116"/>
    </row>
    <row r="108" spans="5:30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3"/>
      <c r="U108" s="84"/>
      <c r="V108" s="85"/>
      <c r="W108" s="86"/>
    </row>
    <row r="109" spans="5:30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7">
        <f>+T107+T108*1.6</f>
        <v>0</v>
      </c>
      <c r="U109" s="88"/>
      <c r="V109" s="89"/>
      <c r="W109" s="90">
        <f>+W107+W108*1.6</f>
        <v>0</v>
      </c>
    </row>
    <row r="114" spans="3:26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</row>
    <row r="116" spans="3:26" x14ac:dyDescent="0.3">
      <c r="C116" s="212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117"/>
      <c r="V116" s="118"/>
      <c r="W116" s="116"/>
      <c r="X116" s="117"/>
      <c r="Y116" s="116"/>
      <c r="Z116" s="116"/>
    </row>
    <row r="117" spans="3:26" x14ac:dyDescent="0.3">
      <c r="C117" s="212" t="s">
        <v>63</v>
      </c>
      <c r="D117" s="466" t="s">
        <v>12</v>
      </c>
      <c r="E117" s="466"/>
      <c r="F117" s="212" t="s">
        <v>64</v>
      </c>
      <c r="G117" s="212"/>
      <c r="H117" s="212"/>
      <c r="I117" s="212"/>
      <c r="J117" s="212"/>
      <c r="K117" s="212"/>
      <c r="L117" s="212"/>
      <c r="M117" s="212"/>
      <c r="N117" s="212"/>
      <c r="O117" s="212"/>
      <c r="P117" s="212"/>
      <c r="Q117" s="212"/>
      <c r="R117" s="212"/>
      <c r="S117" s="212"/>
      <c r="T117" s="212" t="s">
        <v>15</v>
      </c>
      <c r="U117" s="117"/>
      <c r="V117" s="118"/>
      <c r="W117" s="116"/>
      <c r="X117" s="117"/>
      <c r="Y117" s="116"/>
      <c r="Z117" s="116"/>
    </row>
    <row r="118" spans="3:26" x14ac:dyDescent="0.3">
      <c r="C118" s="119">
        <v>45075</v>
      </c>
      <c r="D118" s="466"/>
      <c r="E118" s="466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  <c r="U118" s="117"/>
      <c r="V118" s="118"/>
      <c r="W118" s="116"/>
      <c r="X118" s="117"/>
      <c r="Y118" s="116"/>
      <c r="Z118" s="116"/>
    </row>
    <row r="119" spans="3:26" x14ac:dyDescent="0.3">
      <c r="C119" s="119">
        <v>45076</v>
      </c>
      <c r="D119" s="466"/>
      <c r="E119" s="466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  <c r="U119" s="117"/>
      <c r="V119" s="118"/>
      <c r="W119" s="116"/>
      <c r="X119" s="117"/>
      <c r="Y119" s="116"/>
      <c r="Z119" s="116"/>
    </row>
    <row r="120" spans="3:26" x14ac:dyDescent="0.3">
      <c r="C120" s="119">
        <v>45077</v>
      </c>
      <c r="D120" s="466"/>
      <c r="E120" s="466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  <c r="U120" s="117"/>
      <c r="V120" s="118"/>
      <c r="W120" s="116"/>
      <c r="X120" s="117"/>
      <c r="Y120" s="116"/>
      <c r="Z120" s="116"/>
    </row>
    <row r="121" spans="3:26" x14ac:dyDescent="0.3">
      <c r="C121" s="119">
        <v>45078</v>
      </c>
      <c r="D121" s="466"/>
      <c r="E121" s="466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  <c r="U121" s="117"/>
      <c r="V121" s="118"/>
      <c r="W121" s="116"/>
      <c r="X121" s="117"/>
      <c r="Y121" s="116"/>
      <c r="Z121" s="116"/>
    </row>
    <row r="122" spans="3:26" x14ac:dyDescent="0.3">
      <c r="C122" s="119">
        <v>45079</v>
      </c>
      <c r="D122" s="466"/>
      <c r="E122" s="466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  <c r="U122" s="117"/>
      <c r="V122" s="118"/>
      <c r="W122" s="116"/>
      <c r="X122" s="117"/>
      <c r="Y122" s="116"/>
      <c r="Z122" s="116"/>
    </row>
    <row r="123" spans="3:26" x14ac:dyDescent="0.3">
      <c r="C123" s="119">
        <v>45080</v>
      </c>
      <c r="D123" s="466"/>
      <c r="E123" s="466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  <c r="U123" s="117"/>
      <c r="V123" s="118"/>
      <c r="W123" s="116"/>
      <c r="X123" s="117"/>
      <c r="Y123" s="116"/>
      <c r="Z123" s="116"/>
    </row>
    <row r="124" spans="3:26" x14ac:dyDescent="0.3">
      <c r="C124" s="212"/>
      <c r="D124" s="460"/>
      <c r="E124" s="46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  <c r="U124" s="117"/>
      <c r="V124" s="118"/>
      <c r="W124" s="116"/>
      <c r="X124" s="117"/>
      <c r="Y124" s="116"/>
      <c r="Z124" s="116"/>
    </row>
    <row r="125" spans="3:26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117"/>
      <c r="V125" s="118"/>
      <c r="W125" s="116"/>
      <c r="X125" s="117"/>
      <c r="Y125" s="116"/>
      <c r="Z125" s="116"/>
    </row>
    <row r="126" spans="3:26" x14ac:dyDescent="0.3">
      <c r="C126" s="212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117"/>
      <c r="V126" s="118"/>
      <c r="W126" s="116"/>
      <c r="X126" s="117"/>
      <c r="Y126" s="116"/>
      <c r="Z126" s="116"/>
    </row>
    <row r="127" spans="3:26" x14ac:dyDescent="0.3">
      <c r="C127" s="212" t="s">
        <v>63</v>
      </c>
      <c r="D127" s="466" t="s">
        <v>12</v>
      </c>
      <c r="E127" s="466"/>
      <c r="F127" s="212" t="s">
        <v>64</v>
      </c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 t="s">
        <v>15</v>
      </c>
      <c r="U127" s="117"/>
      <c r="V127" s="118"/>
      <c r="W127" s="116"/>
      <c r="X127" s="117"/>
      <c r="Y127" s="116"/>
      <c r="Z127" s="116"/>
    </row>
    <row r="128" spans="3:26" x14ac:dyDescent="0.3">
      <c r="C128" s="119">
        <v>45075</v>
      </c>
      <c r="D128" s="466"/>
      <c r="E128" s="466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117"/>
      <c r="V128" s="118"/>
      <c r="W128" s="116"/>
      <c r="X128" s="117"/>
      <c r="Y128" s="116"/>
      <c r="Z128" s="116"/>
    </row>
    <row r="129" spans="3:26" x14ac:dyDescent="0.3">
      <c r="C129" s="119">
        <v>45076</v>
      </c>
      <c r="D129" s="466"/>
      <c r="E129" s="466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  <c r="U129" s="117"/>
      <c r="V129" s="118"/>
      <c r="W129" s="116"/>
      <c r="X129" s="117"/>
      <c r="Y129" s="116"/>
      <c r="Z129" s="116"/>
    </row>
    <row r="130" spans="3:26" x14ac:dyDescent="0.3">
      <c r="C130" s="119">
        <v>45077</v>
      </c>
      <c r="D130" s="466"/>
      <c r="E130" s="466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  <c r="U130" s="117"/>
      <c r="V130" s="118"/>
      <c r="W130" s="116"/>
      <c r="X130" s="117"/>
      <c r="Y130" s="116"/>
      <c r="Z130" s="116"/>
    </row>
    <row r="131" spans="3:26" x14ac:dyDescent="0.3">
      <c r="C131" s="119">
        <v>45078</v>
      </c>
      <c r="D131" s="466"/>
      <c r="E131" s="466"/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  <c r="U131" s="117"/>
      <c r="V131" s="118"/>
      <c r="W131" s="116"/>
      <c r="X131" s="117"/>
      <c r="Y131" s="116"/>
      <c r="Z131" s="116"/>
    </row>
    <row r="132" spans="3:26" x14ac:dyDescent="0.3">
      <c r="C132" s="119">
        <v>45079</v>
      </c>
      <c r="D132" s="466"/>
      <c r="E132" s="466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  <c r="U132" s="117"/>
      <c r="V132" s="118"/>
      <c r="W132" s="116"/>
      <c r="X132" s="117"/>
      <c r="Y132" s="116"/>
      <c r="Z132" s="116"/>
    </row>
    <row r="133" spans="3:26" x14ac:dyDescent="0.3">
      <c r="C133" s="119">
        <v>45080</v>
      </c>
      <c r="D133" s="466"/>
      <c r="E133" s="466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  <c r="U133" s="117"/>
      <c r="V133" s="118"/>
      <c r="W133" s="116"/>
      <c r="X133" s="117"/>
      <c r="Y133" s="116"/>
      <c r="Z133" s="116"/>
    </row>
    <row r="134" spans="3:26" x14ac:dyDescent="0.3">
      <c r="C134" s="212"/>
      <c r="D134" s="460"/>
      <c r="E134" s="46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  <c r="U134" s="117"/>
      <c r="V134" s="118"/>
      <c r="W134" s="116"/>
      <c r="X134" s="117"/>
      <c r="Y134" s="116"/>
      <c r="Z134" s="116"/>
    </row>
    <row r="135" spans="3:26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117"/>
      <c r="V135" s="118"/>
      <c r="W135" s="116"/>
      <c r="X135" s="117"/>
      <c r="Y135" s="116"/>
      <c r="Z135" s="116"/>
    </row>
    <row r="136" spans="3:26" x14ac:dyDescent="0.3">
      <c r="C136" s="212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117"/>
      <c r="V136" s="118"/>
      <c r="W136" s="116"/>
      <c r="X136" s="117"/>
      <c r="Y136" s="116"/>
      <c r="Z136" s="116"/>
    </row>
    <row r="137" spans="3:26" x14ac:dyDescent="0.3">
      <c r="C137" s="212" t="s">
        <v>63</v>
      </c>
      <c r="D137" s="466" t="s">
        <v>12</v>
      </c>
      <c r="E137" s="466"/>
      <c r="F137" s="212" t="s">
        <v>64</v>
      </c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 t="s">
        <v>15</v>
      </c>
      <c r="U137" s="117"/>
      <c r="V137" s="118"/>
      <c r="W137" s="116"/>
      <c r="X137" s="117"/>
      <c r="Y137" s="116"/>
      <c r="Z137" s="116"/>
    </row>
    <row r="138" spans="3:26" x14ac:dyDescent="0.3">
      <c r="C138" s="119">
        <v>45075</v>
      </c>
      <c r="D138" s="466"/>
      <c r="E138" s="466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  <c r="U138" s="117"/>
      <c r="V138" s="118"/>
      <c r="W138" s="116"/>
      <c r="X138" s="117"/>
      <c r="Y138" s="116"/>
      <c r="Z138" s="116"/>
    </row>
    <row r="139" spans="3:26" x14ac:dyDescent="0.3">
      <c r="C139" s="119">
        <v>45076</v>
      </c>
      <c r="D139" s="466"/>
      <c r="E139" s="466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  <c r="U139" s="117"/>
      <c r="V139" s="118"/>
      <c r="W139" s="116"/>
      <c r="X139" s="117"/>
      <c r="Y139" s="116"/>
      <c r="Z139" s="116"/>
    </row>
    <row r="140" spans="3:26" x14ac:dyDescent="0.3">
      <c r="C140" s="119">
        <v>45077</v>
      </c>
      <c r="D140" s="466"/>
      <c r="E140" s="466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</row>
    <row r="141" spans="3:26" x14ac:dyDescent="0.3">
      <c r="C141" s="119">
        <v>45078</v>
      </c>
      <c r="D141" s="466"/>
      <c r="E141" s="466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</row>
    <row r="142" spans="3:26" x14ac:dyDescent="0.3">
      <c r="C142" s="119">
        <v>45079</v>
      </c>
      <c r="D142" s="466"/>
      <c r="E142" s="466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</row>
    <row r="143" spans="3:26" x14ac:dyDescent="0.3">
      <c r="C143" s="119">
        <v>45080</v>
      </c>
      <c r="D143" s="466"/>
      <c r="E143" s="466"/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212"/>
    </row>
    <row r="144" spans="3:26" x14ac:dyDescent="0.3">
      <c r="C144" s="212"/>
      <c r="D144" s="460"/>
      <c r="E144" s="462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</row>
  </sheetData>
  <mergeCells count="113">
    <mergeCell ref="T5:V5"/>
    <mergeCell ref="W5:Y5"/>
    <mergeCell ref="AB5:AB6"/>
    <mergeCell ref="AC5:AC6"/>
    <mergeCell ref="AD5:AD6"/>
    <mergeCell ref="B7:B12"/>
    <mergeCell ref="B2:AD2"/>
    <mergeCell ref="B3:AD3"/>
    <mergeCell ref="B5:C6"/>
    <mergeCell ref="D5:D6"/>
    <mergeCell ref="E5:E6"/>
    <mergeCell ref="F5:F6"/>
    <mergeCell ref="G5:G6"/>
    <mergeCell ref="H5:H6"/>
    <mergeCell ref="I5:R5"/>
    <mergeCell ref="S5:S6"/>
    <mergeCell ref="B13:E13"/>
    <mergeCell ref="B14:E14"/>
    <mergeCell ref="B19:AD19"/>
    <mergeCell ref="B21:B22"/>
    <mergeCell ref="C21:C22"/>
    <mergeCell ref="D21:D22"/>
    <mergeCell ref="E21:E22"/>
    <mergeCell ref="F21:F22"/>
    <mergeCell ref="G21:G22"/>
    <mergeCell ref="H21:H22"/>
    <mergeCell ref="AB21:AB22"/>
    <mergeCell ref="AC21:AC22"/>
    <mergeCell ref="AD21:AD22"/>
    <mergeCell ref="B23:B28"/>
    <mergeCell ref="B29:E29"/>
    <mergeCell ref="B30:E30"/>
    <mergeCell ref="I21:R21"/>
    <mergeCell ref="S21:S22"/>
    <mergeCell ref="T21:V21"/>
    <mergeCell ref="W21:Y21"/>
    <mergeCell ref="Z21:Z22"/>
    <mergeCell ref="AA21:AA22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AD78:AD79"/>
    <mergeCell ref="B80:B85"/>
    <mergeCell ref="B86:E86"/>
    <mergeCell ref="B87:E87"/>
    <mergeCell ref="E92:E94"/>
    <mergeCell ref="F92:F94"/>
    <mergeCell ref="B76:AD76"/>
    <mergeCell ref="B78:B79"/>
    <mergeCell ref="C78:C79"/>
    <mergeCell ref="D78:D79"/>
    <mergeCell ref="E78:E79"/>
    <mergeCell ref="F78:F79"/>
    <mergeCell ref="T78:V78"/>
    <mergeCell ref="W78:Y78"/>
    <mergeCell ref="AB78:AB79"/>
    <mergeCell ref="AC78:AC79"/>
    <mergeCell ref="E104:E106"/>
    <mergeCell ref="F104:F106"/>
    <mergeCell ref="E107:E109"/>
    <mergeCell ref="F107:F109"/>
    <mergeCell ref="C114:T114"/>
    <mergeCell ref="D117:E117"/>
    <mergeCell ref="E95:E97"/>
    <mergeCell ref="F95:F97"/>
    <mergeCell ref="E98:E100"/>
    <mergeCell ref="F98:F100"/>
    <mergeCell ref="E101:E103"/>
    <mergeCell ref="F101:F103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</mergeCells>
  <phoneticPr fontId="4" type="noConversion"/>
  <dataValidations count="4">
    <dataValidation type="list" allowBlank="1" showInputMessage="1" showErrorMessage="1" sqref="E8 E24">
      <formula1>$T$7:$T$12</formula1>
    </dataValidation>
    <dataValidation type="list" allowBlank="1" showInputMessage="1" showErrorMessage="1" sqref="AG23:AG25 AG7 AG10 AG80:AG82">
      <formula1>$AD$6:$AD$8</formula1>
    </dataValidation>
    <dataValidation type="list" allowBlank="1" showInputMessage="1" showErrorMessage="1" sqref="E80:E85 E25:E27 E23 E7 E9:E11">
      <formula1>$AG$7:$AG$12</formula1>
    </dataValidation>
    <dataValidation type="list" allowBlank="1" showInputMessage="1" showErrorMessage="1" sqref="E28 E12">
      <formula1>$AF$6:$AF$11</formula1>
    </dataValidation>
  </dataValidations>
  <pageMargins left="0.62992125984251968" right="0.62992125984251968" top="0.94488188976377963" bottom="0.55118110236220474" header="0.31496062992125984" footer="0.31496062992125984"/>
  <pageSetup paperSize="9" scale="26" orientation="landscape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Y144"/>
  <sheetViews>
    <sheetView showGridLines="0" zoomScale="70" zoomScaleNormal="70" workbookViewId="0">
      <pane xSplit="4" ySplit="6" topLeftCell="E25" activePane="bottomRight" state="frozen"/>
      <selection pane="topRight" activeCell="D1" sqref="D1"/>
      <selection pane="bottomLeft" activeCell="A6" sqref="A6"/>
      <selection pane="bottomRight" activeCell="N28" sqref="N28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19" width="8.625" style="8" customWidth="1"/>
    <col min="20" max="20" width="10.75" style="75" customWidth="1"/>
    <col min="21" max="21" width="10.875" style="10" customWidth="1"/>
    <col min="22" max="22" width="7.375" style="11" customWidth="1"/>
    <col min="23" max="23" width="12.25" customWidth="1"/>
    <col min="24" max="24" width="7.75" style="10" customWidth="1"/>
    <col min="25" max="25" width="10.375" customWidth="1"/>
    <col min="26" max="26" width="9.5" customWidth="1"/>
    <col min="27" max="27" width="10" customWidth="1"/>
    <col min="28" max="28" width="7.125" customWidth="1"/>
    <col min="29" max="29" width="8.375" customWidth="1"/>
    <col min="30" max="30" width="66.5" customWidth="1"/>
    <col min="31" max="32" width="9.125" hidden="1" customWidth="1"/>
    <col min="33" max="33" width="8.75" hidden="1" customWidth="1"/>
    <col min="34" max="34" width="2.75" hidden="1" customWidth="1"/>
    <col min="35" max="35" width="9.125" hidden="1" customWidth="1"/>
    <col min="36" max="36" width="0" hidden="1" customWidth="1"/>
    <col min="37" max="39" width="9.125" style="1" hidden="1" customWidth="1"/>
    <col min="40" max="41" width="0" hidden="1" customWidth="1"/>
    <col min="42" max="42" width="11.75" hidden="1" customWidth="1"/>
    <col min="43" max="43" width="3.25" customWidth="1"/>
  </cols>
  <sheetData>
    <row r="2" spans="2:51" ht="20.25" x14ac:dyDescent="0.3">
      <c r="B2" s="425" t="s">
        <v>133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V2" s="2" t="s">
        <v>0</v>
      </c>
      <c r="AW2" s="206" t="s">
        <v>1</v>
      </c>
      <c r="AX2" s="206" t="s">
        <v>2</v>
      </c>
      <c r="AY2" s="3" t="s">
        <v>3</v>
      </c>
    </row>
    <row r="3" spans="2:51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V3" s="4"/>
      <c r="AW3" s="5"/>
      <c r="AX3" s="5"/>
      <c r="AY3" s="6"/>
    </row>
    <row r="4" spans="2:51" x14ac:dyDescent="0.3">
      <c r="B4" t="s">
        <v>5</v>
      </c>
      <c r="D4" s="7">
        <v>55</v>
      </c>
      <c r="F4" s="8" t="s">
        <v>6</v>
      </c>
      <c r="T4" s="9">
        <v>1.2</v>
      </c>
      <c r="Z4" s="12">
        <v>50</v>
      </c>
      <c r="AA4" s="11">
        <f>50*10.89/10</f>
        <v>54.45</v>
      </c>
      <c r="AB4" s="12"/>
      <c r="AD4" s="8"/>
    </row>
    <row r="5" spans="2:51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8"/>
      <c r="S5" s="439" t="s">
        <v>11</v>
      </c>
      <c r="T5" s="441" t="s">
        <v>12</v>
      </c>
      <c r="U5" s="418"/>
      <c r="V5" s="442"/>
      <c r="W5" s="446" t="s">
        <v>13</v>
      </c>
      <c r="X5" s="418"/>
      <c r="Y5" s="418"/>
      <c r="Z5" s="13"/>
      <c r="AA5" s="14"/>
      <c r="AB5" s="447" t="s">
        <v>14</v>
      </c>
      <c r="AC5" s="449" t="s">
        <v>15</v>
      </c>
      <c r="AD5" s="418" t="s">
        <v>16</v>
      </c>
    </row>
    <row r="6" spans="2:51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204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76</v>
      </c>
      <c r="Q6" s="18" t="s">
        <v>77</v>
      </c>
      <c r="R6" s="127" t="s">
        <v>80</v>
      </c>
      <c r="S6" s="440"/>
      <c r="T6" s="15" t="s">
        <v>12</v>
      </c>
      <c r="U6" s="16" t="s">
        <v>17</v>
      </c>
      <c r="V6" s="17" t="s">
        <v>18</v>
      </c>
      <c r="W6" s="18" t="s">
        <v>13</v>
      </c>
      <c r="X6" s="16" t="s">
        <v>19</v>
      </c>
      <c r="Y6" s="19" t="s">
        <v>18</v>
      </c>
      <c r="Z6" s="204" t="s">
        <v>20</v>
      </c>
      <c r="AA6" s="20" t="s">
        <v>21</v>
      </c>
      <c r="AB6" s="448"/>
      <c r="AC6" s="450"/>
      <c r="AD6" s="419"/>
      <c r="AE6" s="21" t="s">
        <v>22</v>
      </c>
      <c r="AF6" s="21" t="s">
        <v>23</v>
      </c>
      <c r="AI6" s="22" t="s">
        <v>24</v>
      </c>
      <c r="AK6" s="23" t="s">
        <v>25</v>
      </c>
      <c r="AL6" s="23" t="s">
        <v>26</v>
      </c>
      <c r="AM6" s="23" t="s">
        <v>27</v>
      </c>
      <c r="AO6" s="22">
        <f>SUM(AO7:AO12)</f>
        <v>-10</v>
      </c>
    </row>
    <row r="7" spans="2:51" s="210" customFormat="1" ht="99" customHeight="1" thickTop="1" x14ac:dyDescent="0.3">
      <c r="B7" s="420">
        <v>2</v>
      </c>
      <c r="C7" s="24">
        <v>16</v>
      </c>
      <c r="D7" s="25" t="s">
        <v>7</v>
      </c>
      <c r="E7" s="26" t="s">
        <v>33</v>
      </c>
      <c r="F7" s="25">
        <v>0</v>
      </c>
      <c r="G7" s="128"/>
      <c r="H7" s="128"/>
      <c r="I7" s="123"/>
      <c r="J7" s="123"/>
      <c r="K7" s="123"/>
      <c r="L7" s="123"/>
      <c r="M7" s="123"/>
      <c r="N7" s="129"/>
      <c r="O7" s="123"/>
      <c r="P7" s="123"/>
      <c r="Q7" s="123"/>
      <c r="R7" s="125">
        <f t="shared" ref="R7:R13" si="0">COUNTA(I7:M7)+COUNTA(N7:Q7)/2</f>
        <v>0</v>
      </c>
      <c r="S7" s="27">
        <f t="shared" ref="S7:S12" si="1">F7*$D$4*$T$4</f>
        <v>0</v>
      </c>
      <c r="T7" s="28">
        <f>+H38</f>
        <v>0</v>
      </c>
      <c r="U7" s="29" t="str">
        <f t="shared" ref="U7:U12" si="2">IF(F7=0,"휴무",T7/F7)</f>
        <v>휴무</v>
      </c>
      <c r="V7" s="30">
        <f t="shared" ref="V7:V13" si="3">IFERROR(T7/S7,0)</f>
        <v>0</v>
      </c>
      <c r="W7" s="31">
        <f>+K38</f>
        <v>0</v>
      </c>
      <c r="X7" s="29" t="str">
        <f t="shared" ref="X7:X12" si="4">IF(F7=0,"휴무",W7/F7)</f>
        <v>휴무</v>
      </c>
      <c r="Y7" s="32">
        <f t="shared" ref="Y7:Y13" si="5">IFERROR(W7/S7,0)</f>
        <v>0</v>
      </c>
      <c r="Z7" s="33" t="str">
        <f t="shared" ref="Z7:Z12" si="6">IF(F7=0,"휴무",T7/S7*$Z$4)</f>
        <v>휴무</v>
      </c>
      <c r="AA7" s="34" t="str">
        <f t="shared" ref="AA7:AA12" si="7">IF(F7=0,"휴무",W7/S7*$AA$4)</f>
        <v>휴무</v>
      </c>
      <c r="AB7" s="138" t="str">
        <f t="shared" ref="AB7:AB13" si="8">IF(F7=0,"휴무",Z7+AA7)</f>
        <v>휴무</v>
      </c>
      <c r="AC7" s="35" t="str">
        <f t="shared" ref="AC7:AC13" si="9">IF(F7=0,"휴무",IF(AB7&gt;=100,"좋아요",IF(AB7&gt;=90,"90~99",IF(AB7&gt;=80,"80~89"," 사유?→"))))</f>
        <v>휴무</v>
      </c>
      <c r="AD7" s="36"/>
      <c r="AE7" s="37">
        <f>AF7-F7</f>
        <v>0</v>
      </c>
      <c r="AF7" s="38">
        <f>AM7</f>
        <v>0</v>
      </c>
      <c r="AG7" s="210" t="s">
        <v>29</v>
      </c>
      <c r="AH7" s="39"/>
      <c r="AI7" s="40" t="str">
        <f>IFERROR(Y7/V7*1000,"")</f>
        <v/>
      </c>
      <c r="AJ7" s="39"/>
      <c r="AK7" s="41"/>
      <c r="AL7" s="41"/>
      <c r="AM7" s="41"/>
      <c r="AO7" s="210">
        <f t="shared" ref="AO7:AO12" si="10">AN7-F7</f>
        <v>0</v>
      </c>
      <c r="AP7" s="42"/>
    </row>
    <row r="8" spans="2:51" s="210" customFormat="1" ht="99.75" customHeight="1" x14ac:dyDescent="0.3">
      <c r="B8" s="421"/>
      <c r="C8" s="24">
        <f>+C7+1</f>
        <v>17</v>
      </c>
      <c r="D8" s="43" t="s">
        <v>30</v>
      </c>
      <c r="E8" s="26" t="s">
        <v>33</v>
      </c>
      <c r="F8" s="25">
        <v>0</v>
      </c>
      <c r="G8" s="125"/>
      <c r="H8" s="125"/>
      <c r="I8" s="123"/>
      <c r="J8" s="123"/>
      <c r="K8" s="123"/>
      <c r="L8" s="123"/>
      <c r="M8" s="123"/>
      <c r="N8" s="129"/>
      <c r="O8" s="123"/>
      <c r="P8" s="123"/>
      <c r="Q8" s="123"/>
      <c r="R8" s="125">
        <f t="shared" si="0"/>
        <v>0</v>
      </c>
      <c r="S8" s="27">
        <f t="shared" si="1"/>
        <v>0</v>
      </c>
      <c r="T8" s="28">
        <f>+H41</f>
        <v>0</v>
      </c>
      <c r="U8" s="44" t="str">
        <f t="shared" si="2"/>
        <v>휴무</v>
      </c>
      <c r="V8" s="45">
        <f t="shared" si="3"/>
        <v>0</v>
      </c>
      <c r="W8" s="46">
        <f>+K41</f>
        <v>0</v>
      </c>
      <c r="X8" s="29" t="str">
        <f t="shared" si="4"/>
        <v>휴무</v>
      </c>
      <c r="Y8" s="47">
        <f t="shared" si="5"/>
        <v>0</v>
      </c>
      <c r="Z8" s="48" t="str">
        <f t="shared" si="6"/>
        <v>휴무</v>
      </c>
      <c r="AA8" s="49" t="str">
        <f t="shared" si="7"/>
        <v>휴무</v>
      </c>
      <c r="AB8" s="139" t="str">
        <f t="shared" si="8"/>
        <v>휴무</v>
      </c>
      <c r="AC8" s="50" t="str">
        <f t="shared" si="9"/>
        <v>휴무</v>
      </c>
      <c r="AD8" s="36"/>
      <c r="AE8" s="37">
        <f>AF8-F8</f>
        <v>0</v>
      </c>
      <c r="AF8" s="38">
        <f>AM8</f>
        <v>0</v>
      </c>
      <c r="AG8" s="210" t="s">
        <v>31</v>
      </c>
      <c r="AH8" s="39"/>
      <c r="AI8" s="40" t="str">
        <f>IFERROR(Y8/V8*1000,"")</f>
        <v/>
      </c>
      <c r="AJ8" s="39"/>
      <c r="AK8" s="41"/>
      <c r="AL8" s="41"/>
      <c r="AM8" s="41"/>
      <c r="AO8" s="210">
        <f t="shared" si="10"/>
        <v>0</v>
      </c>
      <c r="AP8" s="42"/>
    </row>
    <row r="9" spans="2:51" s="210" customFormat="1" ht="97.5" customHeight="1" x14ac:dyDescent="0.3">
      <c r="B9" s="421"/>
      <c r="C9" s="24">
        <f>+C8+1</f>
        <v>18</v>
      </c>
      <c r="D9" s="43" t="s">
        <v>32</v>
      </c>
      <c r="E9" s="26" t="s">
        <v>33</v>
      </c>
      <c r="F9" s="25">
        <v>0</v>
      </c>
      <c r="G9" s="125"/>
      <c r="H9" s="125"/>
      <c r="I9" s="123"/>
      <c r="J9" s="123"/>
      <c r="K9" s="123"/>
      <c r="L9" s="123"/>
      <c r="M9" s="123"/>
      <c r="N9" s="129"/>
      <c r="O9" s="123"/>
      <c r="P9" s="123"/>
      <c r="Q9" s="123"/>
      <c r="R9" s="125">
        <f t="shared" si="0"/>
        <v>0</v>
      </c>
      <c r="S9" s="27">
        <f t="shared" si="1"/>
        <v>0</v>
      </c>
      <c r="T9" s="51">
        <f>+H44</f>
        <v>0</v>
      </c>
      <c r="U9" s="44" t="str">
        <f t="shared" si="2"/>
        <v>휴무</v>
      </c>
      <c r="V9" s="45">
        <f t="shared" si="3"/>
        <v>0</v>
      </c>
      <c r="W9" s="46">
        <f>+K44</f>
        <v>0</v>
      </c>
      <c r="X9" s="44" t="str">
        <f t="shared" si="4"/>
        <v>휴무</v>
      </c>
      <c r="Y9" s="47">
        <f t="shared" si="5"/>
        <v>0</v>
      </c>
      <c r="Z9" s="48" t="str">
        <f t="shared" si="6"/>
        <v>휴무</v>
      </c>
      <c r="AA9" s="49" t="str">
        <f t="shared" si="7"/>
        <v>휴무</v>
      </c>
      <c r="AB9" s="139" t="str">
        <f t="shared" si="8"/>
        <v>휴무</v>
      </c>
      <c r="AC9" s="50" t="str">
        <f t="shared" si="9"/>
        <v>휴무</v>
      </c>
      <c r="AD9" s="36"/>
      <c r="AE9" s="37">
        <f>AF9-F9</f>
        <v>0</v>
      </c>
      <c r="AF9" s="38">
        <f>AM9</f>
        <v>0</v>
      </c>
      <c r="AG9" s="210" t="s">
        <v>34</v>
      </c>
      <c r="AH9" s="39"/>
      <c r="AI9" s="40" t="str">
        <f>IFERROR(Y9/V9*1000,"")</f>
        <v/>
      </c>
      <c r="AJ9" s="39"/>
      <c r="AK9" s="41"/>
      <c r="AL9" s="41"/>
      <c r="AM9" s="41"/>
      <c r="AO9" s="210">
        <f t="shared" si="10"/>
        <v>0</v>
      </c>
      <c r="AP9" s="42"/>
    </row>
    <row r="10" spans="2:51" s="210" customFormat="1" ht="95.25" customHeight="1" x14ac:dyDescent="0.3">
      <c r="B10" s="421"/>
      <c r="C10" s="24">
        <f>+C9+1</f>
        <v>19</v>
      </c>
      <c r="D10" s="43" t="s">
        <v>35</v>
      </c>
      <c r="E10" s="26" t="s">
        <v>29</v>
      </c>
      <c r="F10" s="25">
        <v>2</v>
      </c>
      <c r="G10" s="125">
        <v>98</v>
      </c>
      <c r="H10" s="125">
        <f>(G10/T10)*100</f>
        <v>98.98989898989899</v>
      </c>
      <c r="I10" s="123" t="s">
        <v>85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74</v>
      </c>
      <c r="P10" s="123" t="s">
        <v>91</v>
      </c>
      <c r="Q10" s="123" t="s">
        <v>89</v>
      </c>
      <c r="R10" s="125">
        <f t="shared" si="0"/>
        <v>6</v>
      </c>
      <c r="S10" s="27">
        <f t="shared" si="1"/>
        <v>132</v>
      </c>
      <c r="T10" s="28">
        <f>+H47</f>
        <v>99</v>
      </c>
      <c r="U10" s="44">
        <f t="shared" si="2"/>
        <v>49.5</v>
      </c>
      <c r="V10" s="45">
        <f t="shared" si="3"/>
        <v>0.75</v>
      </c>
      <c r="W10" s="46">
        <f>+K47</f>
        <v>107.84</v>
      </c>
      <c r="X10" s="29">
        <f t="shared" si="4"/>
        <v>53.92</v>
      </c>
      <c r="Y10" s="47">
        <f t="shared" si="5"/>
        <v>0.81696969696969701</v>
      </c>
      <c r="Z10" s="48">
        <f t="shared" si="6"/>
        <v>37.5</v>
      </c>
      <c r="AA10" s="49">
        <f t="shared" si="7"/>
        <v>44.484000000000002</v>
      </c>
      <c r="AB10" s="139">
        <f t="shared" si="8"/>
        <v>81.984000000000009</v>
      </c>
      <c r="AC10" s="50" t="str">
        <f t="shared" si="9"/>
        <v>80~89</v>
      </c>
      <c r="AD10" s="36"/>
      <c r="AE10" s="37">
        <f>AF10-F10</f>
        <v>-2</v>
      </c>
      <c r="AF10" s="38">
        <f>AM10</f>
        <v>0</v>
      </c>
      <c r="AG10" s="210" t="s">
        <v>36</v>
      </c>
      <c r="AH10" s="39"/>
      <c r="AI10" s="40">
        <f>IFERROR(Y10/V10*1000,"")</f>
        <v>1089.2929292929293</v>
      </c>
      <c r="AJ10" s="39"/>
      <c r="AK10" s="41"/>
      <c r="AL10" s="41"/>
      <c r="AM10" s="41"/>
      <c r="AO10" s="210">
        <f t="shared" si="10"/>
        <v>-2</v>
      </c>
      <c r="AP10" s="42"/>
    </row>
    <row r="11" spans="2:51" s="210" customFormat="1" ht="102.75" customHeight="1" x14ac:dyDescent="0.3">
      <c r="B11" s="421"/>
      <c r="C11" s="24">
        <f>+C10+1</f>
        <v>20</v>
      </c>
      <c r="D11" s="43" t="s">
        <v>37</v>
      </c>
      <c r="E11" s="26" t="s">
        <v>29</v>
      </c>
      <c r="F11" s="25">
        <v>8</v>
      </c>
      <c r="G11" s="125">
        <v>459</v>
      </c>
      <c r="H11" s="125">
        <f>(G11/T11)*100</f>
        <v>99.566160520607369</v>
      </c>
      <c r="I11" s="123" t="s">
        <v>85</v>
      </c>
      <c r="J11" s="123" t="s">
        <v>86</v>
      </c>
      <c r="K11" s="123" t="s">
        <v>73</v>
      </c>
      <c r="L11" s="123" t="s">
        <v>87</v>
      </c>
      <c r="M11" s="123"/>
      <c r="N11" s="129" t="s">
        <v>90</v>
      </c>
      <c r="O11" s="123" t="s">
        <v>74</v>
      </c>
      <c r="P11" s="123" t="s">
        <v>91</v>
      </c>
      <c r="Q11" s="123" t="s">
        <v>89</v>
      </c>
      <c r="R11" s="125">
        <f t="shared" si="0"/>
        <v>6</v>
      </c>
      <c r="S11" s="27">
        <f t="shared" si="1"/>
        <v>528</v>
      </c>
      <c r="T11" s="28">
        <f>+H50</f>
        <v>461</v>
      </c>
      <c r="U11" s="44">
        <f t="shared" si="2"/>
        <v>57.625</v>
      </c>
      <c r="V11" s="45">
        <f t="shared" si="3"/>
        <v>0.87310606060606055</v>
      </c>
      <c r="W11" s="46">
        <f>+K50</f>
        <v>558.24</v>
      </c>
      <c r="X11" s="44">
        <f t="shared" si="4"/>
        <v>69.78</v>
      </c>
      <c r="Y11" s="47">
        <f t="shared" si="5"/>
        <v>1.0572727272727274</v>
      </c>
      <c r="Z11" s="48">
        <f t="shared" si="6"/>
        <v>43.655303030303031</v>
      </c>
      <c r="AA11" s="49">
        <f t="shared" si="7"/>
        <v>57.568500000000007</v>
      </c>
      <c r="AB11" s="139">
        <f t="shared" si="8"/>
        <v>101.22380303030303</v>
      </c>
      <c r="AC11" s="50" t="str">
        <f t="shared" si="9"/>
        <v>좋아요</v>
      </c>
      <c r="AD11" s="36" t="s">
        <v>134</v>
      </c>
      <c r="AE11" s="37">
        <f>AF11-F11</f>
        <v>-8</v>
      </c>
      <c r="AF11" s="38">
        <f>AM11</f>
        <v>0</v>
      </c>
      <c r="AG11" s="210" t="s">
        <v>33</v>
      </c>
      <c r="AH11" s="39"/>
      <c r="AI11" s="40">
        <f>IFERROR(Y11/V11*1000,"")</f>
        <v>1210.9327548806943</v>
      </c>
      <c r="AK11" s="41"/>
      <c r="AL11" s="41"/>
      <c r="AM11" s="41"/>
      <c r="AO11" s="210">
        <f t="shared" si="10"/>
        <v>-8</v>
      </c>
      <c r="AP11" s="42"/>
    </row>
    <row r="12" spans="2:51" s="210" customFormat="1" ht="102.75" customHeight="1" x14ac:dyDescent="0.3">
      <c r="B12" s="421"/>
      <c r="C12" s="24">
        <f>+C11+1</f>
        <v>21</v>
      </c>
      <c r="D12" s="43" t="s">
        <v>38</v>
      </c>
      <c r="E12" s="26" t="s">
        <v>33</v>
      </c>
      <c r="F12" s="25">
        <v>0</v>
      </c>
      <c r="G12" s="125"/>
      <c r="H12" s="125"/>
      <c r="I12" s="121"/>
      <c r="J12" s="121"/>
      <c r="K12" s="121"/>
      <c r="L12" s="121"/>
      <c r="M12" s="121"/>
      <c r="N12" s="121"/>
      <c r="O12" s="121"/>
      <c r="P12" s="121"/>
      <c r="Q12" s="121"/>
      <c r="R12" s="125">
        <f t="shared" si="0"/>
        <v>0</v>
      </c>
      <c r="S12" s="205">
        <f t="shared" si="1"/>
        <v>0</v>
      </c>
      <c r="T12" s="28">
        <f>+H53</f>
        <v>0</v>
      </c>
      <c r="U12" s="29" t="str">
        <f t="shared" si="2"/>
        <v>휴무</v>
      </c>
      <c r="V12" s="30">
        <f t="shared" si="3"/>
        <v>0</v>
      </c>
      <c r="W12" s="31">
        <f>+K53</f>
        <v>0</v>
      </c>
      <c r="X12" s="44" t="str">
        <f t="shared" si="4"/>
        <v>휴무</v>
      </c>
      <c r="Y12" s="47">
        <f t="shared" si="5"/>
        <v>0</v>
      </c>
      <c r="Z12" s="48" t="str">
        <f t="shared" si="6"/>
        <v>휴무</v>
      </c>
      <c r="AA12" s="49" t="str">
        <f t="shared" si="7"/>
        <v>휴무</v>
      </c>
      <c r="AB12" s="139" t="str">
        <f t="shared" si="8"/>
        <v>휴무</v>
      </c>
      <c r="AC12" s="50" t="str">
        <f t="shared" si="9"/>
        <v>휴무</v>
      </c>
      <c r="AD12" s="36"/>
      <c r="AE12" s="37"/>
      <c r="AF12" s="38"/>
      <c r="AH12" s="39"/>
      <c r="AI12" s="40"/>
      <c r="AK12" s="41"/>
      <c r="AL12" s="41"/>
      <c r="AM12" s="41"/>
      <c r="AO12" s="210">
        <f t="shared" si="10"/>
        <v>0</v>
      </c>
      <c r="AP12" s="42"/>
    </row>
    <row r="13" spans="2:51" s="210" customFormat="1" ht="36" customHeight="1" x14ac:dyDescent="0.3">
      <c r="B13" s="422" t="s">
        <v>39</v>
      </c>
      <c r="C13" s="423"/>
      <c r="D13" s="423"/>
      <c r="E13" s="424"/>
      <c r="F13" s="43">
        <f>SUM(F7:F12)</f>
        <v>10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5">
        <f t="shared" si="0"/>
        <v>0</v>
      </c>
      <c r="S13" s="52">
        <f>SUM(S7:S12)</f>
        <v>660</v>
      </c>
      <c r="T13" s="53">
        <f>SUM(T7:T12)</f>
        <v>560</v>
      </c>
      <c r="U13" s="54">
        <f>T13/F13</f>
        <v>56</v>
      </c>
      <c r="V13" s="45">
        <f t="shared" si="3"/>
        <v>0.84848484848484851</v>
      </c>
      <c r="W13" s="55">
        <f>SUM(W7:W12)</f>
        <v>666.08</v>
      </c>
      <c r="X13" s="44">
        <f>W13/F13</f>
        <v>66.608000000000004</v>
      </c>
      <c r="Y13" s="47">
        <f t="shared" si="5"/>
        <v>1.0092121212121212</v>
      </c>
      <c r="Z13" s="56">
        <f>T13/S13*Z4</f>
        <v>42.424242424242422</v>
      </c>
      <c r="AA13" s="57">
        <f>W13/S13*AA4</f>
        <v>54.951600000000006</v>
      </c>
      <c r="AB13" s="140">
        <f t="shared" si="8"/>
        <v>97.375842424242421</v>
      </c>
      <c r="AC13" s="58" t="str">
        <f t="shared" si="9"/>
        <v>90~99</v>
      </c>
      <c r="AD13" s="43"/>
      <c r="AE13" s="37">
        <f>AF13-F13</f>
        <v>-10</v>
      </c>
      <c r="AF13" s="38">
        <f>SUM(AF7:AF12)</f>
        <v>0</v>
      </c>
      <c r="AI13" s="40"/>
      <c r="AK13" s="59"/>
      <c r="AL13" s="59"/>
      <c r="AM13" s="59"/>
    </row>
    <row r="14" spans="2:51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1.6666666666666667</v>
      </c>
      <c r="G14" s="208"/>
      <c r="H14" s="208"/>
      <c r="I14" s="208"/>
      <c r="J14" s="208"/>
      <c r="K14" s="208"/>
      <c r="L14" s="208"/>
      <c r="M14" s="208"/>
      <c r="N14" s="208"/>
      <c r="O14" s="208"/>
      <c r="P14" s="208"/>
      <c r="Q14" s="208"/>
      <c r="R14" s="208"/>
      <c r="S14" s="208"/>
      <c r="T14" s="61">
        <f>U14*F14</f>
        <v>93.333333333333343</v>
      </c>
      <c r="U14" s="62">
        <f>T13/F13</f>
        <v>56</v>
      </c>
      <c r="V14" s="63">
        <f>IFERROR(T14/#REF!,0)</f>
        <v>0</v>
      </c>
      <c r="W14" s="64">
        <f>W13/F13*F14</f>
        <v>111.01333333333335</v>
      </c>
      <c r="X14" s="62">
        <f>IF(F14=0,"휴무",W14/F14)</f>
        <v>66.608000000000004</v>
      </c>
      <c r="Y14" s="65">
        <f>IFERROR(W14/#REF!,0)</f>
        <v>0</v>
      </c>
      <c r="Z14" s="60">
        <f>AVERAGE(Z7:Z12)</f>
        <v>40.577651515151516</v>
      </c>
      <c r="AA14" s="60">
        <f>AVERAGE(AA7:AA12)</f>
        <v>51.026250000000005</v>
      </c>
      <c r="AB14" s="141">
        <f>Z14+AA14</f>
        <v>91.60390151515152</v>
      </c>
      <c r="AC14" s="67"/>
      <c r="AD14" s="68"/>
      <c r="AI14" s="40" t="str">
        <f>IFERROR(Y14/V14*1000,"")</f>
        <v/>
      </c>
      <c r="AK14" s="10"/>
      <c r="AL14" s="10"/>
      <c r="AM14" s="10"/>
    </row>
    <row r="15" spans="2:51" s="210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22"/>
      <c r="U15" s="10"/>
      <c r="V15" s="73">
        <f>V14*60</f>
        <v>0</v>
      </c>
      <c r="W15" s="74"/>
      <c r="X15" s="73"/>
      <c r="Y15" s="74">
        <f>Y14*40</f>
        <v>0</v>
      </c>
      <c r="AB15" s="142">
        <f>V15+Y15</f>
        <v>0</v>
      </c>
      <c r="AK15" s="59"/>
      <c r="AL15" s="59"/>
      <c r="AM15" s="59"/>
    </row>
    <row r="16" spans="2:51" ht="17.25" thickBot="1" x14ac:dyDescent="0.35">
      <c r="B16" s="70"/>
    </row>
    <row r="17" spans="2:42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2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</row>
    <row r="20" spans="2:42" x14ac:dyDescent="0.3">
      <c r="B20" t="s">
        <v>5</v>
      </c>
      <c r="D20" s="7">
        <v>55</v>
      </c>
      <c r="F20" s="8" t="s">
        <v>6</v>
      </c>
      <c r="T20" s="9">
        <v>1.2</v>
      </c>
      <c r="Z20" s="12">
        <f>Z4</f>
        <v>50</v>
      </c>
      <c r="AA20" s="11">
        <f>AA4</f>
        <v>54.45</v>
      </c>
      <c r="AB20" s="12"/>
      <c r="AD20" s="8"/>
    </row>
    <row r="21" spans="2:42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8"/>
      <c r="S21" s="439" t="s">
        <v>11</v>
      </c>
      <c r="T21" s="441" t="s">
        <v>12</v>
      </c>
      <c r="U21" s="418"/>
      <c r="V21" s="442"/>
      <c r="W21" s="446" t="s">
        <v>13</v>
      </c>
      <c r="X21" s="418"/>
      <c r="Y21" s="418"/>
      <c r="Z21" s="451" t="s">
        <v>20</v>
      </c>
      <c r="AA21" s="453" t="s">
        <v>21</v>
      </c>
      <c r="AB21" s="447" t="s">
        <v>14</v>
      </c>
      <c r="AC21" s="449" t="s">
        <v>15</v>
      </c>
      <c r="AD21" s="418" t="s">
        <v>16</v>
      </c>
    </row>
    <row r="22" spans="2:42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76</v>
      </c>
      <c r="Q22" s="18" t="s">
        <v>77</v>
      </c>
      <c r="R22" s="127" t="s">
        <v>80</v>
      </c>
      <c r="S22" s="440"/>
      <c r="T22" s="15" t="s">
        <v>12</v>
      </c>
      <c r="U22" s="16" t="s">
        <v>17</v>
      </c>
      <c r="V22" s="17" t="s">
        <v>18</v>
      </c>
      <c r="W22" s="18" t="s">
        <v>13</v>
      </c>
      <c r="X22" s="16" t="s">
        <v>19</v>
      </c>
      <c r="Y22" s="19" t="s">
        <v>18</v>
      </c>
      <c r="Z22" s="452"/>
      <c r="AA22" s="454"/>
      <c r="AB22" s="448"/>
      <c r="AC22" s="450"/>
      <c r="AD22" s="419"/>
      <c r="AE22" s="21" t="s">
        <v>22</v>
      </c>
      <c r="AF22" s="21" t="s">
        <v>23</v>
      </c>
      <c r="AI22" s="22" t="s">
        <v>24</v>
      </c>
      <c r="AK22" s="23" t="s">
        <v>25</v>
      </c>
      <c r="AL22" s="23" t="s">
        <v>26</v>
      </c>
      <c r="AM22" s="23" t="s">
        <v>27</v>
      </c>
      <c r="AO22" s="22">
        <f>SUM(AO23:AO28)</f>
        <v>-16.5</v>
      </c>
    </row>
    <row r="23" spans="2:42" s="210" customFormat="1" ht="99" customHeight="1" thickTop="1" x14ac:dyDescent="0.3">
      <c r="B23" s="420">
        <f>+B7</f>
        <v>2</v>
      </c>
      <c r="C23" s="24">
        <f t="shared" ref="C23:C28" si="11">+C7</f>
        <v>16</v>
      </c>
      <c r="D23" s="25" t="s">
        <v>7</v>
      </c>
      <c r="E23" s="26" t="s">
        <v>33</v>
      </c>
      <c r="F23" s="25">
        <v>0</v>
      </c>
      <c r="G23" s="128"/>
      <c r="H23" s="128"/>
      <c r="I23" s="123"/>
      <c r="J23" s="123"/>
      <c r="K23" s="123"/>
      <c r="L23" s="123"/>
      <c r="M23" s="123"/>
      <c r="N23" s="129"/>
      <c r="O23" s="123"/>
      <c r="P23" s="123"/>
      <c r="Q23" s="123"/>
      <c r="R23" s="124">
        <f t="shared" ref="R23:R28" si="12">COUNTA(I23:M23)+COUNTA(N23:Q23)/2</f>
        <v>0</v>
      </c>
      <c r="S23" s="27">
        <f t="shared" ref="S23:S28" si="13">F23*$D$4*$T$4</f>
        <v>0</v>
      </c>
      <c r="T23" s="28">
        <f>+H58</f>
        <v>0</v>
      </c>
      <c r="U23" s="29" t="str">
        <f t="shared" ref="U23:U28" si="14">IF(F23=0,"휴무",T23/F23)</f>
        <v>휴무</v>
      </c>
      <c r="V23" s="30">
        <f t="shared" ref="V23:V29" si="15">IFERROR(T23/S23,0)</f>
        <v>0</v>
      </c>
      <c r="W23" s="31">
        <f>+K58</f>
        <v>0</v>
      </c>
      <c r="X23" s="29" t="str">
        <f t="shared" ref="X23:X28" si="16">IF(F23=0,"휴무",W23/F23)</f>
        <v>휴무</v>
      </c>
      <c r="Y23" s="32">
        <f t="shared" ref="Y23:Y29" si="17">IFERROR(W23/S23,0)</f>
        <v>0</v>
      </c>
      <c r="Z23" s="33" t="str">
        <f t="shared" ref="Z23:Z28" si="18">IF(F23=0,"휴무",T23/S23*$Z$4)</f>
        <v>휴무</v>
      </c>
      <c r="AA23" s="34" t="str">
        <f t="shared" ref="AA23:AA28" si="19">IF(F23=0,"휴무",W23/S23*$AA$4)</f>
        <v>휴무</v>
      </c>
      <c r="AB23" s="138" t="str">
        <f t="shared" ref="AB23:AB29" si="20">IF(F23=0,"휴무",Z23+AA23)</f>
        <v>휴무</v>
      </c>
      <c r="AC23" s="35" t="str">
        <f t="shared" ref="AC23:AC29" si="21">IF(F23=0,"휴무",IF(AB23&gt;=100,"좋아요",IF(AB23&gt;=90,"90~99",IF(AB23&gt;=80,"80~89"," 사유?→"))))</f>
        <v>휴무</v>
      </c>
      <c r="AD23" s="36"/>
      <c r="AE23" s="37">
        <f>AF23-F23</f>
        <v>0</v>
      </c>
      <c r="AF23" s="38">
        <f>AM23</f>
        <v>0</v>
      </c>
      <c r="AG23" s="210" t="s">
        <v>29</v>
      </c>
      <c r="AH23" s="39"/>
      <c r="AI23" s="40" t="str">
        <f>IFERROR(Y23/V23*1000,"")</f>
        <v/>
      </c>
      <c r="AJ23" s="39"/>
      <c r="AK23" s="41"/>
      <c r="AL23" s="41"/>
      <c r="AM23" s="41"/>
      <c r="AO23" s="210">
        <f t="shared" ref="AO23:AO28" si="22">AN23-F23</f>
        <v>0</v>
      </c>
      <c r="AP23" s="42"/>
    </row>
    <row r="24" spans="2:42" s="210" customFormat="1" ht="99.75" customHeight="1" x14ac:dyDescent="0.3">
      <c r="B24" s="421"/>
      <c r="C24" s="24">
        <f t="shared" si="11"/>
        <v>17</v>
      </c>
      <c r="D24" s="43" t="s">
        <v>30</v>
      </c>
      <c r="E24" s="26" t="s">
        <v>33</v>
      </c>
      <c r="F24" s="25">
        <v>0</v>
      </c>
      <c r="G24" s="125"/>
      <c r="H24" s="125"/>
      <c r="I24" s="123"/>
      <c r="J24" s="123"/>
      <c r="K24" s="123"/>
      <c r="L24" s="123"/>
      <c r="M24" s="123"/>
      <c r="N24" s="129"/>
      <c r="O24" s="123"/>
      <c r="P24" s="123"/>
      <c r="Q24" s="123"/>
      <c r="R24" s="124">
        <f t="shared" si="12"/>
        <v>0</v>
      </c>
      <c r="S24" s="27">
        <f t="shared" si="13"/>
        <v>0</v>
      </c>
      <c r="T24" s="28">
        <f>+H61</f>
        <v>0</v>
      </c>
      <c r="U24" s="44" t="str">
        <f t="shared" si="14"/>
        <v>휴무</v>
      </c>
      <c r="V24" s="45">
        <f t="shared" si="15"/>
        <v>0</v>
      </c>
      <c r="W24" s="46">
        <f>+K61</f>
        <v>0</v>
      </c>
      <c r="X24" s="29" t="str">
        <f t="shared" si="16"/>
        <v>휴무</v>
      </c>
      <c r="Y24" s="47">
        <f t="shared" si="17"/>
        <v>0</v>
      </c>
      <c r="Z24" s="48" t="str">
        <f t="shared" si="18"/>
        <v>휴무</v>
      </c>
      <c r="AA24" s="49" t="str">
        <f t="shared" si="19"/>
        <v>휴무</v>
      </c>
      <c r="AB24" s="139" t="str">
        <f t="shared" si="20"/>
        <v>휴무</v>
      </c>
      <c r="AC24" s="80" t="str">
        <f t="shared" si="21"/>
        <v>휴무</v>
      </c>
      <c r="AD24" s="36"/>
      <c r="AE24" s="37">
        <f>AF24-F24</f>
        <v>0</v>
      </c>
      <c r="AF24" s="38">
        <f>AM24</f>
        <v>0</v>
      </c>
      <c r="AG24" s="210" t="s">
        <v>34</v>
      </c>
      <c r="AH24" s="39"/>
      <c r="AI24" s="40" t="str">
        <f>IFERROR(Y24/V24*1000,"")</f>
        <v/>
      </c>
      <c r="AJ24" s="39"/>
      <c r="AK24" s="41"/>
      <c r="AL24" s="41"/>
      <c r="AM24" s="41"/>
      <c r="AO24" s="210">
        <f t="shared" si="22"/>
        <v>0</v>
      </c>
      <c r="AP24" s="42"/>
    </row>
    <row r="25" spans="2:42" s="210" customFormat="1" ht="97.5" customHeight="1" x14ac:dyDescent="0.3">
      <c r="B25" s="421"/>
      <c r="C25" s="24">
        <f t="shared" si="11"/>
        <v>18</v>
      </c>
      <c r="D25" s="43" t="s">
        <v>32</v>
      </c>
      <c r="E25" s="26" t="s">
        <v>33</v>
      </c>
      <c r="F25" s="25">
        <v>0</v>
      </c>
      <c r="G25" s="124"/>
      <c r="H25" s="124"/>
      <c r="I25" s="123"/>
      <c r="J25" s="123"/>
      <c r="K25" s="123"/>
      <c r="L25" s="123"/>
      <c r="M25" s="123"/>
      <c r="N25" s="129"/>
      <c r="O25" s="123"/>
      <c r="P25" s="123"/>
      <c r="Q25" s="123"/>
      <c r="R25" s="124">
        <f t="shared" si="12"/>
        <v>0</v>
      </c>
      <c r="S25" s="27">
        <f t="shared" si="13"/>
        <v>0</v>
      </c>
      <c r="T25" s="28">
        <f>+H64</f>
        <v>0</v>
      </c>
      <c r="U25" s="44" t="str">
        <f t="shared" si="14"/>
        <v>휴무</v>
      </c>
      <c r="V25" s="45">
        <f t="shared" si="15"/>
        <v>0</v>
      </c>
      <c r="W25" s="46">
        <f>+K64</f>
        <v>0</v>
      </c>
      <c r="X25" s="29" t="str">
        <f t="shared" si="16"/>
        <v>휴무</v>
      </c>
      <c r="Y25" s="47">
        <f t="shared" si="17"/>
        <v>0</v>
      </c>
      <c r="Z25" s="48" t="str">
        <f t="shared" si="18"/>
        <v>휴무</v>
      </c>
      <c r="AA25" s="49" t="str">
        <f t="shared" si="19"/>
        <v>휴무</v>
      </c>
      <c r="AB25" s="139" t="str">
        <f t="shared" si="20"/>
        <v>휴무</v>
      </c>
      <c r="AC25" s="50" t="str">
        <f t="shared" si="21"/>
        <v>휴무</v>
      </c>
      <c r="AD25" s="36"/>
      <c r="AE25" s="37">
        <f>AF25-F25</f>
        <v>0</v>
      </c>
      <c r="AF25" s="38">
        <f>AM25</f>
        <v>0</v>
      </c>
      <c r="AG25" s="210" t="s">
        <v>36</v>
      </c>
      <c r="AH25" s="39"/>
      <c r="AI25" s="40" t="str">
        <f>IFERROR(Y25/V25*1000,"")</f>
        <v/>
      </c>
      <c r="AJ25" s="39"/>
      <c r="AK25" s="41"/>
      <c r="AL25" s="41"/>
      <c r="AM25" s="41"/>
      <c r="AO25" s="210">
        <f t="shared" si="22"/>
        <v>0</v>
      </c>
      <c r="AP25" s="42"/>
    </row>
    <row r="26" spans="2:42" s="210" customFormat="1" ht="115.5" customHeight="1" x14ac:dyDescent="0.3">
      <c r="B26" s="421"/>
      <c r="C26" s="24">
        <f t="shared" si="11"/>
        <v>19</v>
      </c>
      <c r="D26" s="43" t="s">
        <v>35</v>
      </c>
      <c r="E26" s="26" t="s">
        <v>29</v>
      </c>
      <c r="F26" s="25">
        <v>8</v>
      </c>
      <c r="G26" s="124">
        <v>301</v>
      </c>
      <c r="H26" s="124">
        <f>(G26/T26)*100</f>
        <v>98.045602605863195</v>
      </c>
      <c r="I26" s="123" t="s">
        <v>78</v>
      </c>
      <c r="J26" s="123" t="s">
        <v>88</v>
      </c>
      <c r="K26" s="123" t="s">
        <v>92</v>
      </c>
      <c r="L26" s="123" t="s">
        <v>84</v>
      </c>
      <c r="M26" s="123"/>
      <c r="N26" s="129" t="s">
        <v>90</v>
      </c>
      <c r="O26" s="123" t="s">
        <v>74</v>
      </c>
      <c r="P26" s="123" t="s">
        <v>91</v>
      </c>
      <c r="Q26" s="123" t="s">
        <v>89</v>
      </c>
      <c r="R26" s="124">
        <f t="shared" si="12"/>
        <v>6</v>
      </c>
      <c r="S26" s="27">
        <f t="shared" si="13"/>
        <v>528</v>
      </c>
      <c r="T26" s="28">
        <f>+H67</f>
        <v>307</v>
      </c>
      <c r="U26" s="44">
        <f t="shared" si="14"/>
        <v>38.375</v>
      </c>
      <c r="V26" s="45">
        <f t="shared" si="15"/>
        <v>0.58143939393939392</v>
      </c>
      <c r="W26" s="46">
        <f>+K67</f>
        <v>596.51</v>
      </c>
      <c r="X26" s="44">
        <f t="shared" si="16"/>
        <v>74.563749999999999</v>
      </c>
      <c r="Y26" s="47">
        <f t="shared" si="17"/>
        <v>1.1297537878787878</v>
      </c>
      <c r="Z26" s="48">
        <f t="shared" si="18"/>
        <v>29.071969696969695</v>
      </c>
      <c r="AA26" s="49">
        <f t="shared" si="19"/>
        <v>61.515093749999998</v>
      </c>
      <c r="AB26" s="139">
        <f t="shared" si="20"/>
        <v>90.587063446969694</v>
      </c>
      <c r="AC26" s="50" t="str">
        <f t="shared" si="21"/>
        <v>90~99</v>
      </c>
      <c r="AD26" s="36"/>
      <c r="AE26" s="37">
        <f>AF26-F26</f>
        <v>-8</v>
      </c>
      <c r="AF26" s="38">
        <f>AM26</f>
        <v>0</v>
      </c>
      <c r="AG26" s="210" t="s">
        <v>33</v>
      </c>
      <c r="AH26" s="39"/>
      <c r="AI26" s="40">
        <f>IFERROR(Y26/V26*1000,"")</f>
        <v>1943.0293159609121</v>
      </c>
      <c r="AJ26" s="39"/>
      <c r="AK26" s="41"/>
      <c r="AL26" s="41"/>
      <c r="AM26" s="41"/>
      <c r="AO26" s="210">
        <f t="shared" si="22"/>
        <v>-8</v>
      </c>
      <c r="AP26" s="42"/>
    </row>
    <row r="27" spans="2:42" s="210" customFormat="1" ht="104.25" customHeight="1" x14ac:dyDescent="0.3">
      <c r="B27" s="421"/>
      <c r="C27" s="24">
        <f t="shared" si="11"/>
        <v>20</v>
      </c>
      <c r="D27" s="43" t="s">
        <v>37</v>
      </c>
      <c r="E27" s="26" t="s">
        <v>29</v>
      </c>
      <c r="F27" s="25">
        <v>8.5</v>
      </c>
      <c r="G27" s="125">
        <v>482</v>
      </c>
      <c r="H27" s="130">
        <f>(G27/T27)*100</f>
        <v>94.509803921568619</v>
      </c>
      <c r="I27" s="123" t="s">
        <v>78</v>
      </c>
      <c r="J27" s="123" t="s">
        <v>88</v>
      </c>
      <c r="K27" s="123" t="s">
        <v>92</v>
      </c>
      <c r="L27" s="123" t="s">
        <v>84</v>
      </c>
      <c r="M27" s="123"/>
      <c r="N27" s="129" t="s">
        <v>90</v>
      </c>
      <c r="O27" s="123" t="s">
        <v>74</v>
      </c>
      <c r="P27" s="123" t="s">
        <v>91</v>
      </c>
      <c r="Q27" s="123" t="s">
        <v>89</v>
      </c>
      <c r="R27" s="125">
        <f t="shared" si="12"/>
        <v>6</v>
      </c>
      <c r="S27" s="27">
        <f t="shared" si="13"/>
        <v>561</v>
      </c>
      <c r="T27" s="28">
        <f>+H70</f>
        <v>510</v>
      </c>
      <c r="U27" s="44">
        <f t="shared" si="14"/>
        <v>60</v>
      </c>
      <c r="V27" s="45">
        <f t="shared" si="15"/>
        <v>0.90909090909090906</v>
      </c>
      <c r="W27" s="46">
        <f>+K70</f>
        <v>347.15999999999997</v>
      </c>
      <c r="X27" s="44">
        <f t="shared" si="16"/>
        <v>40.842352941176465</v>
      </c>
      <c r="Y27" s="47">
        <f t="shared" si="17"/>
        <v>0.61882352941176466</v>
      </c>
      <c r="Z27" s="48">
        <f t="shared" si="18"/>
        <v>45.454545454545453</v>
      </c>
      <c r="AA27" s="49">
        <f t="shared" si="19"/>
        <v>33.694941176470586</v>
      </c>
      <c r="AB27" s="139">
        <f t="shared" si="20"/>
        <v>79.149486631016032</v>
      </c>
      <c r="AC27" s="161" t="str">
        <f t="shared" si="21"/>
        <v xml:space="preserve"> 사유?→</v>
      </c>
      <c r="AD27" s="160" t="s">
        <v>135</v>
      </c>
      <c r="AE27" s="37">
        <f>AF27-F27</f>
        <v>-8.5</v>
      </c>
      <c r="AF27" s="38">
        <f>AM27</f>
        <v>0</v>
      </c>
      <c r="AG27" s="210" t="s">
        <v>46</v>
      </c>
      <c r="AH27" s="39"/>
      <c r="AI27" s="40">
        <f>IFERROR(Y27/V27*1000,"")</f>
        <v>680.70588235294122</v>
      </c>
      <c r="AK27" s="41"/>
      <c r="AL27" s="41"/>
      <c r="AM27" s="41"/>
      <c r="AO27" s="210">
        <f t="shared" si="22"/>
        <v>-8.5</v>
      </c>
      <c r="AP27" s="42"/>
    </row>
    <row r="28" spans="2:42" s="210" customFormat="1" ht="104.25" customHeight="1" x14ac:dyDescent="0.3">
      <c r="B28" s="421"/>
      <c r="C28" s="24">
        <f t="shared" si="11"/>
        <v>21</v>
      </c>
      <c r="D28" s="43" t="s">
        <v>47</v>
      </c>
      <c r="E28" s="26" t="s">
        <v>33</v>
      </c>
      <c r="F28" s="25">
        <v>0</v>
      </c>
      <c r="G28" s="124"/>
      <c r="H28" s="124"/>
      <c r="I28" s="123"/>
      <c r="J28" s="123"/>
      <c r="K28" s="123"/>
      <c r="L28" s="123"/>
      <c r="M28" s="121"/>
      <c r="N28" s="123"/>
      <c r="O28" s="121"/>
      <c r="P28" s="123"/>
      <c r="Q28" s="123"/>
      <c r="R28" s="124">
        <f t="shared" si="12"/>
        <v>0</v>
      </c>
      <c r="S28" s="205">
        <f t="shared" si="13"/>
        <v>0</v>
      </c>
      <c r="T28" s="28">
        <f>+H73</f>
        <v>0</v>
      </c>
      <c r="U28" s="29" t="str">
        <f t="shared" si="14"/>
        <v>휴무</v>
      </c>
      <c r="V28" s="30">
        <f t="shared" si="15"/>
        <v>0</v>
      </c>
      <c r="W28" s="31">
        <f>+K73</f>
        <v>0</v>
      </c>
      <c r="X28" s="44" t="str">
        <f t="shared" si="16"/>
        <v>휴무</v>
      </c>
      <c r="Y28" s="47">
        <f t="shared" si="17"/>
        <v>0</v>
      </c>
      <c r="Z28" s="48" t="str">
        <f t="shared" si="18"/>
        <v>휴무</v>
      </c>
      <c r="AA28" s="49" t="str">
        <f t="shared" si="19"/>
        <v>휴무</v>
      </c>
      <c r="AB28" s="139" t="str">
        <f t="shared" si="20"/>
        <v>휴무</v>
      </c>
      <c r="AC28" s="50" t="str">
        <f t="shared" si="21"/>
        <v>휴무</v>
      </c>
      <c r="AD28" s="36"/>
      <c r="AE28" s="37"/>
      <c r="AF28" s="38"/>
      <c r="AH28" s="39"/>
      <c r="AI28" s="40"/>
      <c r="AK28" s="41"/>
      <c r="AL28" s="41"/>
      <c r="AM28" s="41"/>
      <c r="AO28" s="210">
        <f t="shared" si="22"/>
        <v>0</v>
      </c>
      <c r="AP28" s="42"/>
    </row>
    <row r="29" spans="2:42" s="210" customFormat="1" ht="36" customHeight="1" x14ac:dyDescent="0.3">
      <c r="B29" s="422" t="s">
        <v>39</v>
      </c>
      <c r="C29" s="423"/>
      <c r="D29" s="423"/>
      <c r="E29" s="424"/>
      <c r="F29" s="43">
        <f>SUM(F23:F28)</f>
        <v>16.5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6"/>
      <c r="S29" s="52">
        <f>SUM(S23:S28)</f>
        <v>1089</v>
      </c>
      <c r="T29" s="53">
        <f>SUM(T23:T28)</f>
        <v>817</v>
      </c>
      <c r="U29" s="54">
        <f>T29/F29</f>
        <v>49.515151515151516</v>
      </c>
      <c r="V29" s="45">
        <f t="shared" si="15"/>
        <v>0.75022956841138655</v>
      </c>
      <c r="W29" s="55">
        <f>SUM(W23:W28)</f>
        <v>943.67</v>
      </c>
      <c r="X29" s="44">
        <f>W29/F29</f>
        <v>57.192121212121208</v>
      </c>
      <c r="Y29" s="47">
        <f t="shared" si="17"/>
        <v>0.86654729109274564</v>
      </c>
      <c r="Z29" s="56">
        <f>T29/S29*Z20</f>
        <v>37.511478420569325</v>
      </c>
      <c r="AA29" s="57">
        <f>W29/S29*AA20</f>
        <v>47.183500000000002</v>
      </c>
      <c r="AB29" s="140">
        <f t="shared" si="20"/>
        <v>84.694978420569328</v>
      </c>
      <c r="AC29" s="58" t="str">
        <f t="shared" si="21"/>
        <v>80~89</v>
      </c>
      <c r="AD29" s="43"/>
      <c r="AE29" s="37">
        <f>AF29-F29</f>
        <v>-16.5</v>
      </c>
      <c r="AF29" s="38">
        <f>SUM(AF23:AF28)</f>
        <v>0</v>
      </c>
      <c r="AI29" s="40"/>
      <c r="AK29" s="59"/>
      <c r="AL29" s="59"/>
      <c r="AM29" s="59"/>
    </row>
    <row r="30" spans="2:42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2.75</v>
      </c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61">
        <f>U30*F30</f>
        <v>136.16666666666666</v>
      </c>
      <c r="U30" s="62">
        <f>T29/F29</f>
        <v>49.515151515151516</v>
      </c>
      <c r="V30" s="63">
        <f>IFERROR(T30/#REF!,0)</f>
        <v>0</v>
      </c>
      <c r="W30" s="64">
        <f>W29/F29*F30</f>
        <v>157.27833333333331</v>
      </c>
      <c r="X30" s="62">
        <f>IF(F30=0,"휴무",W30/F30)</f>
        <v>57.192121212121201</v>
      </c>
      <c r="Y30" s="65">
        <f>IFERROR(W30/#REF!,0)</f>
        <v>0</v>
      </c>
      <c r="Z30" s="60">
        <f>AVERAGE(Z23:Z28)</f>
        <v>37.263257575757578</v>
      </c>
      <c r="AA30" s="60">
        <f>AVERAGE(AA23:AA28)</f>
        <v>47.605017463235292</v>
      </c>
      <c r="AB30" s="141">
        <f>Z30+AA30</f>
        <v>84.868275038992863</v>
      </c>
      <c r="AC30" s="67"/>
      <c r="AD30" s="68"/>
      <c r="AI30" s="40" t="str">
        <f>IFERROR(Y30/V30*1000,"")</f>
        <v/>
      </c>
      <c r="AK30" s="10"/>
      <c r="AL30" s="10"/>
      <c r="AM30" s="10"/>
    </row>
    <row r="31" spans="2:42" s="210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22"/>
      <c r="U31" s="10"/>
      <c r="V31" s="73">
        <f>V30*60</f>
        <v>0</v>
      </c>
      <c r="W31" s="74"/>
      <c r="X31" s="73"/>
      <c r="Y31" s="74">
        <f>Y30*40</f>
        <v>0</v>
      </c>
      <c r="Z31" s="81"/>
      <c r="AA31" s="81"/>
      <c r="AB31" s="142">
        <f>V31+Y31</f>
        <v>0</v>
      </c>
      <c r="AK31" s="59"/>
      <c r="AL31" s="59"/>
      <c r="AM31" s="59"/>
    </row>
    <row r="32" spans="2:42" x14ac:dyDescent="0.3">
      <c r="B32" s="120" t="s">
        <v>67</v>
      </c>
      <c r="U32" s="10">
        <v>8.8000000000000007</v>
      </c>
    </row>
    <row r="33" spans="2:42" ht="17.25" thickBot="1" x14ac:dyDescent="0.35">
      <c r="B33" s="70"/>
    </row>
    <row r="34" spans="2:42" ht="17.25" thickBot="1" x14ac:dyDescent="0.35">
      <c r="B34" s="76" t="s">
        <v>42</v>
      </c>
      <c r="C34" s="77"/>
      <c r="D34" s="78" t="s">
        <v>43</v>
      </c>
      <c r="E34" s="78"/>
      <c r="F34" s="79"/>
      <c r="X34" s="10">
        <v>50</v>
      </c>
    </row>
    <row r="36" spans="2:42" s="10" customFormat="1" x14ac:dyDescent="0.3">
      <c r="B36"/>
      <c r="C36"/>
      <c r="D36"/>
      <c r="E36" s="455">
        <f>+C7</f>
        <v>16</v>
      </c>
      <c r="F36" s="455" t="s">
        <v>7</v>
      </c>
      <c r="G36" s="82" t="s">
        <v>48</v>
      </c>
      <c r="H36" s="83"/>
      <c r="I36" s="84"/>
      <c r="J36" s="85"/>
      <c r="K36" s="86"/>
      <c r="L36" s="135"/>
      <c r="N36" s="136"/>
      <c r="O36" s="136"/>
      <c r="P36" s="136"/>
      <c r="Q36" s="136"/>
      <c r="R36" s="136"/>
      <c r="S36" s="136"/>
      <c r="Y36"/>
      <c r="Z36"/>
      <c r="AA36"/>
      <c r="AB36"/>
      <c r="AC36"/>
      <c r="AD36"/>
      <c r="AE36"/>
      <c r="AF36"/>
      <c r="AG36"/>
      <c r="AH36"/>
      <c r="AI36"/>
      <c r="AJ36"/>
      <c r="AK36" s="1"/>
      <c r="AL36" s="1"/>
      <c r="AM36" s="1"/>
      <c r="AN36"/>
      <c r="AO36"/>
      <c r="AP36"/>
    </row>
    <row r="37" spans="2:42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Y37"/>
      <c r="Z37"/>
      <c r="AA37"/>
      <c r="AB37"/>
      <c r="AC37"/>
      <c r="AD37"/>
      <c r="AE37"/>
      <c r="AF37"/>
      <c r="AG37"/>
      <c r="AH37"/>
      <c r="AI37"/>
      <c r="AJ37"/>
      <c r="AK37" s="1"/>
      <c r="AL37" s="1"/>
      <c r="AM37" s="1"/>
      <c r="AN37"/>
      <c r="AO37"/>
      <c r="AP37"/>
    </row>
    <row r="38" spans="2:42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0</v>
      </c>
      <c r="I38" s="88"/>
      <c r="J38" s="89"/>
      <c r="K38" s="90">
        <f>+K36+K37*2</f>
        <v>0</v>
      </c>
      <c r="L38" s="135"/>
      <c r="N38" s="136"/>
      <c r="O38" s="136"/>
      <c r="P38" s="136"/>
      <c r="Q38" s="136"/>
      <c r="R38" s="136"/>
      <c r="S38" s="136"/>
      <c r="Y38"/>
      <c r="Z38"/>
      <c r="AA38"/>
      <c r="AB38"/>
      <c r="AC38"/>
      <c r="AD38"/>
      <c r="AE38"/>
      <c r="AF38"/>
      <c r="AG38"/>
      <c r="AH38"/>
      <c r="AI38"/>
      <c r="AJ38"/>
      <c r="AK38" s="1"/>
      <c r="AL38" s="1"/>
      <c r="AM38" s="1"/>
      <c r="AN38"/>
      <c r="AO38"/>
      <c r="AP38"/>
    </row>
    <row r="39" spans="2:42" s="10" customFormat="1" x14ac:dyDescent="0.3">
      <c r="B39"/>
      <c r="C39"/>
      <c r="D39"/>
      <c r="E39" s="455">
        <f>+C8</f>
        <v>17</v>
      </c>
      <c r="F39" s="455" t="s">
        <v>52</v>
      </c>
      <c r="G39" s="82" t="s">
        <v>48</v>
      </c>
      <c r="H39" s="83"/>
      <c r="I39" s="84"/>
      <c r="J39" s="85"/>
      <c r="K39" s="86"/>
      <c r="L39" s="135"/>
      <c r="N39" s="136"/>
      <c r="O39" s="136"/>
      <c r="P39" s="136"/>
      <c r="Q39" s="136"/>
      <c r="R39" s="136"/>
      <c r="S39" s="136"/>
      <c r="Y39"/>
      <c r="Z39"/>
      <c r="AA39"/>
      <c r="AB39"/>
      <c r="AC39"/>
      <c r="AD39"/>
      <c r="AE39"/>
      <c r="AF39"/>
      <c r="AG39"/>
      <c r="AH39"/>
      <c r="AI39"/>
      <c r="AJ39"/>
      <c r="AK39" s="1"/>
      <c r="AL39" s="1"/>
      <c r="AM39" s="1"/>
      <c r="AN39"/>
      <c r="AO39"/>
      <c r="AP39"/>
    </row>
    <row r="40" spans="2:42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Y40"/>
      <c r="Z40"/>
      <c r="AA40"/>
      <c r="AB40"/>
      <c r="AC40"/>
      <c r="AD40"/>
      <c r="AE40"/>
      <c r="AF40"/>
      <c r="AG40"/>
      <c r="AH40"/>
      <c r="AI40"/>
      <c r="AJ40"/>
      <c r="AK40" s="1"/>
      <c r="AL40" s="1"/>
      <c r="AM40" s="1"/>
      <c r="AN40"/>
      <c r="AO40"/>
      <c r="AP40"/>
    </row>
    <row r="41" spans="2:42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0</v>
      </c>
      <c r="I41" s="88"/>
      <c r="J41" s="89"/>
      <c r="K41" s="90">
        <f>+K39+K40*2</f>
        <v>0</v>
      </c>
      <c r="L41" s="135"/>
      <c r="N41" s="136"/>
      <c r="O41" s="136"/>
      <c r="P41" s="136"/>
      <c r="Q41" s="136"/>
      <c r="R41" s="136"/>
      <c r="S41" s="136"/>
      <c r="Y41"/>
      <c r="Z41"/>
      <c r="AA41"/>
      <c r="AB41"/>
      <c r="AC41"/>
      <c r="AD41"/>
      <c r="AE41"/>
      <c r="AF41"/>
      <c r="AG41"/>
      <c r="AH41"/>
      <c r="AI41"/>
      <c r="AJ41"/>
      <c r="AK41" s="1"/>
      <c r="AL41" s="1"/>
      <c r="AM41" s="1"/>
      <c r="AN41"/>
      <c r="AO41"/>
      <c r="AP41"/>
    </row>
    <row r="42" spans="2:42" s="10" customFormat="1" x14ac:dyDescent="0.3">
      <c r="B42"/>
      <c r="C42"/>
      <c r="D42"/>
      <c r="E42" s="455">
        <f>+C9</f>
        <v>18</v>
      </c>
      <c r="F42" s="455" t="s">
        <v>53</v>
      </c>
      <c r="G42" s="82" t="s">
        <v>48</v>
      </c>
      <c r="H42" s="83"/>
      <c r="I42" s="84"/>
      <c r="J42" s="85"/>
      <c r="K42" s="86"/>
      <c r="L42" s="135"/>
      <c r="N42" s="136"/>
      <c r="O42" s="136"/>
      <c r="P42" s="136"/>
      <c r="Q42" s="136"/>
      <c r="R42" s="136"/>
      <c r="S42" s="136"/>
      <c r="Y42"/>
      <c r="Z42"/>
      <c r="AA42"/>
      <c r="AB42"/>
      <c r="AC42"/>
      <c r="AD42"/>
      <c r="AE42"/>
      <c r="AF42"/>
      <c r="AG42"/>
      <c r="AH42"/>
      <c r="AI42"/>
      <c r="AJ42"/>
      <c r="AK42" s="1"/>
      <c r="AL42" s="1"/>
      <c r="AM42" s="1"/>
      <c r="AN42"/>
      <c r="AO42"/>
      <c r="AP42"/>
    </row>
    <row r="43" spans="2:42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Y43"/>
      <c r="Z43"/>
      <c r="AA43"/>
      <c r="AB43"/>
      <c r="AC43"/>
      <c r="AD43"/>
      <c r="AE43"/>
      <c r="AF43"/>
      <c r="AG43"/>
      <c r="AH43"/>
      <c r="AI43"/>
      <c r="AJ43"/>
      <c r="AK43" s="1"/>
      <c r="AL43" s="1"/>
      <c r="AM43" s="1"/>
      <c r="AN43"/>
      <c r="AO43"/>
      <c r="AP43"/>
    </row>
    <row r="44" spans="2:42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0</v>
      </c>
      <c r="I44" s="88"/>
      <c r="J44" s="89"/>
      <c r="K44" s="90">
        <f>+K42+K43*2</f>
        <v>0</v>
      </c>
      <c r="L44" s="137" t="s">
        <v>54</v>
      </c>
      <c r="N44" s="136"/>
      <c r="O44" s="136"/>
      <c r="P44" s="136"/>
      <c r="Q44" s="136"/>
      <c r="R44" s="136"/>
      <c r="S44" s="136"/>
      <c r="Y44"/>
      <c r="Z44"/>
      <c r="AA44"/>
      <c r="AB44"/>
      <c r="AC44"/>
      <c r="AE44"/>
      <c r="AF44"/>
      <c r="AG44"/>
      <c r="AH44"/>
      <c r="AI44"/>
      <c r="AJ44"/>
      <c r="AK44" s="1"/>
      <c r="AL44" s="1"/>
      <c r="AM44" s="1"/>
      <c r="AN44"/>
      <c r="AO44"/>
      <c r="AP44"/>
    </row>
    <row r="45" spans="2:42" s="10" customFormat="1" x14ac:dyDescent="0.3">
      <c r="B45"/>
      <c r="C45"/>
      <c r="D45"/>
      <c r="E45" s="455">
        <f>+C10</f>
        <v>19</v>
      </c>
      <c r="F45" s="455" t="s">
        <v>55</v>
      </c>
      <c r="G45" s="82" t="s">
        <v>48</v>
      </c>
      <c r="H45" s="83">
        <v>99</v>
      </c>
      <c r="I45" s="84"/>
      <c r="J45" s="85"/>
      <c r="K45" s="86">
        <v>107.84</v>
      </c>
      <c r="L45" s="135"/>
      <c r="N45" s="136"/>
      <c r="O45" s="136"/>
      <c r="P45" s="136"/>
      <c r="Q45" s="136"/>
      <c r="R45" s="136"/>
      <c r="S45" s="136"/>
      <c r="Y45"/>
      <c r="Z45"/>
      <c r="AA45"/>
      <c r="AB45"/>
      <c r="AC45"/>
      <c r="AD45"/>
      <c r="AE45"/>
      <c r="AF45"/>
      <c r="AG45"/>
      <c r="AH45"/>
      <c r="AI45"/>
      <c r="AJ45"/>
      <c r="AK45" s="1"/>
      <c r="AL45" s="1"/>
      <c r="AM45" s="1"/>
      <c r="AN45"/>
      <c r="AO45"/>
      <c r="AP45"/>
    </row>
    <row r="46" spans="2:42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Y46"/>
      <c r="Z46"/>
      <c r="AA46"/>
      <c r="AB46"/>
      <c r="AC46"/>
      <c r="AD46"/>
      <c r="AE46"/>
      <c r="AF46"/>
      <c r="AG46"/>
      <c r="AH46"/>
      <c r="AI46"/>
      <c r="AJ46"/>
      <c r="AK46" s="1"/>
      <c r="AL46" s="1"/>
      <c r="AM46" s="1"/>
      <c r="AN46"/>
      <c r="AO46"/>
      <c r="AP46"/>
    </row>
    <row r="47" spans="2:42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99</v>
      </c>
      <c r="I47" s="88"/>
      <c r="J47" s="89"/>
      <c r="K47" s="90">
        <f>+K45+K46*2</f>
        <v>107.84</v>
      </c>
      <c r="L47" s="135"/>
      <c r="N47" s="136"/>
      <c r="O47" s="136"/>
      <c r="P47" s="136"/>
      <c r="Q47" s="136"/>
      <c r="R47" s="136"/>
      <c r="S47" s="136"/>
      <c r="Y47"/>
      <c r="Z47"/>
      <c r="AA47"/>
      <c r="AB47"/>
      <c r="AC47"/>
      <c r="AD47"/>
      <c r="AE47"/>
      <c r="AF47"/>
      <c r="AG47"/>
      <c r="AH47"/>
      <c r="AI47"/>
      <c r="AJ47"/>
      <c r="AK47" s="1"/>
      <c r="AL47" s="1"/>
      <c r="AM47" s="1"/>
      <c r="AN47"/>
      <c r="AO47"/>
      <c r="AP47"/>
    </row>
    <row r="48" spans="2:42" s="10" customFormat="1" x14ac:dyDescent="0.3">
      <c r="B48"/>
      <c r="C48"/>
      <c r="D48"/>
      <c r="E48" s="455">
        <f>+C11</f>
        <v>20</v>
      </c>
      <c r="F48" s="455" t="s">
        <v>56</v>
      </c>
      <c r="G48" s="82" t="s">
        <v>48</v>
      </c>
      <c r="H48" s="83">
        <v>461</v>
      </c>
      <c r="I48" s="84"/>
      <c r="J48" s="85"/>
      <c r="K48" s="86">
        <v>558.24</v>
      </c>
      <c r="L48" s="135"/>
      <c r="N48" s="136"/>
      <c r="O48" s="136"/>
      <c r="P48" s="136"/>
      <c r="Q48" s="136"/>
      <c r="R48" s="136"/>
      <c r="S48" s="136"/>
      <c r="Y48"/>
      <c r="Z48"/>
      <c r="AA48"/>
      <c r="AB48"/>
      <c r="AC48"/>
      <c r="AD48"/>
      <c r="AE48"/>
      <c r="AF48"/>
      <c r="AG48"/>
      <c r="AH48"/>
      <c r="AI48"/>
      <c r="AJ48"/>
      <c r="AK48" s="1"/>
      <c r="AL48" s="1"/>
      <c r="AM48" s="1"/>
      <c r="AN48"/>
      <c r="AO48"/>
      <c r="AP48"/>
    </row>
    <row r="49" spans="2:42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Y49"/>
      <c r="Z49"/>
      <c r="AA49"/>
      <c r="AB49"/>
      <c r="AC49"/>
      <c r="AD49"/>
      <c r="AE49"/>
      <c r="AF49"/>
      <c r="AG49"/>
      <c r="AH49"/>
      <c r="AI49"/>
      <c r="AJ49"/>
      <c r="AK49" s="1"/>
      <c r="AL49" s="1"/>
      <c r="AM49" s="1"/>
      <c r="AN49"/>
      <c r="AO49"/>
      <c r="AP49"/>
    </row>
    <row r="50" spans="2:42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461</v>
      </c>
      <c r="I50" s="88"/>
      <c r="J50" s="89"/>
      <c r="K50" s="90">
        <f>+K48+K49*2</f>
        <v>558.24</v>
      </c>
      <c r="L50" s="135"/>
      <c r="N50" s="136"/>
      <c r="O50" s="136"/>
      <c r="P50" s="136"/>
      <c r="Q50" s="136"/>
      <c r="R50" s="136"/>
      <c r="S50" s="136"/>
      <c r="Y50"/>
      <c r="Z50"/>
      <c r="AA50"/>
      <c r="AB50"/>
      <c r="AC50"/>
      <c r="AD50"/>
      <c r="AE50"/>
      <c r="AF50"/>
      <c r="AG50"/>
      <c r="AH50"/>
      <c r="AI50"/>
      <c r="AJ50"/>
      <c r="AK50" s="1"/>
      <c r="AL50" s="1"/>
      <c r="AM50" s="1"/>
      <c r="AN50"/>
      <c r="AO50"/>
      <c r="AP50"/>
    </row>
    <row r="51" spans="2:42" s="10" customFormat="1" x14ac:dyDescent="0.3">
      <c r="B51"/>
      <c r="C51"/>
      <c r="D51"/>
      <c r="E51" s="455">
        <f>+C12</f>
        <v>21</v>
      </c>
      <c r="F51" s="455" t="s">
        <v>38</v>
      </c>
      <c r="G51" s="82" t="s">
        <v>48</v>
      </c>
      <c r="H51" s="83"/>
      <c r="I51" s="84"/>
      <c r="J51" s="85"/>
      <c r="K51" s="86"/>
      <c r="L51" s="135"/>
      <c r="N51" s="136"/>
      <c r="O51" s="136"/>
      <c r="P51" s="136"/>
      <c r="Q51" s="136"/>
      <c r="R51" s="136"/>
      <c r="S51" s="136"/>
      <c r="Y51"/>
      <c r="Z51"/>
      <c r="AA51"/>
      <c r="AB51"/>
      <c r="AC51"/>
      <c r="AD51"/>
      <c r="AE51"/>
      <c r="AF51"/>
      <c r="AG51"/>
      <c r="AH51"/>
      <c r="AI51"/>
      <c r="AJ51"/>
      <c r="AK51" s="1"/>
      <c r="AL51" s="1"/>
      <c r="AM51" s="1"/>
      <c r="AN51"/>
      <c r="AO51"/>
      <c r="AP51"/>
    </row>
    <row r="52" spans="2:42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Y52"/>
      <c r="Z52"/>
      <c r="AA52"/>
      <c r="AB52"/>
      <c r="AC52"/>
      <c r="AD52"/>
      <c r="AE52"/>
      <c r="AF52"/>
      <c r="AG52"/>
      <c r="AH52"/>
      <c r="AI52"/>
      <c r="AJ52"/>
      <c r="AK52" s="1"/>
      <c r="AL52" s="1"/>
      <c r="AM52" s="1"/>
      <c r="AN52"/>
      <c r="AO52"/>
      <c r="AP52"/>
    </row>
    <row r="53" spans="2:42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0</v>
      </c>
      <c r="I53" s="88"/>
      <c r="J53" s="89"/>
      <c r="K53" s="90">
        <f>+K51+K52*2</f>
        <v>0</v>
      </c>
      <c r="L53" s="135"/>
      <c r="N53" s="136"/>
      <c r="O53" s="136"/>
      <c r="P53" s="136"/>
      <c r="Q53" s="136"/>
      <c r="R53" s="136"/>
      <c r="S53" s="136"/>
      <c r="Y53"/>
      <c r="Z53"/>
      <c r="AA53"/>
      <c r="AB53"/>
      <c r="AC53"/>
      <c r="AD53"/>
      <c r="AE53"/>
      <c r="AF53"/>
      <c r="AG53"/>
      <c r="AH53"/>
      <c r="AI53"/>
      <c r="AJ53"/>
      <c r="AK53" s="1"/>
      <c r="AL53" s="1"/>
      <c r="AM53" s="1"/>
      <c r="AN53"/>
      <c r="AO53"/>
      <c r="AP53"/>
    </row>
    <row r="54" spans="2:42" x14ac:dyDescent="0.3">
      <c r="H54" s="75"/>
      <c r="I54" s="10"/>
      <c r="J54" s="11"/>
      <c r="K54"/>
    </row>
    <row r="55" spans="2:42" x14ac:dyDescent="0.3">
      <c r="H55" s="75"/>
      <c r="I55" s="10"/>
      <c r="J55" s="11"/>
      <c r="K55"/>
    </row>
    <row r="56" spans="2:42" s="10" customFormat="1" x14ac:dyDescent="0.3">
      <c r="B56"/>
      <c r="C56"/>
      <c r="D56"/>
      <c r="E56" s="455">
        <f>+E36</f>
        <v>16</v>
      </c>
      <c r="F56" s="455" t="s">
        <v>7</v>
      </c>
      <c r="G56" s="82" t="s">
        <v>48</v>
      </c>
      <c r="H56" s="83"/>
      <c r="I56" s="84"/>
      <c r="J56" s="85"/>
      <c r="K56" s="86"/>
      <c r="L56" s="135"/>
      <c r="N56" s="136"/>
      <c r="O56" s="136"/>
      <c r="P56" s="136"/>
      <c r="Q56" s="136"/>
      <c r="R56" s="136"/>
      <c r="S56" s="136"/>
      <c r="Y56"/>
      <c r="Z56"/>
      <c r="AA56"/>
      <c r="AB56"/>
      <c r="AC56"/>
      <c r="AD56"/>
      <c r="AE56"/>
      <c r="AF56"/>
      <c r="AG56"/>
      <c r="AH56"/>
      <c r="AI56"/>
      <c r="AJ56"/>
      <c r="AK56" s="1"/>
      <c r="AL56" s="1"/>
      <c r="AM56" s="1"/>
      <c r="AN56"/>
      <c r="AO56"/>
      <c r="AP56"/>
    </row>
    <row r="57" spans="2:42" s="10" customFormat="1" x14ac:dyDescent="0.3">
      <c r="B57"/>
      <c r="C57" t="s">
        <v>57</v>
      </c>
      <c r="D57"/>
      <c r="E57" s="456"/>
      <c r="F57" s="456"/>
      <c r="G57" s="82" t="s">
        <v>50</v>
      </c>
      <c r="H57" s="83"/>
      <c r="I57" s="84"/>
      <c r="J57" s="85"/>
      <c r="K57" s="86"/>
      <c r="L57" s="135"/>
      <c r="N57" s="136"/>
      <c r="O57" s="136"/>
      <c r="P57" s="136"/>
      <c r="Q57" s="136"/>
      <c r="R57" s="136"/>
      <c r="S57" s="136"/>
      <c r="Y57"/>
      <c r="Z57"/>
      <c r="AA57"/>
      <c r="AB57"/>
      <c r="AC57"/>
      <c r="AD57"/>
      <c r="AE57"/>
      <c r="AF57"/>
      <c r="AG57"/>
      <c r="AH57"/>
      <c r="AI57"/>
      <c r="AJ57"/>
      <c r="AK57" s="1"/>
      <c r="AL57" s="1"/>
      <c r="AM57" s="1"/>
      <c r="AN57"/>
      <c r="AO57"/>
      <c r="AP57"/>
    </row>
    <row r="58" spans="2:42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0</v>
      </c>
      <c r="I58" s="88"/>
      <c r="J58" s="89"/>
      <c r="K58" s="90">
        <f>+K56+K57*2</f>
        <v>0</v>
      </c>
      <c r="L58" s="135"/>
      <c r="N58" s="136"/>
      <c r="O58" s="136"/>
      <c r="P58" s="136"/>
      <c r="Q58" s="136"/>
      <c r="R58" s="136"/>
      <c r="S58" s="136"/>
      <c r="Y58"/>
      <c r="Z58"/>
      <c r="AA58"/>
      <c r="AB58"/>
      <c r="AC58"/>
      <c r="AD58"/>
      <c r="AE58"/>
      <c r="AF58"/>
      <c r="AG58"/>
      <c r="AH58"/>
      <c r="AI58"/>
      <c r="AJ58"/>
      <c r="AK58" s="1"/>
      <c r="AL58" s="1"/>
      <c r="AM58" s="1"/>
      <c r="AN58"/>
      <c r="AO58"/>
      <c r="AP58"/>
    </row>
    <row r="59" spans="2:42" s="10" customFormat="1" x14ac:dyDescent="0.3">
      <c r="B59"/>
      <c r="C59"/>
      <c r="D59"/>
      <c r="E59" s="455">
        <f>+E39</f>
        <v>17</v>
      </c>
      <c r="F59" s="455" t="s">
        <v>52</v>
      </c>
      <c r="G59" s="82" t="s">
        <v>48</v>
      </c>
      <c r="H59" s="83"/>
      <c r="I59" s="84"/>
      <c r="J59" s="85"/>
      <c r="K59" s="86"/>
      <c r="L59" s="135"/>
      <c r="N59" s="136"/>
      <c r="O59" s="136"/>
      <c r="P59" s="136"/>
      <c r="Q59" s="136"/>
      <c r="R59" s="136"/>
      <c r="S59" s="136"/>
      <c r="Y59"/>
      <c r="Z59"/>
      <c r="AA59"/>
      <c r="AB59"/>
      <c r="AC59"/>
      <c r="AD59"/>
      <c r="AE59"/>
      <c r="AF59"/>
      <c r="AG59"/>
      <c r="AH59"/>
      <c r="AI59"/>
      <c r="AJ59"/>
      <c r="AK59" s="1"/>
      <c r="AL59" s="1"/>
      <c r="AM59" s="1"/>
      <c r="AN59"/>
      <c r="AO59"/>
      <c r="AP59"/>
    </row>
    <row r="60" spans="2:42" s="10" customFormat="1" x14ac:dyDescent="0.3">
      <c r="B60"/>
      <c r="C60"/>
      <c r="D60"/>
      <c r="E60" s="456"/>
      <c r="F60" s="456"/>
      <c r="G60" s="82" t="s">
        <v>50</v>
      </c>
      <c r="H60" s="83"/>
      <c r="I60" s="84"/>
      <c r="J60" s="85"/>
      <c r="K60" s="86"/>
      <c r="L60" s="135"/>
      <c r="N60" s="136"/>
      <c r="O60" s="136"/>
      <c r="P60" s="136"/>
      <c r="Q60" s="136"/>
      <c r="R60" s="136"/>
      <c r="S60" s="136"/>
      <c r="Y60"/>
      <c r="Z60"/>
      <c r="AA60"/>
      <c r="AB60"/>
      <c r="AC60"/>
      <c r="AD60"/>
      <c r="AE60"/>
      <c r="AF60"/>
      <c r="AG60"/>
      <c r="AH60"/>
      <c r="AI60"/>
      <c r="AJ60"/>
      <c r="AK60" s="1"/>
      <c r="AL60" s="1"/>
      <c r="AM60" s="1"/>
      <c r="AN60"/>
      <c r="AO60"/>
      <c r="AP60"/>
    </row>
    <row r="61" spans="2:42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0</v>
      </c>
      <c r="I61" s="88"/>
      <c r="J61" s="89"/>
      <c r="K61" s="90">
        <f>+K59+K60*2</f>
        <v>0</v>
      </c>
      <c r="L61" s="135"/>
      <c r="N61" s="136"/>
      <c r="O61" s="136"/>
      <c r="P61" s="136"/>
      <c r="Q61" s="136"/>
      <c r="R61" s="136"/>
      <c r="S61" s="136"/>
      <c r="Y61"/>
      <c r="Z61"/>
      <c r="AA61"/>
      <c r="AB61"/>
      <c r="AC61"/>
      <c r="AD61"/>
      <c r="AE61"/>
      <c r="AF61"/>
      <c r="AG61"/>
      <c r="AH61"/>
      <c r="AI61"/>
      <c r="AJ61"/>
      <c r="AK61" s="1"/>
      <c r="AL61" s="1"/>
      <c r="AM61" s="1"/>
      <c r="AN61"/>
      <c r="AO61"/>
      <c r="AP61"/>
    </row>
    <row r="62" spans="2:42" s="10" customFormat="1" x14ac:dyDescent="0.3">
      <c r="B62"/>
      <c r="C62"/>
      <c r="D62"/>
      <c r="E62" s="455">
        <f>+E42</f>
        <v>18</v>
      </c>
      <c r="F62" s="455" t="s">
        <v>53</v>
      </c>
      <c r="G62" s="82" t="s">
        <v>48</v>
      </c>
      <c r="H62" s="83"/>
      <c r="I62" s="84"/>
      <c r="J62" s="85"/>
      <c r="K62" s="86"/>
      <c r="L62" s="135"/>
      <c r="N62" s="136"/>
      <c r="O62" s="136"/>
      <c r="P62" s="136"/>
      <c r="Q62" s="136"/>
      <c r="R62" s="136"/>
      <c r="S62" s="136"/>
      <c r="Y62"/>
      <c r="Z62"/>
      <c r="AA62"/>
      <c r="AB62"/>
      <c r="AC62"/>
      <c r="AD62"/>
      <c r="AE62"/>
      <c r="AF62"/>
      <c r="AG62"/>
      <c r="AH62"/>
      <c r="AI62"/>
      <c r="AJ62"/>
      <c r="AK62" s="1"/>
      <c r="AL62" s="1"/>
      <c r="AM62" s="1"/>
      <c r="AN62"/>
      <c r="AO62"/>
      <c r="AP62"/>
    </row>
    <row r="63" spans="2:42" s="10" customFormat="1" x14ac:dyDescent="0.3">
      <c r="B63"/>
      <c r="C63"/>
      <c r="D63"/>
      <c r="E63" s="456"/>
      <c r="F63" s="456"/>
      <c r="G63" s="82" t="s">
        <v>50</v>
      </c>
      <c r="H63" s="83"/>
      <c r="I63" s="84"/>
      <c r="J63" s="85"/>
      <c r="K63" s="86"/>
      <c r="L63" s="135"/>
      <c r="N63" s="136"/>
      <c r="O63" s="136"/>
      <c r="P63" s="136"/>
      <c r="Q63" s="136"/>
      <c r="R63" s="136"/>
      <c r="S63" s="136"/>
      <c r="Y63"/>
      <c r="Z63"/>
      <c r="AA63"/>
      <c r="AB63"/>
      <c r="AC63"/>
      <c r="AD63"/>
      <c r="AE63"/>
      <c r="AF63"/>
      <c r="AG63"/>
      <c r="AH63"/>
      <c r="AI63"/>
      <c r="AJ63"/>
      <c r="AK63" s="1"/>
      <c r="AL63" s="1"/>
      <c r="AM63" s="1"/>
      <c r="AN63"/>
      <c r="AO63"/>
      <c r="AP63"/>
    </row>
    <row r="64" spans="2:42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0</v>
      </c>
      <c r="I64" s="88"/>
      <c r="J64" s="89"/>
      <c r="K64" s="90">
        <f>+K62+K63*2</f>
        <v>0</v>
      </c>
      <c r="L64" s="137" t="s">
        <v>54</v>
      </c>
      <c r="N64" s="136"/>
      <c r="O64" s="136"/>
      <c r="P64" s="136"/>
      <c r="Q64" s="136"/>
      <c r="R64" s="136"/>
      <c r="S64" s="136"/>
      <c r="Y64"/>
      <c r="Z64"/>
      <c r="AA64"/>
      <c r="AB64"/>
      <c r="AC64"/>
      <c r="AE64"/>
      <c r="AF64"/>
      <c r="AG64"/>
      <c r="AH64"/>
      <c r="AI64"/>
      <c r="AJ64"/>
      <c r="AK64" s="1"/>
      <c r="AL64" s="1"/>
      <c r="AM64" s="1"/>
      <c r="AN64"/>
      <c r="AO64"/>
      <c r="AP64"/>
    </row>
    <row r="65" spans="2:42" s="10" customFormat="1" x14ac:dyDescent="0.3">
      <c r="B65"/>
      <c r="C65"/>
      <c r="D65"/>
      <c r="E65" s="455">
        <f>+E45</f>
        <v>19</v>
      </c>
      <c r="F65" s="455" t="s">
        <v>55</v>
      </c>
      <c r="G65" s="82" t="s">
        <v>48</v>
      </c>
      <c r="H65" s="83">
        <v>307</v>
      </c>
      <c r="I65" s="84"/>
      <c r="J65" s="85"/>
      <c r="K65" s="86">
        <v>596.51</v>
      </c>
      <c r="L65" s="135"/>
      <c r="N65" s="136"/>
      <c r="O65" s="136"/>
      <c r="P65" s="136"/>
      <c r="Q65" s="136"/>
      <c r="R65" s="136"/>
      <c r="S65" s="136"/>
      <c r="Y65"/>
      <c r="Z65"/>
      <c r="AA65"/>
      <c r="AB65"/>
      <c r="AC65"/>
      <c r="AD65"/>
      <c r="AE65"/>
      <c r="AF65"/>
      <c r="AG65"/>
      <c r="AH65"/>
      <c r="AI65"/>
      <c r="AJ65"/>
      <c r="AK65" s="1"/>
      <c r="AL65" s="1"/>
      <c r="AM65" s="1"/>
      <c r="AN65"/>
      <c r="AO65"/>
      <c r="AP65"/>
    </row>
    <row r="66" spans="2:42" s="10" customFormat="1" x14ac:dyDescent="0.3">
      <c r="B66"/>
      <c r="C66"/>
      <c r="D66"/>
      <c r="E66" s="456"/>
      <c r="F66" s="456"/>
      <c r="G66" s="82" t="s">
        <v>50</v>
      </c>
      <c r="H66" s="83"/>
      <c r="I66" s="84"/>
      <c r="J66" s="85"/>
      <c r="K66" s="86"/>
      <c r="L66" s="135"/>
      <c r="N66" s="136"/>
      <c r="O66" s="136"/>
      <c r="P66" s="136"/>
      <c r="Q66" s="136"/>
      <c r="R66" s="136"/>
      <c r="S66" s="136"/>
      <c r="Y66"/>
      <c r="Z66"/>
      <c r="AA66"/>
      <c r="AB66"/>
      <c r="AC66"/>
      <c r="AD66"/>
      <c r="AE66"/>
      <c r="AF66"/>
      <c r="AG66"/>
      <c r="AH66"/>
      <c r="AI66"/>
      <c r="AJ66"/>
      <c r="AK66" s="1"/>
      <c r="AL66" s="1"/>
      <c r="AM66" s="1"/>
      <c r="AN66"/>
      <c r="AO66"/>
      <c r="AP66"/>
    </row>
    <row r="67" spans="2:42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307</v>
      </c>
      <c r="I67" s="88"/>
      <c r="J67" s="89"/>
      <c r="K67" s="90">
        <f>+K65+K66*2</f>
        <v>596.51</v>
      </c>
      <c r="L67" s="135"/>
      <c r="N67" s="136"/>
      <c r="O67" s="136"/>
      <c r="P67" s="136"/>
      <c r="Q67" s="136"/>
      <c r="R67" s="136"/>
      <c r="S67" s="136"/>
      <c r="Y67"/>
      <c r="Z67"/>
      <c r="AA67"/>
      <c r="AB67"/>
      <c r="AC67"/>
      <c r="AD67"/>
      <c r="AE67"/>
      <c r="AF67"/>
      <c r="AG67"/>
      <c r="AH67"/>
      <c r="AI67"/>
      <c r="AJ67"/>
      <c r="AK67" s="1"/>
      <c r="AL67" s="1"/>
      <c r="AM67" s="1"/>
      <c r="AN67"/>
      <c r="AO67"/>
      <c r="AP67"/>
    </row>
    <row r="68" spans="2:42" s="10" customFormat="1" x14ac:dyDescent="0.3">
      <c r="B68"/>
      <c r="C68"/>
      <c r="D68"/>
      <c r="E68" s="455">
        <f>+E48</f>
        <v>20</v>
      </c>
      <c r="F68" s="455" t="s">
        <v>56</v>
      </c>
      <c r="G68" s="82" t="s">
        <v>48</v>
      </c>
      <c r="H68" s="83">
        <f>490-20</f>
        <v>470</v>
      </c>
      <c r="I68" s="84"/>
      <c r="J68" s="85"/>
      <c r="K68" s="86">
        <f>338.5-8.66</f>
        <v>329.84</v>
      </c>
      <c r="L68" s="135"/>
      <c r="N68" s="136"/>
      <c r="O68" s="136"/>
      <c r="P68" s="136"/>
      <c r="Q68" s="136"/>
      <c r="R68" s="136"/>
      <c r="S68" s="136"/>
      <c r="Y68"/>
      <c r="Z68"/>
      <c r="AA68"/>
      <c r="AB68"/>
      <c r="AC68"/>
      <c r="AD68"/>
      <c r="AE68"/>
      <c r="AF68"/>
      <c r="AG68"/>
      <c r="AH68"/>
      <c r="AI68"/>
      <c r="AJ68"/>
      <c r="AK68" s="1"/>
      <c r="AL68" s="1"/>
      <c r="AM68" s="1"/>
      <c r="AN68"/>
      <c r="AO68"/>
      <c r="AP68"/>
    </row>
    <row r="69" spans="2:42" s="10" customFormat="1" x14ac:dyDescent="0.3">
      <c r="B69"/>
      <c r="C69"/>
      <c r="D69"/>
      <c r="E69" s="456"/>
      <c r="F69" s="456"/>
      <c r="G69" s="82" t="s">
        <v>50</v>
      </c>
      <c r="H69" s="83">
        <v>20</v>
      </c>
      <c r="I69" s="84"/>
      <c r="J69" s="85"/>
      <c r="K69" s="86">
        <v>8.66</v>
      </c>
      <c r="L69" s="135"/>
      <c r="N69" s="136"/>
      <c r="O69" s="136"/>
      <c r="P69" s="136"/>
      <c r="Q69" s="136"/>
      <c r="R69" s="136"/>
      <c r="S69" s="136"/>
      <c r="Y69"/>
      <c r="Z69"/>
      <c r="AA69"/>
      <c r="AB69"/>
      <c r="AC69"/>
      <c r="AD69"/>
      <c r="AE69"/>
      <c r="AF69"/>
      <c r="AG69"/>
      <c r="AH69"/>
      <c r="AI69"/>
      <c r="AJ69"/>
      <c r="AK69" s="1"/>
      <c r="AL69" s="1"/>
      <c r="AM69" s="1"/>
      <c r="AN69"/>
      <c r="AO69"/>
      <c r="AP69"/>
    </row>
    <row r="70" spans="2:42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510</v>
      </c>
      <c r="I70" s="88"/>
      <c r="J70" s="89"/>
      <c r="K70" s="90">
        <f>+K68+K69*2</f>
        <v>347.15999999999997</v>
      </c>
      <c r="L70" s="135"/>
      <c r="N70" s="136"/>
      <c r="O70" s="136"/>
      <c r="P70" s="136"/>
      <c r="Q70" s="136"/>
      <c r="R70" s="136"/>
      <c r="S70" s="136"/>
      <c r="Y70"/>
      <c r="Z70"/>
      <c r="AA70"/>
      <c r="AB70"/>
      <c r="AC70"/>
      <c r="AD70"/>
      <c r="AE70"/>
      <c r="AF70"/>
      <c r="AG70"/>
      <c r="AH70"/>
      <c r="AI70"/>
      <c r="AJ70"/>
      <c r="AK70" s="1"/>
      <c r="AL70" s="1"/>
      <c r="AM70" s="1"/>
      <c r="AN70"/>
      <c r="AO70"/>
      <c r="AP70"/>
    </row>
    <row r="71" spans="2:42" s="10" customFormat="1" x14ac:dyDescent="0.3">
      <c r="B71"/>
      <c r="C71"/>
      <c r="D71"/>
      <c r="E71" s="455">
        <f>+E51</f>
        <v>21</v>
      </c>
      <c r="F71" s="455" t="s">
        <v>38</v>
      </c>
      <c r="G71" s="82" t="s">
        <v>48</v>
      </c>
      <c r="H71" s="83"/>
      <c r="I71" s="84"/>
      <c r="J71" s="85"/>
      <c r="K71" s="86"/>
      <c r="L71" s="135"/>
      <c r="N71" s="136"/>
      <c r="O71" s="136"/>
      <c r="P71" s="136"/>
      <c r="Q71" s="136"/>
      <c r="R71" s="136"/>
      <c r="S71" s="136"/>
      <c r="Y71"/>
      <c r="Z71"/>
      <c r="AA71"/>
      <c r="AB71"/>
      <c r="AC71"/>
      <c r="AD71"/>
      <c r="AE71"/>
      <c r="AF71"/>
      <c r="AG71"/>
      <c r="AH71"/>
      <c r="AI71"/>
      <c r="AJ71"/>
      <c r="AK71" s="1"/>
      <c r="AL71" s="1"/>
      <c r="AM71" s="1"/>
      <c r="AN71"/>
      <c r="AO71"/>
      <c r="AP71"/>
    </row>
    <row r="72" spans="2:42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Y72"/>
      <c r="Z72"/>
      <c r="AA72"/>
      <c r="AB72"/>
      <c r="AC72"/>
      <c r="AD72"/>
      <c r="AE72"/>
      <c r="AF72"/>
      <c r="AG72"/>
      <c r="AH72"/>
      <c r="AI72"/>
      <c r="AJ72"/>
      <c r="AK72" s="1"/>
      <c r="AL72" s="1"/>
      <c r="AM72" s="1"/>
      <c r="AN72"/>
      <c r="AO72"/>
      <c r="AP72"/>
    </row>
    <row r="73" spans="2:42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0</v>
      </c>
      <c r="I73" s="88"/>
      <c r="J73" s="89"/>
      <c r="K73" s="90">
        <f>+K71+K72*2</f>
        <v>0</v>
      </c>
      <c r="L73" s="135"/>
      <c r="N73" s="136"/>
      <c r="O73" s="136"/>
      <c r="P73" s="136"/>
      <c r="Q73" s="136"/>
      <c r="R73" s="136"/>
      <c r="S73" s="136"/>
      <c r="Y73"/>
      <c r="Z73"/>
      <c r="AA73"/>
      <c r="AB73"/>
      <c r="AC73"/>
      <c r="AD73"/>
      <c r="AE73"/>
      <c r="AF73"/>
      <c r="AG73"/>
      <c r="AH73"/>
      <c r="AI73"/>
      <c r="AJ73"/>
      <c r="AK73" s="1"/>
      <c r="AL73" s="1"/>
      <c r="AM73" s="1"/>
      <c r="AN73"/>
      <c r="AO73"/>
      <c r="AP73"/>
    </row>
    <row r="76" spans="2:42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</row>
    <row r="77" spans="2:42" ht="18" customHeight="1" x14ac:dyDescent="0.3">
      <c r="B77" t="s">
        <v>5</v>
      </c>
      <c r="D77" s="7">
        <v>55</v>
      </c>
      <c r="F77" s="8" t="s">
        <v>6</v>
      </c>
      <c r="T77" s="9">
        <v>1.2</v>
      </c>
      <c r="Z77" s="12">
        <f>Z61</f>
        <v>0</v>
      </c>
      <c r="AA77" s="11">
        <f>AA61</f>
        <v>0</v>
      </c>
      <c r="AB77" s="12"/>
      <c r="AD77" s="8"/>
    </row>
    <row r="78" spans="2:42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441" t="s">
        <v>12</v>
      </c>
      <c r="U78" s="418"/>
      <c r="V78" s="442"/>
      <c r="W78" s="446" t="s">
        <v>13</v>
      </c>
      <c r="X78" s="418"/>
      <c r="Y78" s="418"/>
      <c r="Z78" s="13"/>
      <c r="AA78" s="14"/>
      <c r="AB78" s="447" t="s">
        <v>14</v>
      </c>
      <c r="AC78" s="449" t="s">
        <v>15</v>
      </c>
      <c r="AD78" s="418" t="s">
        <v>16</v>
      </c>
    </row>
    <row r="79" spans="2:42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5" t="s">
        <v>12</v>
      </c>
      <c r="U79" s="16" t="s">
        <v>17</v>
      </c>
      <c r="V79" s="17" t="s">
        <v>18</v>
      </c>
      <c r="W79" s="18" t="s">
        <v>13</v>
      </c>
      <c r="X79" s="16" t="s">
        <v>19</v>
      </c>
      <c r="Y79" s="19" t="s">
        <v>18</v>
      </c>
      <c r="Z79" s="204" t="s">
        <v>20</v>
      </c>
      <c r="AA79" s="20" t="s">
        <v>21</v>
      </c>
      <c r="AB79" s="448"/>
      <c r="AC79" s="450"/>
      <c r="AD79" s="419"/>
      <c r="AE79" s="21" t="s">
        <v>22</v>
      </c>
      <c r="AF79" s="21" t="s">
        <v>23</v>
      </c>
      <c r="AG79" s="22"/>
      <c r="AH79" s="22"/>
      <c r="AI79" s="22" t="s">
        <v>24</v>
      </c>
      <c r="AJ79" s="22"/>
      <c r="AK79" s="23" t="s">
        <v>25</v>
      </c>
      <c r="AL79" s="23" t="s">
        <v>26</v>
      </c>
      <c r="AM79" s="23" t="s">
        <v>27</v>
      </c>
      <c r="AN79" s="22"/>
      <c r="AO79" s="22">
        <f>SUM(AO80:AO85)</f>
        <v>-50</v>
      </c>
    </row>
    <row r="80" spans="2:42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95">
        <f>+T94</f>
        <v>0</v>
      </c>
      <c r="U80" s="96">
        <f>IF(F80=0,"휴무",T80/F80)</f>
        <v>0</v>
      </c>
      <c r="V80" s="97">
        <f>IFERROR(T80/#REF!,0)</f>
        <v>0</v>
      </c>
      <c r="W80" s="98">
        <f>+W94</f>
        <v>0</v>
      </c>
      <c r="X80" s="96">
        <f t="shared" ref="X80:X85" si="23">IF(F80=0,"휴무",W80/F80)</f>
        <v>0</v>
      </c>
      <c r="Y80" s="99">
        <f>IFERROR(W80/#REF!,0)</f>
        <v>0</v>
      </c>
      <c r="Z80" s="100" t="e">
        <f>IF(F80=0,"휴무",T80/#REF!*$Z$4)</f>
        <v>#REF!</v>
      </c>
      <c r="AA80" s="101" t="e">
        <f>IF(F80=0,"휴무",W80/#REF!*$AA$4)</f>
        <v>#REF!</v>
      </c>
      <c r="AB80" s="102" t="e">
        <f t="shared" ref="AB80:AB85" si="24">IF(F80=0,"휴무",Z80+AA80)</f>
        <v>#REF!</v>
      </c>
      <c r="AC80" s="103" t="e">
        <f t="shared" ref="AC80:AC85" si="25">IF(F80=0,"휴무",IF(AB80&gt;=100,"좋아요",IF(AB80&gt;=90,"90~99",IF(AB80&gt;=80,"80~89"," 사유?→"))))</f>
        <v>#REF!</v>
      </c>
      <c r="AD80" s="104"/>
      <c r="AE80" s="37">
        <f>AF80-F80</f>
        <v>-10</v>
      </c>
      <c r="AF80" s="38">
        <f>AM80</f>
        <v>0</v>
      </c>
      <c r="AG80" s="210" t="s">
        <v>29</v>
      </c>
      <c r="AH80" s="39"/>
      <c r="AI80" s="40" t="str">
        <f>IFERROR(Y80/V80*1000,"")</f>
        <v/>
      </c>
      <c r="AJ80" s="39"/>
      <c r="AK80" s="41"/>
      <c r="AL80" s="41"/>
      <c r="AM80" s="41"/>
      <c r="AN80" s="210"/>
      <c r="AO80" s="210">
        <f>AN80-F80</f>
        <v>-10</v>
      </c>
    </row>
    <row r="81" spans="2:41" ht="98.25" customHeight="1" x14ac:dyDescent="0.3">
      <c r="B81" s="459"/>
      <c r="C81" s="92">
        <v>20</v>
      </c>
      <c r="D81" s="211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95">
        <f>+T97</f>
        <v>0</v>
      </c>
      <c r="U81" s="62">
        <f>IF(F81=0,"휴무",T81/F81)</f>
        <v>0</v>
      </c>
      <c r="V81" s="63">
        <f>IFERROR(T81/#REF!,0)</f>
        <v>0</v>
      </c>
      <c r="W81" s="105">
        <f>+W97</f>
        <v>0</v>
      </c>
      <c r="X81" s="96">
        <f t="shared" si="23"/>
        <v>0</v>
      </c>
      <c r="Y81" s="65">
        <f>IFERROR(W81/#REF!,0)</f>
        <v>0</v>
      </c>
      <c r="Z81" s="106" t="e">
        <f>IF(F81=0,"휴무",T81/#REF!*$Z$4)</f>
        <v>#REF!</v>
      </c>
      <c r="AA81" s="107" t="e">
        <f>IF(F81=0,"휴무",W81/#REF!*$AA$4)</f>
        <v>#REF!</v>
      </c>
      <c r="AB81" s="66" t="e">
        <f t="shared" si="24"/>
        <v>#REF!</v>
      </c>
      <c r="AC81" s="108" t="e">
        <f t="shared" si="25"/>
        <v>#REF!</v>
      </c>
      <c r="AD81" s="109"/>
      <c r="AE81" s="37">
        <f>AF81-F81</f>
        <v>-10</v>
      </c>
      <c r="AF81" s="38">
        <f>AM81</f>
        <v>0</v>
      </c>
      <c r="AG81" s="210" t="s">
        <v>34</v>
      </c>
      <c r="AH81" s="39"/>
      <c r="AI81" s="40" t="str">
        <f>IFERROR(Y81/V81*1000,"")</f>
        <v/>
      </c>
      <c r="AJ81" s="39"/>
      <c r="AK81" s="41"/>
      <c r="AL81" s="41"/>
      <c r="AM81" s="41"/>
      <c r="AN81" s="210"/>
      <c r="AO81" s="210">
        <f>AN81-F81</f>
        <v>-10</v>
      </c>
    </row>
    <row r="82" spans="2:41" ht="98.25" customHeight="1" x14ac:dyDescent="0.3">
      <c r="B82" s="459"/>
      <c r="C82" s="92">
        <v>21</v>
      </c>
      <c r="D82" s="211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95">
        <f>+T100</f>
        <v>0</v>
      </c>
      <c r="U82" s="62">
        <f>IF(F82=0,"휴무",T82/F82)</f>
        <v>0</v>
      </c>
      <c r="V82" s="63">
        <f>IFERROR(T82/#REF!,0)</f>
        <v>0</v>
      </c>
      <c r="W82" s="105">
        <f>+W100</f>
        <v>0</v>
      </c>
      <c r="X82" s="96">
        <f t="shared" si="23"/>
        <v>0</v>
      </c>
      <c r="Y82" s="65">
        <f>IFERROR(W82/#REF!,0)</f>
        <v>0</v>
      </c>
      <c r="Z82" s="106" t="e">
        <f>IF(F82=0,"휴무",T82/#REF!*$Z$4)</f>
        <v>#REF!</v>
      </c>
      <c r="AA82" s="107" t="e">
        <f>IF(F82=0,"휴무",W82/#REF!*$AA$4)</f>
        <v>#REF!</v>
      </c>
      <c r="AB82" s="66" t="e">
        <f t="shared" si="24"/>
        <v>#REF!</v>
      </c>
      <c r="AC82" s="108" t="e">
        <f t="shared" si="25"/>
        <v>#REF!</v>
      </c>
      <c r="AD82" s="109"/>
      <c r="AE82" s="37">
        <f>AF82-F82</f>
        <v>-10</v>
      </c>
      <c r="AF82" s="38">
        <f>AM82</f>
        <v>0</v>
      </c>
      <c r="AG82" s="210" t="s">
        <v>36</v>
      </c>
      <c r="AH82" s="39"/>
      <c r="AI82" s="40" t="str">
        <f>IFERROR(Y82/V82*1000,"")</f>
        <v/>
      </c>
      <c r="AJ82" s="39"/>
      <c r="AK82" s="41"/>
      <c r="AL82" s="41"/>
      <c r="AM82" s="41"/>
      <c r="AN82" s="210"/>
      <c r="AO82" s="210">
        <f>AN82-F82</f>
        <v>-10</v>
      </c>
    </row>
    <row r="83" spans="2:41" ht="98.25" customHeight="1" x14ac:dyDescent="0.3">
      <c r="B83" s="459"/>
      <c r="C83" s="92">
        <v>22</v>
      </c>
      <c r="D83" s="211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95">
        <f>+T103</f>
        <v>0</v>
      </c>
      <c r="U83" s="62">
        <f>IF(F83=0,"휴무",T83/F83)</f>
        <v>0</v>
      </c>
      <c r="V83" s="63">
        <f>IFERROR(T83/#REF!,0)</f>
        <v>0</v>
      </c>
      <c r="W83" s="105">
        <f>+W103</f>
        <v>0</v>
      </c>
      <c r="X83" s="62">
        <f t="shared" si="23"/>
        <v>0</v>
      </c>
      <c r="Y83" s="65">
        <f>IFERROR(W83/#REF!,0)</f>
        <v>0</v>
      </c>
      <c r="Z83" s="106" t="e">
        <f>IF(F83=0,"휴무",T83/#REF!*$Z$4)</f>
        <v>#REF!</v>
      </c>
      <c r="AA83" s="107" t="e">
        <f>IF(F83=0,"휴무",W83/#REF!*$AA$4)</f>
        <v>#REF!</v>
      </c>
      <c r="AB83" s="66" t="e">
        <f t="shared" si="24"/>
        <v>#REF!</v>
      </c>
      <c r="AC83" s="110" t="e">
        <f t="shared" si="25"/>
        <v>#REF!</v>
      </c>
      <c r="AD83" s="104"/>
      <c r="AE83" s="37">
        <f>AF83-F83</f>
        <v>-10</v>
      </c>
      <c r="AF83" s="38">
        <f>AM83</f>
        <v>0</v>
      </c>
      <c r="AG83" s="210" t="s">
        <v>33</v>
      </c>
      <c r="AH83" s="39"/>
      <c r="AI83" s="40" t="str">
        <f>IFERROR(Y83/V83*1000,"")</f>
        <v/>
      </c>
      <c r="AJ83" s="39"/>
      <c r="AK83" s="41"/>
      <c r="AL83" s="41"/>
      <c r="AM83" s="41"/>
      <c r="AN83" s="210"/>
      <c r="AO83" s="210">
        <f>AN83-F83</f>
        <v>-10</v>
      </c>
    </row>
    <row r="84" spans="2:41" ht="98.25" customHeight="1" x14ac:dyDescent="0.3">
      <c r="B84" s="459"/>
      <c r="C84" s="92">
        <v>23</v>
      </c>
      <c r="D84" s="211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95">
        <f>+T104</f>
        <v>0</v>
      </c>
      <c r="U84" s="62">
        <f>IF(F84=0,"휴무",T84/F84)</f>
        <v>0</v>
      </c>
      <c r="V84" s="63">
        <f>IFERROR(T84/#REF!,0)</f>
        <v>0</v>
      </c>
      <c r="W84" s="105">
        <f>+W104</f>
        <v>0</v>
      </c>
      <c r="X84" s="62">
        <f t="shared" si="23"/>
        <v>0</v>
      </c>
      <c r="Y84" s="65">
        <f>IFERROR(W84/#REF!,0)</f>
        <v>0</v>
      </c>
      <c r="Z84" s="106" t="e">
        <f>IF(F84=0,"휴무",T84/#REF!*$Z$4)</f>
        <v>#REF!</v>
      </c>
      <c r="AA84" s="107" t="e">
        <f>IF(F84=0,"휴무",W84/#REF!*$AA$4)</f>
        <v>#REF!</v>
      </c>
      <c r="AB84" s="66" t="e">
        <f t="shared" si="24"/>
        <v>#REF!</v>
      </c>
      <c r="AC84" s="110" t="e">
        <f t="shared" si="25"/>
        <v>#REF!</v>
      </c>
      <c r="AD84" s="104"/>
      <c r="AE84" s="37">
        <f>AF84-F84</f>
        <v>-10</v>
      </c>
      <c r="AF84" s="38">
        <f>AM84</f>
        <v>0</v>
      </c>
      <c r="AG84" s="210" t="s">
        <v>46</v>
      </c>
      <c r="AH84" s="39"/>
      <c r="AI84" s="40" t="str">
        <f>IFERROR(Y84/V84*1000,"")</f>
        <v/>
      </c>
      <c r="AJ84" s="210"/>
      <c r="AK84" s="41"/>
      <c r="AL84" s="41"/>
      <c r="AM84" s="41"/>
      <c r="AN84" s="210"/>
      <c r="AO84" s="210">
        <f>AN84-F84</f>
        <v>-10</v>
      </c>
    </row>
    <row r="85" spans="2:41" ht="98.25" customHeight="1" x14ac:dyDescent="0.3">
      <c r="B85" s="459"/>
      <c r="C85" s="92">
        <v>25</v>
      </c>
      <c r="D85" s="211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208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95">
        <f>T109</f>
        <v>0</v>
      </c>
      <c r="U85" s="96">
        <v>58.924999999999997</v>
      </c>
      <c r="V85" s="97">
        <v>0.89280303030303021</v>
      </c>
      <c r="W85" s="98">
        <f>W109</f>
        <v>0</v>
      </c>
      <c r="X85" s="62" t="str">
        <f t="shared" si="23"/>
        <v>휴무</v>
      </c>
      <c r="Y85" s="65">
        <f>IFERROR(W85/#REF!,0)</f>
        <v>0</v>
      </c>
      <c r="Z85" s="106" t="str">
        <f>IF(F85=0,"휴무",T85/#REF!*$Z$4)</f>
        <v>휴무</v>
      </c>
      <c r="AA85" s="107" t="str">
        <f>IF(F85=0,"휴무",W85/#REF!*$AA$4)</f>
        <v>휴무</v>
      </c>
      <c r="AB85" s="66" t="str">
        <f t="shared" si="24"/>
        <v>휴무</v>
      </c>
      <c r="AC85" s="110" t="str">
        <f t="shared" si="25"/>
        <v>휴무</v>
      </c>
      <c r="AD85" s="104"/>
      <c r="AE85" s="37"/>
      <c r="AF85" s="38"/>
      <c r="AG85" s="210"/>
      <c r="AH85" s="39"/>
      <c r="AI85" s="40"/>
      <c r="AJ85" s="210"/>
      <c r="AK85" s="41"/>
      <c r="AL85" s="41"/>
      <c r="AM85" s="41"/>
      <c r="AN85" s="210"/>
      <c r="AO85" s="210"/>
    </row>
    <row r="86" spans="2:41" ht="36" customHeight="1" x14ac:dyDescent="0.3">
      <c r="B86" s="460" t="s">
        <v>39</v>
      </c>
      <c r="C86" s="461"/>
      <c r="D86" s="461"/>
      <c r="E86" s="462"/>
      <c r="F86" s="211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11">
        <f>SUM(T80:T85)</f>
        <v>0</v>
      </c>
      <c r="U86" s="112"/>
      <c r="V86" s="63">
        <f>IFERROR(T86/#REF!,0)</f>
        <v>0</v>
      </c>
      <c r="W86" s="113">
        <f>SUM(W80:W85)</f>
        <v>0</v>
      </c>
      <c r="X86" s="62"/>
      <c r="Y86" s="65">
        <f>IFERROR(W86/#REF!,0)</f>
        <v>0</v>
      </c>
      <c r="Z86" s="211"/>
      <c r="AA86" s="207"/>
      <c r="AB86" s="114"/>
      <c r="AC86" s="115"/>
      <c r="AD86" s="209"/>
      <c r="AE86" s="37">
        <f>AF86-F86</f>
        <v>-50</v>
      </c>
      <c r="AF86" s="38">
        <f>SUM(AF80:AF85)</f>
        <v>0</v>
      </c>
      <c r="AG86" s="210"/>
      <c r="AH86" s="210"/>
      <c r="AI86" s="40"/>
      <c r="AJ86" s="210"/>
      <c r="AK86" s="59"/>
      <c r="AL86" s="59"/>
      <c r="AM86" s="59"/>
      <c r="AN86" s="210"/>
      <c r="AO86" s="210"/>
    </row>
    <row r="87" spans="2:41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208"/>
      <c r="H87" s="208"/>
      <c r="I87" s="208"/>
      <c r="J87" s="208"/>
      <c r="K87" s="208"/>
      <c r="L87" s="208"/>
      <c r="M87" s="208"/>
      <c r="N87" s="208"/>
      <c r="O87" s="208"/>
      <c r="P87" s="208"/>
      <c r="Q87" s="208"/>
      <c r="R87" s="208"/>
      <c r="S87" s="208"/>
      <c r="T87" s="61">
        <f>U87*F87</f>
        <v>0</v>
      </c>
      <c r="U87" s="62">
        <f>T86/F86</f>
        <v>0</v>
      </c>
      <c r="V87" s="63">
        <f>IFERROR(T87/#REF!,0)</f>
        <v>0</v>
      </c>
      <c r="W87" s="64">
        <f>W86/F86*F87</f>
        <v>0</v>
      </c>
      <c r="X87" s="62">
        <f>IF(F87=0,"휴무",W87/F87)</f>
        <v>0</v>
      </c>
      <c r="Y87" s="65">
        <f>IFERROR(W87/#REF!,0)</f>
        <v>0</v>
      </c>
      <c r="Z87" s="60" t="e">
        <f>AVERAGE(Z80:Z85)</f>
        <v>#REF!</v>
      </c>
      <c r="AA87" s="60" t="e">
        <f>AVERAGE(AA80:AA85)</f>
        <v>#REF!</v>
      </c>
      <c r="AB87" s="66" t="e">
        <f>Z87+AA87</f>
        <v>#REF!</v>
      </c>
      <c r="AC87" s="115" t="e">
        <f>IF(F87=0,"휴무",IF(AB87&gt;=100,"좋아요",IF(AB87&gt;=90,"90~99",IF(AB87&gt;=80,"80~89"," 사유?→"))))</f>
        <v>#REF!</v>
      </c>
      <c r="AD87" s="68"/>
      <c r="AE87" s="69"/>
      <c r="AF87" s="69"/>
      <c r="AG87" s="69"/>
      <c r="AH87" s="69"/>
      <c r="AI87" s="40" t="str">
        <f>IFERROR(Y87/V87*1000,"")</f>
        <v/>
      </c>
      <c r="AJ87" s="69"/>
      <c r="AK87" s="10"/>
      <c r="AL87" s="10"/>
      <c r="AM87" s="10"/>
      <c r="AN87" s="69"/>
      <c r="AO87" s="69"/>
    </row>
    <row r="88" spans="2:41" x14ac:dyDescent="0.3">
      <c r="B88" s="70" t="s">
        <v>41</v>
      </c>
      <c r="C88" s="71"/>
      <c r="D88" s="71"/>
      <c r="E88" s="72"/>
      <c r="T88" s="22"/>
      <c r="V88" s="73">
        <f>V87*60</f>
        <v>0</v>
      </c>
      <c r="W88" s="74"/>
      <c r="X88" s="73"/>
      <c r="Y88" s="74">
        <f>Y87*40</f>
        <v>0</v>
      </c>
      <c r="Z88" s="81"/>
      <c r="AA88" s="81"/>
      <c r="AB88" s="74">
        <f>V88+Y88</f>
        <v>0</v>
      </c>
      <c r="AC88" s="210"/>
      <c r="AD88" s="210"/>
      <c r="AE88" s="210"/>
      <c r="AF88" s="210"/>
      <c r="AG88" s="210"/>
      <c r="AH88" s="210"/>
      <c r="AI88" s="210"/>
      <c r="AJ88" s="210"/>
      <c r="AK88" s="59"/>
      <c r="AL88" s="59"/>
      <c r="AM88" s="59"/>
      <c r="AN88" s="210"/>
      <c r="AO88" s="210"/>
    </row>
    <row r="89" spans="2:41" ht="17.25" thickBot="1" x14ac:dyDescent="0.35">
      <c r="B89" s="70" t="s">
        <v>61</v>
      </c>
      <c r="U89" s="10">
        <v>8.8000000000000007</v>
      </c>
    </row>
    <row r="90" spans="2:41" ht="17.25" thickBot="1" x14ac:dyDescent="0.35">
      <c r="B90" s="76" t="s">
        <v>42</v>
      </c>
      <c r="C90" s="77"/>
      <c r="D90" s="78" t="s">
        <v>43</v>
      </c>
      <c r="E90" s="78"/>
      <c r="F90" s="79"/>
      <c r="X90" s="10">
        <v>50</v>
      </c>
    </row>
    <row r="92" spans="2:41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3"/>
      <c r="U92" s="84"/>
      <c r="V92" s="85"/>
      <c r="W92" s="86"/>
    </row>
    <row r="93" spans="2:41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3"/>
      <c r="U93" s="84"/>
      <c r="V93" s="85"/>
      <c r="W93" s="86"/>
    </row>
    <row r="94" spans="2:41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7">
        <f>+T92+T93*1.6</f>
        <v>0</v>
      </c>
      <c r="U94" s="88"/>
      <c r="V94" s="89"/>
      <c r="W94" s="90">
        <f>+W92+W93*1.6</f>
        <v>0</v>
      </c>
    </row>
    <row r="95" spans="2:41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3"/>
      <c r="U95" s="84"/>
      <c r="V95" s="85"/>
      <c r="W95" s="86"/>
    </row>
    <row r="96" spans="2:41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3"/>
      <c r="U96" s="84"/>
      <c r="V96" s="85"/>
      <c r="W96" s="86"/>
    </row>
    <row r="97" spans="5:30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91">
        <f>+T95+T96*1.6</f>
        <v>0</v>
      </c>
      <c r="U97" s="88"/>
      <c r="V97" s="89"/>
      <c r="W97" s="90">
        <f>+W95+W96*1.6</f>
        <v>0</v>
      </c>
    </row>
    <row r="98" spans="5:30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84"/>
      <c r="V98" s="85"/>
      <c r="W98" s="86"/>
    </row>
    <row r="99" spans="5:30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3"/>
      <c r="U99" s="84"/>
      <c r="V99" s="85"/>
      <c r="W99" s="86"/>
    </row>
    <row r="100" spans="5:30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7">
        <f>+T98+T99*1.6</f>
        <v>0</v>
      </c>
      <c r="U100" s="88"/>
      <c r="V100" s="89"/>
      <c r="W100" s="90">
        <f>+W98+W99*1.6</f>
        <v>0</v>
      </c>
    </row>
    <row r="101" spans="5:30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3"/>
      <c r="U101" s="84"/>
      <c r="V101" s="85"/>
      <c r="W101" s="86"/>
    </row>
    <row r="102" spans="5:30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3"/>
      <c r="U102" s="84"/>
      <c r="V102" s="85"/>
      <c r="W102" s="86"/>
    </row>
    <row r="103" spans="5:30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7">
        <f>+T101+T102*1.6</f>
        <v>0</v>
      </c>
      <c r="U103" s="88"/>
      <c r="V103" s="89"/>
      <c r="W103" s="90">
        <f>+W101+W102*1.6</f>
        <v>0</v>
      </c>
    </row>
    <row r="104" spans="5:30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3"/>
      <c r="U104" s="84"/>
      <c r="V104" s="85"/>
      <c r="W104" s="86"/>
    </row>
    <row r="105" spans="5:30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3"/>
      <c r="U105" s="84"/>
      <c r="V105" s="85"/>
      <c r="W105" s="86"/>
    </row>
    <row r="106" spans="5:30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7">
        <f>+T104+T105*1.6</f>
        <v>0</v>
      </c>
      <c r="U106" s="88"/>
      <c r="V106" s="89"/>
      <c r="W106" s="90">
        <f>+W104+W105*1.6</f>
        <v>0</v>
      </c>
    </row>
    <row r="107" spans="5:30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3"/>
      <c r="U107" s="84"/>
      <c r="V107" s="85"/>
      <c r="W107" s="86"/>
      <c r="AD107" s="116"/>
    </row>
    <row r="108" spans="5:30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3"/>
      <c r="U108" s="84"/>
      <c r="V108" s="85"/>
      <c r="W108" s="86"/>
    </row>
    <row r="109" spans="5:30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7">
        <f>+T107+T108*1.6</f>
        <v>0</v>
      </c>
      <c r="U109" s="88"/>
      <c r="V109" s="89"/>
      <c r="W109" s="90">
        <f>+W107+W108*1.6</f>
        <v>0</v>
      </c>
    </row>
    <row r="114" spans="3:26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</row>
    <row r="116" spans="3:26" x14ac:dyDescent="0.3">
      <c r="C116" s="211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117"/>
      <c r="V116" s="118"/>
      <c r="W116" s="116"/>
      <c r="X116" s="117"/>
      <c r="Y116" s="116"/>
      <c r="Z116" s="116"/>
    </row>
    <row r="117" spans="3:26" x14ac:dyDescent="0.3">
      <c r="C117" s="211" t="s">
        <v>63</v>
      </c>
      <c r="D117" s="466" t="s">
        <v>12</v>
      </c>
      <c r="E117" s="466"/>
      <c r="F117" s="211" t="s">
        <v>64</v>
      </c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211"/>
      <c r="R117" s="211"/>
      <c r="S117" s="211"/>
      <c r="T117" s="211" t="s">
        <v>15</v>
      </c>
      <c r="U117" s="117"/>
      <c r="V117" s="118"/>
      <c r="W117" s="116"/>
      <c r="X117" s="117"/>
      <c r="Y117" s="116"/>
      <c r="Z117" s="116"/>
    </row>
    <row r="118" spans="3:26" x14ac:dyDescent="0.3">
      <c r="C118" s="119">
        <v>45075</v>
      </c>
      <c r="D118" s="466"/>
      <c r="E118" s="466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211"/>
      <c r="R118" s="211"/>
      <c r="S118" s="211"/>
      <c r="T118" s="211"/>
      <c r="U118" s="117"/>
      <c r="V118" s="118"/>
      <c r="W118" s="116"/>
      <c r="X118" s="117"/>
      <c r="Y118" s="116"/>
      <c r="Z118" s="116"/>
    </row>
    <row r="119" spans="3:26" x14ac:dyDescent="0.3">
      <c r="C119" s="119">
        <v>45076</v>
      </c>
      <c r="D119" s="466"/>
      <c r="E119" s="466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211"/>
      <c r="R119" s="211"/>
      <c r="S119" s="211"/>
      <c r="T119" s="211"/>
      <c r="U119" s="117"/>
      <c r="V119" s="118"/>
      <c r="W119" s="116"/>
      <c r="X119" s="117"/>
      <c r="Y119" s="116"/>
      <c r="Z119" s="116"/>
    </row>
    <row r="120" spans="3:26" x14ac:dyDescent="0.3">
      <c r="C120" s="119">
        <v>45077</v>
      </c>
      <c r="D120" s="466"/>
      <c r="E120" s="466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211"/>
      <c r="R120" s="211"/>
      <c r="S120" s="211"/>
      <c r="T120" s="211"/>
      <c r="U120" s="117"/>
      <c r="V120" s="118"/>
      <c r="W120" s="116"/>
      <c r="X120" s="117"/>
      <c r="Y120" s="116"/>
      <c r="Z120" s="116"/>
    </row>
    <row r="121" spans="3:26" x14ac:dyDescent="0.3">
      <c r="C121" s="119">
        <v>45078</v>
      </c>
      <c r="D121" s="466"/>
      <c r="E121" s="466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211"/>
      <c r="R121" s="211"/>
      <c r="S121" s="211"/>
      <c r="T121" s="211"/>
      <c r="U121" s="117"/>
      <c r="V121" s="118"/>
      <c r="W121" s="116"/>
      <c r="X121" s="117"/>
      <c r="Y121" s="116"/>
      <c r="Z121" s="116"/>
    </row>
    <row r="122" spans="3:26" x14ac:dyDescent="0.3">
      <c r="C122" s="119">
        <v>45079</v>
      </c>
      <c r="D122" s="466"/>
      <c r="E122" s="466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211"/>
      <c r="R122" s="211"/>
      <c r="S122" s="211"/>
      <c r="T122" s="211"/>
      <c r="U122" s="117"/>
      <c r="V122" s="118"/>
      <c r="W122" s="116"/>
      <c r="X122" s="117"/>
      <c r="Y122" s="116"/>
      <c r="Z122" s="116"/>
    </row>
    <row r="123" spans="3:26" x14ac:dyDescent="0.3">
      <c r="C123" s="119">
        <v>45080</v>
      </c>
      <c r="D123" s="466"/>
      <c r="E123" s="466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211"/>
      <c r="R123" s="211"/>
      <c r="S123" s="211"/>
      <c r="T123" s="211"/>
      <c r="U123" s="117"/>
      <c r="V123" s="118"/>
      <c r="W123" s="116"/>
      <c r="X123" s="117"/>
      <c r="Y123" s="116"/>
      <c r="Z123" s="116"/>
    </row>
    <row r="124" spans="3:26" x14ac:dyDescent="0.3">
      <c r="C124" s="211"/>
      <c r="D124" s="460"/>
      <c r="E124" s="462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211"/>
      <c r="R124" s="211"/>
      <c r="S124" s="211"/>
      <c r="T124" s="211"/>
      <c r="U124" s="117"/>
      <c r="V124" s="118"/>
      <c r="W124" s="116"/>
      <c r="X124" s="117"/>
      <c r="Y124" s="116"/>
      <c r="Z124" s="116"/>
    </row>
    <row r="125" spans="3:26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117"/>
      <c r="V125" s="118"/>
      <c r="W125" s="116"/>
      <c r="X125" s="117"/>
      <c r="Y125" s="116"/>
      <c r="Z125" s="116"/>
    </row>
    <row r="126" spans="3:26" x14ac:dyDescent="0.3">
      <c r="C126" s="211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117"/>
      <c r="V126" s="118"/>
      <c r="W126" s="116"/>
      <c r="X126" s="117"/>
      <c r="Y126" s="116"/>
      <c r="Z126" s="116"/>
    </row>
    <row r="127" spans="3:26" x14ac:dyDescent="0.3">
      <c r="C127" s="211" t="s">
        <v>63</v>
      </c>
      <c r="D127" s="466" t="s">
        <v>12</v>
      </c>
      <c r="E127" s="466"/>
      <c r="F127" s="211" t="s">
        <v>64</v>
      </c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211"/>
      <c r="R127" s="211"/>
      <c r="S127" s="211"/>
      <c r="T127" s="211" t="s">
        <v>15</v>
      </c>
      <c r="U127" s="117"/>
      <c r="V127" s="118"/>
      <c r="W127" s="116"/>
      <c r="X127" s="117"/>
      <c r="Y127" s="116"/>
      <c r="Z127" s="116"/>
    </row>
    <row r="128" spans="3:26" x14ac:dyDescent="0.3">
      <c r="C128" s="119">
        <v>45075</v>
      </c>
      <c r="D128" s="466"/>
      <c r="E128" s="466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117"/>
      <c r="V128" s="118"/>
      <c r="W128" s="116"/>
      <c r="X128" s="117"/>
      <c r="Y128" s="116"/>
      <c r="Z128" s="116"/>
    </row>
    <row r="129" spans="3:26" x14ac:dyDescent="0.3">
      <c r="C129" s="119">
        <v>45076</v>
      </c>
      <c r="D129" s="466"/>
      <c r="E129" s="466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211"/>
      <c r="R129" s="211"/>
      <c r="S129" s="211"/>
      <c r="T129" s="211"/>
      <c r="U129" s="117"/>
      <c r="V129" s="118"/>
      <c r="W129" s="116"/>
      <c r="X129" s="117"/>
      <c r="Y129" s="116"/>
      <c r="Z129" s="116"/>
    </row>
    <row r="130" spans="3:26" x14ac:dyDescent="0.3">
      <c r="C130" s="119">
        <v>45077</v>
      </c>
      <c r="D130" s="466"/>
      <c r="E130" s="466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211"/>
      <c r="R130" s="211"/>
      <c r="S130" s="211"/>
      <c r="T130" s="211"/>
      <c r="U130" s="117"/>
      <c r="V130" s="118"/>
      <c r="W130" s="116"/>
      <c r="X130" s="117"/>
      <c r="Y130" s="116"/>
      <c r="Z130" s="116"/>
    </row>
    <row r="131" spans="3:26" x14ac:dyDescent="0.3">
      <c r="C131" s="119">
        <v>45078</v>
      </c>
      <c r="D131" s="466"/>
      <c r="E131" s="466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211"/>
      <c r="R131" s="211"/>
      <c r="S131" s="211"/>
      <c r="T131" s="211"/>
      <c r="U131" s="117"/>
      <c r="V131" s="118"/>
      <c r="W131" s="116"/>
      <c r="X131" s="117"/>
      <c r="Y131" s="116"/>
      <c r="Z131" s="116"/>
    </row>
    <row r="132" spans="3:26" x14ac:dyDescent="0.3">
      <c r="C132" s="119">
        <v>45079</v>
      </c>
      <c r="D132" s="466"/>
      <c r="E132" s="466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211"/>
      <c r="R132" s="211"/>
      <c r="S132" s="211"/>
      <c r="T132" s="211"/>
      <c r="U132" s="117"/>
      <c r="V132" s="118"/>
      <c r="W132" s="116"/>
      <c r="X132" s="117"/>
      <c r="Y132" s="116"/>
      <c r="Z132" s="116"/>
    </row>
    <row r="133" spans="3:26" x14ac:dyDescent="0.3">
      <c r="C133" s="119">
        <v>45080</v>
      </c>
      <c r="D133" s="466"/>
      <c r="E133" s="466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211"/>
      <c r="R133" s="211"/>
      <c r="S133" s="211"/>
      <c r="T133" s="211"/>
      <c r="U133" s="117"/>
      <c r="V133" s="118"/>
      <c r="W133" s="116"/>
      <c r="X133" s="117"/>
      <c r="Y133" s="116"/>
      <c r="Z133" s="116"/>
    </row>
    <row r="134" spans="3:26" x14ac:dyDescent="0.3">
      <c r="C134" s="211"/>
      <c r="D134" s="460"/>
      <c r="E134" s="462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211"/>
      <c r="R134" s="211"/>
      <c r="S134" s="211"/>
      <c r="T134" s="211"/>
      <c r="U134" s="117"/>
      <c r="V134" s="118"/>
      <c r="W134" s="116"/>
      <c r="X134" s="117"/>
      <c r="Y134" s="116"/>
      <c r="Z134" s="116"/>
    </row>
    <row r="135" spans="3:26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117"/>
      <c r="V135" s="118"/>
      <c r="W135" s="116"/>
      <c r="X135" s="117"/>
      <c r="Y135" s="116"/>
      <c r="Z135" s="116"/>
    </row>
    <row r="136" spans="3:26" x14ac:dyDescent="0.3">
      <c r="C136" s="211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117"/>
      <c r="V136" s="118"/>
      <c r="W136" s="116"/>
      <c r="X136" s="117"/>
      <c r="Y136" s="116"/>
      <c r="Z136" s="116"/>
    </row>
    <row r="137" spans="3:26" x14ac:dyDescent="0.3">
      <c r="C137" s="211" t="s">
        <v>63</v>
      </c>
      <c r="D137" s="466" t="s">
        <v>12</v>
      </c>
      <c r="E137" s="466"/>
      <c r="F137" s="211" t="s">
        <v>64</v>
      </c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1"/>
      <c r="T137" s="211" t="s">
        <v>15</v>
      </c>
      <c r="U137" s="117"/>
      <c r="V137" s="118"/>
      <c r="W137" s="116"/>
      <c r="X137" s="117"/>
      <c r="Y137" s="116"/>
      <c r="Z137" s="116"/>
    </row>
    <row r="138" spans="3:26" x14ac:dyDescent="0.3">
      <c r="C138" s="119">
        <v>45075</v>
      </c>
      <c r="D138" s="466"/>
      <c r="E138" s="466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211"/>
      <c r="R138" s="211"/>
      <c r="S138" s="211"/>
      <c r="T138" s="211"/>
      <c r="U138" s="117"/>
      <c r="V138" s="118"/>
      <c r="W138" s="116"/>
      <c r="X138" s="117"/>
      <c r="Y138" s="116"/>
      <c r="Z138" s="116"/>
    </row>
    <row r="139" spans="3:26" x14ac:dyDescent="0.3">
      <c r="C139" s="119">
        <v>45076</v>
      </c>
      <c r="D139" s="466"/>
      <c r="E139" s="466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211"/>
      <c r="R139" s="211"/>
      <c r="S139" s="211"/>
      <c r="T139" s="211"/>
      <c r="U139" s="117"/>
      <c r="V139" s="118"/>
      <c r="W139" s="116"/>
      <c r="X139" s="117"/>
      <c r="Y139" s="116"/>
      <c r="Z139" s="116"/>
    </row>
    <row r="140" spans="3:26" x14ac:dyDescent="0.3">
      <c r="C140" s="119">
        <v>45077</v>
      </c>
      <c r="D140" s="466"/>
      <c r="E140" s="466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211"/>
      <c r="R140" s="211"/>
      <c r="S140" s="211"/>
      <c r="T140" s="211"/>
    </row>
    <row r="141" spans="3:26" x14ac:dyDescent="0.3">
      <c r="C141" s="119">
        <v>45078</v>
      </c>
      <c r="D141" s="466"/>
      <c r="E141" s="466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211"/>
      <c r="R141" s="211"/>
      <c r="S141" s="211"/>
      <c r="T141" s="211"/>
    </row>
    <row r="142" spans="3:26" x14ac:dyDescent="0.3">
      <c r="C142" s="119">
        <v>45079</v>
      </c>
      <c r="D142" s="466"/>
      <c r="E142" s="466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211"/>
      <c r="R142" s="211"/>
      <c r="S142" s="211"/>
      <c r="T142" s="211"/>
    </row>
    <row r="143" spans="3:26" x14ac:dyDescent="0.3">
      <c r="C143" s="119">
        <v>45080</v>
      </c>
      <c r="D143" s="466"/>
      <c r="E143" s="466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211"/>
      <c r="R143" s="211"/>
      <c r="S143" s="211"/>
      <c r="T143" s="211"/>
    </row>
    <row r="144" spans="3:26" x14ac:dyDescent="0.3">
      <c r="C144" s="211"/>
      <c r="D144" s="460"/>
      <c r="E144" s="462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211"/>
      <c r="R144" s="211"/>
      <c r="S144" s="211"/>
      <c r="T144" s="211"/>
    </row>
  </sheetData>
  <mergeCells count="113"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E104:E106"/>
    <mergeCell ref="F104:F106"/>
    <mergeCell ref="E107:E109"/>
    <mergeCell ref="F107:F109"/>
    <mergeCell ref="C114:T114"/>
    <mergeCell ref="D117:E117"/>
    <mergeCell ref="E95:E97"/>
    <mergeCell ref="F95:F97"/>
    <mergeCell ref="E98:E100"/>
    <mergeCell ref="F98:F100"/>
    <mergeCell ref="E101:E103"/>
    <mergeCell ref="F101:F103"/>
    <mergeCell ref="AD78:AD79"/>
    <mergeCell ref="B80:B85"/>
    <mergeCell ref="B86:E86"/>
    <mergeCell ref="B87:E87"/>
    <mergeCell ref="E92:E94"/>
    <mergeCell ref="F92:F94"/>
    <mergeCell ref="B76:AD76"/>
    <mergeCell ref="B78:B79"/>
    <mergeCell ref="C78:C79"/>
    <mergeCell ref="D78:D79"/>
    <mergeCell ref="E78:E79"/>
    <mergeCell ref="F78:F79"/>
    <mergeCell ref="T78:V78"/>
    <mergeCell ref="W78:Y78"/>
    <mergeCell ref="AB78:AB79"/>
    <mergeCell ref="AC78:AC79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B23:B28"/>
    <mergeCell ref="B29:E29"/>
    <mergeCell ref="B30:E30"/>
    <mergeCell ref="I21:R21"/>
    <mergeCell ref="S21:S22"/>
    <mergeCell ref="T21:V21"/>
    <mergeCell ref="W21:Y21"/>
    <mergeCell ref="Z21:Z22"/>
    <mergeCell ref="AA21:AA22"/>
    <mergeCell ref="B13:E13"/>
    <mergeCell ref="B14:E14"/>
    <mergeCell ref="B19:AD19"/>
    <mergeCell ref="B21:B22"/>
    <mergeCell ref="C21:C22"/>
    <mergeCell ref="D21:D22"/>
    <mergeCell ref="E21:E22"/>
    <mergeCell ref="F21:F22"/>
    <mergeCell ref="G21:G22"/>
    <mergeCell ref="H21:H22"/>
    <mergeCell ref="AB21:AB22"/>
    <mergeCell ref="AC21:AC22"/>
    <mergeCell ref="AD21:AD22"/>
    <mergeCell ref="T5:V5"/>
    <mergeCell ref="W5:Y5"/>
    <mergeCell ref="AB5:AB6"/>
    <mergeCell ref="AC5:AC6"/>
    <mergeCell ref="AD5:AD6"/>
    <mergeCell ref="B7:B12"/>
    <mergeCell ref="B2:AD2"/>
    <mergeCell ref="B3:AD3"/>
    <mergeCell ref="B5:C6"/>
    <mergeCell ref="D5:D6"/>
    <mergeCell ref="E5:E6"/>
    <mergeCell ref="F5:F6"/>
    <mergeCell ref="G5:G6"/>
    <mergeCell ref="H5:H6"/>
    <mergeCell ref="I5:R5"/>
    <mergeCell ref="S5:S6"/>
  </mergeCells>
  <phoneticPr fontId="4" type="noConversion"/>
  <dataValidations count="3">
    <dataValidation type="list" allowBlank="1" showInputMessage="1" showErrorMessage="1" sqref="AG23:AG25 AG7 AG10 AG80:AG82">
      <formula1>$AD$6:$AD$8</formula1>
    </dataValidation>
    <dataValidation type="list" allowBlank="1" showInputMessage="1" showErrorMessage="1" sqref="E80:E85 E10:E11 E26:E27">
      <formula1>$AG$7:$AG$12</formula1>
    </dataValidation>
    <dataValidation type="list" allowBlank="1" showInputMessage="1" showErrorMessage="1" sqref="E7:E9 E23:E25 E12 E28">
      <formula1>$AF$6:$AF$11</formula1>
    </dataValidation>
  </dataValidations>
  <pageMargins left="0.62992125984251968" right="0.62992125984251968" top="0.94488188976377963" bottom="0.55118110236220474" header="0.31496062992125984" footer="0.31496062992125984"/>
  <pageSetup paperSize="9" scale="26" orientation="landscape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Y144"/>
  <sheetViews>
    <sheetView showGridLines="0" zoomScale="80" zoomScaleNormal="80" workbookViewId="0">
      <pane xSplit="4" ySplit="6" topLeftCell="E25" activePane="bottomRight" state="frozen"/>
      <selection pane="topRight" activeCell="D1" sqref="D1"/>
      <selection pane="bottomLeft" activeCell="A6" sqref="A6"/>
      <selection pane="bottomRight" activeCell="G9" sqref="G9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9.75" customWidth="1"/>
    <col min="5" max="5" width="7.375" customWidth="1"/>
    <col min="6" max="6" width="7.5" style="8" customWidth="1"/>
    <col min="7" max="7" width="11.375" style="8" customWidth="1"/>
    <col min="8" max="19" width="8.625" style="8" customWidth="1"/>
    <col min="20" max="20" width="10.75" style="75" customWidth="1"/>
    <col min="21" max="21" width="10.875" style="10" customWidth="1"/>
    <col min="22" max="22" width="7.375" style="11" customWidth="1"/>
    <col min="23" max="23" width="12.25" customWidth="1"/>
    <col min="24" max="24" width="7.75" style="10" customWidth="1"/>
    <col min="25" max="25" width="10.375" customWidth="1"/>
    <col min="26" max="26" width="9.5" customWidth="1"/>
    <col min="27" max="27" width="10" customWidth="1"/>
    <col min="28" max="28" width="7.125" customWidth="1"/>
    <col min="29" max="29" width="8.375" customWidth="1"/>
    <col min="30" max="30" width="63.125" customWidth="1"/>
    <col min="31" max="32" width="9.125" hidden="1" customWidth="1"/>
    <col min="33" max="33" width="8.75" hidden="1" customWidth="1"/>
    <col min="34" max="34" width="2.75" hidden="1" customWidth="1"/>
    <col min="35" max="35" width="9.125" hidden="1" customWidth="1"/>
    <col min="36" max="36" width="0" hidden="1" customWidth="1"/>
    <col min="37" max="39" width="9.125" style="1" hidden="1" customWidth="1"/>
    <col min="40" max="41" width="0" hidden="1" customWidth="1"/>
    <col min="42" max="42" width="11.75" hidden="1" customWidth="1"/>
    <col min="43" max="43" width="3.25" customWidth="1"/>
  </cols>
  <sheetData>
    <row r="2" spans="2:51" ht="20.25" x14ac:dyDescent="0.3">
      <c r="B2" s="425" t="s">
        <v>125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V2" s="2" t="s">
        <v>0</v>
      </c>
      <c r="AW2" s="199" t="s">
        <v>1</v>
      </c>
      <c r="AX2" s="199" t="s">
        <v>2</v>
      </c>
      <c r="AY2" s="3" t="s">
        <v>3</v>
      </c>
    </row>
    <row r="3" spans="2:51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V3" s="4"/>
      <c r="AW3" s="5"/>
      <c r="AX3" s="5"/>
      <c r="AY3" s="6"/>
    </row>
    <row r="4" spans="2:51" x14ac:dyDescent="0.3">
      <c r="B4" t="s">
        <v>5</v>
      </c>
      <c r="D4" s="7">
        <v>55</v>
      </c>
      <c r="F4" s="8" t="s">
        <v>6</v>
      </c>
      <c r="T4" s="9">
        <v>1.2</v>
      </c>
      <c r="Z4" s="12">
        <v>50</v>
      </c>
      <c r="AA4" s="11">
        <f>50*10.89/10</f>
        <v>54.45</v>
      </c>
      <c r="AB4" s="12"/>
      <c r="AD4" s="8"/>
    </row>
    <row r="5" spans="2:51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8"/>
      <c r="S5" s="439" t="s">
        <v>11</v>
      </c>
      <c r="T5" s="441" t="s">
        <v>12</v>
      </c>
      <c r="U5" s="418"/>
      <c r="V5" s="442"/>
      <c r="W5" s="446" t="s">
        <v>13</v>
      </c>
      <c r="X5" s="418"/>
      <c r="Y5" s="418"/>
      <c r="Z5" s="13"/>
      <c r="AA5" s="14"/>
      <c r="AB5" s="447" t="s">
        <v>14</v>
      </c>
      <c r="AC5" s="449" t="s">
        <v>15</v>
      </c>
      <c r="AD5" s="418" t="s">
        <v>16</v>
      </c>
    </row>
    <row r="6" spans="2:51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202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76</v>
      </c>
      <c r="Q6" s="18" t="s">
        <v>77</v>
      </c>
      <c r="R6" s="127" t="s">
        <v>80</v>
      </c>
      <c r="S6" s="440"/>
      <c r="T6" s="15" t="s">
        <v>12</v>
      </c>
      <c r="U6" s="16" t="s">
        <v>17</v>
      </c>
      <c r="V6" s="17" t="s">
        <v>18</v>
      </c>
      <c r="W6" s="18" t="s">
        <v>13</v>
      </c>
      <c r="X6" s="16" t="s">
        <v>19</v>
      </c>
      <c r="Y6" s="19" t="s">
        <v>18</v>
      </c>
      <c r="Z6" s="202" t="s">
        <v>20</v>
      </c>
      <c r="AA6" s="20" t="s">
        <v>21</v>
      </c>
      <c r="AB6" s="448"/>
      <c r="AC6" s="450"/>
      <c r="AD6" s="419"/>
      <c r="AE6" s="21" t="s">
        <v>22</v>
      </c>
      <c r="AF6" s="21" t="s">
        <v>23</v>
      </c>
      <c r="AI6" s="22" t="s">
        <v>24</v>
      </c>
      <c r="AK6" s="23" t="s">
        <v>25</v>
      </c>
      <c r="AL6" s="23" t="s">
        <v>26</v>
      </c>
      <c r="AM6" s="23" t="s">
        <v>27</v>
      </c>
      <c r="AO6" s="22">
        <f>SUM(AO7:AO12)</f>
        <v>-39.299999999999997</v>
      </c>
    </row>
    <row r="7" spans="2:51" s="200" customFormat="1" ht="99" customHeight="1" thickTop="1" x14ac:dyDescent="0.3">
      <c r="B7" s="420">
        <v>2</v>
      </c>
      <c r="C7" s="24">
        <v>9</v>
      </c>
      <c r="D7" s="25" t="s">
        <v>7</v>
      </c>
      <c r="E7" s="26" t="s">
        <v>29</v>
      </c>
      <c r="F7" s="25">
        <v>8.5</v>
      </c>
      <c r="G7" s="128">
        <v>385</v>
      </c>
      <c r="H7" s="128">
        <f>(G7/T7)*100</f>
        <v>90.163934426229503</v>
      </c>
      <c r="I7" s="123" t="s">
        <v>85</v>
      </c>
      <c r="J7" s="123" t="s">
        <v>86</v>
      </c>
      <c r="K7" s="123" t="s">
        <v>73</v>
      </c>
      <c r="L7" s="123" t="s">
        <v>87</v>
      </c>
      <c r="M7" s="123"/>
      <c r="N7" s="129" t="s">
        <v>90</v>
      </c>
      <c r="O7" s="123" t="s">
        <v>74</v>
      </c>
      <c r="P7" s="123" t="s">
        <v>91</v>
      </c>
      <c r="Q7" s="123" t="s">
        <v>89</v>
      </c>
      <c r="R7" s="125">
        <f t="shared" ref="R7:R13" si="0">COUNTA(I7:M7)+COUNTA(N7:Q7)/2</f>
        <v>6</v>
      </c>
      <c r="S7" s="27">
        <f t="shared" ref="S7:S12" si="1">F7*$D$4*$T$4</f>
        <v>561</v>
      </c>
      <c r="T7" s="28">
        <f>+H38</f>
        <v>427</v>
      </c>
      <c r="U7" s="29">
        <f t="shared" ref="U7:U12" si="2">IF(F7=0,"휴무",T7/F7)</f>
        <v>50.235294117647058</v>
      </c>
      <c r="V7" s="30">
        <f t="shared" ref="V7:V13" si="3">IFERROR(T7/S7,0)</f>
        <v>0.76114081996434935</v>
      </c>
      <c r="W7" s="31">
        <f>+K38</f>
        <v>504.12</v>
      </c>
      <c r="X7" s="29">
        <f t="shared" ref="X7:X12" si="4">IF(F7=0,"휴무",W7/F7)</f>
        <v>59.308235294117651</v>
      </c>
      <c r="Y7" s="32">
        <f t="shared" ref="Y7:Y13" si="5">IFERROR(W7/S7,0)</f>
        <v>0.89860962566844915</v>
      </c>
      <c r="Z7" s="33">
        <f t="shared" ref="Z7:Z12" si="6">IF(F7=0,"휴무",T7/S7*$Z$4)</f>
        <v>38.057040998217467</v>
      </c>
      <c r="AA7" s="34">
        <f t="shared" ref="AA7:AA12" si="7">IF(F7=0,"휴무",W7/S7*$AA$4)</f>
        <v>48.929294117647061</v>
      </c>
      <c r="AB7" s="138">
        <f t="shared" ref="AB7:AB13" si="8">IF(F7=0,"휴무",Z7+AA7)</f>
        <v>86.986335115864534</v>
      </c>
      <c r="AC7" s="35" t="str">
        <f t="shared" ref="AC7:AC13" si="9">IF(F7=0,"휴무",IF(AB7&gt;=100,"좋아요",IF(AB7&gt;=90,"90~99",IF(AB7&gt;=80,"80~89"," 사유?→"))))</f>
        <v>80~89</v>
      </c>
      <c r="AD7" s="36"/>
      <c r="AE7" s="37">
        <f>AF7-F7</f>
        <v>-8.5</v>
      </c>
      <c r="AF7" s="38">
        <f>AM7</f>
        <v>0</v>
      </c>
      <c r="AG7" s="200" t="s">
        <v>29</v>
      </c>
      <c r="AH7" s="39"/>
      <c r="AI7" s="40">
        <f>IFERROR(Y7/V7*1000,"")</f>
        <v>1180.6088992974239</v>
      </c>
      <c r="AJ7" s="39"/>
      <c r="AK7" s="41"/>
      <c r="AL7" s="41"/>
      <c r="AM7" s="41"/>
      <c r="AO7" s="200">
        <f t="shared" ref="AO7:AO12" si="10">AN7-F7</f>
        <v>-8.5</v>
      </c>
      <c r="AP7" s="42"/>
    </row>
    <row r="8" spans="2:51" s="200" customFormat="1" ht="99.75" customHeight="1" x14ac:dyDescent="0.3">
      <c r="B8" s="421"/>
      <c r="C8" s="24">
        <f>+C7+1</f>
        <v>10</v>
      </c>
      <c r="D8" s="43" t="s">
        <v>30</v>
      </c>
      <c r="E8" s="26" t="s">
        <v>29</v>
      </c>
      <c r="F8" s="25">
        <v>7</v>
      </c>
      <c r="G8" s="125">
        <v>489</v>
      </c>
      <c r="H8" s="125">
        <f>(G8/T8)*100</f>
        <v>99.592668024439917</v>
      </c>
      <c r="I8" s="123" t="s">
        <v>85</v>
      </c>
      <c r="J8" s="123" t="s">
        <v>86</v>
      </c>
      <c r="K8" s="123" t="s">
        <v>73</v>
      </c>
      <c r="L8" s="123" t="s">
        <v>87</v>
      </c>
      <c r="M8" s="123"/>
      <c r="N8" s="129" t="s">
        <v>90</v>
      </c>
      <c r="O8" s="123" t="s">
        <v>74</v>
      </c>
      <c r="P8" s="123" t="s">
        <v>91</v>
      </c>
      <c r="Q8" s="123" t="s">
        <v>89</v>
      </c>
      <c r="R8" s="125">
        <f t="shared" si="0"/>
        <v>6</v>
      </c>
      <c r="S8" s="27">
        <f t="shared" si="1"/>
        <v>462</v>
      </c>
      <c r="T8" s="28">
        <f>+H41</f>
        <v>491</v>
      </c>
      <c r="U8" s="44">
        <f t="shared" si="2"/>
        <v>70.142857142857139</v>
      </c>
      <c r="V8" s="45">
        <f t="shared" si="3"/>
        <v>1.0627705627705628</v>
      </c>
      <c r="W8" s="46">
        <f>+K41</f>
        <v>433</v>
      </c>
      <c r="X8" s="29">
        <f t="shared" si="4"/>
        <v>61.857142857142854</v>
      </c>
      <c r="Y8" s="47">
        <f t="shared" si="5"/>
        <v>0.93722943722943719</v>
      </c>
      <c r="Z8" s="48">
        <f t="shared" si="6"/>
        <v>53.138528138528137</v>
      </c>
      <c r="AA8" s="49">
        <f t="shared" si="7"/>
        <v>51.032142857142858</v>
      </c>
      <c r="AB8" s="139">
        <f t="shared" si="8"/>
        <v>104.170670995671</v>
      </c>
      <c r="AC8" s="50" t="str">
        <f t="shared" si="9"/>
        <v>좋아요</v>
      </c>
      <c r="AD8" s="36" t="s">
        <v>127</v>
      </c>
      <c r="AE8" s="37">
        <f>AF8-F8</f>
        <v>-7</v>
      </c>
      <c r="AF8" s="38">
        <f>AM8</f>
        <v>0</v>
      </c>
      <c r="AG8" s="200" t="s">
        <v>31</v>
      </c>
      <c r="AH8" s="39"/>
      <c r="AI8" s="40">
        <f>IFERROR(Y8/V8*1000,"")</f>
        <v>881.8737270875763</v>
      </c>
      <c r="AJ8" s="39"/>
      <c r="AK8" s="41"/>
      <c r="AL8" s="41"/>
      <c r="AM8" s="41"/>
      <c r="AO8" s="200">
        <f t="shared" si="10"/>
        <v>-7</v>
      </c>
      <c r="AP8" s="42"/>
    </row>
    <row r="9" spans="2:51" s="200" customFormat="1" ht="97.5" customHeight="1" x14ac:dyDescent="0.3">
      <c r="B9" s="421"/>
      <c r="C9" s="24">
        <f>+C8+1</f>
        <v>11</v>
      </c>
      <c r="D9" s="43" t="s">
        <v>32</v>
      </c>
      <c r="E9" s="26" t="s">
        <v>29</v>
      </c>
      <c r="F9" s="25">
        <v>7.3</v>
      </c>
      <c r="G9" s="125">
        <v>427</v>
      </c>
      <c r="H9" s="125">
        <f>(G9/T9)*100</f>
        <v>99.766355140186917</v>
      </c>
      <c r="I9" s="123" t="s">
        <v>85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91</v>
      </c>
      <c r="Q9" s="123" t="s">
        <v>89</v>
      </c>
      <c r="R9" s="125">
        <f t="shared" si="0"/>
        <v>6</v>
      </c>
      <c r="S9" s="27">
        <f t="shared" si="1"/>
        <v>481.79999999999995</v>
      </c>
      <c r="T9" s="51">
        <f>+H44</f>
        <v>428</v>
      </c>
      <c r="U9" s="44">
        <f t="shared" si="2"/>
        <v>58.630136986301373</v>
      </c>
      <c r="V9" s="45">
        <f t="shared" si="3"/>
        <v>0.88833540888335416</v>
      </c>
      <c r="W9" s="46">
        <f>+K44</f>
        <v>443.23</v>
      </c>
      <c r="X9" s="44">
        <f t="shared" si="4"/>
        <v>60.716438356164389</v>
      </c>
      <c r="Y9" s="47">
        <f t="shared" si="5"/>
        <v>0.91994603569946043</v>
      </c>
      <c r="Z9" s="48">
        <f t="shared" si="6"/>
        <v>44.41677044416771</v>
      </c>
      <c r="AA9" s="49">
        <f t="shared" si="7"/>
        <v>50.091061643835623</v>
      </c>
      <c r="AB9" s="139">
        <f t="shared" si="8"/>
        <v>94.50783208800334</v>
      </c>
      <c r="AC9" s="50" t="str">
        <f t="shared" si="9"/>
        <v>90~99</v>
      </c>
      <c r="AD9" s="36" t="s">
        <v>128</v>
      </c>
      <c r="AE9" s="37">
        <f>AF9-F9</f>
        <v>-7.3</v>
      </c>
      <c r="AF9" s="38">
        <f>AM9</f>
        <v>0</v>
      </c>
      <c r="AG9" s="200" t="s">
        <v>34</v>
      </c>
      <c r="AH9" s="39"/>
      <c r="AI9" s="40">
        <f>IFERROR(Y9/V9*1000,"")</f>
        <v>1035.5841121495325</v>
      </c>
      <c r="AJ9" s="39"/>
      <c r="AK9" s="41"/>
      <c r="AL9" s="41"/>
      <c r="AM9" s="41"/>
      <c r="AO9" s="200">
        <f t="shared" si="10"/>
        <v>-7.3</v>
      </c>
      <c r="AP9" s="42"/>
    </row>
    <row r="10" spans="2:51" s="200" customFormat="1" ht="95.25" customHeight="1" x14ac:dyDescent="0.3">
      <c r="B10" s="421"/>
      <c r="C10" s="24">
        <f>+C9+1</f>
        <v>12</v>
      </c>
      <c r="D10" s="43" t="s">
        <v>35</v>
      </c>
      <c r="E10" s="26" t="s">
        <v>29</v>
      </c>
      <c r="F10" s="25">
        <v>8.5</v>
      </c>
      <c r="G10" s="125">
        <v>512</v>
      </c>
      <c r="H10" s="125">
        <f>(G10/T10)*100</f>
        <v>99.610894941634243</v>
      </c>
      <c r="I10" s="123" t="s">
        <v>85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74</v>
      </c>
      <c r="P10" s="123" t="s">
        <v>91</v>
      </c>
      <c r="Q10" s="123" t="s">
        <v>89</v>
      </c>
      <c r="R10" s="125">
        <f t="shared" si="0"/>
        <v>6</v>
      </c>
      <c r="S10" s="27">
        <f t="shared" si="1"/>
        <v>561</v>
      </c>
      <c r="T10" s="28">
        <f>+H47</f>
        <v>514</v>
      </c>
      <c r="U10" s="44">
        <f t="shared" si="2"/>
        <v>60.470588235294116</v>
      </c>
      <c r="V10" s="45">
        <f t="shared" si="3"/>
        <v>0.91622103386809273</v>
      </c>
      <c r="W10" s="46">
        <f>+K47</f>
        <v>424.42</v>
      </c>
      <c r="X10" s="29">
        <f t="shared" si="4"/>
        <v>49.931764705882358</v>
      </c>
      <c r="Y10" s="47">
        <f t="shared" si="5"/>
        <v>0.756541889483066</v>
      </c>
      <c r="Z10" s="48">
        <f t="shared" si="6"/>
        <v>45.811051693404636</v>
      </c>
      <c r="AA10" s="49">
        <f t="shared" si="7"/>
        <v>41.193705882352944</v>
      </c>
      <c r="AB10" s="139">
        <f t="shared" si="8"/>
        <v>87.00475757575758</v>
      </c>
      <c r="AC10" s="50" t="str">
        <f t="shared" si="9"/>
        <v>80~89</v>
      </c>
      <c r="AD10" s="36"/>
      <c r="AE10" s="37">
        <f>AF10-F10</f>
        <v>-8.5</v>
      </c>
      <c r="AF10" s="38">
        <f>AM10</f>
        <v>0</v>
      </c>
      <c r="AG10" s="200" t="s">
        <v>36</v>
      </c>
      <c r="AH10" s="39"/>
      <c r="AI10" s="40">
        <f>IFERROR(Y10/V10*1000,"")</f>
        <v>825.71984435797663</v>
      </c>
      <c r="AJ10" s="39"/>
      <c r="AK10" s="41"/>
      <c r="AL10" s="41"/>
      <c r="AM10" s="41"/>
      <c r="AO10" s="200">
        <f t="shared" si="10"/>
        <v>-8.5</v>
      </c>
      <c r="AP10" s="42"/>
    </row>
    <row r="11" spans="2:51" s="200" customFormat="1" ht="102.75" customHeight="1" x14ac:dyDescent="0.3">
      <c r="B11" s="421"/>
      <c r="C11" s="24">
        <f>+C10+1</f>
        <v>13</v>
      </c>
      <c r="D11" s="43" t="s">
        <v>37</v>
      </c>
      <c r="E11" s="26" t="s">
        <v>29</v>
      </c>
      <c r="F11" s="25">
        <v>8</v>
      </c>
      <c r="G11" s="125">
        <v>364</v>
      </c>
      <c r="H11" s="125">
        <f>(G11/T11)*100</f>
        <v>98.113207547169807</v>
      </c>
      <c r="I11" s="123" t="s">
        <v>85</v>
      </c>
      <c r="J11" s="123" t="s">
        <v>86</v>
      </c>
      <c r="K11" s="123" t="s">
        <v>73</v>
      </c>
      <c r="L11" s="123" t="s">
        <v>87</v>
      </c>
      <c r="M11" s="123"/>
      <c r="N11" s="129" t="s">
        <v>90</v>
      </c>
      <c r="O11" s="123" t="s">
        <v>74</v>
      </c>
      <c r="P11" s="123" t="s">
        <v>91</v>
      </c>
      <c r="Q11" s="123" t="s">
        <v>89</v>
      </c>
      <c r="R11" s="125">
        <f t="shared" si="0"/>
        <v>6</v>
      </c>
      <c r="S11" s="27">
        <f t="shared" si="1"/>
        <v>528</v>
      </c>
      <c r="T11" s="28">
        <v>371</v>
      </c>
      <c r="U11" s="44">
        <f t="shared" si="2"/>
        <v>46.375</v>
      </c>
      <c r="V11" s="45">
        <f t="shared" si="3"/>
        <v>0.70265151515151514</v>
      </c>
      <c r="W11" s="46">
        <v>421.1</v>
      </c>
      <c r="X11" s="44">
        <f t="shared" si="4"/>
        <v>52.637500000000003</v>
      </c>
      <c r="Y11" s="47">
        <f t="shared" si="5"/>
        <v>0.79753787878787885</v>
      </c>
      <c r="Z11" s="48">
        <f t="shared" si="6"/>
        <v>35.132575757575758</v>
      </c>
      <c r="AA11" s="49">
        <f t="shared" si="7"/>
        <v>43.425937500000003</v>
      </c>
      <c r="AB11" s="139">
        <f t="shared" si="8"/>
        <v>78.558513257575754</v>
      </c>
      <c r="AC11" s="161" t="str">
        <f t="shared" si="9"/>
        <v xml:space="preserve"> 사유?→</v>
      </c>
      <c r="AD11" s="160" t="s">
        <v>131</v>
      </c>
      <c r="AE11" s="37">
        <f>AF11-F11</f>
        <v>-8</v>
      </c>
      <c r="AF11" s="38">
        <f>AM11</f>
        <v>0</v>
      </c>
      <c r="AG11" s="200" t="s">
        <v>33</v>
      </c>
      <c r="AH11" s="39"/>
      <c r="AI11" s="40">
        <f>IFERROR(Y11/V11*1000,"")</f>
        <v>1135.0404312668466</v>
      </c>
      <c r="AK11" s="41"/>
      <c r="AL11" s="41"/>
      <c r="AM11" s="41"/>
      <c r="AO11" s="200">
        <f t="shared" si="10"/>
        <v>-8</v>
      </c>
      <c r="AP11" s="42"/>
    </row>
    <row r="12" spans="2:51" s="200" customFormat="1" ht="102.75" customHeight="1" x14ac:dyDescent="0.3">
      <c r="B12" s="421"/>
      <c r="C12" s="24">
        <f>+C11+1</f>
        <v>14</v>
      </c>
      <c r="D12" s="43" t="s">
        <v>38</v>
      </c>
      <c r="E12" s="26" t="s">
        <v>33</v>
      </c>
      <c r="F12" s="25">
        <v>0</v>
      </c>
      <c r="G12" s="125"/>
      <c r="H12" s="125" t="s">
        <v>130</v>
      </c>
      <c r="I12" s="121"/>
      <c r="J12" s="121"/>
      <c r="K12" s="121"/>
      <c r="L12" s="121"/>
      <c r="M12" s="121"/>
      <c r="N12" s="121"/>
      <c r="O12" s="121"/>
      <c r="P12" s="121"/>
      <c r="Q12" s="121"/>
      <c r="R12" s="125">
        <f t="shared" si="0"/>
        <v>0</v>
      </c>
      <c r="S12" s="203">
        <f t="shared" si="1"/>
        <v>0</v>
      </c>
      <c r="T12" s="28">
        <f>+H53</f>
        <v>0</v>
      </c>
      <c r="U12" s="29" t="str">
        <f t="shared" si="2"/>
        <v>휴무</v>
      </c>
      <c r="V12" s="30">
        <f t="shared" si="3"/>
        <v>0</v>
      </c>
      <c r="W12" s="31">
        <f>+K53</f>
        <v>0</v>
      </c>
      <c r="X12" s="44" t="str">
        <f t="shared" si="4"/>
        <v>휴무</v>
      </c>
      <c r="Y12" s="47">
        <f t="shared" si="5"/>
        <v>0</v>
      </c>
      <c r="Z12" s="48" t="str">
        <f t="shared" si="6"/>
        <v>휴무</v>
      </c>
      <c r="AA12" s="49" t="str">
        <f t="shared" si="7"/>
        <v>휴무</v>
      </c>
      <c r="AB12" s="139" t="str">
        <f t="shared" si="8"/>
        <v>휴무</v>
      </c>
      <c r="AC12" s="50" t="str">
        <f t="shared" si="9"/>
        <v>휴무</v>
      </c>
      <c r="AD12" s="36"/>
      <c r="AE12" s="37"/>
      <c r="AF12" s="38"/>
      <c r="AH12" s="39"/>
      <c r="AI12" s="40"/>
      <c r="AK12" s="41"/>
      <c r="AL12" s="41"/>
      <c r="AM12" s="41"/>
      <c r="AO12" s="200">
        <f t="shared" si="10"/>
        <v>0</v>
      </c>
      <c r="AP12" s="42"/>
    </row>
    <row r="13" spans="2:51" s="200" customFormat="1" ht="36" customHeight="1" x14ac:dyDescent="0.3">
      <c r="B13" s="422" t="s">
        <v>39</v>
      </c>
      <c r="C13" s="423"/>
      <c r="D13" s="423"/>
      <c r="E13" s="424"/>
      <c r="F13" s="43">
        <f>SUM(F7:F12)</f>
        <v>39.299999999999997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5">
        <f t="shared" si="0"/>
        <v>0</v>
      </c>
      <c r="S13" s="52">
        <f>SUM(S7:S12)</f>
        <v>2593.8000000000002</v>
      </c>
      <c r="T13" s="53">
        <f>SUM(T7:T12)</f>
        <v>2231</v>
      </c>
      <c r="U13" s="54">
        <f>T13/F13</f>
        <v>56.768447837150134</v>
      </c>
      <c r="V13" s="45">
        <f t="shared" si="3"/>
        <v>0.86012799753257763</v>
      </c>
      <c r="W13" s="55">
        <f>SUM(W7:W12)</f>
        <v>2225.87</v>
      </c>
      <c r="X13" s="44">
        <f>W13/F13</f>
        <v>56.63791348600509</v>
      </c>
      <c r="Y13" s="47">
        <f t="shared" si="5"/>
        <v>0.85815020433341038</v>
      </c>
      <c r="Z13" s="56">
        <f>T13/S13*Z4</f>
        <v>43.006399876628883</v>
      </c>
      <c r="AA13" s="57">
        <f>W13/S13*AA4</f>
        <v>46.726278625954201</v>
      </c>
      <c r="AB13" s="140">
        <f t="shared" si="8"/>
        <v>89.732678502583084</v>
      </c>
      <c r="AC13" s="58" t="str">
        <f t="shared" si="9"/>
        <v>80~89</v>
      </c>
      <c r="AD13" s="43"/>
      <c r="AE13" s="37">
        <f>AF13-F13</f>
        <v>-39.299999999999997</v>
      </c>
      <c r="AF13" s="38">
        <f>SUM(AF7:AF12)</f>
        <v>0</v>
      </c>
      <c r="AI13" s="40"/>
      <c r="AK13" s="59"/>
      <c r="AL13" s="59"/>
      <c r="AM13" s="59"/>
    </row>
    <row r="14" spans="2:51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6.55</v>
      </c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61">
        <f>U14*F14</f>
        <v>371.83333333333337</v>
      </c>
      <c r="U14" s="62">
        <f>T13/F13</f>
        <v>56.768447837150134</v>
      </c>
      <c r="V14" s="63">
        <f>IFERROR(T14/#REF!,0)</f>
        <v>0</v>
      </c>
      <c r="W14" s="64">
        <f>W13/F13*F14</f>
        <v>370.97833333333335</v>
      </c>
      <c r="X14" s="62">
        <f>IF(F14=0,"휴무",W14/F14)</f>
        <v>56.637913486005097</v>
      </c>
      <c r="Y14" s="65">
        <f>IFERROR(W14/#REF!,0)</f>
        <v>0</v>
      </c>
      <c r="Z14" s="60">
        <f>AVERAGE(Z7:Z12)</f>
        <v>43.311193406378742</v>
      </c>
      <c r="AA14" s="60">
        <f>AVERAGE(AA7:AA12)</f>
        <v>46.934428400195699</v>
      </c>
      <c r="AB14" s="141">
        <f>Z14+AA14</f>
        <v>90.245621806574434</v>
      </c>
      <c r="AC14" s="67"/>
      <c r="AD14" s="68"/>
      <c r="AI14" s="40" t="str">
        <f>IFERROR(Y14/V14*1000,"")</f>
        <v/>
      </c>
      <c r="AK14" s="10"/>
      <c r="AL14" s="10"/>
      <c r="AM14" s="10"/>
    </row>
    <row r="15" spans="2:51" s="200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22"/>
      <c r="U15" s="10"/>
      <c r="V15" s="73">
        <f>V14*60</f>
        <v>0</v>
      </c>
      <c r="W15" s="74"/>
      <c r="X15" s="73"/>
      <c r="Y15" s="74">
        <f>Y14*40</f>
        <v>0</v>
      </c>
      <c r="AB15" s="142">
        <f>V15+Y15</f>
        <v>0</v>
      </c>
      <c r="AK15" s="59"/>
      <c r="AL15" s="59"/>
      <c r="AM15" s="59"/>
    </row>
    <row r="16" spans="2:51" ht="17.25" thickBot="1" x14ac:dyDescent="0.35">
      <c r="B16" s="70"/>
    </row>
    <row r="17" spans="2:42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2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</row>
    <row r="20" spans="2:42" x14ac:dyDescent="0.3">
      <c r="B20" t="s">
        <v>5</v>
      </c>
      <c r="D20" s="7">
        <v>55</v>
      </c>
      <c r="F20" s="8" t="s">
        <v>6</v>
      </c>
      <c r="T20" s="9">
        <v>1.2</v>
      </c>
      <c r="Z20" s="12">
        <f>Z4</f>
        <v>50</v>
      </c>
      <c r="AA20" s="11">
        <f>AA4</f>
        <v>54.45</v>
      </c>
      <c r="AB20" s="12"/>
      <c r="AD20" s="8"/>
    </row>
    <row r="21" spans="2:42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8"/>
      <c r="S21" s="439" t="s">
        <v>11</v>
      </c>
      <c r="T21" s="441" t="s">
        <v>12</v>
      </c>
      <c r="U21" s="418"/>
      <c r="V21" s="442"/>
      <c r="W21" s="446" t="s">
        <v>13</v>
      </c>
      <c r="X21" s="418"/>
      <c r="Y21" s="418"/>
      <c r="Z21" s="451" t="s">
        <v>20</v>
      </c>
      <c r="AA21" s="453" t="s">
        <v>21</v>
      </c>
      <c r="AB21" s="447" t="s">
        <v>14</v>
      </c>
      <c r="AC21" s="449" t="s">
        <v>15</v>
      </c>
      <c r="AD21" s="418" t="s">
        <v>16</v>
      </c>
    </row>
    <row r="22" spans="2:42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76</v>
      </c>
      <c r="Q22" s="18" t="s">
        <v>77</v>
      </c>
      <c r="R22" s="127" t="s">
        <v>80</v>
      </c>
      <c r="S22" s="440"/>
      <c r="T22" s="15" t="s">
        <v>12</v>
      </c>
      <c r="U22" s="16" t="s">
        <v>17</v>
      </c>
      <c r="V22" s="17" t="s">
        <v>18</v>
      </c>
      <c r="W22" s="18" t="s">
        <v>13</v>
      </c>
      <c r="X22" s="16" t="s">
        <v>19</v>
      </c>
      <c r="Y22" s="19" t="s">
        <v>18</v>
      </c>
      <c r="Z22" s="452"/>
      <c r="AA22" s="454"/>
      <c r="AB22" s="448"/>
      <c r="AC22" s="450"/>
      <c r="AD22" s="419"/>
      <c r="AE22" s="21" t="s">
        <v>22</v>
      </c>
      <c r="AF22" s="21" t="s">
        <v>23</v>
      </c>
      <c r="AI22" s="22" t="s">
        <v>24</v>
      </c>
      <c r="AK22" s="23" t="s">
        <v>25</v>
      </c>
      <c r="AL22" s="23" t="s">
        <v>26</v>
      </c>
      <c r="AM22" s="23" t="s">
        <v>27</v>
      </c>
      <c r="AO22" s="22">
        <f>SUM(AO23:AO28)</f>
        <v>-41.5</v>
      </c>
    </row>
    <row r="23" spans="2:42" s="200" customFormat="1" ht="99" customHeight="1" thickTop="1" x14ac:dyDescent="0.3">
      <c r="B23" s="420">
        <f>+B7</f>
        <v>2</v>
      </c>
      <c r="C23" s="24">
        <f t="shared" ref="C23:C28" si="11">+C7</f>
        <v>9</v>
      </c>
      <c r="D23" s="25" t="s">
        <v>7</v>
      </c>
      <c r="E23" s="26" t="s">
        <v>29</v>
      </c>
      <c r="F23" s="25">
        <v>8.5</v>
      </c>
      <c r="G23" s="128">
        <v>372</v>
      </c>
      <c r="H23" s="128">
        <f>(G23/T23)*100</f>
        <v>98.673740053050395</v>
      </c>
      <c r="I23" s="123" t="s">
        <v>78</v>
      </c>
      <c r="J23" s="123" t="s">
        <v>88</v>
      </c>
      <c r="K23" s="123" t="s">
        <v>92</v>
      </c>
      <c r="L23" s="123" t="s">
        <v>84</v>
      </c>
      <c r="M23" s="123"/>
      <c r="N23" s="129" t="s">
        <v>90</v>
      </c>
      <c r="O23" s="123" t="s">
        <v>74</v>
      </c>
      <c r="P23" s="123" t="s">
        <v>91</v>
      </c>
      <c r="Q23" s="123" t="s">
        <v>89</v>
      </c>
      <c r="R23" s="124">
        <f t="shared" ref="R23:R28" si="12">COUNTA(I23:M23)+COUNTA(N23:Q23)/2</f>
        <v>6</v>
      </c>
      <c r="S23" s="27">
        <f t="shared" ref="S23:S28" si="13">F23*$D$4*$T$4</f>
        <v>561</v>
      </c>
      <c r="T23" s="28">
        <f>+H58</f>
        <v>377</v>
      </c>
      <c r="U23" s="29">
        <f t="shared" ref="U23:U28" si="14">IF(F23=0,"휴무",T23/F23)</f>
        <v>44.352941176470587</v>
      </c>
      <c r="V23" s="30">
        <f t="shared" ref="V23:V29" si="15">IFERROR(T23/S23,0)</f>
        <v>0.67201426024955435</v>
      </c>
      <c r="W23" s="31">
        <f>+K58</f>
        <v>291.14999999999998</v>
      </c>
      <c r="X23" s="29">
        <f t="shared" ref="X23:X28" si="16">IF(F23=0,"휴무",W23/F23)</f>
        <v>34.252941176470586</v>
      </c>
      <c r="Y23" s="32">
        <f t="shared" ref="Y23:Y29" si="17">IFERROR(W23/S23,0)</f>
        <v>0.51898395721925128</v>
      </c>
      <c r="Z23" s="33">
        <f t="shared" ref="Z23:Z28" si="18">IF(F23=0,"휴무",T23/S23*$Z$4)</f>
        <v>33.600713012477719</v>
      </c>
      <c r="AA23" s="34">
        <f t="shared" ref="AA23:AA28" si="19">IF(F23=0,"휴무",W23/S23*$AA$4)</f>
        <v>28.258676470588235</v>
      </c>
      <c r="AB23" s="138">
        <f t="shared" ref="AB23:AB29" si="20">IF(F23=0,"휴무",Z23+AA23)</f>
        <v>61.859389483065954</v>
      </c>
      <c r="AC23" s="159" t="str">
        <f t="shared" ref="AC23:AC29" si="21">IF(F23=0,"휴무",IF(AB23&gt;=100,"좋아요",IF(AB23&gt;=90,"90~99",IF(AB23&gt;=80,"80~89"," 사유?→"))))</f>
        <v xml:space="preserve"> 사유?→</v>
      </c>
      <c r="AD23" s="160" t="s">
        <v>126</v>
      </c>
      <c r="AE23" s="37">
        <f>AF23-F23</f>
        <v>-8.5</v>
      </c>
      <c r="AF23" s="38">
        <f>AM23</f>
        <v>0</v>
      </c>
      <c r="AG23" s="200" t="s">
        <v>29</v>
      </c>
      <c r="AH23" s="39"/>
      <c r="AI23" s="40">
        <f>IFERROR(Y23/V23*1000,"")</f>
        <v>772.28116710875327</v>
      </c>
      <c r="AJ23" s="39"/>
      <c r="AK23" s="41"/>
      <c r="AL23" s="41"/>
      <c r="AM23" s="41"/>
      <c r="AO23" s="200">
        <f t="shared" ref="AO23:AO28" si="22">AN23-F23</f>
        <v>-8.5</v>
      </c>
      <c r="AP23" s="42"/>
    </row>
    <row r="24" spans="2:42" s="200" customFormat="1" ht="99.75" customHeight="1" x14ac:dyDescent="0.3">
      <c r="B24" s="421"/>
      <c r="C24" s="24">
        <f t="shared" si="11"/>
        <v>10</v>
      </c>
      <c r="D24" s="43" t="s">
        <v>30</v>
      </c>
      <c r="E24" s="26" t="s">
        <v>29</v>
      </c>
      <c r="F24" s="25">
        <v>8.5</v>
      </c>
      <c r="G24" s="125">
        <v>537</v>
      </c>
      <c r="H24" s="125">
        <f>(G24/T24)*100</f>
        <v>99.62894248608535</v>
      </c>
      <c r="I24" s="123" t="s">
        <v>78</v>
      </c>
      <c r="J24" s="123" t="s">
        <v>88</v>
      </c>
      <c r="K24" s="123" t="s">
        <v>92</v>
      </c>
      <c r="L24" s="123" t="s">
        <v>84</v>
      </c>
      <c r="M24" s="123"/>
      <c r="N24" s="129" t="s">
        <v>90</v>
      </c>
      <c r="O24" s="123" t="s">
        <v>74</v>
      </c>
      <c r="P24" s="123" t="s">
        <v>91</v>
      </c>
      <c r="Q24" s="123" t="s">
        <v>89</v>
      </c>
      <c r="R24" s="124">
        <f t="shared" si="12"/>
        <v>6</v>
      </c>
      <c r="S24" s="27">
        <f t="shared" si="13"/>
        <v>561</v>
      </c>
      <c r="T24" s="28">
        <f>+H61</f>
        <v>539</v>
      </c>
      <c r="U24" s="44">
        <f t="shared" si="14"/>
        <v>63.411764705882355</v>
      </c>
      <c r="V24" s="45">
        <f t="shared" si="15"/>
        <v>0.96078431372549022</v>
      </c>
      <c r="W24" s="46">
        <f>+K61</f>
        <v>496.85</v>
      </c>
      <c r="X24" s="29">
        <f t="shared" si="16"/>
        <v>58.452941176470588</v>
      </c>
      <c r="Y24" s="47">
        <f t="shared" si="17"/>
        <v>0.88565062388591809</v>
      </c>
      <c r="Z24" s="48">
        <f t="shared" si="18"/>
        <v>48.03921568627451</v>
      </c>
      <c r="AA24" s="49">
        <f t="shared" si="19"/>
        <v>48.223676470588245</v>
      </c>
      <c r="AB24" s="139">
        <f t="shared" si="20"/>
        <v>96.262892156862762</v>
      </c>
      <c r="AC24" s="80" t="str">
        <f t="shared" si="21"/>
        <v>90~99</v>
      </c>
      <c r="AD24" s="36"/>
      <c r="AE24" s="37">
        <f>AF24-F24</f>
        <v>-8.5</v>
      </c>
      <c r="AF24" s="38">
        <f>AM24</f>
        <v>0</v>
      </c>
      <c r="AG24" s="200" t="s">
        <v>34</v>
      </c>
      <c r="AH24" s="39"/>
      <c r="AI24" s="40">
        <f>IFERROR(Y24/V24*1000,"")</f>
        <v>921.79962894248615</v>
      </c>
      <c r="AJ24" s="39"/>
      <c r="AK24" s="41"/>
      <c r="AL24" s="41"/>
      <c r="AM24" s="41"/>
      <c r="AO24" s="200">
        <f t="shared" si="22"/>
        <v>-8.5</v>
      </c>
      <c r="AP24" s="42"/>
    </row>
    <row r="25" spans="2:42" s="200" customFormat="1" ht="97.5" customHeight="1" x14ac:dyDescent="0.3">
      <c r="B25" s="421"/>
      <c r="C25" s="24">
        <f t="shared" si="11"/>
        <v>11</v>
      </c>
      <c r="D25" s="43" t="s">
        <v>32</v>
      </c>
      <c r="E25" s="26" t="s">
        <v>29</v>
      </c>
      <c r="F25" s="25">
        <v>8</v>
      </c>
      <c r="G25" s="124">
        <v>343</v>
      </c>
      <c r="H25" s="124">
        <f>(G25/T25)*100</f>
        <v>99.132947976878611</v>
      </c>
      <c r="I25" s="123" t="s">
        <v>78</v>
      </c>
      <c r="J25" s="123" t="s">
        <v>88</v>
      </c>
      <c r="K25" s="123" t="s">
        <v>92</v>
      </c>
      <c r="L25" s="123" t="s">
        <v>84</v>
      </c>
      <c r="M25" s="123"/>
      <c r="N25" s="129" t="s">
        <v>90</v>
      </c>
      <c r="O25" s="123" t="s">
        <v>74</v>
      </c>
      <c r="P25" s="123" t="s">
        <v>91</v>
      </c>
      <c r="Q25" s="123" t="s">
        <v>89</v>
      </c>
      <c r="R25" s="124">
        <f t="shared" si="12"/>
        <v>6</v>
      </c>
      <c r="S25" s="27">
        <f t="shared" si="13"/>
        <v>528</v>
      </c>
      <c r="T25" s="28">
        <f>+H64</f>
        <v>346</v>
      </c>
      <c r="U25" s="44">
        <f t="shared" si="14"/>
        <v>43.25</v>
      </c>
      <c r="V25" s="45">
        <f t="shared" si="15"/>
        <v>0.65530303030303028</v>
      </c>
      <c r="W25" s="46">
        <f>+K64</f>
        <v>574.82000000000005</v>
      </c>
      <c r="X25" s="29">
        <f t="shared" si="16"/>
        <v>71.852500000000006</v>
      </c>
      <c r="Y25" s="47">
        <f t="shared" si="17"/>
        <v>1.0886742424242426</v>
      </c>
      <c r="Z25" s="48">
        <f t="shared" si="18"/>
        <v>32.765151515151516</v>
      </c>
      <c r="AA25" s="49">
        <f t="shared" si="19"/>
        <v>59.278312500000013</v>
      </c>
      <c r="AB25" s="139">
        <f t="shared" si="20"/>
        <v>92.043464015151528</v>
      </c>
      <c r="AC25" s="50" t="str">
        <f t="shared" si="21"/>
        <v>90~99</v>
      </c>
      <c r="AD25" s="36"/>
      <c r="AE25" s="37">
        <f>AF25-F25</f>
        <v>-8</v>
      </c>
      <c r="AF25" s="38">
        <f>AM25</f>
        <v>0</v>
      </c>
      <c r="AG25" s="200" t="s">
        <v>36</v>
      </c>
      <c r="AH25" s="39"/>
      <c r="AI25" s="40">
        <f>IFERROR(Y25/V25*1000,"")</f>
        <v>1661.3294797687865</v>
      </c>
      <c r="AJ25" s="39"/>
      <c r="AK25" s="41"/>
      <c r="AL25" s="41"/>
      <c r="AM25" s="41"/>
      <c r="AO25" s="200">
        <f t="shared" si="22"/>
        <v>-8</v>
      </c>
      <c r="AP25" s="42"/>
    </row>
    <row r="26" spans="2:42" s="200" customFormat="1" ht="115.5" customHeight="1" x14ac:dyDescent="0.3">
      <c r="B26" s="421"/>
      <c r="C26" s="24">
        <f t="shared" si="11"/>
        <v>12</v>
      </c>
      <c r="D26" s="43" t="s">
        <v>35</v>
      </c>
      <c r="E26" s="26" t="s">
        <v>29</v>
      </c>
      <c r="F26" s="25">
        <v>8.5</v>
      </c>
      <c r="G26" s="124">
        <v>426</v>
      </c>
      <c r="H26" s="124">
        <f>(G26/T26)*100</f>
        <v>96.818181818181813</v>
      </c>
      <c r="I26" s="123" t="s">
        <v>78</v>
      </c>
      <c r="J26" s="123" t="s">
        <v>88</v>
      </c>
      <c r="K26" s="123" t="s">
        <v>92</v>
      </c>
      <c r="L26" s="123" t="s">
        <v>84</v>
      </c>
      <c r="M26" s="123"/>
      <c r="N26" s="129" t="s">
        <v>90</v>
      </c>
      <c r="O26" s="123" t="s">
        <v>74</v>
      </c>
      <c r="P26" s="123" t="s">
        <v>91</v>
      </c>
      <c r="Q26" s="123" t="s">
        <v>89</v>
      </c>
      <c r="R26" s="124">
        <f t="shared" si="12"/>
        <v>6</v>
      </c>
      <c r="S26" s="27">
        <f t="shared" si="13"/>
        <v>561</v>
      </c>
      <c r="T26" s="28">
        <f>+H67</f>
        <v>440</v>
      </c>
      <c r="U26" s="44">
        <f t="shared" si="14"/>
        <v>51.764705882352942</v>
      </c>
      <c r="V26" s="45">
        <f t="shared" si="15"/>
        <v>0.78431372549019607</v>
      </c>
      <c r="W26" s="46">
        <f>+K67</f>
        <v>381.84000000000003</v>
      </c>
      <c r="X26" s="44">
        <f t="shared" si="16"/>
        <v>44.922352941176477</v>
      </c>
      <c r="Y26" s="47">
        <f t="shared" si="17"/>
        <v>0.68064171122994654</v>
      </c>
      <c r="Z26" s="48">
        <f t="shared" si="18"/>
        <v>39.215686274509807</v>
      </c>
      <c r="AA26" s="49">
        <f t="shared" si="19"/>
        <v>37.060941176470592</v>
      </c>
      <c r="AB26" s="139">
        <f t="shared" si="20"/>
        <v>76.276627450980399</v>
      </c>
      <c r="AC26" s="161" t="str">
        <f t="shared" si="21"/>
        <v xml:space="preserve"> 사유?→</v>
      </c>
      <c r="AD26" s="160" t="s">
        <v>129</v>
      </c>
      <c r="AE26" s="37">
        <f>AF26-F26</f>
        <v>-8.5</v>
      </c>
      <c r="AF26" s="38">
        <f>AM26</f>
        <v>0</v>
      </c>
      <c r="AG26" s="200" t="s">
        <v>33</v>
      </c>
      <c r="AH26" s="39"/>
      <c r="AI26" s="40">
        <f>IFERROR(Y26/V26*1000,"")</f>
        <v>867.81818181818187</v>
      </c>
      <c r="AJ26" s="39"/>
      <c r="AK26" s="41"/>
      <c r="AL26" s="41"/>
      <c r="AM26" s="41"/>
      <c r="AO26" s="200">
        <f t="shared" si="22"/>
        <v>-8.5</v>
      </c>
      <c r="AP26" s="42"/>
    </row>
    <row r="27" spans="2:42" s="200" customFormat="1" ht="107.25" customHeight="1" x14ac:dyDescent="0.3">
      <c r="B27" s="421"/>
      <c r="C27" s="24">
        <f t="shared" si="11"/>
        <v>13</v>
      </c>
      <c r="D27" s="43" t="s">
        <v>37</v>
      </c>
      <c r="E27" s="26" t="s">
        <v>29</v>
      </c>
      <c r="F27" s="25">
        <v>8</v>
      </c>
      <c r="G27" s="125">
        <v>301</v>
      </c>
      <c r="H27" s="124">
        <f>(G27/T27)*100</f>
        <v>99.668874172185426</v>
      </c>
      <c r="I27" s="123" t="s">
        <v>78</v>
      </c>
      <c r="J27" s="123" t="s">
        <v>88</v>
      </c>
      <c r="K27" s="123" t="s">
        <v>92</v>
      </c>
      <c r="L27" s="123" t="s">
        <v>84</v>
      </c>
      <c r="M27" s="123"/>
      <c r="N27" s="129" t="s">
        <v>90</v>
      </c>
      <c r="O27" s="123" t="s">
        <v>74</v>
      </c>
      <c r="P27" s="123" t="s">
        <v>91</v>
      </c>
      <c r="Q27" s="123" t="s">
        <v>89</v>
      </c>
      <c r="R27" s="125">
        <f t="shared" si="12"/>
        <v>6</v>
      </c>
      <c r="S27" s="27">
        <f t="shared" si="13"/>
        <v>528</v>
      </c>
      <c r="T27" s="28">
        <v>302</v>
      </c>
      <c r="U27" s="44">
        <f t="shared" si="14"/>
        <v>37.75</v>
      </c>
      <c r="V27" s="45">
        <f t="shared" si="15"/>
        <v>0.57196969696969702</v>
      </c>
      <c r="W27" s="46">
        <v>374.06</v>
      </c>
      <c r="X27" s="44">
        <f t="shared" si="16"/>
        <v>46.7575</v>
      </c>
      <c r="Y27" s="47">
        <f t="shared" si="17"/>
        <v>0.70844696969696974</v>
      </c>
      <c r="Z27" s="48">
        <f t="shared" si="18"/>
        <v>28.598484848484851</v>
      </c>
      <c r="AA27" s="49">
        <f t="shared" si="19"/>
        <v>38.574937500000004</v>
      </c>
      <c r="AB27" s="139">
        <f t="shared" si="20"/>
        <v>67.173422348484848</v>
      </c>
      <c r="AC27" s="161" t="str">
        <f t="shared" si="21"/>
        <v xml:space="preserve"> 사유?→</v>
      </c>
      <c r="AD27" s="160" t="s">
        <v>132</v>
      </c>
      <c r="AE27" s="37">
        <f>AF27-F27</f>
        <v>-8</v>
      </c>
      <c r="AF27" s="38">
        <f>AM27</f>
        <v>0</v>
      </c>
      <c r="AG27" s="200" t="s">
        <v>46</v>
      </c>
      <c r="AH27" s="39"/>
      <c r="AI27" s="40">
        <f>IFERROR(Y27/V27*1000,"")</f>
        <v>1238.6092715231787</v>
      </c>
      <c r="AK27" s="41"/>
      <c r="AL27" s="41"/>
      <c r="AM27" s="41"/>
      <c r="AO27" s="200">
        <f t="shared" si="22"/>
        <v>-8</v>
      </c>
      <c r="AP27" s="42"/>
    </row>
    <row r="28" spans="2:42" s="200" customFormat="1" ht="104.25" customHeight="1" x14ac:dyDescent="0.3">
      <c r="B28" s="421"/>
      <c r="C28" s="24">
        <f t="shared" si="11"/>
        <v>14</v>
      </c>
      <c r="D28" s="43" t="s">
        <v>47</v>
      </c>
      <c r="E28" s="26" t="s">
        <v>33</v>
      </c>
      <c r="F28" s="25">
        <v>0</v>
      </c>
      <c r="G28" s="124"/>
      <c r="H28" s="124" t="s">
        <v>130</v>
      </c>
      <c r="I28" s="123"/>
      <c r="J28" s="123"/>
      <c r="K28" s="123"/>
      <c r="L28" s="123"/>
      <c r="M28" s="121"/>
      <c r="N28" s="123"/>
      <c r="O28" s="121"/>
      <c r="P28" s="123"/>
      <c r="Q28" s="123"/>
      <c r="R28" s="124">
        <f t="shared" si="12"/>
        <v>0</v>
      </c>
      <c r="S28" s="203">
        <f t="shared" si="13"/>
        <v>0</v>
      </c>
      <c r="T28" s="28">
        <f>+H73</f>
        <v>0</v>
      </c>
      <c r="U28" s="29" t="str">
        <f t="shared" si="14"/>
        <v>휴무</v>
      </c>
      <c r="V28" s="30">
        <f t="shared" si="15"/>
        <v>0</v>
      </c>
      <c r="W28" s="31">
        <f>+K73</f>
        <v>0</v>
      </c>
      <c r="X28" s="44" t="str">
        <f t="shared" si="16"/>
        <v>휴무</v>
      </c>
      <c r="Y28" s="47">
        <f t="shared" si="17"/>
        <v>0</v>
      </c>
      <c r="Z28" s="48" t="str">
        <f t="shared" si="18"/>
        <v>휴무</v>
      </c>
      <c r="AA28" s="49" t="str">
        <f t="shared" si="19"/>
        <v>휴무</v>
      </c>
      <c r="AB28" s="139" t="str">
        <f t="shared" si="20"/>
        <v>휴무</v>
      </c>
      <c r="AC28" s="50" t="str">
        <f t="shared" si="21"/>
        <v>휴무</v>
      </c>
      <c r="AD28" s="36"/>
      <c r="AE28" s="37"/>
      <c r="AF28" s="38"/>
      <c r="AH28" s="39"/>
      <c r="AI28" s="40"/>
      <c r="AK28" s="41"/>
      <c r="AL28" s="41"/>
      <c r="AM28" s="41"/>
      <c r="AO28" s="200">
        <f t="shared" si="22"/>
        <v>0</v>
      </c>
      <c r="AP28" s="42"/>
    </row>
    <row r="29" spans="2:42" s="200" customFormat="1" ht="36" customHeight="1" x14ac:dyDescent="0.3">
      <c r="B29" s="422" t="s">
        <v>39</v>
      </c>
      <c r="C29" s="423"/>
      <c r="D29" s="423"/>
      <c r="E29" s="424"/>
      <c r="F29" s="43">
        <f>SUM(F23:F28)</f>
        <v>41.5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6"/>
      <c r="S29" s="52">
        <f>SUM(S23:S28)</f>
        <v>2739</v>
      </c>
      <c r="T29" s="53">
        <f>SUM(T23:T28)</f>
        <v>2004</v>
      </c>
      <c r="U29" s="54">
        <f>T29/F29</f>
        <v>48.289156626506021</v>
      </c>
      <c r="V29" s="45">
        <f t="shared" si="15"/>
        <v>0.73165388828039435</v>
      </c>
      <c r="W29" s="55">
        <f>SUM(W23:W28)</f>
        <v>2118.7200000000003</v>
      </c>
      <c r="X29" s="44">
        <f>W29/F29</f>
        <v>51.053493975903621</v>
      </c>
      <c r="Y29" s="47">
        <f t="shared" si="17"/>
        <v>0.77353778751369118</v>
      </c>
      <c r="Z29" s="56">
        <f>T29/S29*Z20</f>
        <v>36.58269441401972</v>
      </c>
      <c r="AA29" s="57">
        <f>W29/S29*AA20</f>
        <v>42.119132530120488</v>
      </c>
      <c r="AB29" s="140">
        <f t="shared" si="20"/>
        <v>78.701826944140208</v>
      </c>
      <c r="AC29" s="162" t="str">
        <f t="shared" si="21"/>
        <v xml:space="preserve"> 사유?→</v>
      </c>
      <c r="AD29" s="43"/>
      <c r="AE29" s="37">
        <f>AF29-F29</f>
        <v>-41.5</v>
      </c>
      <c r="AF29" s="38">
        <f>SUM(AF23:AF28)</f>
        <v>0</v>
      </c>
      <c r="AI29" s="40"/>
      <c r="AK29" s="59"/>
      <c r="AL29" s="59"/>
      <c r="AM29" s="59"/>
    </row>
    <row r="30" spans="2:42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6.916666666666667</v>
      </c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61">
        <f>U30*F30</f>
        <v>334</v>
      </c>
      <c r="U30" s="62">
        <f>T29/F29</f>
        <v>48.289156626506021</v>
      </c>
      <c r="V30" s="63">
        <f>IFERROR(T30/#REF!,0)</f>
        <v>0</v>
      </c>
      <c r="W30" s="64">
        <f>W29/F29*F30</f>
        <v>353.12000000000006</v>
      </c>
      <c r="X30" s="62">
        <f>IF(F30=0,"휴무",W30/F30)</f>
        <v>51.053493975903621</v>
      </c>
      <c r="Y30" s="65">
        <f>IFERROR(W30/#REF!,0)</f>
        <v>0</v>
      </c>
      <c r="Z30" s="60">
        <f>AVERAGE(Z23:Z28)</f>
        <v>36.44385026737968</v>
      </c>
      <c r="AA30" s="60">
        <f>AVERAGE(AA23:AA28)</f>
        <v>42.279308823529419</v>
      </c>
      <c r="AB30" s="141">
        <f>Z30+AA30</f>
        <v>78.723159090909093</v>
      </c>
      <c r="AC30" s="67"/>
      <c r="AD30" s="68"/>
      <c r="AI30" s="40" t="str">
        <f>IFERROR(Y30/V30*1000,"")</f>
        <v/>
      </c>
      <c r="AK30" s="10"/>
      <c r="AL30" s="10"/>
      <c r="AM30" s="10"/>
    </row>
    <row r="31" spans="2:42" s="200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22"/>
      <c r="U31" s="10"/>
      <c r="V31" s="73">
        <f>V30*60</f>
        <v>0</v>
      </c>
      <c r="W31" s="74"/>
      <c r="X31" s="73"/>
      <c r="Y31" s="74">
        <f>Y30*40</f>
        <v>0</v>
      </c>
      <c r="Z31" s="81"/>
      <c r="AA31" s="81"/>
      <c r="AB31" s="142">
        <f>V31+Y31</f>
        <v>0</v>
      </c>
      <c r="AK31" s="59"/>
      <c r="AL31" s="59"/>
      <c r="AM31" s="59"/>
    </row>
    <row r="32" spans="2:42" x14ac:dyDescent="0.3">
      <c r="B32" s="120" t="s">
        <v>67</v>
      </c>
      <c r="U32" s="10">
        <v>8.8000000000000007</v>
      </c>
    </row>
    <row r="33" spans="2:42" ht="17.25" thickBot="1" x14ac:dyDescent="0.35">
      <c r="B33" s="70"/>
    </row>
    <row r="34" spans="2:42" ht="17.25" thickBot="1" x14ac:dyDescent="0.35">
      <c r="B34" s="76" t="s">
        <v>42</v>
      </c>
      <c r="C34" s="77"/>
      <c r="D34" s="78" t="s">
        <v>43</v>
      </c>
      <c r="E34" s="78"/>
      <c r="F34" s="79"/>
      <c r="X34" s="10">
        <v>50</v>
      </c>
    </row>
    <row r="36" spans="2:42" s="10" customFormat="1" x14ac:dyDescent="0.3">
      <c r="B36"/>
      <c r="C36"/>
      <c r="D36"/>
      <c r="E36" s="455">
        <f>+C7</f>
        <v>9</v>
      </c>
      <c r="F36" s="455" t="s">
        <v>7</v>
      </c>
      <c r="G36" s="82" t="s">
        <v>48</v>
      </c>
      <c r="H36" s="83">
        <v>347</v>
      </c>
      <c r="I36" s="84"/>
      <c r="J36" s="85"/>
      <c r="K36" s="86">
        <f>486.92-17.2</f>
        <v>469.72</v>
      </c>
      <c r="L36" s="135"/>
      <c r="N36" s="136"/>
      <c r="O36" s="136"/>
      <c r="P36" s="136"/>
      <c r="Q36" s="136"/>
      <c r="R36" s="136"/>
      <c r="S36" s="136"/>
      <c r="Y36"/>
      <c r="Z36"/>
      <c r="AA36"/>
      <c r="AB36"/>
      <c r="AC36"/>
      <c r="AD36"/>
      <c r="AE36"/>
      <c r="AF36"/>
      <c r="AG36"/>
      <c r="AH36"/>
      <c r="AI36"/>
      <c r="AJ36"/>
      <c r="AK36" s="1"/>
      <c r="AL36" s="1"/>
      <c r="AM36" s="1"/>
      <c r="AN36"/>
      <c r="AO36"/>
      <c r="AP36"/>
    </row>
    <row r="37" spans="2:42" s="10" customFormat="1" x14ac:dyDescent="0.3">
      <c r="B37"/>
      <c r="C37" t="s">
        <v>49</v>
      </c>
      <c r="D37"/>
      <c r="E37" s="456"/>
      <c r="F37" s="456"/>
      <c r="G37" s="82" t="s">
        <v>50</v>
      </c>
      <c r="H37" s="83">
        <v>40</v>
      </c>
      <c r="I37" s="84"/>
      <c r="J37" s="85"/>
      <c r="K37" s="86">
        <v>17.2</v>
      </c>
      <c r="L37" s="135"/>
      <c r="N37" s="136"/>
      <c r="O37" s="136"/>
      <c r="P37" s="136"/>
      <c r="Q37" s="136"/>
      <c r="R37" s="136"/>
      <c r="S37" s="136"/>
      <c r="Y37"/>
      <c r="Z37"/>
      <c r="AA37"/>
      <c r="AB37"/>
      <c r="AC37"/>
      <c r="AD37"/>
      <c r="AE37"/>
      <c r="AF37"/>
      <c r="AG37"/>
      <c r="AH37"/>
      <c r="AI37"/>
      <c r="AJ37"/>
      <c r="AK37" s="1"/>
      <c r="AL37" s="1"/>
      <c r="AM37" s="1"/>
      <c r="AN37"/>
      <c r="AO37"/>
      <c r="AP37"/>
    </row>
    <row r="38" spans="2:42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427</v>
      </c>
      <c r="I38" s="88"/>
      <c r="J38" s="89"/>
      <c r="K38" s="90">
        <f>+K36+K37*2</f>
        <v>504.12</v>
      </c>
      <c r="L38" s="135"/>
      <c r="N38" s="136"/>
      <c r="O38" s="136"/>
      <c r="P38" s="136"/>
      <c r="Q38" s="136"/>
      <c r="R38" s="136"/>
      <c r="S38" s="136"/>
      <c r="Y38"/>
      <c r="Z38"/>
      <c r="AA38"/>
      <c r="AB38"/>
      <c r="AC38"/>
      <c r="AD38"/>
      <c r="AE38"/>
      <c r="AF38"/>
      <c r="AG38"/>
      <c r="AH38"/>
      <c r="AI38"/>
      <c r="AJ38"/>
      <c r="AK38" s="1"/>
      <c r="AL38" s="1"/>
      <c r="AM38" s="1"/>
      <c r="AN38"/>
      <c r="AO38"/>
      <c r="AP38"/>
    </row>
    <row r="39" spans="2:42" s="10" customFormat="1" x14ac:dyDescent="0.3">
      <c r="B39"/>
      <c r="C39"/>
      <c r="D39"/>
      <c r="E39" s="455">
        <f>+C8</f>
        <v>10</v>
      </c>
      <c r="F39" s="455" t="s">
        <v>52</v>
      </c>
      <c r="G39" s="82" t="s">
        <v>48</v>
      </c>
      <c r="H39" s="83">
        <v>491</v>
      </c>
      <c r="I39" s="84"/>
      <c r="J39" s="85"/>
      <c r="K39" s="86">
        <v>433</v>
      </c>
      <c r="L39" s="135"/>
      <c r="N39" s="136"/>
      <c r="O39" s="136"/>
      <c r="P39" s="136"/>
      <c r="Q39" s="136"/>
      <c r="R39" s="136"/>
      <c r="S39" s="136"/>
      <c r="Y39"/>
      <c r="Z39"/>
      <c r="AA39"/>
      <c r="AB39"/>
      <c r="AC39"/>
      <c r="AD39"/>
      <c r="AE39"/>
      <c r="AF39"/>
      <c r="AG39"/>
      <c r="AH39"/>
      <c r="AI39"/>
      <c r="AJ39"/>
      <c r="AK39" s="1"/>
      <c r="AL39" s="1"/>
      <c r="AM39" s="1"/>
      <c r="AN39"/>
      <c r="AO39"/>
      <c r="AP39"/>
    </row>
    <row r="40" spans="2:42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Y40"/>
      <c r="Z40"/>
      <c r="AA40"/>
      <c r="AB40"/>
      <c r="AC40"/>
      <c r="AD40"/>
      <c r="AE40"/>
      <c r="AF40"/>
      <c r="AG40"/>
      <c r="AH40"/>
      <c r="AI40"/>
      <c r="AJ40"/>
      <c r="AK40" s="1"/>
      <c r="AL40" s="1"/>
      <c r="AM40" s="1"/>
      <c r="AN40"/>
      <c r="AO40"/>
      <c r="AP40"/>
    </row>
    <row r="41" spans="2:42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491</v>
      </c>
      <c r="I41" s="88"/>
      <c r="J41" s="89"/>
      <c r="K41" s="90">
        <f>+K39+K40*2</f>
        <v>433</v>
      </c>
      <c r="L41" s="135"/>
      <c r="N41" s="136"/>
      <c r="O41" s="136"/>
      <c r="P41" s="136"/>
      <c r="Q41" s="136"/>
      <c r="R41" s="136"/>
      <c r="S41" s="136"/>
      <c r="Y41"/>
      <c r="Z41"/>
      <c r="AA41"/>
      <c r="AB41"/>
      <c r="AC41"/>
      <c r="AD41"/>
      <c r="AE41"/>
      <c r="AF41"/>
      <c r="AG41"/>
      <c r="AH41"/>
      <c r="AI41"/>
      <c r="AJ41"/>
      <c r="AK41" s="1"/>
      <c r="AL41" s="1"/>
      <c r="AM41" s="1"/>
      <c r="AN41"/>
      <c r="AO41"/>
      <c r="AP41"/>
    </row>
    <row r="42" spans="2:42" s="10" customFormat="1" x14ac:dyDescent="0.3">
      <c r="B42"/>
      <c r="C42"/>
      <c r="D42"/>
      <c r="E42" s="455">
        <f>+C9</f>
        <v>11</v>
      </c>
      <c r="F42" s="455" t="s">
        <v>53</v>
      </c>
      <c r="G42" s="82" t="s">
        <v>48</v>
      </c>
      <c r="H42" s="83">
        <v>428</v>
      </c>
      <c r="I42" s="84"/>
      <c r="J42" s="85"/>
      <c r="K42" s="86">
        <v>443.23</v>
      </c>
      <c r="L42" s="135"/>
      <c r="N42" s="136"/>
      <c r="O42" s="136"/>
      <c r="P42" s="136"/>
      <c r="Q42" s="136"/>
      <c r="R42" s="136"/>
      <c r="S42" s="136"/>
      <c r="Y42"/>
      <c r="Z42"/>
      <c r="AA42"/>
      <c r="AB42"/>
      <c r="AC42"/>
      <c r="AD42"/>
      <c r="AE42"/>
      <c r="AF42"/>
      <c r="AG42"/>
      <c r="AH42"/>
      <c r="AI42"/>
      <c r="AJ42"/>
      <c r="AK42" s="1"/>
      <c r="AL42" s="1"/>
      <c r="AM42" s="1"/>
      <c r="AN42"/>
      <c r="AO42"/>
      <c r="AP42"/>
    </row>
    <row r="43" spans="2:42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Y43"/>
      <c r="Z43"/>
      <c r="AA43"/>
      <c r="AB43"/>
      <c r="AC43"/>
      <c r="AD43"/>
      <c r="AE43"/>
      <c r="AF43"/>
      <c r="AG43"/>
      <c r="AH43"/>
      <c r="AI43"/>
      <c r="AJ43"/>
      <c r="AK43" s="1"/>
      <c r="AL43" s="1"/>
      <c r="AM43" s="1"/>
      <c r="AN43"/>
      <c r="AO43"/>
      <c r="AP43"/>
    </row>
    <row r="44" spans="2:42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428</v>
      </c>
      <c r="I44" s="88"/>
      <c r="J44" s="89"/>
      <c r="K44" s="90">
        <f>+K42+K43*2</f>
        <v>443.23</v>
      </c>
      <c r="L44" s="137" t="s">
        <v>54</v>
      </c>
      <c r="N44" s="136"/>
      <c r="O44" s="136"/>
      <c r="P44" s="136"/>
      <c r="Q44" s="136"/>
      <c r="R44" s="136"/>
      <c r="S44" s="136"/>
      <c r="Y44"/>
      <c r="Z44"/>
      <c r="AA44"/>
      <c r="AB44"/>
      <c r="AC44"/>
      <c r="AE44"/>
      <c r="AF44"/>
      <c r="AG44"/>
      <c r="AH44"/>
      <c r="AI44"/>
      <c r="AJ44"/>
      <c r="AK44" s="1"/>
      <c r="AL44" s="1"/>
      <c r="AM44" s="1"/>
      <c r="AN44"/>
      <c r="AO44"/>
      <c r="AP44"/>
    </row>
    <row r="45" spans="2:42" s="10" customFormat="1" x14ac:dyDescent="0.3">
      <c r="B45"/>
      <c r="C45"/>
      <c r="D45"/>
      <c r="E45" s="455">
        <f>+C10</f>
        <v>12</v>
      </c>
      <c r="F45" s="455" t="s">
        <v>55</v>
      </c>
      <c r="G45" s="82" t="s">
        <v>48</v>
      </c>
      <c r="H45" s="83">
        <v>514</v>
      </c>
      <c r="I45" s="84"/>
      <c r="J45" s="85"/>
      <c r="K45" s="86">
        <v>424.42</v>
      </c>
      <c r="L45" s="135"/>
      <c r="N45" s="136"/>
      <c r="O45" s="136"/>
      <c r="P45" s="136"/>
      <c r="Q45" s="136"/>
      <c r="R45" s="136"/>
      <c r="S45" s="136"/>
      <c r="Y45"/>
      <c r="Z45"/>
      <c r="AA45"/>
      <c r="AB45"/>
      <c r="AC45"/>
      <c r="AD45"/>
      <c r="AE45"/>
      <c r="AF45"/>
      <c r="AG45"/>
      <c r="AH45"/>
      <c r="AI45"/>
      <c r="AJ45"/>
      <c r="AK45" s="1"/>
      <c r="AL45" s="1"/>
      <c r="AM45" s="1"/>
      <c r="AN45"/>
      <c r="AO45"/>
      <c r="AP45"/>
    </row>
    <row r="46" spans="2:42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Y46"/>
      <c r="Z46"/>
      <c r="AA46"/>
      <c r="AB46"/>
      <c r="AC46"/>
      <c r="AD46"/>
      <c r="AE46"/>
      <c r="AF46"/>
      <c r="AG46"/>
      <c r="AH46"/>
      <c r="AI46"/>
      <c r="AJ46"/>
      <c r="AK46" s="1"/>
      <c r="AL46" s="1"/>
      <c r="AM46" s="1"/>
      <c r="AN46"/>
      <c r="AO46"/>
      <c r="AP46"/>
    </row>
    <row r="47" spans="2:42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514</v>
      </c>
      <c r="I47" s="88"/>
      <c r="J47" s="89"/>
      <c r="K47" s="90">
        <f>+K45+K46*2</f>
        <v>424.42</v>
      </c>
      <c r="L47" s="135"/>
      <c r="N47" s="136"/>
      <c r="O47" s="136"/>
      <c r="P47" s="136"/>
      <c r="Q47" s="136"/>
      <c r="R47" s="136"/>
      <c r="S47" s="136"/>
      <c r="Y47"/>
      <c r="Z47"/>
      <c r="AA47"/>
      <c r="AB47"/>
      <c r="AC47"/>
      <c r="AD47"/>
      <c r="AE47"/>
      <c r="AF47"/>
      <c r="AG47"/>
      <c r="AH47"/>
      <c r="AI47"/>
      <c r="AJ47"/>
      <c r="AK47" s="1"/>
      <c r="AL47" s="1"/>
      <c r="AM47" s="1"/>
      <c r="AN47"/>
      <c r="AO47"/>
      <c r="AP47"/>
    </row>
    <row r="48" spans="2:42" s="10" customFormat="1" x14ac:dyDescent="0.3">
      <c r="B48"/>
      <c r="C48"/>
      <c r="D48"/>
      <c r="E48" s="455">
        <f>+C11</f>
        <v>13</v>
      </c>
      <c r="F48" s="455" t="s">
        <v>56</v>
      </c>
      <c r="G48" s="82" t="s">
        <v>48</v>
      </c>
      <c r="H48" s="83">
        <v>371</v>
      </c>
      <c r="I48" s="84"/>
      <c r="J48" s="85"/>
      <c r="K48" s="86">
        <v>421.08</v>
      </c>
      <c r="L48" s="135"/>
      <c r="N48" s="136"/>
      <c r="O48" s="136"/>
      <c r="P48" s="136"/>
      <c r="Q48" s="136"/>
      <c r="R48" s="136"/>
      <c r="S48" s="136"/>
      <c r="Y48"/>
      <c r="Z48"/>
      <c r="AA48"/>
      <c r="AB48"/>
      <c r="AC48"/>
      <c r="AD48"/>
      <c r="AE48"/>
      <c r="AF48"/>
      <c r="AG48"/>
      <c r="AH48"/>
      <c r="AI48"/>
      <c r="AJ48"/>
      <c r="AK48" s="1"/>
      <c r="AL48" s="1"/>
      <c r="AM48" s="1"/>
      <c r="AN48"/>
      <c r="AO48"/>
      <c r="AP48"/>
    </row>
    <row r="49" spans="2:42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Y49"/>
      <c r="Z49"/>
      <c r="AA49"/>
      <c r="AB49"/>
      <c r="AC49"/>
      <c r="AD49"/>
      <c r="AE49"/>
      <c r="AF49"/>
      <c r="AG49"/>
      <c r="AH49"/>
      <c r="AI49"/>
      <c r="AJ49"/>
      <c r="AK49" s="1"/>
      <c r="AL49" s="1"/>
      <c r="AM49" s="1"/>
      <c r="AN49"/>
      <c r="AO49"/>
      <c r="AP49"/>
    </row>
    <row r="50" spans="2:42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371</v>
      </c>
      <c r="I50" s="88"/>
      <c r="J50" s="89"/>
      <c r="K50" s="90">
        <f>+K48+K49*2</f>
        <v>421.08</v>
      </c>
      <c r="L50" s="135"/>
      <c r="N50" s="136"/>
      <c r="O50" s="136"/>
      <c r="P50" s="136"/>
      <c r="Q50" s="136"/>
      <c r="R50" s="136"/>
      <c r="S50" s="136"/>
      <c r="Y50"/>
      <c r="Z50"/>
      <c r="AA50"/>
      <c r="AB50"/>
      <c r="AC50"/>
      <c r="AD50"/>
      <c r="AE50"/>
      <c r="AF50"/>
      <c r="AG50"/>
      <c r="AH50"/>
      <c r="AI50"/>
      <c r="AJ50"/>
      <c r="AK50" s="1"/>
      <c r="AL50" s="1"/>
      <c r="AM50" s="1"/>
      <c r="AN50"/>
      <c r="AO50"/>
      <c r="AP50"/>
    </row>
    <row r="51" spans="2:42" s="10" customFormat="1" x14ac:dyDescent="0.3">
      <c r="B51"/>
      <c r="C51"/>
      <c r="D51"/>
      <c r="E51" s="455">
        <f>+C12</f>
        <v>14</v>
      </c>
      <c r="F51" s="455" t="s">
        <v>38</v>
      </c>
      <c r="G51" s="82" t="s">
        <v>48</v>
      </c>
      <c r="H51" s="83"/>
      <c r="I51" s="84"/>
      <c r="J51" s="85"/>
      <c r="K51" s="86"/>
      <c r="L51" s="135"/>
      <c r="N51" s="136"/>
      <c r="O51" s="136"/>
      <c r="P51" s="136"/>
      <c r="Q51" s="136"/>
      <c r="R51" s="136"/>
      <c r="S51" s="136"/>
      <c r="Y51"/>
      <c r="Z51"/>
      <c r="AA51"/>
      <c r="AB51"/>
      <c r="AC51"/>
      <c r="AD51"/>
      <c r="AE51"/>
      <c r="AF51"/>
      <c r="AG51"/>
      <c r="AH51"/>
      <c r="AI51"/>
      <c r="AJ51"/>
      <c r="AK51" s="1"/>
      <c r="AL51" s="1"/>
      <c r="AM51" s="1"/>
      <c r="AN51"/>
      <c r="AO51"/>
      <c r="AP51"/>
    </row>
    <row r="52" spans="2:42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Y52"/>
      <c r="Z52"/>
      <c r="AA52"/>
      <c r="AB52"/>
      <c r="AC52"/>
      <c r="AD52"/>
      <c r="AE52"/>
      <c r="AF52"/>
      <c r="AG52"/>
      <c r="AH52"/>
      <c r="AI52"/>
      <c r="AJ52"/>
      <c r="AK52" s="1"/>
      <c r="AL52" s="1"/>
      <c r="AM52" s="1"/>
      <c r="AN52"/>
      <c r="AO52"/>
      <c r="AP52"/>
    </row>
    <row r="53" spans="2:42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0</v>
      </c>
      <c r="I53" s="88"/>
      <c r="J53" s="89"/>
      <c r="K53" s="90">
        <f>+K51+K52*2</f>
        <v>0</v>
      </c>
      <c r="L53" s="135"/>
      <c r="N53" s="136"/>
      <c r="O53" s="136"/>
      <c r="P53" s="136"/>
      <c r="Q53" s="136"/>
      <c r="R53" s="136"/>
      <c r="S53" s="136"/>
      <c r="Y53"/>
      <c r="Z53"/>
      <c r="AA53"/>
      <c r="AB53"/>
      <c r="AC53"/>
      <c r="AD53"/>
      <c r="AE53"/>
      <c r="AF53"/>
      <c r="AG53"/>
      <c r="AH53"/>
      <c r="AI53"/>
      <c r="AJ53"/>
      <c r="AK53" s="1"/>
      <c r="AL53" s="1"/>
      <c r="AM53" s="1"/>
      <c r="AN53"/>
      <c r="AO53"/>
      <c r="AP53"/>
    </row>
    <row r="54" spans="2:42" x14ac:dyDescent="0.3">
      <c r="H54" s="75"/>
      <c r="I54" s="10"/>
      <c r="J54" s="11"/>
      <c r="K54"/>
    </row>
    <row r="55" spans="2:42" x14ac:dyDescent="0.3">
      <c r="H55" s="75"/>
      <c r="I55" s="10"/>
      <c r="J55" s="11"/>
      <c r="K55"/>
    </row>
    <row r="56" spans="2:42" s="10" customFormat="1" x14ac:dyDescent="0.3">
      <c r="B56"/>
      <c r="C56"/>
      <c r="D56"/>
      <c r="E56" s="455">
        <f>+E36</f>
        <v>9</v>
      </c>
      <c r="F56" s="455" t="s">
        <v>7</v>
      </c>
      <c r="G56" s="82" t="s">
        <v>48</v>
      </c>
      <c r="H56" s="83">
        <v>377</v>
      </c>
      <c r="I56" s="84"/>
      <c r="J56" s="85"/>
      <c r="K56" s="86">
        <v>291.14999999999998</v>
      </c>
      <c r="L56" s="135"/>
      <c r="N56" s="136"/>
      <c r="O56" s="136"/>
      <c r="P56" s="136"/>
      <c r="Q56" s="136"/>
      <c r="R56" s="136"/>
      <c r="S56" s="136"/>
      <c r="Y56"/>
      <c r="Z56"/>
      <c r="AA56"/>
      <c r="AB56"/>
      <c r="AC56"/>
      <c r="AD56"/>
      <c r="AE56"/>
      <c r="AF56"/>
      <c r="AG56"/>
      <c r="AH56"/>
      <c r="AI56"/>
      <c r="AJ56"/>
      <c r="AK56" s="1"/>
      <c r="AL56" s="1"/>
      <c r="AM56" s="1"/>
      <c r="AN56"/>
      <c r="AO56"/>
      <c r="AP56"/>
    </row>
    <row r="57" spans="2:42" s="10" customFormat="1" x14ac:dyDescent="0.3">
      <c r="B57"/>
      <c r="C57" t="s">
        <v>57</v>
      </c>
      <c r="D57"/>
      <c r="E57" s="456"/>
      <c r="F57" s="456"/>
      <c r="G57" s="82" t="s">
        <v>50</v>
      </c>
      <c r="H57" s="83"/>
      <c r="I57" s="84"/>
      <c r="J57" s="85"/>
      <c r="K57" s="86"/>
      <c r="L57" s="135"/>
      <c r="N57" s="136"/>
      <c r="O57" s="136"/>
      <c r="P57" s="136"/>
      <c r="Q57" s="136"/>
      <c r="R57" s="136"/>
      <c r="S57" s="136"/>
      <c r="Y57"/>
      <c r="Z57"/>
      <c r="AA57"/>
      <c r="AB57"/>
      <c r="AC57"/>
      <c r="AD57"/>
      <c r="AE57"/>
      <c r="AF57"/>
      <c r="AG57"/>
      <c r="AH57"/>
      <c r="AI57"/>
      <c r="AJ57"/>
      <c r="AK57" s="1"/>
      <c r="AL57" s="1"/>
      <c r="AM57" s="1"/>
      <c r="AN57"/>
      <c r="AO57"/>
      <c r="AP57"/>
    </row>
    <row r="58" spans="2:42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377</v>
      </c>
      <c r="I58" s="88"/>
      <c r="J58" s="89"/>
      <c r="K58" s="90">
        <f>+K56+K57*2</f>
        <v>291.14999999999998</v>
      </c>
      <c r="L58" s="135"/>
      <c r="N58" s="136"/>
      <c r="O58" s="136"/>
      <c r="P58" s="136"/>
      <c r="Q58" s="136"/>
      <c r="R58" s="136"/>
      <c r="S58" s="136"/>
      <c r="Y58"/>
      <c r="Z58"/>
      <c r="AA58"/>
      <c r="AB58"/>
      <c r="AC58"/>
      <c r="AD58"/>
      <c r="AE58"/>
      <c r="AF58"/>
      <c r="AG58"/>
      <c r="AH58"/>
      <c r="AI58"/>
      <c r="AJ58"/>
      <c r="AK58" s="1"/>
      <c r="AL58" s="1"/>
      <c r="AM58" s="1"/>
      <c r="AN58"/>
      <c r="AO58"/>
      <c r="AP58"/>
    </row>
    <row r="59" spans="2:42" s="10" customFormat="1" x14ac:dyDescent="0.3">
      <c r="B59"/>
      <c r="C59"/>
      <c r="D59"/>
      <c r="E59" s="455">
        <f>+E39</f>
        <v>10</v>
      </c>
      <c r="F59" s="455" t="s">
        <v>52</v>
      </c>
      <c r="G59" s="82" t="s">
        <v>48</v>
      </c>
      <c r="H59" s="83">
        <v>539</v>
      </c>
      <c r="I59" s="84"/>
      <c r="J59" s="85"/>
      <c r="K59" s="86">
        <v>496.85</v>
      </c>
      <c r="L59" s="135"/>
      <c r="N59" s="136"/>
      <c r="O59" s="136"/>
      <c r="P59" s="136"/>
      <c r="Q59" s="136"/>
      <c r="R59" s="136"/>
      <c r="S59" s="136"/>
      <c r="Y59"/>
      <c r="Z59"/>
      <c r="AA59"/>
      <c r="AB59"/>
      <c r="AC59"/>
      <c r="AD59"/>
      <c r="AE59"/>
      <c r="AF59"/>
      <c r="AG59"/>
      <c r="AH59"/>
      <c r="AI59"/>
      <c r="AJ59"/>
      <c r="AK59" s="1"/>
      <c r="AL59" s="1"/>
      <c r="AM59" s="1"/>
      <c r="AN59"/>
      <c r="AO59"/>
      <c r="AP59"/>
    </row>
    <row r="60" spans="2:42" s="10" customFormat="1" x14ac:dyDescent="0.3">
      <c r="B60"/>
      <c r="C60"/>
      <c r="D60"/>
      <c r="E60" s="456"/>
      <c r="F60" s="456"/>
      <c r="G60" s="82" t="s">
        <v>50</v>
      </c>
      <c r="H60" s="83"/>
      <c r="I60" s="84"/>
      <c r="J60" s="85"/>
      <c r="K60" s="86"/>
      <c r="L60" s="135"/>
      <c r="N60" s="136"/>
      <c r="O60" s="136"/>
      <c r="P60" s="136"/>
      <c r="Q60" s="136"/>
      <c r="R60" s="136"/>
      <c r="S60" s="136"/>
      <c r="Y60"/>
      <c r="Z60"/>
      <c r="AA60"/>
      <c r="AB60"/>
      <c r="AC60"/>
      <c r="AD60"/>
      <c r="AE60"/>
      <c r="AF60"/>
      <c r="AG60"/>
      <c r="AH60"/>
      <c r="AI60"/>
      <c r="AJ60"/>
      <c r="AK60" s="1"/>
      <c r="AL60" s="1"/>
      <c r="AM60" s="1"/>
      <c r="AN60"/>
      <c r="AO60"/>
      <c r="AP60"/>
    </row>
    <row r="61" spans="2:42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539</v>
      </c>
      <c r="I61" s="88"/>
      <c r="J61" s="89"/>
      <c r="K61" s="90">
        <f>+K59+K60*2</f>
        <v>496.85</v>
      </c>
      <c r="L61" s="135"/>
      <c r="N61" s="136"/>
      <c r="O61" s="136"/>
      <c r="P61" s="136"/>
      <c r="Q61" s="136"/>
      <c r="R61" s="136"/>
      <c r="S61" s="136"/>
      <c r="Y61"/>
      <c r="Z61"/>
      <c r="AA61"/>
      <c r="AB61"/>
      <c r="AC61"/>
      <c r="AD61"/>
      <c r="AE61"/>
      <c r="AF61"/>
      <c r="AG61"/>
      <c r="AH61"/>
      <c r="AI61"/>
      <c r="AJ61"/>
      <c r="AK61" s="1"/>
      <c r="AL61" s="1"/>
      <c r="AM61" s="1"/>
      <c r="AN61"/>
      <c r="AO61"/>
      <c r="AP61"/>
    </row>
    <row r="62" spans="2:42" s="10" customFormat="1" x14ac:dyDescent="0.3">
      <c r="B62"/>
      <c r="C62"/>
      <c r="D62"/>
      <c r="E62" s="455">
        <f>+E42</f>
        <v>11</v>
      </c>
      <c r="F62" s="455" t="s">
        <v>53</v>
      </c>
      <c r="G62" s="82" t="s">
        <v>48</v>
      </c>
      <c r="H62" s="83">
        <v>346</v>
      </c>
      <c r="I62" s="84"/>
      <c r="J62" s="85"/>
      <c r="K62" s="86">
        <v>574.82000000000005</v>
      </c>
      <c r="L62" s="135"/>
      <c r="N62" s="136"/>
      <c r="O62" s="136"/>
      <c r="P62" s="136"/>
      <c r="Q62" s="136"/>
      <c r="R62" s="136"/>
      <c r="S62" s="136"/>
      <c r="Y62"/>
      <c r="Z62"/>
      <c r="AA62"/>
      <c r="AB62"/>
      <c r="AC62"/>
      <c r="AD62"/>
      <c r="AE62"/>
      <c r="AF62"/>
      <c r="AG62"/>
      <c r="AH62"/>
      <c r="AI62"/>
      <c r="AJ62"/>
      <c r="AK62" s="1"/>
      <c r="AL62" s="1"/>
      <c r="AM62" s="1"/>
      <c r="AN62"/>
      <c r="AO62"/>
      <c r="AP62"/>
    </row>
    <row r="63" spans="2:42" s="10" customFormat="1" x14ac:dyDescent="0.3">
      <c r="B63"/>
      <c r="C63"/>
      <c r="D63"/>
      <c r="E63" s="456"/>
      <c r="F63" s="456"/>
      <c r="G63" s="82" t="s">
        <v>50</v>
      </c>
      <c r="H63" s="83"/>
      <c r="I63" s="84"/>
      <c r="J63" s="85"/>
      <c r="K63" s="86"/>
      <c r="L63" s="135"/>
      <c r="N63" s="136"/>
      <c r="O63" s="136"/>
      <c r="P63" s="136"/>
      <c r="Q63" s="136"/>
      <c r="R63" s="136"/>
      <c r="S63" s="136"/>
      <c r="Y63"/>
      <c r="Z63"/>
      <c r="AA63"/>
      <c r="AB63"/>
      <c r="AC63"/>
      <c r="AD63"/>
      <c r="AE63"/>
      <c r="AF63"/>
      <c r="AG63"/>
      <c r="AH63"/>
      <c r="AI63"/>
      <c r="AJ63"/>
      <c r="AK63" s="1"/>
      <c r="AL63" s="1"/>
      <c r="AM63" s="1"/>
      <c r="AN63"/>
      <c r="AO63"/>
      <c r="AP63"/>
    </row>
    <row r="64" spans="2:42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346</v>
      </c>
      <c r="I64" s="88"/>
      <c r="J64" s="89"/>
      <c r="K64" s="90">
        <f>+K62+K63*2</f>
        <v>574.82000000000005</v>
      </c>
      <c r="L64" s="137" t="s">
        <v>54</v>
      </c>
      <c r="N64" s="136"/>
      <c r="O64" s="136"/>
      <c r="P64" s="136"/>
      <c r="Q64" s="136"/>
      <c r="R64" s="136"/>
      <c r="S64" s="136"/>
      <c r="Y64"/>
      <c r="Z64"/>
      <c r="AA64"/>
      <c r="AB64"/>
      <c r="AC64"/>
      <c r="AE64"/>
      <c r="AF64"/>
      <c r="AG64"/>
      <c r="AH64"/>
      <c r="AI64"/>
      <c r="AJ64"/>
      <c r="AK64" s="1"/>
      <c r="AL64" s="1"/>
      <c r="AM64" s="1"/>
      <c r="AN64"/>
      <c r="AO64"/>
      <c r="AP64"/>
    </row>
    <row r="65" spans="2:42" s="10" customFormat="1" x14ac:dyDescent="0.3">
      <c r="B65"/>
      <c r="C65"/>
      <c r="D65"/>
      <c r="E65" s="455">
        <f>+E45</f>
        <v>12</v>
      </c>
      <c r="F65" s="455" t="s">
        <v>55</v>
      </c>
      <c r="G65" s="82" t="s">
        <v>48</v>
      </c>
      <c r="H65" s="83">
        <v>432</v>
      </c>
      <c r="I65" s="84"/>
      <c r="J65" s="85"/>
      <c r="K65" s="86">
        <f>378.97-2.87</f>
        <v>376.1</v>
      </c>
      <c r="L65" s="135"/>
      <c r="N65" s="136"/>
      <c r="O65" s="136"/>
      <c r="P65" s="136"/>
      <c r="Q65" s="136"/>
      <c r="R65" s="136"/>
      <c r="S65" s="136"/>
      <c r="Y65"/>
      <c r="Z65"/>
      <c r="AA65"/>
      <c r="AB65"/>
      <c r="AC65"/>
      <c r="AD65"/>
      <c r="AE65"/>
      <c r="AF65"/>
      <c r="AG65"/>
      <c r="AH65"/>
      <c r="AI65"/>
      <c r="AJ65"/>
      <c r="AK65" s="1"/>
      <c r="AL65" s="1"/>
      <c r="AM65" s="1"/>
      <c r="AN65"/>
      <c r="AO65"/>
      <c r="AP65"/>
    </row>
    <row r="66" spans="2:42" s="10" customFormat="1" x14ac:dyDescent="0.3">
      <c r="B66"/>
      <c r="C66"/>
      <c r="D66"/>
      <c r="E66" s="456"/>
      <c r="F66" s="456"/>
      <c r="G66" s="82" t="s">
        <v>50</v>
      </c>
      <c r="H66" s="83">
        <v>4</v>
      </c>
      <c r="I66" s="84"/>
      <c r="J66" s="85"/>
      <c r="K66" s="86">
        <v>2.87</v>
      </c>
      <c r="L66" s="135"/>
      <c r="N66" s="136"/>
      <c r="O66" s="136"/>
      <c r="P66" s="136"/>
      <c r="Q66" s="136"/>
      <c r="R66" s="136"/>
      <c r="S66" s="136"/>
      <c r="Y66"/>
      <c r="Z66"/>
      <c r="AA66"/>
      <c r="AB66"/>
      <c r="AC66"/>
      <c r="AD66"/>
      <c r="AE66"/>
      <c r="AF66"/>
      <c r="AG66"/>
      <c r="AH66"/>
      <c r="AI66"/>
      <c r="AJ66"/>
      <c r="AK66" s="1"/>
      <c r="AL66" s="1"/>
      <c r="AM66" s="1"/>
      <c r="AN66"/>
      <c r="AO66"/>
      <c r="AP66"/>
    </row>
    <row r="67" spans="2:42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440</v>
      </c>
      <c r="I67" s="88"/>
      <c r="J67" s="89"/>
      <c r="K67" s="90">
        <f>+K65+K66*2</f>
        <v>381.84000000000003</v>
      </c>
      <c r="L67" s="135"/>
      <c r="N67" s="136"/>
      <c r="O67" s="136"/>
      <c r="P67" s="136"/>
      <c r="Q67" s="136"/>
      <c r="R67" s="136"/>
      <c r="S67" s="136"/>
      <c r="Y67"/>
      <c r="Z67"/>
      <c r="AA67"/>
      <c r="AB67"/>
      <c r="AC67"/>
      <c r="AD67"/>
      <c r="AE67"/>
      <c r="AF67"/>
      <c r="AG67"/>
      <c r="AH67"/>
      <c r="AI67"/>
      <c r="AJ67"/>
      <c r="AK67" s="1"/>
      <c r="AL67" s="1"/>
      <c r="AM67" s="1"/>
      <c r="AN67"/>
      <c r="AO67"/>
      <c r="AP67"/>
    </row>
    <row r="68" spans="2:42" s="10" customFormat="1" x14ac:dyDescent="0.3">
      <c r="B68"/>
      <c r="C68"/>
      <c r="D68"/>
      <c r="E68" s="455">
        <f>+E48</f>
        <v>13</v>
      </c>
      <c r="F68" s="455" t="s">
        <v>56</v>
      </c>
      <c r="G68" s="82" t="s">
        <v>48</v>
      </c>
      <c r="H68" s="83">
        <v>302</v>
      </c>
      <c r="I68" s="84"/>
      <c r="J68" s="85"/>
      <c r="K68" s="86">
        <v>375.12</v>
      </c>
      <c r="L68" s="135"/>
      <c r="N68" s="136"/>
      <c r="O68" s="136"/>
      <c r="P68" s="136"/>
      <c r="Q68" s="136"/>
      <c r="R68" s="136"/>
      <c r="S68" s="136"/>
      <c r="Y68"/>
      <c r="Z68"/>
      <c r="AA68"/>
      <c r="AB68"/>
      <c r="AC68"/>
      <c r="AD68"/>
      <c r="AE68"/>
      <c r="AF68"/>
      <c r="AG68"/>
      <c r="AH68"/>
      <c r="AI68"/>
      <c r="AJ68"/>
      <c r="AK68" s="1"/>
      <c r="AL68" s="1"/>
      <c r="AM68" s="1"/>
      <c r="AN68"/>
      <c r="AO68"/>
      <c r="AP68"/>
    </row>
    <row r="69" spans="2:42" s="10" customFormat="1" x14ac:dyDescent="0.3">
      <c r="B69"/>
      <c r="C69"/>
      <c r="D69"/>
      <c r="E69" s="456"/>
      <c r="F69" s="456"/>
      <c r="G69" s="82" t="s">
        <v>50</v>
      </c>
      <c r="H69" s="83"/>
      <c r="I69" s="84"/>
      <c r="J69" s="85"/>
      <c r="K69" s="86"/>
      <c r="L69" s="135"/>
      <c r="N69" s="136"/>
      <c r="O69" s="136"/>
      <c r="P69" s="136"/>
      <c r="Q69" s="136"/>
      <c r="R69" s="136"/>
      <c r="S69" s="136"/>
      <c r="Y69"/>
      <c r="Z69"/>
      <c r="AA69"/>
      <c r="AB69"/>
      <c r="AC69"/>
      <c r="AD69"/>
      <c r="AE69"/>
      <c r="AF69"/>
      <c r="AG69"/>
      <c r="AH69"/>
      <c r="AI69"/>
      <c r="AJ69"/>
      <c r="AK69" s="1"/>
      <c r="AL69" s="1"/>
      <c r="AM69" s="1"/>
      <c r="AN69"/>
      <c r="AO69"/>
      <c r="AP69"/>
    </row>
    <row r="70" spans="2:42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302</v>
      </c>
      <c r="I70" s="88"/>
      <c r="J70" s="89"/>
      <c r="K70" s="90">
        <f>+K68+K69*2</f>
        <v>375.12</v>
      </c>
      <c r="L70" s="135"/>
      <c r="N70" s="136"/>
      <c r="O70" s="136"/>
      <c r="P70" s="136"/>
      <c r="Q70" s="136"/>
      <c r="R70" s="136"/>
      <c r="S70" s="136"/>
      <c r="Y70"/>
      <c r="Z70"/>
      <c r="AA70"/>
      <c r="AB70"/>
      <c r="AC70"/>
      <c r="AD70"/>
      <c r="AE70"/>
      <c r="AF70"/>
      <c r="AG70"/>
      <c r="AH70"/>
      <c r="AI70"/>
      <c r="AJ70"/>
      <c r="AK70" s="1"/>
      <c r="AL70" s="1"/>
      <c r="AM70" s="1"/>
      <c r="AN70"/>
      <c r="AO70"/>
      <c r="AP70"/>
    </row>
    <row r="71" spans="2:42" s="10" customFormat="1" x14ac:dyDescent="0.3">
      <c r="B71"/>
      <c r="C71"/>
      <c r="D71"/>
      <c r="E71" s="455">
        <f>+E51</f>
        <v>14</v>
      </c>
      <c r="F71" s="455" t="s">
        <v>38</v>
      </c>
      <c r="G71" s="82" t="s">
        <v>48</v>
      </c>
      <c r="H71" s="83"/>
      <c r="I71" s="84"/>
      <c r="J71" s="85"/>
      <c r="K71" s="86"/>
      <c r="L71" s="135"/>
      <c r="N71" s="136"/>
      <c r="O71" s="136"/>
      <c r="P71" s="136"/>
      <c r="Q71" s="136"/>
      <c r="R71" s="136"/>
      <c r="S71" s="136"/>
      <c r="Y71"/>
      <c r="Z71"/>
      <c r="AA71"/>
      <c r="AB71"/>
      <c r="AC71"/>
      <c r="AD71"/>
      <c r="AE71"/>
      <c r="AF71"/>
      <c r="AG71"/>
      <c r="AH71"/>
      <c r="AI71"/>
      <c r="AJ71"/>
      <c r="AK71" s="1"/>
      <c r="AL71" s="1"/>
      <c r="AM71" s="1"/>
      <c r="AN71"/>
      <c r="AO71"/>
      <c r="AP71"/>
    </row>
    <row r="72" spans="2:42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Y72"/>
      <c r="Z72"/>
      <c r="AA72"/>
      <c r="AB72"/>
      <c r="AC72"/>
      <c r="AD72"/>
      <c r="AE72"/>
      <c r="AF72"/>
      <c r="AG72"/>
      <c r="AH72"/>
      <c r="AI72"/>
      <c r="AJ72"/>
      <c r="AK72" s="1"/>
      <c r="AL72" s="1"/>
      <c r="AM72" s="1"/>
      <c r="AN72"/>
      <c r="AO72"/>
      <c r="AP72"/>
    </row>
    <row r="73" spans="2:42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0</v>
      </c>
      <c r="I73" s="88"/>
      <c r="J73" s="89"/>
      <c r="K73" s="90">
        <f>+K71+K72*2</f>
        <v>0</v>
      </c>
      <c r="L73" s="135"/>
      <c r="N73" s="136"/>
      <c r="O73" s="136"/>
      <c r="P73" s="136"/>
      <c r="Q73" s="136"/>
      <c r="R73" s="136"/>
      <c r="S73" s="136"/>
      <c r="Y73"/>
      <c r="Z73"/>
      <c r="AA73"/>
      <c r="AB73"/>
      <c r="AC73"/>
      <c r="AD73"/>
      <c r="AE73"/>
      <c r="AF73"/>
      <c r="AG73"/>
      <c r="AH73"/>
      <c r="AI73"/>
      <c r="AJ73"/>
      <c r="AK73" s="1"/>
      <c r="AL73" s="1"/>
      <c r="AM73" s="1"/>
      <c r="AN73"/>
      <c r="AO73"/>
      <c r="AP73"/>
    </row>
    <row r="76" spans="2:42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</row>
    <row r="77" spans="2:42" ht="18" customHeight="1" x14ac:dyDescent="0.3">
      <c r="B77" t="s">
        <v>5</v>
      </c>
      <c r="D77" s="7">
        <v>55</v>
      </c>
      <c r="F77" s="8" t="s">
        <v>6</v>
      </c>
      <c r="T77" s="9">
        <v>1.2</v>
      </c>
      <c r="Z77" s="12">
        <f>Z61</f>
        <v>0</v>
      </c>
      <c r="AA77" s="11">
        <f>AA61</f>
        <v>0</v>
      </c>
      <c r="AB77" s="12"/>
      <c r="AD77" s="8"/>
    </row>
    <row r="78" spans="2:42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441" t="s">
        <v>12</v>
      </c>
      <c r="U78" s="418"/>
      <c r="V78" s="442"/>
      <c r="W78" s="446" t="s">
        <v>13</v>
      </c>
      <c r="X78" s="418"/>
      <c r="Y78" s="418"/>
      <c r="Z78" s="13"/>
      <c r="AA78" s="14"/>
      <c r="AB78" s="447" t="s">
        <v>14</v>
      </c>
      <c r="AC78" s="449" t="s">
        <v>15</v>
      </c>
      <c r="AD78" s="418" t="s">
        <v>16</v>
      </c>
    </row>
    <row r="79" spans="2:42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5" t="s">
        <v>12</v>
      </c>
      <c r="U79" s="16" t="s">
        <v>17</v>
      </c>
      <c r="V79" s="17" t="s">
        <v>18</v>
      </c>
      <c r="W79" s="18" t="s">
        <v>13</v>
      </c>
      <c r="X79" s="16" t="s">
        <v>19</v>
      </c>
      <c r="Y79" s="19" t="s">
        <v>18</v>
      </c>
      <c r="Z79" s="202" t="s">
        <v>20</v>
      </c>
      <c r="AA79" s="20" t="s">
        <v>21</v>
      </c>
      <c r="AB79" s="448"/>
      <c r="AC79" s="450"/>
      <c r="AD79" s="419"/>
      <c r="AE79" s="21" t="s">
        <v>22</v>
      </c>
      <c r="AF79" s="21" t="s">
        <v>23</v>
      </c>
      <c r="AG79" s="22"/>
      <c r="AH79" s="22"/>
      <c r="AI79" s="22" t="s">
        <v>24</v>
      </c>
      <c r="AJ79" s="22"/>
      <c r="AK79" s="23" t="s">
        <v>25</v>
      </c>
      <c r="AL79" s="23" t="s">
        <v>26</v>
      </c>
      <c r="AM79" s="23" t="s">
        <v>27</v>
      </c>
      <c r="AN79" s="22"/>
      <c r="AO79" s="22">
        <f>SUM(AO80:AO85)</f>
        <v>-50</v>
      </c>
    </row>
    <row r="80" spans="2:42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95">
        <f>+T94</f>
        <v>0</v>
      </c>
      <c r="U80" s="96">
        <f>IF(F80=0,"휴무",T80/F80)</f>
        <v>0</v>
      </c>
      <c r="V80" s="97">
        <f>IFERROR(T80/#REF!,0)</f>
        <v>0</v>
      </c>
      <c r="W80" s="98">
        <f>+W94</f>
        <v>0</v>
      </c>
      <c r="X80" s="96">
        <f t="shared" ref="X80:X85" si="23">IF(F80=0,"휴무",W80/F80)</f>
        <v>0</v>
      </c>
      <c r="Y80" s="99">
        <f>IFERROR(W80/#REF!,0)</f>
        <v>0</v>
      </c>
      <c r="Z80" s="100" t="e">
        <f>IF(F80=0,"휴무",T80/#REF!*$Z$4)</f>
        <v>#REF!</v>
      </c>
      <c r="AA80" s="101" t="e">
        <f>IF(F80=0,"휴무",W80/#REF!*$AA$4)</f>
        <v>#REF!</v>
      </c>
      <c r="AB80" s="102" t="e">
        <f t="shared" ref="AB80:AB85" si="24">IF(F80=0,"휴무",Z80+AA80)</f>
        <v>#REF!</v>
      </c>
      <c r="AC80" s="103" t="e">
        <f t="shared" ref="AC80:AC85" si="25">IF(F80=0,"휴무",IF(AB80&gt;=100,"좋아요",IF(AB80&gt;=90,"90~99",IF(AB80&gt;=80,"80~89"," 사유?→"))))</f>
        <v>#REF!</v>
      </c>
      <c r="AD80" s="104"/>
      <c r="AE80" s="37">
        <f>AF80-F80</f>
        <v>-10</v>
      </c>
      <c r="AF80" s="38">
        <f>AM80</f>
        <v>0</v>
      </c>
      <c r="AG80" s="200" t="s">
        <v>29</v>
      </c>
      <c r="AH80" s="39"/>
      <c r="AI80" s="40" t="str">
        <f>IFERROR(Y80/V80*1000,"")</f>
        <v/>
      </c>
      <c r="AJ80" s="39"/>
      <c r="AK80" s="41"/>
      <c r="AL80" s="41"/>
      <c r="AM80" s="41"/>
      <c r="AN80" s="200"/>
      <c r="AO80" s="200">
        <f>AN80-F80</f>
        <v>-10</v>
      </c>
    </row>
    <row r="81" spans="2:41" ht="98.25" customHeight="1" x14ac:dyDescent="0.3">
      <c r="B81" s="459"/>
      <c r="C81" s="92">
        <v>20</v>
      </c>
      <c r="D81" s="196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95">
        <f>+T97</f>
        <v>0</v>
      </c>
      <c r="U81" s="62">
        <f>IF(F81=0,"휴무",T81/F81)</f>
        <v>0</v>
      </c>
      <c r="V81" s="63">
        <f>IFERROR(T81/#REF!,0)</f>
        <v>0</v>
      </c>
      <c r="W81" s="105">
        <f>+W97</f>
        <v>0</v>
      </c>
      <c r="X81" s="96">
        <f t="shared" si="23"/>
        <v>0</v>
      </c>
      <c r="Y81" s="65">
        <f>IFERROR(W81/#REF!,0)</f>
        <v>0</v>
      </c>
      <c r="Z81" s="106" t="e">
        <f>IF(F81=0,"휴무",T81/#REF!*$Z$4)</f>
        <v>#REF!</v>
      </c>
      <c r="AA81" s="107" t="e">
        <f>IF(F81=0,"휴무",W81/#REF!*$AA$4)</f>
        <v>#REF!</v>
      </c>
      <c r="AB81" s="66" t="e">
        <f t="shared" si="24"/>
        <v>#REF!</v>
      </c>
      <c r="AC81" s="108" t="e">
        <f t="shared" si="25"/>
        <v>#REF!</v>
      </c>
      <c r="AD81" s="109"/>
      <c r="AE81" s="37">
        <f>AF81-F81</f>
        <v>-10</v>
      </c>
      <c r="AF81" s="38">
        <f>AM81</f>
        <v>0</v>
      </c>
      <c r="AG81" s="200" t="s">
        <v>34</v>
      </c>
      <c r="AH81" s="39"/>
      <c r="AI81" s="40" t="str">
        <f>IFERROR(Y81/V81*1000,"")</f>
        <v/>
      </c>
      <c r="AJ81" s="39"/>
      <c r="AK81" s="41"/>
      <c r="AL81" s="41"/>
      <c r="AM81" s="41"/>
      <c r="AN81" s="200"/>
      <c r="AO81" s="200">
        <f>AN81-F81</f>
        <v>-10</v>
      </c>
    </row>
    <row r="82" spans="2:41" ht="98.25" customHeight="1" x14ac:dyDescent="0.3">
      <c r="B82" s="459"/>
      <c r="C82" s="92">
        <v>21</v>
      </c>
      <c r="D82" s="196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95">
        <f>+T100</f>
        <v>0</v>
      </c>
      <c r="U82" s="62">
        <f>IF(F82=0,"휴무",T82/F82)</f>
        <v>0</v>
      </c>
      <c r="V82" s="63">
        <f>IFERROR(T82/#REF!,0)</f>
        <v>0</v>
      </c>
      <c r="W82" s="105">
        <f>+W100</f>
        <v>0</v>
      </c>
      <c r="X82" s="96">
        <f t="shared" si="23"/>
        <v>0</v>
      </c>
      <c r="Y82" s="65">
        <f>IFERROR(W82/#REF!,0)</f>
        <v>0</v>
      </c>
      <c r="Z82" s="106" t="e">
        <f>IF(F82=0,"휴무",T82/#REF!*$Z$4)</f>
        <v>#REF!</v>
      </c>
      <c r="AA82" s="107" t="e">
        <f>IF(F82=0,"휴무",W82/#REF!*$AA$4)</f>
        <v>#REF!</v>
      </c>
      <c r="AB82" s="66" t="e">
        <f t="shared" si="24"/>
        <v>#REF!</v>
      </c>
      <c r="AC82" s="108" t="e">
        <f t="shared" si="25"/>
        <v>#REF!</v>
      </c>
      <c r="AD82" s="109"/>
      <c r="AE82" s="37">
        <f>AF82-F82</f>
        <v>-10</v>
      </c>
      <c r="AF82" s="38">
        <f>AM82</f>
        <v>0</v>
      </c>
      <c r="AG82" s="200" t="s">
        <v>36</v>
      </c>
      <c r="AH82" s="39"/>
      <c r="AI82" s="40" t="str">
        <f>IFERROR(Y82/V82*1000,"")</f>
        <v/>
      </c>
      <c r="AJ82" s="39"/>
      <c r="AK82" s="41"/>
      <c r="AL82" s="41"/>
      <c r="AM82" s="41"/>
      <c r="AN82" s="200"/>
      <c r="AO82" s="200">
        <f>AN82-F82</f>
        <v>-10</v>
      </c>
    </row>
    <row r="83" spans="2:41" ht="98.25" customHeight="1" x14ac:dyDescent="0.3">
      <c r="B83" s="459"/>
      <c r="C83" s="92">
        <v>22</v>
      </c>
      <c r="D83" s="196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95">
        <f>+T103</f>
        <v>0</v>
      </c>
      <c r="U83" s="62">
        <f>IF(F83=0,"휴무",T83/F83)</f>
        <v>0</v>
      </c>
      <c r="V83" s="63">
        <f>IFERROR(T83/#REF!,0)</f>
        <v>0</v>
      </c>
      <c r="W83" s="105">
        <f>+W103</f>
        <v>0</v>
      </c>
      <c r="X83" s="62">
        <f t="shared" si="23"/>
        <v>0</v>
      </c>
      <c r="Y83" s="65">
        <f>IFERROR(W83/#REF!,0)</f>
        <v>0</v>
      </c>
      <c r="Z83" s="106" t="e">
        <f>IF(F83=0,"휴무",T83/#REF!*$Z$4)</f>
        <v>#REF!</v>
      </c>
      <c r="AA83" s="107" t="e">
        <f>IF(F83=0,"휴무",W83/#REF!*$AA$4)</f>
        <v>#REF!</v>
      </c>
      <c r="AB83" s="66" t="e">
        <f t="shared" si="24"/>
        <v>#REF!</v>
      </c>
      <c r="AC83" s="110" t="e">
        <f t="shared" si="25"/>
        <v>#REF!</v>
      </c>
      <c r="AD83" s="104"/>
      <c r="AE83" s="37">
        <f>AF83-F83</f>
        <v>-10</v>
      </c>
      <c r="AF83" s="38">
        <f>AM83</f>
        <v>0</v>
      </c>
      <c r="AG83" s="200" t="s">
        <v>33</v>
      </c>
      <c r="AH83" s="39"/>
      <c r="AI83" s="40" t="str">
        <f>IFERROR(Y83/V83*1000,"")</f>
        <v/>
      </c>
      <c r="AJ83" s="39"/>
      <c r="AK83" s="41"/>
      <c r="AL83" s="41"/>
      <c r="AM83" s="41"/>
      <c r="AN83" s="200"/>
      <c r="AO83" s="200">
        <f>AN83-F83</f>
        <v>-10</v>
      </c>
    </row>
    <row r="84" spans="2:41" ht="98.25" customHeight="1" x14ac:dyDescent="0.3">
      <c r="B84" s="459"/>
      <c r="C84" s="92">
        <v>23</v>
      </c>
      <c r="D84" s="196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95">
        <f>+T104</f>
        <v>0</v>
      </c>
      <c r="U84" s="62">
        <f>IF(F84=0,"휴무",T84/F84)</f>
        <v>0</v>
      </c>
      <c r="V84" s="63">
        <f>IFERROR(T84/#REF!,0)</f>
        <v>0</v>
      </c>
      <c r="W84" s="105">
        <f>+W104</f>
        <v>0</v>
      </c>
      <c r="X84" s="62">
        <f t="shared" si="23"/>
        <v>0</v>
      </c>
      <c r="Y84" s="65">
        <f>IFERROR(W84/#REF!,0)</f>
        <v>0</v>
      </c>
      <c r="Z84" s="106" t="e">
        <f>IF(F84=0,"휴무",T84/#REF!*$Z$4)</f>
        <v>#REF!</v>
      </c>
      <c r="AA84" s="107" t="e">
        <f>IF(F84=0,"휴무",W84/#REF!*$AA$4)</f>
        <v>#REF!</v>
      </c>
      <c r="AB84" s="66" t="e">
        <f t="shared" si="24"/>
        <v>#REF!</v>
      </c>
      <c r="AC84" s="110" t="e">
        <f t="shared" si="25"/>
        <v>#REF!</v>
      </c>
      <c r="AD84" s="104"/>
      <c r="AE84" s="37">
        <f>AF84-F84</f>
        <v>-10</v>
      </c>
      <c r="AF84" s="38">
        <f>AM84</f>
        <v>0</v>
      </c>
      <c r="AG84" s="200" t="s">
        <v>46</v>
      </c>
      <c r="AH84" s="39"/>
      <c r="AI84" s="40" t="str">
        <f>IFERROR(Y84/V84*1000,"")</f>
        <v/>
      </c>
      <c r="AJ84" s="200"/>
      <c r="AK84" s="41"/>
      <c r="AL84" s="41"/>
      <c r="AM84" s="41"/>
      <c r="AN84" s="200"/>
      <c r="AO84" s="200">
        <f>AN84-F84</f>
        <v>-10</v>
      </c>
    </row>
    <row r="85" spans="2:41" ht="98.25" customHeight="1" x14ac:dyDescent="0.3">
      <c r="B85" s="459"/>
      <c r="C85" s="92">
        <v>25</v>
      </c>
      <c r="D85" s="196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201"/>
      <c r="H85" s="201"/>
      <c r="I85" s="201"/>
      <c r="J85" s="201"/>
      <c r="K85" s="201"/>
      <c r="L85" s="201"/>
      <c r="M85" s="201"/>
      <c r="N85" s="201"/>
      <c r="O85" s="201"/>
      <c r="P85" s="201"/>
      <c r="Q85" s="201"/>
      <c r="R85" s="201"/>
      <c r="S85" s="201"/>
      <c r="T85" s="95">
        <f>T109</f>
        <v>0</v>
      </c>
      <c r="U85" s="96">
        <v>58.924999999999997</v>
      </c>
      <c r="V85" s="97">
        <v>0.89280303030303021</v>
      </c>
      <c r="W85" s="98">
        <f>W109</f>
        <v>0</v>
      </c>
      <c r="X85" s="62" t="str">
        <f t="shared" si="23"/>
        <v>휴무</v>
      </c>
      <c r="Y85" s="65">
        <f>IFERROR(W85/#REF!,0)</f>
        <v>0</v>
      </c>
      <c r="Z85" s="106" t="str">
        <f>IF(F85=0,"휴무",T85/#REF!*$Z$4)</f>
        <v>휴무</v>
      </c>
      <c r="AA85" s="107" t="str">
        <f>IF(F85=0,"휴무",W85/#REF!*$AA$4)</f>
        <v>휴무</v>
      </c>
      <c r="AB85" s="66" t="str">
        <f t="shared" si="24"/>
        <v>휴무</v>
      </c>
      <c r="AC85" s="110" t="str">
        <f t="shared" si="25"/>
        <v>휴무</v>
      </c>
      <c r="AD85" s="104"/>
      <c r="AE85" s="37"/>
      <c r="AF85" s="38"/>
      <c r="AG85" s="200"/>
      <c r="AH85" s="39"/>
      <c r="AI85" s="40"/>
      <c r="AJ85" s="200"/>
      <c r="AK85" s="41"/>
      <c r="AL85" s="41"/>
      <c r="AM85" s="41"/>
      <c r="AN85" s="200"/>
      <c r="AO85" s="200"/>
    </row>
    <row r="86" spans="2:41" ht="36" customHeight="1" x14ac:dyDescent="0.3">
      <c r="B86" s="460" t="s">
        <v>39</v>
      </c>
      <c r="C86" s="461"/>
      <c r="D86" s="461"/>
      <c r="E86" s="462"/>
      <c r="F86" s="196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11">
        <f>SUM(T80:T85)</f>
        <v>0</v>
      </c>
      <c r="U86" s="112"/>
      <c r="V86" s="63">
        <f>IFERROR(T86/#REF!,0)</f>
        <v>0</v>
      </c>
      <c r="W86" s="113">
        <f>SUM(W80:W85)</f>
        <v>0</v>
      </c>
      <c r="X86" s="62"/>
      <c r="Y86" s="65">
        <f>IFERROR(W86/#REF!,0)</f>
        <v>0</v>
      </c>
      <c r="Z86" s="196"/>
      <c r="AA86" s="197"/>
      <c r="AB86" s="114"/>
      <c r="AC86" s="115"/>
      <c r="AD86" s="198"/>
      <c r="AE86" s="37">
        <f>AF86-F86</f>
        <v>-50</v>
      </c>
      <c r="AF86" s="38">
        <f>SUM(AF80:AF85)</f>
        <v>0</v>
      </c>
      <c r="AG86" s="200"/>
      <c r="AH86" s="200"/>
      <c r="AI86" s="40"/>
      <c r="AJ86" s="200"/>
      <c r="AK86" s="59"/>
      <c r="AL86" s="59"/>
      <c r="AM86" s="59"/>
      <c r="AN86" s="200"/>
      <c r="AO86" s="200"/>
    </row>
    <row r="87" spans="2:41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201"/>
      <c r="H87" s="201"/>
      <c r="I87" s="201"/>
      <c r="J87" s="201"/>
      <c r="K87" s="201"/>
      <c r="L87" s="201"/>
      <c r="M87" s="201"/>
      <c r="N87" s="201"/>
      <c r="O87" s="201"/>
      <c r="P87" s="201"/>
      <c r="Q87" s="201"/>
      <c r="R87" s="201"/>
      <c r="S87" s="201"/>
      <c r="T87" s="61">
        <f>U87*F87</f>
        <v>0</v>
      </c>
      <c r="U87" s="62">
        <f>T86/F86</f>
        <v>0</v>
      </c>
      <c r="V87" s="63">
        <f>IFERROR(T87/#REF!,0)</f>
        <v>0</v>
      </c>
      <c r="W87" s="64">
        <f>W86/F86*F87</f>
        <v>0</v>
      </c>
      <c r="X87" s="62">
        <f>IF(F87=0,"휴무",W87/F87)</f>
        <v>0</v>
      </c>
      <c r="Y87" s="65">
        <f>IFERROR(W87/#REF!,0)</f>
        <v>0</v>
      </c>
      <c r="Z87" s="60" t="e">
        <f>AVERAGE(Z80:Z85)</f>
        <v>#REF!</v>
      </c>
      <c r="AA87" s="60" t="e">
        <f>AVERAGE(AA80:AA85)</f>
        <v>#REF!</v>
      </c>
      <c r="AB87" s="66" t="e">
        <f>Z87+AA87</f>
        <v>#REF!</v>
      </c>
      <c r="AC87" s="115" t="e">
        <f>IF(F87=0,"휴무",IF(AB87&gt;=100,"좋아요",IF(AB87&gt;=90,"90~99",IF(AB87&gt;=80,"80~89"," 사유?→"))))</f>
        <v>#REF!</v>
      </c>
      <c r="AD87" s="68"/>
      <c r="AE87" s="69"/>
      <c r="AF87" s="69"/>
      <c r="AG87" s="69"/>
      <c r="AH87" s="69"/>
      <c r="AI87" s="40" t="str">
        <f>IFERROR(Y87/V87*1000,"")</f>
        <v/>
      </c>
      <c r="AJ87" s="69"/>
      <c r="AK87" s="10"/>
      <c r="AL87" s="10"/>
      <c r="AM87" s="10"/>
      <c r="AN87" s="69"/>
      <c r="AO87" s="69"/>
    </row>
    <row r="88" spans="2:41" x14ac:dyDescent="0.3">
      <c r="B88" s="70" t="s">
        <v>41</v>
      </c>
      <c r="C88" s="71"/>
      <c r="D88" s="71"/>
      <c r="E88" s="72"/>
      <c r="T88" s="22"/>
      <c r="V88" s="73">
        <f>V87*60</f>
        <v>0</v>
      </c>
      <c r="W88" s="74"/>
      <c r="X88" s="73"/>
      <c r="Y88" s="74">
        <f>Y87*40</f>
        <v>0</v>
      </c>
      <c r="Z88" s="81"/>
      <c r="AA88" s="81"/>
      <c r="AB88" s="74">
        <f>V88+Y88</f>
        <v>0</v>
      </c>
      <c r="AC88" s="200"/>
      <c r="AD88" s="200"/>
      <c r="AE88" s="200"/>
      <c r="AF88" s="200"/>
      <c r="AG88" s="200"/>
      <c r="AH88" s="200"/>
      <c r="AI88" s="200"/>
      <c r="AJ88" s="200"/>
      <c r="AK88" s="59"/>
      <c r="AL88" s="59"/>
      <c r="AM88" s="59"/>
      <c r="AN88" s="200"/>
      <c r="AO88" s="200"/>
    </row>
    <row r="89" spans="2:41" ht="17.25" thickBot="1" x14ac:dyDescent="0.35">
      <c r="B89" s="70" t="s">
        <v>61</v>
      </c>
      <c r="U89" s="10">
        <v>8.8000000000000007</v>
      </c>
    </row>
    <row r="90" spans="2:41" ht="17.25" thickBot="1" x14ac:dyDescent="0.35">
      <c r="B90" s="76" t="s">
        <v>42</v>
      </c>
      <c r="C90" s="77"/>
      <c r="D90" s="78" t="s">
        <v>43</v>
      </c>
      <c r="E90" s="78"/>
      <c r="F90" s="79"/>
      <c r="X90" s="10">
        <v>50</v>
      </c>
    </row>
    <row r="92" spans="2:41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3"/>
      <c r="U92" s="84"/>
      <c r="V92" s="85"/>
      <c r="W92" s="86"/>
    </row>
    <row r="93" spans="2:41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3"/>
      <c r="U93" s="84"/>
      <c r="V93" s="85"/>
      <c r="W93" s="86"/>
    </row>
    <row r="94" spans="2:41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7">
        <f>+T92+T93*1.6</f>
        <v>0</v>
      </c>
      <c r="U94" s="88"/>
      <c r="V94" s="89"/>
      <c r="W94" s="90">
        <f>+W92+W93*1.6</f>
        <v>0</v>
      </c>
    </row>
    <row r="95" spans="2:41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3"/>
      <c r="U95" s="84"/>
      <c r="V95" s="85"/>
      <c r="W95" s="86"/>
    </row>
    <row r="96" spans="2:41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3"/>
      <c r="U96" s="84"/>
      <c r="V96" s="85"/>
      <c r="W96" s="86"/>
    </row>
    <row r="97" spans="5:30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91">
        <f>+T95+T96*1.6</f>
        <v>0</v>
      </c>
      <c r="U97" s="88"/>
      <c r="V97" s="89"/>
      <c r="W97" s="90">
        <f>+W95+W96*1.6</f>
        <v>0</v>
      </c>
    </row>
    <row r="98" spans="5:30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84"/>
      <c r="V98" s="85"/>
      <c r="W98" s="86"/>
    </row>
    <row r="99" spans="5:30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3"/>
      <c r="U99" s="84"/>
      <c r="V99" s="85"/>
      <c r="W99" s="86"/>
    </row>
    <row r="100" spans="5:30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7">
        <f>+T98+T99*1.6</f>
        <v>0</v>
      </c>
      <c r="U100" s="88"/>
      <c r="V100" s="89"/>
      <c r="W100" s="90">
        <f>+W98+W99*1.6</f>
        <v>0</v>
      </c>
    </row>
    <row r="101" spans="5:30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3"/>
      <c r="U101" s="84"/>
      <c r="V101" s="85"/>
      <c r="W101" s="86"/>
    </row>
    <row r="102" spans="5:30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3"/>
      <c r="U102" s="84"/>
      <c r="V102" s="85"/>
      <c r="W102" s="86"/>
    </row>
    <row r="103" spans="5:30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7">
        <f>+T101+T102*1.6</f>
        <v>0</v>
      </c>
      <c r="U103" s="88"/>
      <c r="V103" s="89"/>
      <c r="W103" s="90">
        <f>+W101+W102*1.6</f>
        <v>0</v>
      </c>
    </row>
    <row r="104" spans="5:30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3"/>
      <c r="U104" s="84"/>
      <c r="V104" s="85"/>
      <c r="W104" s="86"/>
    </row>
    <row r="105" spans="5:30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3"/>
      <c r="U105" s="84"/>
      <c r="V105" s="85"/>
      <c r="W105" s="86"/>
    </row>
    <row r="106" spans="5:30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7">
        <f>+T104+T105*1.6</f>
        <v>0</v>
      </c>
      <c r="U106" s="88"/>
      <c r="V106" s="89"/>
      <c r="W106" s="90">
        <f>+W104+W105*1.6</f>
        <v>0</v>
      </c>
    </row>
    <row r="107" spans="5:30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3"/>
      <c r="U107" s="84"/>
      <c r="V107" s="85"/>
      <c r="W107" s="86"/>
      <c r="AD107" s="116"/>
    </row>
    <row r="108" spans="5:30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3"/>
      <c r="U108" s="84"/>
      <c r="V108" s="85"/>
      <c r="W108" s="86"/>
    </row>
    <row r="109" spans="5:30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7">
        <f>+T107+T108*1.6</f>
        <v>0</v>
      </c>
      <c r="U109" s="88"/>
      <c r="V109" s="89"/>
      <c r="W109" s="90">
        <f>+W107+W108*1.6</f>
        <v>0</v>
      </c>
    </row>
    <row r="114" spans="3:26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</row>
    <row r="116" spans="3:26" x14ac:dyDescent="0.3">
      <c r="C116" s="196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117"/>
      <c r="V116" s="118"/>
      <c r="W116" s="116"/>
      <c r="X116" s="117"/>
      <c r="Y116" s="116"/>
      <c r="Z116" s="116"/>
    </row>
    <row r="117" spans="3:26" x14ac:dyDescent="0.3">
      <c r="C117" s="196" t="s">
        <v>63</v>
      </c>
      <c r="D117" s="466" t="s">
        <v>12</v>
      </c>
      <c r="E117" s="466"/>
      <c r="F117" s="196" t="s">
        <v>64</v>
      </c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 t="s">
        <v>15</v>
      </c>
      <c r="U117" s="117"/>
      <c r="V117" s="118"/>
      <c r="W117" s="116"/>
      <c r="X117" s="117"/>
      <c r="Y117" s="116"/>
      <c r="Z117" s="116"/>
    </row>
    <row r="118" spans="3:26" x14ac:dyDescent="0.3">
      <c r="C118" s="119">
        <v>45075</v>
      </c>
      <c r="D118" s="466"/>
      <c r="E118" s="46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17"/>
      <c r="V118" s="118"/>
      <c r="W118" s="116"/>
      <c r="X118" s="117"/>
      <c r="Y118" s="116"/>
      <c r="Z118" s="116"/>
    </row>
    <row r="119" spans="3:26" x14ac:dyDescent="0.3">
      <c r="C119" s="119">
        <v>45076</v>
      </c>
      <c r="D119" s="466"/>
      <c r="E119" s="46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17"/>
      <c r="V119" s="118"/>
      <c r="W119" s="116"/>
      <c r="X119" s="117"/>
      <c r="Y119" s="116"/>
      <c r="Z119" s="116"/>
    </row>
    <row r="120" spans="3:26" x14ac:dyDescent="0.3">
      <c r="C120" s="119">
        <v>45077</v>
      </c>
      <c r="D120" s="466"/>
      <c r="E120" s="46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17"/>
      <c r="V120" s="118"/>
      <c r="W120" s="116"/>
      <c r="X120" s="117"/>
      <c r="Y120" s="116"/>
      <c r="Z120" s="116"/>
    </row>
    <row r="121" spans="3:26" x14ac:dyDescent="0.3">
      <c r="C121" s="119">
        <v>45078</v>
      </c>
      <c r="D121" s="466"/>
      <c r="E121" s="46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17"/>
      <c r="V121" s="118"/>
      <c r="W121" s="116"/>
      <c r="X121" s="117"/>
      <c r="Y121" s="116"/>
      <c r="Z121" s="116"/>
    </row>
    <row r="122" spans="3:26" x14ac:dyDescent="0.3">
      <c r="C122" s="119">
        <v>45079</v>
      </c>
      <c r="D122" s="466"/>
      <c r="E122" s="46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17"/>
      <c r="V122" s="118"/>
      <c r="W122" s="116"/>
      <c r="X122" s="117"/>
      <c r="Y122" s="116"/>
      <c r="Z122" s="116"/>
    </row>
    <row r="123" spans="3:26" x14ac:dyDescent="0.3">
      <c r="C123" s="119">
        <v>45080</v>
      </c>
      <c r="D123" s="466"/>
      <c r="E123" s="46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17"/>
      <c r="V123" s="118"/>
      <c r="W123" s="116"/>
      <c r="X123" s="117"/>
      <c r="Y123" s="116"/>
      <c r="Z123" s="116"/>
    </row>
    <row r="124" spans="3:26" x14ac:dyDescent="0.3">
      <c r="C124" s="196"/>
      <c r="D124" s="460"/>
      <c r="E124" s="462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17"/>
      <c r="V124" s="118"/>
      <c r="W124" s="116"/>
      <c r="X124" s="117"/>
      <c r="Y124" s="116"/>
      <c r="Z124" s="116"/>
    </row>
    <row r="125" spans="3:26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117"/>
      <c r="V125" s="118"/>
      <c r="W125" s="116"/>
      <c r="X125" s="117"/>
      <c r="Y125" s="116"/>
      <c r="Z125" s="116"/>
    </row>
    <row r="126" spans="3:26" x14ac:dyDescent="0.3">
      <c r="C126" s="196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117"/>
      <c r="V126" s="118"/>
      <c r="W126" s="116"/>
      <c r="X126" s="117"/>
      <c r="Y126" s="116"/>
      <c r="Z126" s="116"/>
    </row>
    <row r="127" spans="3:26" x14ac:dyDescent="0.3">
      <c r="C127" s="196" t="s">
        <v>63</v>
      </c>
      <c r="D127" s="466" t="s">
        <v>12</v>
      </c>
      <c r="E127" s="466"/>
      <c r="F127" s="196" t="s">
        <v>64</v>
      </c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 t="s">
        <v>15</v>
      </c>
      <c r="U127" s="117"/>
      <c r="V127" s="118"/>
      <c r="W127" s="116"/>
      <c r="X127" s="117"/>
      <c r="Y127" s="116"/>
      <c r="Z127" s="116"/>
    </row>
    <row r="128" spans="3:26" x14ac:dyDescent="0.3">
      <c r="C128" s="119">
        <v>45075</v>
      </c>
      <c r="D128" s="466"/>
      <c r="E128" s="46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17"/>
      <c r="V128" s="118"/>
      <c r="W128" s="116"/>
      <c r="X128" s="117"/>
      <c r="Y128" s="116"/>
      <c r="Z128" s="116"/>
    </row>
    <row r="129" spans="3:26" x14ac:dyDescent="0.3">
      <c r="C129" s="119">
        <v>45076</v>
      </c>
      <c r="D129" s="466"/>
      <c r="E129" s="46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17"/>
      <c r="V129" s="118"/>
      <c r="W129" s="116"/>
      <c r="X129" s="117"/>
      <c r="Y129" s="116"/>
      <c r="Z129" s="116"/>
    </row>
    <row r="130" spans="3:26" x14ac:dyDescent="0.3">
      <c r="C130" s="119">
        <v>45077</v>
      </c>
      <c r="D130" s="466"/>
      <c r="E130" s="46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17"/>
      <c r="V130" s="118"/>
      <c r="W130" s="116"/>
      <c r="X130" s="117"/>
      <c r="Y130" s="116"/>
      <c r="Z130" s="116"/>
    </row>
    <row r="131" spans="3:26" x14ac:dyDescent="0.3">
      <c r="C131" s="119">
        <v>45078</v>
      </c>
      <c r="D131" s="466"/>
      <c r="E131" s="46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17"/>
      <c r="V131" s="118"/>
      <c r="W131" s="116"/>
      <c r="X131" s="117"/>
      <c r="Y131" s="116"/>
      <c r="Z131" s="116"/>
    </row>
    <row r="132" spans="3:26" x14ac:dyDescent="0.3">
      <c r="C132" s="119">
        <v>45079</v>
      </c>
      <c r="D132" s="466"/>
      <c r="E132" s="46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17"/>
      <c r="V132" s="118"/>
      <c r="W132" s="116"/>
      <c r="X132" s="117"/>
      <c r="Y132" s="116"/>
      <c r="Z132" s="116"/>
    </row>
    <row r="133" spans="3:26" x14ac:dyDescent="0.3">
      <c r="C133" s="119">
        <v>45080</v>
      </c>
      <c r="D133" s="466"/>
      <c r="E133" s="46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17"/>
      <c r="V133" s="118"/>
      <c r="W133" s="116"/>
      <c r="X133" s="117"/>
      <c r="Y133" s="116"/>
      <c r="Z133" s="116"/>
    </row>
    <row r="134" spans="3:26" x14ac:dyDescent="0.3">
      <c r="C134" s="196"/>
      <c r="D134" s="460"/>
      <c r="E134" s="462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17"/>
      <c r="V134" s="118"/>
      <c r="W134" s="116"/>
      <c r="X134" s="117"/>
      <c r="Y134" s="116"/>
      <c r="Z134" s="116"/>
    </row>
    <row r="135" spans="3:26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117"/>
      <c r="V135" s="118"/>
      <c r="W135" s="116"/>
      <c r="X135" s="117"/>
      <c r="Y135" s="116"/>
      <c r="Z135" s="116"/>
    </row>
    <row r="136" spans="3:26" x14ac:dyDescent="0.3">
      <c r="C136" s="196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117"/>
      <c r="V136" s="118"/>
      <c r="W136" s="116"/>
      <c r="X136" s="117"/>
      <c r="Y136" s="116"/>
      <c r="Z136" s="116"/>
    </row>
    <row r="137" spans="3:26" x14ac:dyDescent="0.3">
      <c r="C137" s="196" t="s">
        <v>63</v>
      </c>
      <c r="D137" s="466" t="s">
        <v>12</v>
      </c>
      <c r="E137" s="466"/>
      <c r="F137" s="196" t="s">
        <v>64</v>
      </c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 t="s">
        <v>15</v>
      </c>
      <c r="U137" s="117"/>
      <c r="V137" s="118"/>
      <c r="W137" s="116"/>
      <c r="X137" s="117"/>
      <c r="Y137" s="116"/>
      <c r="Z137" s="116"/>
    </row>
    <row r="138" spans="3:26" x14ac:dyDescent="0.3">
      <c r="C138" s="119">
        <v>45075</v>
      </c>
      <c r="D138" s="466"/>
      <c r="E138" s="46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17"/>
      <c r="V138" s="118"/>
      <c r="W138" s="116"/>
      <c r="X138" s="117"/>
      <c r="Y138" s="116"/>
      <c r="Z138" s="116"/>
    </row>
    <row r="139" spans="3:26" x14ac:dyDescent="0.3">
      <c r="C139" s="119">
        <v>45076</v>
      </c>
      <c r="D139" s="466"/>
      <c r="E139" s="46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17"/>
      <c r="V139" s="118"/>
      <c r="W139" s="116"/>
      <c r="X139" s="117"/>
      <c r="Y139" s="116"/>
      <c r="Z139" s="116"/>
    </row>
    <row r="140" spans="3:26" x14ac:dyDescent="0.3">
      <c r="C140" s="119">
        <v>45077</v>
      </c>
      <c r="D140" s="466"/>
      <c r="E140" s="46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</row>
    <row r="141" spans="3:26" x14ac:dyDescent="0.3">
      <c r="C141" s="119">
        <v>45078</v>
      </c>
      <c r="D141" s="466"/>
      <c r="E141" s="46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</row>
    <row r="142" spans="3:26" x14ac:dyDescent="0.3">
      <c r="C142" s="119">
        <v>45079</v>
      </c>
      <c r="D142" s="466"/>
      <c r="E142" s="46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</row>
    <row r="143" spans="3:26" x14ac:dyDescent="0.3">
      <c r="C143" s="119">
        <v>45080</v>
      </c>
      <c r="D143" s="466"/>
      <c r="E143" s="46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</row>
    <row r="144" spans="3:26" x14ac:dyDescent="0.3">
      <c r="C144" s="196"/>
      <c r="D144" s="460"/>
      <c r="E144" s="462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</row>
  </sheetData>
  <mergeCells count="113">
    <mergeCell ref="T5:V5"/>
    <mergeCell ref="W5:Y5"/>
    <mergeCell ref="AB5:AB6"/>
    <mergeCell ref="AC5:AC6"/>
    <mergeCell ref="AD5:AD6"/>
    <mergeCell ref="B7:B12"/>
    <mergeCell ref="B2:AD2"/>
    <mergeCell ref="B3:AD3"/>
    <mergeCell ref="B5:C6"/>
    <mergeCell ref="D5:D6"/>
    <mergeCell ref="E5:E6"/>
    <mergeCell ref="F5:F6"/>
    <mergeCell ref="G5:G6"/>
    <mergeCell ref="H5:H6"/>
    <mergeCell ref="I5:R5"/>
    <mergeCell ref="S5:S6"/>
    <mergeCell ref="B13:E13"/>
    <mergeCell ref="B14:E14"/>
    <mergeCell ref="B19:AD19"/>
    <mergeCell ref="B21:B22"/>
    <mergeCell ref="C21:C22"/>
    <mergeCell ref="D21:D22"/>
    <mergeCell ref="E21:E22"/>
    <mergeCell ref="F21:F22"/>
    <mergeCell ref="G21:G22"/>
    <mergeCell ref="H21:H22"/>
    <mergeCell ref="AB21:AB22"/>
    <mergeCell ref="AC21:AC22"/>
    <mergeCell ref="AD21:AD22"/>
    <mergeCell ref="B23:B28"/>
    <mergeCell ref="B29:E29"/>
    <mergeCell ref="B30:E30"/>
    <mergeCell ref="I21:R21"/>
    <mergeCell ref="S21:S22"/>
    <mergeCell ref="T21:V21"/>
    <mergeCell ref="W21:Y21"/>
    <mergeCell ref="Z21:Z22"/>
    <mergeCell ref="AA21:AA22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AD78:AD79"/>
    <mergeCell ref="B80:B85"/>
    <mergeCell ref="B86:E86"/>
    <mergeCell ref="B87:E87"/>
    <mergeCell ref="E92:E94"/>
    <mergeCell ref="F92:F94"/>
    <mergeCell ref="B76:AD76"/>
    <mergeCell ref="B78:B79"/>
    <mergeCell ref="C78:C79"/>
    <mergeCell ref="D78:D79"/>
    <mergeCell ref="E78:E79"/>
    <mergeCell ref="F78:F79"/>
    <mergeCell ref="T78:V78"/>
    <mergeCell ref="W78:Y78"/>
    <mergeCell ref="AB78:AB79"/>
    <mergeCell ref="AC78:AC79"/>
    <mergeCell ref="E104:E106"/>
    <mergeCell ref="F104:F106"/>
    <mergeCell ref="E107:E109"/>
    <mergeCell ref="F107:F109"/>
    <mergeCell ref="C114:T114"/>
    <mergeCell ref="D117:E117"/>
    <mergeCell ref="E95:E97"/>
    <mergeCell ref="F95:F97"/>
    <mergeCell ref="E98:E100"/>
    <mergeCell ref="F98:F100"/>
    <mergeCell ref="E101:E103"/>
    <mergeCell ref="F101:F103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</mergeCells>
  <phoneticPr fontId="4" type="noConversion"/>
  <dataValidations count="3">
    <dataValidation type="list" allowBlank="1" showInputMessage="1" showErrorMessage="1" sqref="AG23:AG25 AG7 AG10 AG80:AG82">
      <formula1>$AD$6:$AD$8</formula1>
    </dataValidation>
    <dataValidation type="list" allowBlank="1" showInputMessage="1" showErrorMessage="1" sqref="E80:E85 E23:E27 E7:E11">
      <formula1>$AG$7:$AG$12</formula1>
    </dataValidation>
    <dataValidation type="list" allowBlank="1" showInputMessage="1" showErrorMessage="1" sqref="E12 E28">
      <formula1>$AF$6:$AF$11</formula1>
    </dataValidation>
  </dataValidations>
  <pageMargins left="0.62992125984251968" right="0.62992125984251968" top="0.94488188976377963" bottom="0.55118110236220474" header="0.31496062992125984" footer="0.31496062992125984"/>
  <pageSetup paperSize="9" scale="26" orientation="landscape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Y144"/>
  <sheetViews>
    <sheetView showGridLines="0" zoomScale="80" zoomScaleNormal="80" workbookViewId="0">
      <pane xSplit="4" ySplit="6" topLeftCell="E7" activePane="bottomRight" state="frozen"/>
      <selection pane="topRight" activeCell="D1" sqref="D1"/>
      <selection pane="bottomLeft" activeCell="A6" sqref="A6"/>
      <selection pane="bottomRight" activeCell="F12" sqref="F12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19" width="8.625" style="8" customWidth="1"/>
    <col min="20" max="20" width="10.75" style="75" customWidth="1"/>
    <col min="21" max="21" width="10.875" style="10" customWidth="1"/>
    <col min="22" max="22" width="7.375" style="11" customWidth="1"/>
    <col min="23" max="23" width="12.25" customWidth="1"/>
    <col min="24" max="24" width="7.75" style="10" customWidth="1"/>
    <col min="25" max="25" width="10.375" customWidth="1"/>
    <col min="26" max="26" width="9.5" customWidth="1"/>
    <col min="27" max="27" width="10" customWidth="1"/>
    <col min="28" max="28" width="7.125" customWidth="1"/>
    <col min="29" max="29" width="8.375" customWidth="1"/>
    <col min="30" max="30" width="67.5" customWidth="1"/>
    <col min="31" max="32" width="9.125" hidden="1" customWidth="1"/>
    <col min="33" max="33" width="8.75" hidden="1" customWidth="1"/>
    <col min="34" max="34" width="2.75" hidden="1" customWidth="1"/>
    <col min="35" max="35" width="9.125" hidden="1" customWidth="1"/>
    <col min="36" max="36" width="0" hidden="1" customWidth="1"/>
    <col min="37" max="39" width="9.125" style="1" hidden="1" customWidth="1"/>
    <col min="40" max="41" width="0" hidden="1" customWidth="1"/>
    <col min="42" max="42" width="11.75" hidden="1" customWidth="1"/>
    <col min="43" max="43" width="3.25" customWidth="1"/>
  </cols>
  <sheetData>
    <row r="2" spans="2:51" ht="20.25" x14ac:dyDescent="0.3">
      <c r="B2" s="425" t="s">
        <v>116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V2" s="2" t="s">
        <v>0</v>
      </c>
      <c r="AW2" s="189" t="s">
        <v>1</v>
      </c>
      <c r="AX2" s="189" t="s">
        <v>2</v>
      </c>
      <c r="AY2" s="3" t="s">
        <v>3</v>
      </c>
    </row>
    <row r="3" spans="2:51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V3" s="4"/>
      <c r="AW3" s="5"/>
      <c r="AX3" s="5"/>
      <c r="AY3" s="6"/>
    </row>
    <row r="4" spans="2:51" x14ac:dyDescent="0.3">
      <c r="B4" t="s">
        <v>5</v>
      </c>
      <c r="D4" s="7">
        <v>55</v>
      </c>
      <c r="F4" s="8" t="s">
        <v>6</v>
      </c>
      <c r="T4" s="9">
        <v>1.2</v>
      </c>
      <c r="Z4" s="12">
        <v>50</v>
      </c>
      <c r="AA4" s="11">
        <f>50*10.89/10</f>
        <v>54.45</v>
      </c>
      <c r="AB4" s="12"/>
      <c r="AD4" s="8"/>
    </row>
    <row r="5" spans="2:51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8"/>
      <c r="S5" s="439" t="s">
        <v>11</v>
      </c>
      <c r="T5" s="441" t="s">
        <v>12</v>
      </c>
      <c r="U5" s="418"/>
      <c r="V5" s="442"/>
      <c r="W5" s="446" t="s">
        <v>13</v>
      </c>
      <c r="X5" s="418"/>
      <c r="Y5" s="418"/>
      <c r="Z5" s="13"/>
      <c r="AA5" s="14"/>
      <c r="AB5" s="447" t="s">
        <v>14</v>
      </c>
      <c r="AC5" s="449" t="s">
        <v>15</v>
      </c>
      <c r="AD5" s="418" t="s">
        <v>16</v>
      </c>
    </row>
    <row r="6" spans="2:51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187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76</v>
      </c>
      <c r="Q6" s="18" t="s">
        <v>77</v>
      </c>
      <c r="R6" s="127" t="s">
        <v>80</v>
      </c>
      <c r="S6" s="440"/>
      <c r="T6" s="15" t="s">
        <v>12</v>
      </c>
      <c r="U6" s="16" t="s">
        <v>17</v>
      </c>
      <c r="V6" s="17" t="s">
        <v>18</v>
      </c>
      <c r="W6" s="18" t="s">
        <v>13</v>
      </c>
      <c r="X6" s="16" t="s">
        <v>19</v>
      </c>
      <c r="Y6" s="19" t="s">
        <v>18</v>
      </c>
      <c r="Z6" s="187" t="s">
        <v>20</v>
      </c>
      <c r="AA6" s="20" t="s">
        <v>21</v>
      </c>
      <c r="AB6" s="448"/>
      <c r="AC6" s="450"/>
      <c r="AD6" s="419"/>
      <c r="AE6" s="21" t="s">
        <v>22</v>
      </c>
      <c r="AF6" s="21" t="s">
        <v>23</v>
      </c>
      <c r="AI6" s="22" t="s">
        <v>24</v>
      </c>
      <c r="AK6" s="23" t="s">
        <v>25</v>
      </c>
      <c r="AL6" s="23" t="s">
        <v>26</v>
      </c>
      <c r="AM6" s="23" t="s">
        <v>27</v>
      </c>
      <c r="AO6" s="22">
        <f>SUM(AO7:AO12)</f>
        <v>-52</v>
      </c>
    </row>
    <row r="7" spans="2:51" s="193" customFormat="1" ht="99" customHeight="1" thickTop="1" x14ac:dyDescent="0.3">
      <c r="B7" s="420">
        <v>2</v>
      </c>
      <c r="C7" s="24">
        <v>2</v>
      </c>
      <c r="D7" s="25" t="s">
        <v>7</v>
      </c>
      <c r="E7" s="26" t="s">
        <v>29</v>
      </c>
      <c r="F7" s="25">
        <v>8.5</v>
      </c>
      <c r="G7" s="128">
        <v>473</v>
      </c>
      <c r="H7" s="128">
        <f t="shared" ref="H7:H12" si="0">(G7/T7)*100</f>
        <v>100</v>
      </c>
      <c r="I7" s="123" t="s">
        <v>85</v>
      </c>
      <c r="J7" s="123" t="s">
        <v>86</v>
      </c>
      <c r="K7" s="123" t="s">
        <v>73</v>
      </c>
      <c r="L7" s="123" t="s">
        <v>99</v>
      </c>
      <c r="M7" s="123"/>
      <c r="N7" s="129" t="s">
        <v>90</v>
      </c>
      <c r="O7" s="123" t="s">
        <v>74</v>
      </c>
      <c r="P7" s="123" t="s">
        <v>91</v>
      </c>
      <c r="Q7" s="123" t="s">
        <v>89</v>
      </c>
      <c r="R7" s="125">
        <f t="shared" ref="R7:R13" si="1">COUNTA(I7:M7)+COUNTA(N7:Q7)/2</f>
        <v>6</v>
      </c>
      <c r="S7" s="27">
        <f t="shared" ref="S7:S12" si="2">F7*$D$4*$T$4</f>
        <v>561</v>
      </c>
      <c r="T7" s="28">
        <f>+H38</f>
        <v>473</v>
      </c>
      <c r="U7" s="29">
        <f t="shared" ref="U7:U12" si="3">IF(F7=0,"휴무",T7/F7)</f>
        <v>55.647058823529413</v>
      </c>
      <c r="V7" s="30">
        <f t="shared" ref="V7:V13" si="4">IFERROR(T7/S7,0)</f>
        <v>0.84313725490196079</v>
      </c>
      <c r="W7" s="31">
        <f>+K38</f>
        <v>383.04</v>
      </c>
      <c r="X7" s="29">
        <f t="shared" ref="X7:X12" si="5">IF(F7=0,"휴무",W7/F7)</f>
        <v>45.063529411764705</v>
      </c>
      <c r="Y7" s="32">
        <f t="shared" ref="Y7:Y13" si="6">IFERROR(W7/S7,0)</f>
        <v>0.68278074866310168</v>
      </c>
      <c r="Z7" s="33">
        <f t="shared" ref="Z7:Z12" si="7">IF(F7=0,"휴무",T7/S7*$Z$4)</f>
        <v>42.156862745098039</v>
      </c>
      <c r="AA7" s="34">
        <f t="shared" ref="AA7:AA12" si="8">IF(F7=0,"휴무",W7/S7*$AA$4)</f>
        <v>37.177411764705887</v>
      </c>
      <c r="AB7" s="138">
        <f t="shared" ref="AB7:AB13" si="9">IF(F7=0,"휴무",Z7+AA7)</f>
        <v>79.334274509803919</v>
      </c>
      <c r="AC7" s="35" t="str">
        <f t="shared" ref="AC7:AC13" si="10">IF(F7=0,"휴무",IF(AB7&gt;=100,"좋아요",IF(AB7&gt;=90,"90~99",IF(AB7&gt;=80,"80~89"," 사유?→"))))</f>
        <v xml:space="preserve"> 사유?→</v>
      </c>
      <c r="AD7" s="36"/>
      <c r="AE7" s="37">
        <f>AF7-F7</f>
        <v>-8.5</v>
      </c>
      <c r="AF7" s="38">
        <f>AM7</f>
        <v>0</v>
      </c>
      <c r="AG7" s="193" t="s">
        <v>29</v>
      </c>
      <c r="AH7" s="39"/>
      <c r="AI7" s="40">
        <f>IFERROR(Y7/V7*1000,"")</f>
        <v>809.8097251585624</v>
      </c>
      <c r="AJ7" s="39"/>
      <c r="AK7" s="41"/>
      <c r="AL7" s="41"/>
      <c r="AM7" s="41"/>
      <c r="AO7" s="193">
        <f t="shared" ref="AO7:AO12" si="11">AN7-F7</f>
        <v>-8.5</v>
      </c>
      <c r="AP7" s="42"/>
    </row>
    <row r="8" spans="2:51" s="193" customFormat="1" ht="99.75" customHeight="1" x14ac:dyDescent="0.3">
      <c r="B8" s="421"/>
      <c r="C8" s="24">
        <f>+C7+1</f>
        <v>3</v>
      </c>
      <c r="D8" s="43" t="s">
        <v>30</v>
      </c>
      <c r="E8" s="26" t="s">
        <v>28</v>
      </c>
      <c r="F8" s="25">
        <v>10.5</v>
      </c>
      <c r="G8" s="125">
        <v>624</v>
      </c>
      <c r="H8" s="125">
        <f t="shared" si="0"/>
        <v>99.52153110047847</v>
      </c>
      <c r="I8" s="123" t="s">
        <v>85</v>
      </c>
      <c r="J8" s="123" t="s">
        <v>86</v>
      </c>
      <c r="K8" s="123" t="s">
        <v>73</v>
      </c>
      <c r="L8" s="123" t="s">
        <v>87</v>
      </c>
      <c r="M8" s="123"/>
      <c r="N8" s="129" t="s">
        <v>90</v>
      </c>
      <c r="O8" s="123" t="s">
        <v>74</v>
      </c>
      <c r="P8" s="123" t="s">
        <v>91</v>
      </c>
      <c r="Q8" s="123" t="s">
        <v>89</v>
      </c>
      <c r="R8" s="125">
        <f t="shared" si="1"/>
        <v>6</v>
      </c>
      <c r="S8" s="27">
        <f t="shared" si="2"/>
        <v>693</v>
      </c>
      <c r="T8" s="28">
        <f>+H41</f>
        <v>627</v>
      </c>
      <c r="U8" s="44">
        <f t="shared" si="3"/>
        <v>59.714285714285715</v>
      </c>
      <c r="V8" s="45">
        <f t="shared" si="4"/>
        <v>0.90476190476190477</v>
      </c>
      <c r="W8" s="46">
        <f>+K41</f>
        <v>505.31</v>
      </c>
      <c r="X8" s="29">
        <f t="shared" si="5"/>
        <v>48.124761904761904</v>
      </c>
      <c r="Y8" s="47">
        <f t="shared" si="6"/>
        <v>0.72916305916305912</v>
      </c>
      <c r="Z8" s="48">
        <f t="shared" si="7"/>
        <v>45.238095238095241</v>
      </c>
      <c r="AA8" s="49">
        <f t="shared" si="8"/>
        <v>39.702928571428572</v>
      </c>
      <c r="AB8" s="139">
        <f t="shared" si="9"/>
        <v>84.941023809523813</v>
      </c>
      <c r="AC8" s="50" t="str">
        <f t="shared" si="10"/>
        <v>80~89</v>
      </c>
      <c r="AD8" s="36" t="s">
        <v>118</v>
      </c>
      <c r="AE8" s="37">
        <f>AF8-F8</f>
        <v>-10.5</v>
      </c>
      <c r="AF8" s="38">
        <f>AM8</f>
        <v>0</v>
      </c>
      <c r="AG8" s="193" t="s">
        <v>31</v>
      </c>
      <c r="AH8" s="39"/>
      <c r="AI8" s="40">
        <f>IFERROR(Y8/V8*1000,"")</f>
        <v>805.9170653907496</v>
      </c>
      <c r="AJ8" s="39"/>
      <c r="AK8" s="41"/>
      <c r="AL8" s="41"/>
      <c r="AM8" s="41"/>
      <c r="AO8" s="193">
        <f t="shared" si="11"/>
        <v>-10.5</v>
      </c>
      <c r="AP8" s="42"/>
    </row>
    <row r="9" spans="2:51" s="193" customFormat="1" ht="97.5" customHeight="1" x14ac:dyDescent="0.3">
      <c r="B9" s="421"/>
      <c r="C9" s="24">
        <f>+C8+1</f>
        <v>4</v>
      </c>
      <c r="D9" s="43" t="s">
        <v>32</v>
      </c>
      <c r="E9" s="26" t="s">
        <v>29</v>
      </c>
      <c r="F9" s="25">
        <v>8</v>
      </c>
      <c r="G9" s="125">
        <v>460</v>
      </c>
      <c r="H9" s="125">
        <f t="shared" si="0"/>
        <v>99.137931034482762</v>
      </c>
      <c r="I9" s="123" t="s">
        <v>85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91</v>
      </c>
      <c r="Q9" s="123" t="s">
        <v>89</v>
      </c>
      <c r="R9" s="125">
        <f t="shared" si="1"/>
        <v>6</v>
      </c>
      <c r="S9" s="27">
        <f t="shared" si="2"/>
        <v>528</v>
      </c>
      <c r="T9" s="51">
        <f>+H44</f>
        <v>464</v>
      </c>
      <c r="U9" s="44">
        <f t="shared" si="3"/>
        <v>58</v>
      </c>
      <c r="V9" s="45">
        <f t="shared" si="4"/>
        <v>0.87878787878787878</v>
      </c>
      <c r="W9" s="46">
        <f>+K44</f>
        <v>544.28</v>
      </c>
      <c r="X9" s="44">
        <f t="shared" si="5"/>
        <v>68.034999999999997</v>
      </c>
      <c r="Y9" s="47">
        <f t="shared" si="6"/>
        <v>1.0308333333333333</v>
      </c>
      <c r="Z9" s="48">
        <f t="shared" si="7"/>
        <v>43.939393939393938</v>
      </c>
      <c r="AA9" s="49">
        <f t="shared" si="8"/>
        <v>56.128875000000001</v>
      </c>
      <c r="AB9" s="139">
        <f t="shared" si="9"/>
        <v>100.06826893939393</v>
      </c>
      <c r="AC9" s="50" t="str">
        <f t="shared" si="10"/>
        <v>좋아요</v>
      </c>
      <c r="AD9" s="36"/>
      <c r="AE9" s="37">
        <f>AF9-F9</f>
        <v>-8</v>
      </c>
      <c r="AF9" s="38">
        <f>AM9</f>
        <v>0</v>
      </c>
      <c r="AG9" s="193" t="s">
        <v>34</v>
      </c>
      <c r="AH9" s="39"/>
      <c r="AI9" s="40">
        <f>IFERROR(Y9/V9*1000,"")</f>
        <v>1173.0172413793102</v>
      </c>
      <c r="AJ9" s="39"/>
      <c r="AK9" s="41"/>
      <c r="AL9" s="41"/>
      <c r="AM9" s="41"/>
      <c r="AO9" s="193">
        <f t="shared" si="11"/>
        <v>-8</v>
      </c>
      <c r="AP9" s="42"/>
    </row>
    <row r="10" spans="2:51" s="193" customFormat="1" ht="95.25" customHeight="1" x14ac:dyDescent="0.3">
      <c r="B10" s="421"/>
      <c r="C10" s="24">
        <f>+C9+1</f>
        <v>5</v>
      </c>
      <c r="D10" s="43" t="s">
        <v>35</v>
      </c>
      <c r="E10" s="26" t="s">
        <v>29</v>
      </c>
      <c r="F10" s="25">
        <v>8.5</v>
      </c>
      <c r="G10" s="125">
        <v>525</v>
      </c>
      <c r="H10" s="125">
        <f t="shared" si="0"/>
        <v>99.243856332703217</v>
      </c>
      <c r="I10" s="123" t="s">
        <v>85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74</v>
      </c>
      <c r="P10" s="123" t="s">
        <v>91</v>
      </c>
      <c r="Q10" s="123" t="s">
        <v>89</v>
      </c>
      <c r="R10" s="125">
        <f t="shared" si="1"/>
        <v>6</v>
      </c>
      <c r="S10" s="27">
        <f t="shared" si="2"/>
        <v>561</v>
      </c>
      <c r="T10" s="28">
        <f>+H47</f>
        <v>529</v>
      </c>
      <c r="U10" s="44">
        <f t="shared" si="3"/>
        <v>62.235294117647058</v>
      </c>
      <c r="V10" s="45">
        <f t="shared" si="4"/>
        <v>0.94295900178253123</v>
      </c>
      <c r="W10" s="46">
        <f>+K47</f>
        <v>308.8</v>
      </c>
      <c r="X10" s="29">
        <f t="shared" si="5"/>
        <v>36.329411764705881</v>
      </c>
      <c r="Y10" s="47">
        <f t="shared" si="6"/>
        <v>0.55044563279857395</v>
      </c>
      <c r="Z10" s="48">
        <f t="shared" si="7"/>
        <v>47.14795008912656</v>
      </c>
      <c r="AA10" s="49">
        <f t="shared" si="8"/>
        <v>29.971764705882354</v>
      </c>
      <c r="AB10" s="139">
        <f t="shared" si="9"/>
        <v>77.119714795008917</v>
      </c>
      <c r="AC10" s="161" t="str">
        <f t="shared" si="10"/>
        <v xml:space="preserve"> 사유?→</v>
      </c>
      <c r="AD10" s="160" t="s">
        <v>119</v>
      </c>
      <c r="AE10" s="37">
        <f>AF10-F10</f>
        <v>-8.5</v>
      </c>
      <c r="AF10" s="38">
        <f>AM10</f>
        <v>0</v>
      </c>
      <c r="AG10" s="193" t="s">
        <v>36</v>
      </c>
      <c r="AH10" s="39"/>
      <c r="AI10" s="40">
        <f>IFERROR(Y10/V10*1000,"")</f>
        <v>583.74291115311905</v>
      </c>
      <c r="AJ10" s="39"/>
      <c r="AK10" s="41"/>
      <c r="AL10" s="41"/>
      <c r="AM10" s="41"/>
      <c r="AO10" s="193">
        <f t="shared" si="11"/>
        <v>-8.5</v>
      </c>
      <c r="AP10" s="42"/>
    </row>
    <row r="11" spans="2:51" s="193" customFormat="1" ht="102.75" customHeight="1" x14ac:dyDescent="0.3">
      <c r="B11" s="421"/>
      <c r="C11" s="24">
        <f>+C10+1</f>
        <v>6</v>
      </c>
      <c r="D11" s="43" t="s">
        <v>37</v>
      </c>
      <c r="E11" s="26" t="s">
        <v>29</v>
      </c>
      <c r="F11" s="25">
        <v>8.5</v>
      </c>
      <c r="G11" s="125">
        <v>476</v>
      </c>
      <c r="H11" s="125">
        <f t="shared" si="0"/>
        <v>98.755186721991706</v>
      </c>
      <c r="I11" s="123" t="s">
        <v>85</v>
      </c>
      <c r="J11" s="123" t="s">
        <v>86</v>
      </c>
      <c r="K11" s="123" t="s">
        <v>73</v>
      </c>
      <c r="L11" s="123" t="s">
        <v>87</v>
      </c>
      <c r="M11" s="123"/>
      <c r="N11" s="129" t="s">
        <v>90</v>
      </c>
      <c r="O11" s="123" t="s">
        <v>74</v>
      </c>
      <c r="P11" s="123" t="s">
        <v>91</v>
      </c>
      <c r="Q11" s="123" t="s">
        <v>89</v>
      </c>
      <c r="R11" s="125">
        <f t="shared" si="1"/>
        <v>6</v>
      </c>
      <c r="S11" s="27">
        <f t="shared" si="2"/>
        <v>561</v>
      </c>
      <c r="T11" s="28">
        <f>+H50</f>
        <v>482</v>
      </c>
      <c r="U11" s="44">
        <f t="shared" si="3"/>
        <v>56.705882352941174</v>
      </c>
      <c r="V11" s="45">
        <f t="shared" si="4"/>
        <v>0.85918003565062384</v>
      </c>
      <c r="W11" s="46">
        <f>+K50</f>
        <v>435.99999999999994</v>
      </c>
      <c r="X11" s="44">
        <f t="shared" si="5"/>
        <v>51.294117647058819</v>
      </c>
      <c r="Y11" s="47">
        <f t="shared" si="6"/>
        <v>0.7771836007130124</v>
      </c>
      <c r="Z11" s="48">
        <f t="shared" si="7"/>
        <v>42.959001782531189</v>
      </c>
      <c r="AA11" s="49">
        <f t="shared" si="8"/>
        <v>42.317647058823525</v>
      </c>
      <c r="AB11" s="139">
        <f t="shared" si="9"/>
        <v>85.276648841354714</v>
      </c>
      <c r="AC11" s="50" t="str">
        <f t="shared" si="10"/>
        <v>80~89</v>
      </c>
      <c r="AD11" s="36"/>
      <c r="AE11" s="37">
        <f>AF11-F11</f>
        <v>-8.5</v>
      </c>
      <c r="AF11" s="38">
        <f>AM11</f>
        <v>0</v>
      </c>
      <c r="AG11" s="193" t="s">
        <v>33</v>
      </c>
      <c r="AH11" s="39"/>
      <c r="AI11" s="40">
        <f>IFERROR(Y11/V11*1000,"")</f>
        <v>904.56431535269712</v>
      </c>
      <c r="AK11" s="41"/>
      <c r="AL11" s="41"/>
      <c r="AM11" s="41"/>
      <c r="AO11" s="193">
        <f t="shared" si="11"/>
        <v>-8.5</v>
      </c>
      <c r="AP11" s="42"/>
    </row>
    <row r="12" spans="2:51" s="193" customFormat="1" ht="102.75" customHeight="1" x14ac:dyDescent="0.3">
      <c r="B12" s="421"/>
      <c r="C12" s="24">
        <f>+C11+1</f>
        <v>7</v>
      </c>
      <c r="D12" s="43" t="s">
        <v>38</v>
      </c>
      <c r="E12" s="26" t="s">
        <v>36</v>
      </c>
      <c r="F12" s="25">
        <v>8</v>
      </c>
      <c r="G12" s="125">
        <v>413</v>
      </c>
      <c r="H12" s="125">
        <f t="shared" si="0"/>
        <v>99.758454106280197</v>
      </c>
      <c r="I12" s="123" t="s">
        <v>85</v>
      </c>
      <c r="J12" s="123" t="s">
        <v>86</v>
      </c>
      <c r="K12" s="123" t="s">
        <v>73</v>
      </c>
      <c r="L12" s="123" t="s">
        <v>87</v>
      </c>
      <c r="M12" s="123"/>
      <c r="N12" s="129" t="s">
        <v>123</v>
      </c>
      <c r="O12" s="123" t="s">
        <v>124</v>
      </c>
      <c r="P12" s="123" t="s">
        <v>91</v>
      </c>
      <c r="Q12" s="123" t="s">
        <v>89</v>
      </c>
      <c r="R12" s="125">
        <f t="shared" si="1"/>
        <v>6</v>
      </c>
      <c r="S12" s="188">
        <f t="shared" si="2"/>
        <v>528</v>
      </c>
      <c r="T12" s="28">
        <f>+H53</f>
        <v>414</v>
      </c>
      <c r="U12" s="29">
        <f t="shared" si="3"/>
        <v>51.75</v>
      </c>
      <c r="V12" s="30">
        <f t="shared" si="4"/>
        <v>0.78409090909090906</v>
      </c>
      <c r="W12" s="31">
        <f>+K53</f>
        <v>317.42</v>
      </c>
      <c r="X12" s="44">
        <f t="shared" si="5"/>
        <v>39.677500000000002</v>
      </c>
      <c r="Y12" s="47">
        <f t="shared" si="6"/>
        <v>0.60117424242424244</v>
      </c>
      <c r="Z12" s="48">
        <f t="shared" si="7"/>
        <v>39.204545454545453</v>
      </c>
      <c r="AA12" s="49">
        <f t="shared" si="8"/>
        <v>32.733937500000003</v>
      </c>
      <c r="AB12" s="139">
        <f t="shared" si="9"/>
        <v>71.938482954545464</v>
      </c>
      <c r="AC12" s="161" t="str">
        <f t="shared" si="10"/>
        <v xml:space="preserve"> 사유?→</v>
      </c>
      <c r="AD12" s="160" t="s">
        <v>122</v>
      </c>
      <c r="AE12" s="37"/>
      <c r="AF12" s="38"/>
      <c r="AH12" s="39"/>
      <c r="AI12" s="40"/>
      <c r="AK12" s="41"/>
      <c r="AL12" s="41"/>
      <c r="AM12" s="41"/>
      <c r="AO12" s="193">
        <f t="shared" si="11"/>
        <v>-8</v>
      </c>
      <c r="AP12" s="42"/>
    </row>
    <row r="13" spans="2:51" s="193" customFormat="1" ht="36" customHeight="1" x14ac:dyDescent="0.3">
      <c r="B13" s="422" t="s">
        <v>39</v>
      </c>
      <c r="C13" s="423"/>
      <c r="D13" s="423"/>
      <c r="E13" s="424"/>
      <c r="F13" s="43">
        <f>SUM(F7:F12)</f>
        <v>52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5">
        <f t="shared" si="1"/>
        <v>0</v>
      </c>
      <c r="S13" s="52">
        <f>SUM(S7:S12)</f>
        <v>3432</v>
      </c>
      <c r="T13" s="53">
        <f>SUM(T7:T12)</f>
        <v>2989</v>
      </c>
      <c r="U13" s="54">
        <f>T13/F13</f>
        <v>57.480769230769234</v>
      </c>
      <c r="V13" s="45">
        <f t="shared" si="4"/>
        <v>0.87092074592074598</v>
      </c>
      <c r="W13" s="55">
        <f>SUM(W7:W12)</f>
        <v>2494.85</v>
      </c>
      <c r="X13" s="44">
        <f>W13/F13</f>
        <v>47.97788461538461</v>
      </c>
      <c r="Y13" s="47">
        <f t="shared" si="6"/>
        <v>0.72693764568764563</v>
      </c>
      <c r="Z13" s="56">
        <f>T13/S13*Z4</f>
        <v>43.546037296037298</v>
      </c>
      <c r="AA13" s="57">
        <f>W13/S13*AA4</f>
        <v>39.581754807692306</v>
      </c>
      <c r="AB13" s="140">
        <f t="shared" si="9"/>
        <v>83.127792103729604</v>
      </c>
      <c r="AC13" s="58" t="str">
        <f t="shared" si="10"/>
        <v>80~89</v>
      </c>
      <c r="AD13" s="43"/>
      <c r="AE13" s="37">
        <f>AF13-F13</f>
        <v>-52</v>
      </c>
      <c r="AF13" s="38">
        <f>SUM(AF7:AF12)</f>
        <v>0</v>
      </c>
      <c r="AI13" s="40"/>
      <c r="AK13" s="59"/>
      <c r="AL13" s="59"/>
      <c r="AM13" s="59"/>
    </row>
    <row r="14" spans="2:51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8.6666666666666661</v>
      </c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61">
        <f>U14*F14</f>
        <v>498.16666666666663</v>
      </c>
      <c r="U14" s="62">
        <f>T13/F13</f>
        <v>57.480769230769234</v>
      </c>
      <c r="V14" s="63">
        <f>IFERROR(T14/#REF!,0)</f>
        <v>0</v>
      </c>
      <c r="W14" s="64">
        <f>W13/F13*F14</f>
        <v>415.80833333333328</v>
      </c>
      <c r="X14" s="62">
        <f>IF(F14=0,"휴무",W14/F14)</f>
        <v>47.97788461538461</v>
      </c>
      <c r="Y14" s="65">
        <f>IFERROR(W14/#REF!,0)</f>
        <v>0</v>
      </c>
      <c r="Z14" s="60">
        <f>AVERAGE(Z7:Z12)</f>
        <v>43.4409748747984</v>
      </c>
      <c r="AA14" s="60">
        <f>AVERAGE(AA7:AA12)</f>
        <v>39.67209410014005</v>
      </c>
      <c r="AB14" s="141">
        <f>Z14+AA14</f>
        <v>83.113068974938443</v>
      </c>
      <c r="AC14" s="67"/>
      <c r="AD14" s="68"/>
      <c r="AI14" s="40" t="str">
        <f>IFERROR(Y14/V14*1000,"")</f>
        <v/>
      </c>
      <c r="AK14" s="10"/>
      <c r="AL14" s="10"/>
      <c r="AM14" s="10"/>
    </row>
    <row r="15" spans="2:51" s="193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22"/>
      <c r="U15" s="10"/>
      <c r="V15" s="73">
        <f>V14*60</f>
        <v>0</v>
      </c>
      <c r="W15" s="74"/>
      <c r="X15" s="73"/>
      <c r="Y15" s="74">
        <f>Y14*40</f>
        <v>0</v>
      </c>
      <c r="AB15" s="142">
        <f>V15+Y15</f>
        <v>0</v>
      </c>
      <c r="AK15" s="59"/>
      <c r="AL15" s="59"/>
      <c r="AM15" s="59"/>
    </row>
    <row r="16" spans="2:51" ht="17.25" thickBot="1" x14ac:dyDescent="0.35">
      <c r="B16" s="70"/>
    </row>
    <row r="17" spans="2:42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2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</row>
    <row r="20" spans="2:42" x14ac:dyDescent="0.3">
      <c r="B20" t="s">
        <v>5</v>
      </c>
      <c r="D20" s="7">
        <v>55</v>
      </c>
      <c r="F20" s="8" t="s">
        <v>6</v>
      </c>
      <c r="T20" s="9">
        <v>1.2</v>
      </c>
      <c r="Z20" s="12">
        <f>Z4</f>
        <v>50</v>
      </c>
      <c r="AA20" s="11">
        <f>AA4</f>
        <v>54.45</v>
      </c>
      <c r="AB20" s="12"/>
      <c r="AD20" s="8"/>
    </row>
    <row r="21" spans="2:42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8"/>
      <c r="S21" s="439" t="s">
        <v>11</v>
      </c>
      <c r="T21" s="441" t="s">
        <v>12</v>
      </c>
      <c r="U21" s="418"/>
      <c r="V21" s="442"/>
      <c r="W21" s="446" t="s">
        <v>13</v>
      </c>
      <c r="X21" s="418"/>
      <c r="Y21" s="418"/>
      <c r="Z21" s="451" t="s">
        <v>20</v>
      </c>
      <c r="AA21" s="453" t="s">
        <v>21</v>
      </c>
      <c r="AB21" s="447" t="s">
        <v>14</v>
      </c>
      <c r="AC21" s="449" t="s">
        <v>15</v>
      </c>
      <c r="AD21" s="418" t="s">
        <v>16</v>
      </c>
    </row>
    <row r="22" spans="2:42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76</v>
      </c>
      <c r="Q22" s="18" t="s">
        <v>77</v>
      </c>
      <c r="R22" s="127" t="s">
        <v>80</v>
      </c>
      <c r="S22" s="440"/>
      <c r="T22" s="15" t="s">
        <v>12</v>
      </c>
      <c r="U22" s="16" t="s">
        <v>17</v>
      </c>
      <c r="V22" s="17" t="s">
        <v>18</v>
      </c>
      <c r="W22" s="18" t="s">
        <v>13</v>
      </c>
      <c r="X22" s="16" t="s">
        <v>19</v>
      </c>
      <c r="Y22" s="19" t="s">
        <v>18</v>
      </c>
      <c r="Z22" s="452"/>
      <c r="AA22" s="454"/>
      <c r="AB22" s="448"/>
      <c r="AC22" s="450"/>
      <c r="AD22" s="419"/>
      <c r="AE22" s="21" t="s">
        <v>22</v>
      </c>
      <c r="AF22" s="21" t="s">
        <v>23</v>
      </c>
      <c r="AI22" s="22" t="s">
        <v>24</v>
      </c>
      <c r="AK22" s="23" t="s">
        <v>25</v>
      </c>
      <c r="AL22" s="23" t="s">
        <v>26</v>
      </c>
      <c r="AM22" s="23" t="s">
        <v>27</v>
      </c>
      <c r="AO22" s="22">
        <f>SUM(AO23:AO28)</f>
        <v>-51.5</v>
      </c>
    </row>
    <row r="23" spans="2:42" s="193" customFormat="1" ht="99" customHeight="1" thickTop="1" x14ac:dyDescent="0.3">
      <c r="B23" s="420">
        <f>+B7</f>
        <v>2</v>
      </c>
      <c r="C23" s="24">
        <f t="shared" ref="C23:C28" si="12">+C7</f>
        <v>2</v>
      </c>
      <c r="D23" s="25" t="s">
        <v>7</v>
      </c>
      <c r="E23" s="26" t="s">
        <v>29</v>
      </c>
      <c r="F23" s="25">
        <v>7.5</v>
      </c>
      <c r="G23" s="128">
        <v>400</v>
      </c>
      <c r="H23" s="128">
        <f t="shared" ref="H23:H28" si="13">(G23/T23)*100</f>
        <v>90.293453724604973</v>
      </c>
      <c r="I23" s="123" t="s">
        <v>78</v>
      </c>
      <c r="J23" s="123" t="s">
        <v>88</v>
      </c>
      <c r="K23" s="123" t="s">
        <v>92</v>
      </c>
      <c r="L23" s="123" t="s">
        <v>84</v>
      </c>
      <c r="M23" s="123"/>
      <c r="N23" s="129" t="s">
        <v>90</v>
      </c>
      <c r="O23" s="123" t="s">
        <v>74</v>
      </c>
      <c r="P23" s="123" t="s">
        <v>91</v>
      </c>
      <c r="Q23" s="123" t="s">
        <v>89</v>
      </c>
      <c r="R23" s="124">
        <f t="shared" ref="R23:R28" si="14">COUNTA(I23:M23)+COUNTA(N23:Q23)/2</f>
        <v>6</v>
      </c>
      <c r="S23" s="27">
        <f t="shared" ref="S23:S28" si="15">F23*$D$4*$T$4</f>
        <v>495</v>
      </c>
      <c r="T23" s="28">
        <f>+H58</f>
        <v>443</v>
      </c>
      <c r="U23" s="29">
        <f t="shared" ref="U23:U28" si="16">IF(F23=0,"휴무",T23/F23)</f>
        <v>59.06666666666667</v>
      </c>
      <c r="V23" s="30">
        <f t="shared" ref="V23:V29" si="17">IFERROR(T23/S23,0)</f>
        <v>0.89494949494949494</v>
      </c>
      <c r="W23" s="31">
        <f>+K58</f>
        <v>380.8</v>
      </c>
      <c r="X23" s="29">
        <f t="shared" ref="X23:X28" si="18">IF(F23=0,"휴무",W23/F23)</f>
        <v>50.773333333333333</v>
      </c>
      <c r="Y23" s="32">
        <f t="shared" ref="Y23:Y29" si="19">IFERROR(W23/S23,0)</f>
        <v>0.76929292929292936</v>
      </c>
      <c r="Z23" s="33">
        <f t="shared" ref="Z23:Z28" si="20">IF(F23=0,"휴무",T23/S23*$Z$4)</f>
        <v>44.747474747474747</v>
      </c>
      <c r="AA23" s="34">
        <f t="shared" ref="AA23:AA28" si="21">IF(F23=0,"휴무",W23/S23*$AA$4)</f>
        <v>41.888000000000005</v>
      </c>
      <c r="AB23" s="138">
        <f t="shared" ref="AB23:AB29" si="22">IF(F23=0,"휴무",Z23+AA23)</f>
        <v>86.635474747474746</v>
      </c>
      <c r="AC23" s="35" t="str">
        <f t="shared" ref="AC23:AC29" si="23">IF(F23=0,"휴무",IF(AB23&gt;=100,"좋아요",IF(AB23&gt;=90,"90~99",IF(AB23&gt;=80,"80~89"," 사유?→"))))</f>
        <v>80~89</v>
      </c>
      <c r="AD23" s="36" t="s">
        <v>117</v>
      </c>
      <c r="AE23" s="37">
        <f>AF23-F23</f>
        <v>-7.5</v>
      </c>
      <c r="AF23" s="38">
        <f>AM23</f>
        <v>0</v>
      </c>
      <c r="AG23" s="193" t="s">
        <v>29</v>
      </c>
      <c r="AH23" s="39"/>
      <c r="AI23" s="40">
        <f>IFERROR(Y23/V23*1000,"")</f>
        <v>859.59367945823942</v>
      </c>
      <c r="AJ23" s="39"/>
      <c r="AK23" s="41"/>
      <c r="AL23" s="41"/>
      <c r="AM23" s="41"/>
      <c r="AO23" s="193">
        <f t="shared" ref="AO23:AO28" si="24">AN23-F23</f>
        <v>-7.5</v>
      </c>
      <c r="AP23" s="42"/>
    </row>
    <row r="24" spans="2:42" s="193" customFormat="1" ht="99.75" customHeight="1" x14ac:dyDescent="0.3">
      <c r="B24" s="421"/>
      <c r="C24" s="24">
        <f t="shared" si="12"/>
        <v>3</v>
      </c>
      <c r="D24" s="43" t="s">
        <v>30</v>
      </c>
      <c r="E24" s="26" t="s">
        <v>28</v>
      </c>
      <c r="F24" s="25">
        <v>11</v>
      </c>
      <c r="G24" s="125">
        <v>669</v>
      </c>
      <c r="H24" s="125">
        <f t="shared" si="13"/>
        <v>99.553571428571431</v>
      </c>
      <c r="I24" s="123" t="s">
        <v>78</v>
      </c>
      <c r="J24" s="123" t="s">
        <v>88</v>
      </c>
      <c r="K24" s="123" t="s">
        <v>92</v>
      </c>
      <c r="L24" s="123" t="s">
        <v>84</v>
      </c>
      <c r="M24" s="123"/>
      <c r="N24" s="129" t="s">
        <v>90</v>
      </c>
      <c r="O24" s="123" t="s">
        <v>74</v>
      </c>
      <c r="P24" s="123" t="s">
        <v>91</v>
      </c>
      <c r="Q24" s="123" t="s">
        <v>89</v>
      </c>
      <c r="R24" s="124">
        <f t="shared" si="14"/>
        <v>6</v>
      </c>
      <c r="S24" s="27">
        <f t="shared" si="15"/>
        <v>726</v>
      </c>
      <c r="T24" s="28">
        <f>+H61</f>
        <v>672</v>
      </c>
      <c r="U24" s="44">
        <f t="shared" si="16"/>
        <v>61.090909090909093</v>
      </c>
      <c r="V24" s="45">
        <f t="shared" si="17"/>
        <v>0.92561983471074383</v>
      </c>
      <c r="W24" s="46">
        <f>+K61</f>
        <v>540.11</v>
      </c>
      <c r="X24" s="29">
        <f t="shared" si="18"/>
        <v>49.100909090909092</v>
      </c>
      <c r="Y24" s="47">
        <f t="shared" si="19"/>
        <v>0.74395316804407718</v>
      </c>
      <c r="Z24" s="48">
        <f t="shared" si="20"/>
        <v>46.280991735537192</v>
      </c>
      <c r="AA24" s="49">
        <f t="shared" si="21"/>
        <v>40.508250000000004</v>
      </c>
      <c r="AB24" s="139">
        <f t="shared" si="22"/>
        <v>86.789241735537189</v>
      </c>
      <c r="AC24" s="80" t="str">
        <f t="shared" si="23"/>
        <v>80~89</v>
      </c>
      <c r="AD24" s="36"/>
      <c r="AE24" s="37">
        <f>AF24-F24</f>
        <v>-11</v>
      </c>
      <c r="AF24" s="38">
        <f>AM24</f>
        <v>0</v>
      </c>
      <c r="AG24" s="193" t="s">
        <v>34</v>
      </c>
      <c r="AH24" s="39"/>
      <c r="AI24" s="40">
        <f>IFERROR(Y24/V24*1000,"")</f>
        <v>803.73511904761904</v>
      </c>
      <c r="AJ24" s="39"/>
      <c r="AK24" s="41"/>
      <c r="AL24" s="41"/>
      <c r="AM24" s="41"/>
      <c r="AO24" s="193">
        <f t="shared" si="24"/>
        <v>-11</v>
      </c>
      <c r="AP24" s="42"/>
    </row>
    <row r="25" spans="2:42" s="193" customFormat="1" ht="97.5" customHeight="1" x14ac:dyDescent="0.3">
      <c r="B25" s="421"/>
      <c r="C25" s="24">
        <f t="shared" si="12"/>
        <v>4</v>
      </c>
      <c r="D25" s="43" t="s">
        <v>32</v>
      </c>
      <c r="E25" s="26" t="s">
        <v>29</v>
      </c>
      <c r="F25" s="25">
        <v>8</v>
      </c>
      <c r="G25" s="124">
        <v>492</v>
      </c>
      <c r="H25" s="124">
        <f t="shared" si="13"/>
        <v>99.193548387096769</v>
      </c>
      <c r="I25" s="123" t="s">
        <v>78</v>
      </c>
      <c r="J25" s="123" t="s">
        <v>88</v>
      </c>
      <c r="K25" s="123" t="s">
        <v>92</v>
      </c>
      <c r="L25" s="123" t="s">
        <v>84</v>
      </c>
      <c r="M25" s="123"/>
      <c r="N25" s="129" t="s">
        <v>90</v>
      </c>
      <c r="O25" s="123" t="s">
        <v>74</v>
      </c>
      <c r="P25" s="123" t="s">
        <v>91</v>
      </c>
      <c r="Q25" s="123" t="s">
        <v>89</v>
      </c>
      <c r="R25" s="124">
        <f t="shared" si="14"/>
        <v>6</v>
      </c>
      <c r="S25" s="27">
        <f t="shared" si="15"/>
        <v>528</v>
      </c>
      <c r="T25" s="28">
        <f>+H64</f>
        <v>496</v>
      </c>
      <c r="U25" s="44">
        <f t="shared" si="16"/>
        <v>62</v>
      </c>
      <c r="V25" s="45">
        <f t="shared" si="17"/>
        <v>0.93939393939393945</v>
      </c>
      <c r="W25" s="46">
        <f>+K64</f>
        <v>386.24</v>
      </c>
      <c r="X25" s="29">
        <f t="shared" si="18"/>
        <v>48.28</v>
      </c>
      <c r="Y25" s="47">
        <f t="shared" si="19"/>
        <v>0.73151515151515156</v>
      </c>
      <c r="Z25" s="48">
        <f t="shared" si="20"/>
        <v>46.969696969696969</v>
      </c>
      <c r="AA25" s="49">
        <f t="shared" si="21"/>
        <v>39.831000000000003</v>
      </c>
      <c r="AB25" s="139">
        <f t="shared" si="22"/>
        <v>86.800696969696972</v>
      </c>
      <c r="AC25" s="50" t="str">
        <f t="shared" si="23"/>
        <v>80~89</v>
      </c>
      <c r="AD25" s="36"/>
      <c r="AE25" s="37">
        <f>AF25-F25</f>
        <v>-8</v>
      </c>
      <c r="AF25" s="38">
        <f>AM25</f>
        <v>0</v>
      </c>
      <c r="AG25" s="193" t="s">
        <v>36</v>
      </c>
      <c r="AH25" s="39"/>
      <c r="AI25" s="40">
        <f>IFERROR(Y25/V25*1000,"")</f>
        <v>778.70967741935476</v>
      </c>
      <c r="AJ25" s="39"/>
      <c r="AK25" s="41"/>
      <c r="AL25" s="41"/>
      <c r="AM25" s="41"/>
      <c r="AO25" s="193">
        <f t="shared" si="24"/>
        <v>-8</v>
      </c>
      <c r="AP25" s="42"/>
    </row>
    <row r="26" spans="2:42" s="193" customFormat="1" ht="115.5" customHeight="1" x14ac:dyDescent="0.3">
      <c r="B26" s="421"/>
      <c r="C26" s="24">
        <f t="shared" si="12"/>
        <v>5</v>
      </c>
      <c r="D26" s="43" t="s">
        <v>35</v>
      </c>
      <c r="E26" s="26" t="s">
        <v>29</v>
      </c>
      <c r="F26" s="25">
        <v>8.5</v>
      </c>
      <c r="G26" s="124">
        <v>304</v>
      </c>
      <c r="H26" s="124">
        <f t="shared" si="13"/>
        <v>95.899053627760253</v>
      </c>
      <c r="I26" s="123" t="s">
        <v>78</v>
      </c>
      <c r="J26" s="123" t="s">
        <v>88</v>
      </c>
      <c r="K26" s="123" t="s">
        <v>92</v>
      </c>
      <c r="L26" s="123" t="s">
        <v>84</v>
      </c>
      <c r="M26" s="123"/>
      <c r="N26" s="129" t="s">
        <v>90</v>
      </c>
      <c r="O26" s="123" t="s">
        <v>74</v>
      </c>
      <c r="P26" s="123" t="s">
        <v>91</v>
      </c>
      <c r="Q26" s="123" t="s">
        <v>89</v>
      </c>
      <c r="R26" s="124">
        <f t="shared" si="14"/>
        <v>6</v>
      </c>
      <c r="S26" s="27">
        <f t="shared" si="15"/>
        <v>561</v>
      </c>
      <c r="T26" s="28">
        <f>+H67</f>
        <v>317</v>
      </c>
      <c r="U26" s="44">
        <f t="shared" si="16"/>
        <v>37.294117647058826</v>
      </c>
      <c r="V26" s="45">
        <f t="shared" si="17"/>
        <v>0.56506238859180036</v>
      </c>
      <c r="W26" s="46">
        <f>+K67</f>
        <v>368.14</v>
      </c>
      <c r="X26" s="44">
        <f t="shared" si="18"/>
        <v>43.310588235294119</v>
      </c>
      <c r="Y26" s="47">
        <f t="shared" si="19"/>
        <v>0.65622103386809272</v>
      </c>
      <c r="Z26" s="48">
        <f t="shared" si="20"/>
        <v>28.253119429590019</v>
      </c>
      <c r="AA26" s="49">
        <f t="shared" si="21"/>
        <v>35.731235294117653</v>
      </c>
      <c r="AB26" s="139">
        <f t="shared" si="22"/>
        <v>63.984354723707668</v>
      </c>
      <c r="AC26" s="161" t="str">
        <f t="shared" si="23"/>
        <v xml:space="preserve"> 사유?→</v>
      </c>
      <c r="AD26" s="160" t="s">
        <v>120</v>
      </c>
      <c r="AE26" s="37">
        <f>AF26-F26</f>
        <v>-8.5</v>
      </c>
      <c r="AF26" s="38">
        <f>AM26</f>
        <v>0</v>
      </c>
      <c r="AG26" s="193" t="s">
        <v>33</v>
      </c>
      <c r="AH26" s="39"/>
      <c r="AI26" s="40">
        <f>IFERROR(Y26/V26*1000,"")</f>
        <v>1161.3249211356467</v>
      </c>
      <c r="AJ26" s="39"/>
      <c r="AK26" s="41"/>
      <c r="AL26" s="41"/>
      <c r="AM26" s="41"/>
      <c r="AO26" s="193">
        <f t="shared" si="24"/>
        <v>-8.5</v>
      </c>
      <c r="AP26" s="42"/>
    </row>
    <row r="27" spans="2:42" s="193" customFormat="1" ht="104.25" customHeight="1" x14ac:dyDescent="0.3">
      <c r="B27" s="421"/>
      <c r="C27" s="24">
        <f t="shared" si="12"/>
        <v>6</v>
      </c>
      <c r="D27" s="43" t="s">
        <v>37</v>
      </c>
      <c r="E27" s="26" t="s">
        <v>29</v>
      </c>
      <c r="F27" s="25">
        <v>8.5</v>
      </c>
      <c r="G27" s="125">
        <v>415</v>
      </c>
      <c r="H27" s="130">
        <f t="shared" si="13"/>
        <v>95.183486238532112</v>
      </c>
      <c r="I27" s="123" t="s">
        <v>78</v>
      </c>
      <c r="J27" s="123" t="s">
        <v>88</v>
      </c>
      <c r="K27" s="123" t="s">
        <v>92</v>
      </c>
      <c r="L27" s="123" t="s">
        <v>84</v>
      </c>
      <c r="M27" s="123"/>
      <c r="N27" s="129" t="s">
        <v>90</v>
      </c>
      <c r="O27" s="123" t="s">
        <v>74</v>
      </c>
      <c r="P27" s="123" t="s">
        <v>91</v>
      </c>
      <c r="Q27" s="123" t="s">
        <v>89</v>
      </c>
      <c r="R27" s="125">
        <f t="shared" si="14"/>
        <v>6</v>
      </c>
      <c r="S27" s="27">
        <f t="shared" si="15"/>
        <v>561</v>
      </c>
      <c r="T27" s="28">
        <f>+H70</f>
        <v>436</v>
      </c>
      <c r="U27" s="44">
        <f t="shared" si="16"/>
        <v>51.294117647058826</v>
      </c>
      <c r="V27" s="45">
        <f t="shared" si="17"/>
        <v>0.77718360071301251</v>
      </c>
      <c r="W27" s="46">
        <f>+K70</f>
        <v>386.95</v>
      </c>
      <c r="X27" s="44">
        <f t="shared" si="18"/>
        <v>45.523529411764706</v>
      </c>
      <c r="Y27" s="47">
        <f t="shared" si="19"/>
        <v>0.68975044563279853</v>
      </c>
      <c r="Z27" s="48">
        <f t="shared" si="20"/>
        <v>38.859180035650624</v>
      </c>
      <c r="AA27" s="49">
        <f t="shared" si="21"/>
        <v>37.55691176470588</v>
      </c>
      <c r="AB27" s="139">
        <f t="shared" si="22"/>
        <v>76.416091800356497</v>
      </c>
      <c r="AC27" s="161" t="str">
        <f t="shared" si="23"/>
        <v xml:space="preserve"> 사유?→</v>
      </c>
      <c r="AD27" s="160" t="s">
        <v>121</v>
      </c>
      <c r="AE27" s="37">
        <f>AF27-F27</f>
        <v>-8.5</v>
      </c>
      <c r="AF27" s="38">
        <f>AM27</f>
        <v>0</v>
      </c>
      <c r="AG27" s="193" t="s">
        <v>46</v>
      </c>
      <c r="AH27" s="39"/>
      <c r="AI27" s="40">
        <f>IFERROR(Y27/V27*1000,"")</f>
        <v>887.49999999999989</v>
      </c>
      <c r="AK27" s="41"/>
      <c r="AL27" s="41"/>
      <c r="AM27" s="41"/>
      <c r="AO27" s="193">
        <f t="shared" si="24"/>
        <v>-8.5</v>
      </c>
      <c r="AP27" s="42"/>
    </row>
    <row r="28" spans="2:42" s="193" customFormat="1" ht="104.25" customHeight="1" x14ac:dyDescent="0.3">
      <c r="B28" s="421"/>
      <c r="C28" s="24">
        <f t="shared" si="12"/>
        <v>7</v>
      </c>
      <c r="D28" s="43" t="s">
        <v>47</v>
      </c>
      <c r="E28" s="26" t="s">
        <v>36</v>
      </c>
      <c r="F28" s="25">
        <v>8</v>
      </c>
      <c r="G28" s="124">
        <v>411</v>
      </c>
      <c r="H28" s="124">
        <f t="shared" si="13"/>
        <v>96.705882352941174</v>
      </c>
      <c r="I28" s="123" t="s">
        <v>78</v>
      </c>
      <c r="J28" s="123" t="s">
        <v>88</v>
      </c>
      <c r="K28" s="123" t="s">
        <v>92</v>
      </c>
      <c r="L28" s="123" t="s">
        <v>84</v>
      </c>
      <c r="M28" s="123"/>
      <c r="N28" s="129" t="s">
        <v>123</v>
      </c>
      <c r="O28" s="123" t="s">
        <v>124</v>
      </c>
      <c r="P28" s="123" t="s">
        <v>91</v>
      </c>
      <c r="Q28" s="123" t="s">
        <v>89</v>
      </c>
      <c r="R28" s="124">
        <f t="shared" si="14"/>
        <v>6</v>
      </c>
      <c r="S28" s="188">
        <f t="shared" si="15"/>
        <v>528</v>
      </c>
      <c r="T28" s="28">
        <f>+H73</f>
        <v>425</v>
      </c>
      <c r="U28" s="29">
        <f t="shared" si="16"/>
        <v>53.125</v>
      </c>
      <c r="V28" s="30">
        <f t="shared" si="17"/>
        <v>0.80492424242424243</v>
      </c>
      <c r="W28" s="31">
        <f>+K73</f>
        <v>424.96</v>
      </c>
      <c r="X28" s="44">
        <f t="shared" si="18"/>
        <v>53.12</v>
      </c>
      <c r="Y28" s="47">
        <f t="shared" si="19"/>
        <v>0.80484848484848481</v>
      </c>
      <c r="Z28" s="48">
        <f t="shared" si="20"/>
        <v>40.246212121212125</v>
      </c>
      <c r="AA28" s="49">
        <f t="shared" si="21"/>
        <v>43.823999999999998</v>
      </c>
      <c r="AB28" s="139">
        <f t="shared" si="22"/>
        <v>84.070212121212123</v>
      </c>
      <c r="AC28" s="50" t="str">
        <f t="shared" si="23"/>
        <v>80~89</v>
      </c>
      <c r="AD28" s="36"/>
      <c r="AE28" s="37"/>
      <c r="AF28" s="38"/>
      <c r="AH28" s="39"/>
      <c r="AI28" s="40"/>
      <c r="AK28" s="41"/>
      <c r="AL28" s="41"/>
      <c r="AM28" s="41"/>
      <c r="AO28" s="193">
        <f t="shared" si="24"/>
        <v>-8</v>
      </c>
      <c r="AP28" s="42"/>
    </row>
    <row r="29" spans="2:42" s="193" customFormat="1" ht="36" customHeight="1" x14ac:dyDescent="0.3">
      <c r="B29" s="422" t="s">
        <v>39</v>
      </c>
      <c r="C29" s="423"/>
      <c r="D29" s="423"/>
      <c r="E29" s="424"/>
      <c r="F29" s="43">
        <f>SUM(F23:F28)</f>
        <v>51.5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6"/>
      <c r="S29" s="52">
        <f>SUM(S23:S28)</f>
        <v>3399</v>
      </c>
      <c r="T29" s="53">
        <f>SUM(T23:T28)</f>
        <v>2789</v>
      </c>
      <c r="U29" s="54">
        <f>T29/F29</f>
        <v>54.155339805825243</v>
      </c>
      <c r="V29" s="45">
        <f t="shared" si="17"/>
        <v>0.82053545160341279</v>
      </c>
      <c r="W29" s="55">
        <f>SUM(W23:W28)</f>
        <v>2487.1999999999998</v>
      </c>
      <c r="X29" s="44">
        <f>W29/F29</f>
        <v>48.29514563106796</v>
      </c>
      <c r="Y29" s="47">
        <f t="shared" si="19"/>
        <v>0.73174463077375695</v>
      </c>
      <c r="Z29" s="56">
        <f>T29/S29*Z20</f>
        <v>41.026772580170636</v>
      </c>
      <c r="AA29" s="57">
        <f>W29/S29*AA20</f>
        <v>39.843495145631067</v>
      </c>
      <c r="AB29" s="140">
        <f t="shared" si="22"/>
        <v>80.87026772580171</v>
      </c>
      <c r="AC29" s="58" t="str">
        <f t="shared" si="23"/>
        <v>80~89</v>
      </c>
      <c r="AD29" s="43"/>
      <c r="AE29" s="37">
        <f>AF29-F29</f>
        <v>-51.5</v>
      </c>
      <c r="AF29" s="38">
        <f>SUM(AF23:AF28)</f>
        <v>0</v>
      </c>
      <c r="AI29" s="40"/>
      <c r="AK29" s="59"/>
      <c r="AL29" s="59"/>
      <c r="AM29" s="59"/>
    </row>
    <row r="30" spans="2:42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8.5833333333333339</v>
      </c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61">
        <f>U30*F30</f>
        <v>464.83333333333337</v>
      </c>
      <c r="U30" s="62">
        <f>T29/F29</f>
        <v>54.155339805825243</v>
      </c>
      <c r="V30" s="63">
        <f>IFERROR(T30/#REF!,0)</f>
        <v>0</v>
      </c>
      <c r="W30" s="64">
        <f>W29/F29*F30</f>
        <v>414.53333333333336</v>
      </c>
      <c r="X30" s="62">
        <f>IF(F30=0,"휴무",W30/F30)</f>
        <v>48.29514563106796</v>
      </c>
      <c r="Y30" s="65">
        <f>IFERROR(W30/#REF!,0)</f>
        <v>0</v>
      </c>
      <c r="Z30" s="60">
        <f>AVERAGE(Z23:Z28)</f>
        <v>40.892779173193617</v>
      </c>
      <c r="AA30" s="60">
        <f>AVERAGE(AA23:AA28)</f>
        <v>39.889899509803932</v>
      </c>
      <c r="AB30" s="141">
        <f>Z30+AA30</f>
        <v>80.782678682997556</v>
      </c>
      <c r="AC30" s="67"/>
      <c r="AD30" s="68"/>
      <c r="AI30" s="40" t="str">
        <f>IFERROR(Y30/V30*1000,"")</f>
        <v/>
      </c>
      <c r="AK30" s="10"/>
      <c r="AL30" s="10"/>
      <c r="AM30" s="10"/>
    </row>
    <row r="31" spans="2:42" s="193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22"/>
      <c r="U31" s="10"/>
      <c r="V31" s="73">
        <f>V30*60</f>
        <v>0</v>
      </c>
      <c r="W31" s="74"/>
      <c r="X31" s="73"/>
      <c r="Y31" s="74">
        <f>Y30*40</f>
        <v>0</v>
      </c>
      <c r="Z31" s="81"/>
      <c r="AA31" s="81"/>
      <c r="AB31" s="142">
        <f>V31+Y31</f>
        <v>0</v>
      </c>
      <c r="AK31" s="59"/>
      <c r="AL31" s="59"/>
      <c r="AM31" s="59"/>
    </row>
    <row r="32" spans="2:42" x14ac:dyDescent="0.3">
      <c r="B32" s="120" t="s">
        <v>67</v>
      </c>
      <c r="U32" s="10">
        <v>8.8000000000000007</v>
      </c>
    </row>
    <row r="33" spans="2:42" ht="17.25" thickBot="1" x14ac:dyDescent="0.35">
      <c r="B33" s="70"/>
    </row>
    <row r="34" spans="2:42" ht="17.25" thickBot="1" x14ac:dyDescent="0.35">
      <c r="B34" s="76" t="s">
        <v>42</v>
      </c>
      <c r="C34" s="77"/>
      <c r="D34" s="78" t="s">
        <v>43</v>
      </c>
      <c r="E34" s="78"/>
      <c r="F34" s="79"/>
      <c r="X34" s="10">
        <v>50</v>
      </c>
    </row>
    <row r="36" spans="2:42" s="10" customFormat="1" x14ac:dyDescent="0.3">
      <c r="B36"/>
      <c r="C36"/>
      <c r="D36"/>
      <c r="E36" s="455">
        <f>+C7</f>
        <v>2</v>
      </c>
      <c r="F36" s="455" t="s">
        <v>7</v>
      </c>
      <c r="G36" s="82" t="s">
        <v>48</v>
      </c>
      <c r="H36" s="83">
        <v>473</v>
      </c>
      <c r="I36" s="84"/>
      <c r="J36" s="85"/>
      <c r="K36" s="86">
        <v>383.04</v>
      </c>
      <c r="L36" s="135"/>
      <c r="N36" s="136"/>
      <c r="O36" s="136"/>
      <c r="P36" s="136"/>
      <c r="Q36" s="136"/>
      <c r="R36" s="136"/>
      <c r="S36" s="136"/>
      <c r="Y36"/>
      <c r="Z36"/>
      <c r="AA36"/>
      <c r="AB36"/>
      <c r="AC36"/>
      <c r="AD36"/>
      <c r="AE36"/>
      <c r="AF36"/>
      <c r="AG36"/>
      <c r="AH36"/>
      <c r="AI36"/>
      <c r="AJ36"/>
      <c r="AK36" s="1"/>
      <c r="AL36" s="1"/>
      <c r="AM36" s="1"/>
      <c r="AN36"/>
      <c r="AO36"/>
      <c r="AP36"/>
    </row>
    <row r="37" spans="2:42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Y37"/>
      <c r="Z37"/>
      <c r="AA37"/>
      <c r="AB37"/>
      <c r="AC37"/>
      <c r="AD37"/>
      <c r="AE37"/>
      <c r="AF37"/>
      <c r="AG37"/>
      <c r="AH37"/>
      <c r="AI37"/>
      <c r="AJ37"/>
      <c r="AK37" s="1"/>
      <c r="AL37" s="1"/>
      <c r="AM37" s="1"/>
      <c r="AN37"/>
      <c r="AO37"/>
      <c r="AP37"/>
    </row>
    <row r="38" spans="2:42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473</v>
      </c>
      <c r="I38" s="88"/>
      <c r="J38" s="89"/>
      <c r="K38" s="90">
        <f>+K36+K37*2</f>
        <v>383.04</v>
      </c>
      <c r="L38" s="135"/>
      <c r="N38" s="136"/>
      <c r="O38" s="136"/>
      <c r="P38" s="136"/>
      <c r="Q38" s="136"/>
      <c r="R38" s="136"/>
      <c r="S38" s="136"/>
      <c r="Y38"/>
      <c r="Z38"/>
      <c r="AA38"/>
      <c r="AB38"/>
      <c r="AC38"/>
      <c r="AD38"/>
      <c r="AE38"/>
      <c r="AF38"/>
      <c r="AG38"/>
      <c r="AH38"/>
      <c r="AI38"/>
      <c r="AJ38"/>
      <c r="AK38" s="1"/>
      <c r="AL38" s="1"/>
      <c r="AM38" s="1"/>
      <c r="AN38"/>
      <c r="AO38"/>
      <c r="AP38"/>
    </row>
    <row r="39" spans="2:42" s="10" customFormat="1" x14ac:dyDescent="0.3">
      <c r="B39"/>
      <c r="C39"/>
      <c r="D39"/>
      <c r="E39" s="455">
        <f>+C8</f>
        <v>3</v>
      </c>
      <c r="F39" s="455" t="s">
        <v>52</v>
      </c>
      <c r="G39" s="82" t="s">
        <v>48</v>
      </c>
      <c r="H39" s="83">
        <v>627</v>
      </c>
      <c r="I39" s="84"/>
      <c r="J39" s="85"/>
      <c r="K39" s="86">
        <v>505.31</v>
      </c>
      <c r="L39" s="135"/>
      <c r="N39" s="136"/>
      <c r="O39" s="136"/>
      <c r="P39" s="136"/>
      <c r="Q39" s="136"/>
      <c r="R39" s="136"/>
      <c r="S39" s="136"/>
      <c r="Y39"/>
      <c r="Z39"/>
      <c r="AA39"/>
      <c r="AB39"/>
      <c r="AC39"/>
      <c r="AD39"/>
      <c r="AE39"/>
      <c r="AF39"/>
      <c r="AG39"/>
      <c r="AH39"/>
      <c r="AI39"/>
      <c r="AJ39"/>
      <c r="AK39" s="1"/>
      <c r="AL39" s="1"/>
      <c r="AM39" s="1"/>
      <c r="AN39"/>
      <c r="AO39"/>
      <c r="AP39"/>
    </row>
    <row r="40" spans="2:42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Y40"/>
      <c r="Z40"/>
      <c r="AA40"/>
      <c r="AB40"/>
      <c r="AC40"/>
      <c r="AD40"/>
      <c r="AE40"/>
      <c r="AF40"/>
      <c r="AG40"/>
      <c r="AH40"/>
      <c r="AI40"/>
      <c r="AJ40"/>
      <c r="AK40" s="1"/>
      <c r="AL40" s="1"/>
      <c r="AM40" s="1"/>
      <c r="AN40"/>
      <c r="AO40"/>
      <c r="AP40"/>
    </row>
    <row r="41" spans="2:42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627</v>
      </c>
      <c r="I41" s="88"/>
      <c r="J41" s="89"/>
      <c r="K41" s="90">
        <f>+K39+K40*2</f>
        <v>505.31</v>
      </c>
      <c r="L41" s="135"/>
      <c r="N41" s="136"/>
      <c r="O41" s="136"/>
      <c r="P41" s="136"/>
      <c r="Q41" s="136"/>
      <c r="R41" s="136"/>
      <c r="S41" s="136"/>
      <c r="Y41"/>
      <c r="Z41"/>
      <c r="AA41"/>
      <c r="AB41"/>
      <c r="AC41"/>
      <c r="AD41"/>
      <c r="AE41"/>
      <c r="AF41"/>
      <c r="AG41"/>
      <c r="AH41"/>
      <c r="AI41"/>
      <c r="AJ41"/>
      <c r="AK41" s="1"/>
      <c r="AL41" s="1"/>
      <c r="AM41" s="1"/>
      <c r="AN41"/>
      <c r="AO41"/>
      <c r="AP41"/>
    </row>
    <row r="42" spans="2:42" s="10" customFormat="1" x14ac:dyDescent="0.3">
      <c r="B42"/>
      <c r="C42"/>
      <c r="D42"/>
      <c r="E42" s="455">
        <f>+C9</f>
        <v>4</v>
      </c>
      <c r="F42" s="455" t="s">
        <v>53</v>
      </c>
      <c r="G42" s="82" t="s">
        <v>48</v>
      </c>
      <c r="H42" s="83">
        <v>464</v>
      </c>
      <c r="I42" s="84"/>
      <c r="J42" s="85"/>
      <c r="K42" s="86">
        <v>544.28</v>
      </c>
      <c r="L42" s="135"/>
      <c r="N42" s="136"/>
      <c r="O42" s="136"/>
      <c r="P42" s="136"/>
      <c r="Q42" s="136"/>
      <c r="R42" s="136"/>
      <c r="S42" s="136"/>
      <c r="Y42"/>
      <c r="Z42"/>
      <c r="AA42"/>
      <c r="AB42"/>
      <c r="AC42"/>
      <c r="AD42"/>
      <c r="AE42"/>
      <c r="AF42"/>
      <c r="AG42"/>
      <c r="AH42"/>
      <c r="AI42"/>
      <c r="AJ42"/>
      <c r="AK42" s="1"/>
      <c r="AL42" s="1"/>
      <c r="AM42" s="1"/>
      <c r="AN42"/>
      <c r="AO42"/>
      <c r="AP42"/>
    </row>
    <row r="43" spans="2:42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Y43"/>
      <c r="Z43"/>
      <c r="AA43"/>
      <c r="AB43"/>
      <c r="AC43"/>
      <c r="AD43"/>
      <c r="AE43"/>
      <c r="AF43"/>
      <c r="AG43"/>
      <c r="AH43"/>
      <c r="AI43"/>
      <c r="AJ43"/>
      <c r="AK43" s="1"/>
      <c r="AL43" s="1"/>
      <c r="AM43" s="1"/>
      <c r="AN43"/>
      <c r="AO43"/>
      <c r="AP43"/>
    </row>
    <row r="44" spans="2:42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464</v>
      </c>
      <c r="I44" s="88"/>
      <c r="J44" s="89"/>
      <c r="K44" s="90">
        <f>+K42+K43*2</f>
        <v>544.28</v>
      </c>
      <c r="L44" s="137" t="s">
        <v>54</v>
      </c>
      <c r="N44" s="136"/>
      <c r="O44" s="136"/>
      <c r="P44" s="136"/>
      <c r="Q44" s="136"/>
      <c r="R44" s="136"/>
      <c r="S44" s="136"/>
      <c r="Y44"/>
      <c r="Z44"/>
      <c r="AA44"/>
      <c r="AB44"/>
      <c r="AC44"/>
      <c r="AE44"/>
      <c r="AF44"/>
      <c r="AG44"/>
      <c r="AH44"/>
      <c r="AI44"/>
      <c r="AJ44"/>
      <c r="AK44" s="1"/>
      <c r="AL44" s="1"/>
      <c r="AM44" s="1"/>
      <c r="AN44"/>
      <c r="AO44"/>
      <c r="AP44"/>
    </row>
    <row r="45" spans="2:42" s="10" customFormat="1" x14ac:dyDescent="0.3">
      <c r="B45"/>
      <c r="C45"/>
      <c r="D45"/>
      <c r="E45" s="455">
        <f>+C10</f>
        <v>5</v>
      </c>
      <c r="F45" s="455" t="s">
        <v>55</v>
      </c>
      <c r="G45" s="82" t="s">
        <v>48</v>
      </c>
      <c r="H45" s="83">
        <v>529</v>
      </c>
      <c r="I45" s="84"/>
      <c r="J45" s="85"/>
      <c r="K45" s="86">
        <v>308.8</v>
      </c>
      <c r="L45" s="135"/>
      <c r="N45" s="136"/>
      <c r="O45" s="136"/>
      <c r="P45" s="136"/>
      <c r="Q45" s="136"/>
      <c r="R45" s="136"/>
      <c r="S45" s="136"/>
      <c r="Y45"/>
      <c r="Z45"/>
      <c r="AA45"/>
      <c r="AB45"/>
      <c r="AC45"/>
      <c r="AD45"/>
      <c r="AE45"/>
      <c r="AF45"/>
      <c r="AG45"/>
      <c r="AH45"/>
      <c r="AI45"/>
      <c r="AJ45"/>
      <c r="AK45" s="1"/>
      <c r="AL45" s="1"/>
      <c r="AM45" s="1"/>
      <c r="AN45"/>
      <c r="AO45"/>
      <c r="AP45"/>
    </row>
    <row r="46" spans="2:42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Y46"/>
      <c r="Z46"/>
      <c r="AA46"/>
      <c r="AB46"/>
      <c r="AC46"/>
      <c r="AD46"/>
      <c r="AE46"/>
      <c r="AF46"/>
      <c r="AG46"/>
      <c r="AH46"/>
      <c r="AI46"/>
      <c r="AJ46"/>
      <c r="AK46" s="1"/>
      <c r="AL46" s="1"/>
      <c r="AM46" s="1"/>
      <c r="AN46"/>
      <c r="AO46"/>
      <c r="AP46"/>
    </row>
    <row r="47" spans="2:42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529</v>
      </c>
      <c r="I47" s="88"/>
      <c r="J47" s="89"/>
      <c r="K47" s="90">
        <f>+K45+K46*2</f>
        <v>308.8</v>
      </c>
      <c r="L47" s="135"/>
      <c r="N47" s="136"/>
      <c r="O47" s="136"/>
      <c r="P47" s="136"/>
      <c r="Q47" s="136"/>
      <c r="R47" s="136"/>
      <c r="S47" s="136"/>
      <c r="Y47"/>
      <c r="Z47"/>
      <c r="AA47"/>
      <c r="AB47"/>
      <c r="AC47"/>
      <c r="AD47"/>
      <c r="AE47"/>
      <c r="AF47"/>
      <c r="AG47"/>
      <c r="AH47"/>
      <c r="AI47"/>
      <c r="AJ47"/>
      <c r="AK47" s="1"/>
      <c r="AL47" s="1"/>
      <c r="AM47" s="1"/>
      <c r="AN47"/>
      <c r="AO47"/>
      <c r="AP47"/>
    </row>
    <row r="48" spans="2:42" s="10" customFormat="1" x14ac:dyDescent="0.3">
      <c r="B48"/>
      <c r="C48"/>
      <c r="D48"/>
      <c r="E48" s="455">
        <f>+C11</f>
        <v>6</v>
      </c>
      <c r="F48" s="455" t="s">
        <v>56</v>
      </c>
      <c r="G48" s="82" t="s">
        <v>48</v>
      </c>
      <c r="H48" s="83">
        <v>478</v>
      </c>
      <c r="I48" s="84"/>
      <c r="J48" s="85"/>
      <c r="K48" s="86">
        <f>435.34-0.66</f>
        <v>434.67999999999995</v>
      </c>
      <c r="L48" s="135"/>
      <c r="N48" s="136"/>
      <c r="O48" s="136"/>
      <c r="P48" s="136"/>
      <c r="Q48" s="136"/>
      <c r="R48" s="136"/>
      <c r="S48" s="136"/>
      <c r="Y48"/>
      <c r="Z48"/>
      <c r="AA48"/>
      <c r="AB48"/>
      <c r="AC48"/>
      <c r="AD48"/>
      <c r="AE48"/>
      <c r="AF48"/>
      <c r="AG48"/>
      <c r="AH48"/>
      <c r="AI48"/>
      <c r="AJ48"/>
      <c r="AK48" s="1"/>
      <c r="AL48" s="1"/>
      <c r="AM48" s="1"/>
      <c r="AN48"/>
      <c r="AO48"/>
      <c r="AP48"/>
    </row>
    <row r="49" spans="2:42" s="10" customFormat="1" x14ac:dyDescent="0.3">
      <c r="B49"/>
      <c r="C49"/>
      <c r="D49"/>
      <c r="E49" s="456"/>
      <c r="F49" s="456"/>
      <c r="G49" s="82" t="s">
        <v>50</v>
      </c>
      <c r="H49" s="83">
        <v>2</v>
      </c>
      <c r="I49" s="84"/>
      <c r="J49" s="85"/>
      <c r="K49" s="86">
        <v>0.66</v>
      </c>
      <c r="L49" s="135"/>
      <c r="N49" s="136"/>
      <c r="O49" s="136"/>
      <c r="P49" s="136"/>
      <c r="Q49" s="136"/>
      <c r="R49" s="136"/>
      <c r="S49" s="136"/>
      <c r="Y49"/>
      <c r="Z49"/>
      <c r="AA49"/>
      <c r="AB49"/>
      <c r="AC49"/>
      <c r="AD49"/>
      <c r="AE49"/>
      <c r="AF49"/>
      <c r="AG49"/>
      <c r="AH49"/>
      <c r="AI49"/>
      <c r="AJ49"/>
      <c r="AK49" s="1"/>
      <c r="AL49" s="1"/>
      <c r="AM49" s="1"/>
      <c r="AN49"/>
      <c r="AO49"/>
      <c r="AP49"/>
    </row>
    <row r="50" spans="2:42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482</v>
      </c>
      <c r="I50" s="88"/>
      <c r="J50" s="89"/>
      <c r="K50" s="90">
        <f>+K48+K49*2</f>
        <v>435.99999999999994</v>
      </c>
      <c r="L50" s="135"/>
      <c r="N50" s="136"/>
      <c r="O50" s="136"/>
      <c r="P50" s="136"/>
      <c r="Q50" s="136"/>
      <c r="R50" s="136"/>
      <c r="S50" s="136"/>
      <c r="Y50"/>
      <c r="Z50"/>
      <c r="AA50"/>
      <c r="AB50"/>
      <c r="AC50"/>
      <c r="AD50"/>
      <c r="AE50"/>
      <c r="AF50"/>
      <c r="AG50"/>
      <c r="AH50"/>
      <c r="AI50"/>
      <c r="AJ50"/>
      <c r="AK50" s="1"/>
      <c r="AL50" s="1"/>
      <c r="AM50" s="1"/>
      <c r="AN50"/>
      <c r="AO50"/>
      <c r="AP50"/>
    </row>
    <row r="51" spans="2:42" s="10" customFormat="1" x14ac:dyDescent="0.3">
      <c r="B51"/>
      <c r="C51"/>
      <c r="D51"/>
      <c r="E51" s="455">
        <f>+C12</f>
        <v>7</v>
      </c>
      <c r="F51" s="455" t="s">
        <v>38</v>
      </c>
      <c r="G51" s="82" t="s">
        <v>48</v>
      </c>
      <c r="H51" s="83">
        <v>414</v>
      </c>
      <c r="I51" s="84"/>
      <c r="J51" s="85"/>
      <c r="K51" s="86">
        <v>317.42</v>
      </c>
      <c r="L51" s="135"/>
      <c r="N51" s="136"/>
      <c r="O51" s="136"/>
      <c r="P51" s="136"/>
      <c r="Q51" s="136"/>
      <c r="R51" s="136"/>
      <c r="S51" s="136"/>
      <c r="Y51"/>
      <c r="Z51"/>
      <c r="AA51"/>
      <c r="AB51"/>
      <c r="AC51"/>
      <c r="AD51"/>
      <c r="AE51"/>
      <c r="AF51"/>
      <c r="AG51"/>
      <c r="AH51"/>
      <c r="AI51"/>
      <c r="AJ51"/>
      <c r="AK51" s="1"/>
      <c r="AL51" s="1"/>
      <c r="AM51" s="1"/>
      <c r="AN51"/>
      <c r="AO51"/>
      <c r="AP51"/>
    </row>
    <row r="52" spans="2:42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Y52"/>
      <c r="Z52"/>
      <c r="AA52"/>
      <c r="AB52"/>
      <c r="AC52"/>
      <c r="AD52"/>
      <c r="AE52"/>
      <c r="AF52"/>
      <c r="AG52"/>
      <c r="AH52"/>
      <c r="AI52"/>
      <c r="AJ52"/>
      <c r="AK52" s="1"/>
      <c r="AL52" s="1"/>
      <c r="AM52" s="1"/>
      <c r="AN52"/>
      <c r="AO52"/>
      <c r="AP52"/>
    </row>
    <row r="53" spans="2:42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414</v>
      </c>
      <c r="I53" s="88"/>
      <c r="J53" s="89"/>
      <c r="K53" s="90">
        <f>+K51+K52*2</f>
        <v>317.42</v>
      </c>
      <c r="L53" s="135"/>
      <c r="N53" s="136"/>
      <c r="O53" s="136"/>
      <c r="P53" s="136"/>
      <c r="Q53" s="136"/>
      <c r="R53" s="136"/>
      <c r="S53" s="136"/>
      <c r="Y53"/>
      <c r="Z53"/>
      <c r="AA53"/>
      <c r="AB53"/>
      <c r="AC53"/>
      <c r="AD53"/>
      <c r="AE53"/>
      <c r="AF53"/>
      <c r="AG53"/>
      <c r="AH53"/>
      <c r="AI53"/>
      <c r="AJ53"/>
      <c r="AK53" s="1"/>
      <c r="AL53" s="1"/>
      <c r="AM53" s="1"/>
      <c r="AN53"/>
      <c r="AO53"/>
      <c r="AP53"/>
    </row>
    <row r="54" spans="2:42" x14ac:dyDescent="0.3">
      <c r="H54" s="75"/>
      <c r="I54" s="10"/>
      <c r="J54" s="11"/>
      <c r="K54"/>
    </row>
    <row r="55" spans="2:42" x14ac:dyDescent="0.3">
      <c r="H55" s="75"/>
      <c r="I55" s="10"/>
      <c r="J55" s="11"/>
      <c r="K55"/>
    </row>
    <row r="56" spans="2:42" s="10" customFormat="1" x14ac:dyDescent="0.3">
      <c r="B56"/>
      <c r="C56"/>
      <c r="D56"/>
      <c r="E56" s="455">
        <f>+E36</f>
        <v>2</v>
      </c>
      <c r="F56" s="455" t="s">
        <v>7</v>
      </c>
      <c r="G56" s="82" t="s">
        <v>48</v>
      </c>
      <c r="H56" s="83">
        <v>443</v>
      </c>
      <c r="I56" s="84"/>
      <c r="J56" s="85"/>
      <c r="K56" s="86">
        <v>380.8</v>
      </c>
      <c r="L56" s="135"/>
      <c r="N56" s="136"/>
      <c r="O56" s="136"/>
      <c r="P56" s="136"/>
      <c r="Q56" s="136"/>
      <c r="R56" s="136"/>
      <c r="S56" s="136"/>
      <c r="Y56"/>
      <c r="Z56"/>
      <c r="AA56"/>
      <c r="AB56"/>
      <c r="AC56"/>
      <c r="AD56"/>
      <c r="AE56"/>
      <c r="AF56"/>
      <c r="AG56"/>
      <c r="AH56"/>
      <c r="AI56"/>
      <c r="AJ56"/>
      <c r="AK56" s="1"/>
      <c r="AL56" s="1"/>
      <c r="AM56" s="1"/>
      <c r="AN56"/>
      <c r="AO56"/>
      <c r="AP56"/>
    </row>
    <row r="57" spans="2:42" s="10" customFormat="1" x14ac:dyDescent="0.3">
      <c r="B57"/>
      <c r="C57" t="s">
        <v>57</v>
      </c>
      <c r="D57"/>
      <c r="E57" s="456"/>
      <c r="F57" s="456"/>
      <c r="G57" s="82" t="s">
        <v>50</v>
      </c>
      <c r="H57" s="83"/>
      <c r="I57" s="84"/>
      <c r="J57" s="85"/>
      <c r="K57" s="86"/>
      <c r="L57" s="135"/>
      <c r="N57" s="136"/>
      <c r="O57" s="136"/>
      <c r="P57" s="136"/>
      <c r="Q57" s="136"/>
      <c r="R57" s="136"/>
      <c r="S57" s="136"/>
      <c r="Y57"/>
      <c r="Z57"/>
      <c r="AA57"/>
      <c r="AB57"/>
      <c r="AC57"/>
      <c r="AD57"/>
      <c r="AE57"/>
      <c r="AF57"/>
      <c r="AG57"/>
      <c r="AH57"/>
      <c r="AI57"/>
      <c r="AJ57"/>
      <c r="AK57" s="1"/>
      <c r="AL57" s="1"/>
      <c r="AM57" s="1"/>
      <c r="AN57"/>
      <c r="AO57"/>
      <c r="AP57"/>
    </row>
    <row r="58" spans="2:42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443</v>
      </c>
      <c r="I58" s="88"/>
      <c r="J58" s="89"/>
      <c r="K58" s="90">
        <f>+K56+K57*2</f>
        <v>380.8</v>
      </c>
      <c r="L58" s="135"/>
      <c r="N58" s="136"/>
      <c r="O58" s="136"/>
      <c r="P58" s="136"/>
      <c r="Q58" s="136"/>
      <c r="R58" s="136"/>
      <c r="S58" s="136"/>
      <c r="Y58"/>
      <c r="Z58"/>
      <c r="AA58"/>
      <c r="AB58"/>
      <c r="AC58"/>
      <c r="AD58"/>
      <c r="AE58"/>
      <c r="AF58"/>
      <c r="AG58"/>
      <c r="AH58"/>
      <c r="AI58"/>
      <c r="AJ58"/>
      <c r="AK58" s="1"/>
      <c r="AL58" s="1"/>
      <c r="AM58" s="1"/>
      <c r="AN58"/>
      <c r="AO58"/>
      <c r="AP58"/>
    </row>
    <row r="59" spans="2:42" s="10" customFormat="1" x14ac:dyDescent="0.3">
      <c r="B59"/>
      <c r="C59"/>
      <c r="D59"/>
      <c r="E59" s="455">
        <f>+E39</f>
        <v>3</v>
      </c>
      <c r="F59" s="455" t="s">
        <v>52</v>
      </c>
      <c r="G59" s="82" t="s">
        <v>48</v>
      </c>
      <c r="H59" s="83">
        <v>672</v>
      </c>
      <c r="I59" s="84"/>
      <c r="J59" s="85"/>
      <c r="K59" s="86">
        <v>540.11</v>
      </c>
      <c r="L59" s="135"/>
      <c r="N59" s="136"/>
      <c r="O59" s="136"/>
      <c r="P59" s="136"/>
      <c r="Q59" s="136"/>
      <c r="R59" s="136"/>
      <c r="S59" s="136"/>
      <c r="Y59"/>
      <c r="Z59"/>
      <c r="AA59"/>
      <c r="AB59"/>
      <c r="AC59"/>
      <c r="AD59"/>
      <c r="AE59"/>
      <c r="AF59"/>
      <c r="AG59"/>
      <c r="AH59"/>
      <c r="AI59"/>
      <c r="AJ59"/>
      <c r="AK59" s="1"/>
      <c r="AL59" s="1"/>
      <c r="AM59" s="1"/>
      <c r="AN59"/>
      <c r="AO59"/>
      <c r="AP59"/>
    </row>
    <row r="60" spans="2:42" s="10" customFormat="1" x14ac:dyDescent="0.3">
      <c r="B60"/>
      <c r="C60"/>
      <c r="D60"/>
      <c r="E60" s="456"/>
      <c r="F60" s="456"/>
      <c r="G60" s="82" t="s">
        <v>50</v>
      </c>
      <c r="H60" s="83"/>
      <c r="I60" s="84"/>
      <c r="J60" s="85"/>
      <c r="K60" s="86"/>
      <c r="L60" s="135"/>
      <c r="N60" s="136"/>
      <c r="O60" s="136"/>
      <c r="P60" s="136"/>
      <c r="Q60" s="136"/>
      <c r="R60" s="136"/>
      <c r="S60" s="136"/>
      <c r="Y60"/>
      <c r="Z60"/>
      <c r="AA60"/>
      <c r="AB60"/>
      <c r="AC60"/>
      <c r="AD60"/>
      <c r="AE60"/>
      <c r="AF60"/>
      <c r="AG60"/>
      <c r="AH60"/>
      <c r="AI60"/>
      <c r="AJ60"/>
      <c r="AK60" s="1"/>
      <c r="AL60" s="1"/>
      <c r="AM60" s="1"/>
      <c r="AN60"/>
      <c r="AO60"/>
      <c r="AP60"/>
    </row>
    <row r="61" spans="2:42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672</v>
      </c>
      <c r="I61" s="88"/>
      <c r="J61" s="89"/>
      <c r="K61" s="90">
        <f>+K59+K60*2</f>
        <v>540.11</v>
      </c>
      <c r="L61" s="135"/>
      <c r="N61" s="136"/>
      <c r="O61" s="136"/>
      <c r="P61" s="136"/>
      <c r="Q61" s="136"/>
      <c r="R61" s="136"/>
      <c r="S61" s="136"/>
      <c r="Y61"/>
      <c r="Z61"/>
      <c r="AA61"/>
      <c r="AB61"/>
      <c r="AC61"/>
      <c r="AD61"/>
      <c r="AE61"/>
      <c r="AF61"/>
      <c r="AG61"/>
      <c r="AH61"/>
      <c r="AI61"/>
      <c r="AJ61"/>
      <c r="AK61" s="1"/>
      <c r="AL61" s="1"/>
      <c r="AM61" s="1"/>
      <c r="AN61"/>
      <c r="AO61"/>
      <c r="AP61"/>
    </row>
    <row r="62" spans="2:42" s="10" customFormat="1" x14ac:dyDescent="0.3">
      <c r="B62"/>
      <c r="C62"/>
      <c r="D62"/>
      <c r="E62" s="455">
        <f>+E42</f>
        <v>4</v>
      </c>
      <c r="F62" s="455" t="s">
        <v>53</v>
      </c>
      <c r="G62" s="82" t="s">
        <v>48</v>
      </c>
      <c r="H62" s="83">
        <v>496</v>
      </c>
      <c r="I62" s="84"/>
      <c r="J62" s="85"/>
      <c r="K62" s="86">
        <v>386.24</v>
      </c>
      <c r="L62" s="135"/>
      <c r="N62" s="136"/>
      <c r="O62" s="136"/>
      <c r="P62" s="136"/>
      <c r="Q62" s="136"/>
      <c r="R62" s="136"/>
      <c r="S62" s="136"/>
      <c r="Y62"/>
      <c r="Z62"/>
      <c r="AA62"/>
      <c r="AB62"/>
      <c r="AC62"/>
      <c r="AD62"/>
      <c r="AE62"/>
      <c r="AF62"/>
      <c r="AG62"/>
      <c r="AH62"/>
      <c r="AI62"/>
      <c r="AJ62"/>
      <c r="AK62" s="1"/>
      <c r="AL62" s="1"/>
      <c r="AM62" s="1"/>
      <c r="AN62"/>
      <c r="AO62"/>
      <c r="AP62"/>
    </row>
    <row r="63" spans="2:42" s="10" customFormat="1" x14ac:dyDescent="0.3">
      <c r="B63"/>
      <c r="C63"/>
      <c r="D63"/>
      <c r="E63" s="456"/>
      <c r="F63" s="456"/>
      <c r="G63" s="82" t="s">
        <v>50</v>
      </c>
      <c r="H63" s="83"/>
      <c r="I63" s="84"/>
      <c r="J63" s="85"/>
      <c r="K63" s="86"/>
      <c r="L63" s="135"/>
      <c r="N63" s="136"/>
      <c r="O63" s="136"/>
      <c r="P63" s="136"/>
      <c r="Q63" s="136"/>
      <c r="R63" s="136"/>
      <c r="S63" s="136"/>
      <c r="Y63"/>
      <c r="Z63"/>
      <c r="AA63"/>
      <c r="AB63"/>
      <c r="AC63"/>
      <c r="AD63"/>
      <c r="AE63"/>
      <c r="AF63"/>
      <c r="AG63"/>
      <c r="AH63"/>
      <c r="AI63"/>
      <c r="AJ63"/>
      <c r="AK63" s="1"/>
      <c r="AL63" s="1"/>
      <c r="AM63" s="1"/>
      <c r="AN63"/>
      <c r="AO63"/>
      <c r="AP63"/>
    </row>
    <row r="64" spans="2:42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496</v>
      </c>
      <c r="I64" s="88"/>
      <c r="J64" s="89"/>
      <c r="K64" s="90">
        <f>+K62+K63*2</f>
        <v>386.24</v>
      </c>
      <c r="L64" s="137" t="s">
        <v>54</v>
      </c>
      <c r="N64" s="136"/>
      <c r="O64" s="136"/>
      <c r="P64" s="136"/>
      <c r="Q64" s="136"/>
      <c r="R64" s="136"/>
      <c r="S64" s="136"/>
      <c r="Y64"/>
      <c r="Z64"/>
      <c r="AA64"/>
      <c r="AB64"/>
      <c r="AC64"/>
      <c r="AE64"/>
      <c r="AF64"/>
      <c r="AG64"/>
      <c r="AH64"/>
      <c r="AI64"/>
      <c r="AJ64"/>
      <c r="AK64" s="1"/>
      <c r="AL64" s="1"/>
      <c r="AM64" s="1"/>
      <c r="AN64"/>
      <c r="AO64"/>
      <c r="AP64"/>
    </row>
    <row r="65" spans="2:42" s="10" customFormat="1" x14ac:dyDescent="0.3">
      <c r="B65"/>
      <c r="C65"/>
      <c r="D65"/>
      <c r="E65" s="455">
        <f>+E45</f>
        <v>5</v>
      </c>
      <c r="F65" s="455" t="s">
        <v>55</v>
      </c>
      <c r="G65" s="82" t="s">
        <v>48</v>
      </c>
      <c r="H65" s="83">
        <f>313-4</f>
        <v>309</v>
      </c>
      <c r="I65" s="84"/>
      <c r="J65" s="85"/>
      <c r="K65" s="86">
        <f>363.84-4.3</f>
        <v>359.53999999999996</v>
      </c>
      <c r="L65" s="135"/>
      <c r="N65" s="136"/>
      <c r="O65" s="136"/>
      <c r="P65" s="136"/>
      <c r="Q65" s="136"/>
      <c r="R65" s="136"/>
      <c r="S65" s="136"/>
      <c r="Y65"/>
      <c r="Z65"/>
      <c r="AA65"/>
      <c r="AB65"/>
      <c r="AC65"/>
      <c r="AD65"/>
      <c r="AE65"/>
      <c r="AF65"/>
      <c r="AG65"/>
      <c r="AH65"/>
      <c r="AI65"/>
      <c r="AJ65"/>
      <c r="AK65" s="1"/>
      <c r="AL65" s="1"/>
      <c r="AM65" s="1"/>
      <c r="AN65"/>
      <c r="AO65"/>
      <c r="AP65"/>
    </row>
    <row r="66" spans="2:42" s="10" customFormat="1" x14ac:dyDescent="0.3">
      <c r="B66"/>
      <c r="C66"/>
      <c r="D66"/>
      <c r="E66" s="456"/>
      <c r="F66" s="456"/>
      <c r="G66" s="82" t="s">
        <v>50</v>
      </c>
      <c r="H66" s="83">
        <v>4</v>
      </c>
      <c r="I66" s="84"/>
      <c r="J66" s="85"/>
      <c r="K66" s="86">
        <v>4.3</v>
      </c>
      <c r="L66" s="135"/>
      <c r="N66" s="136"/>
      <c r="O66" s="136"/>
      <c r="P66" s="136"/>
      <c r="Q66" s="136"/>
      <c r="R66" s="136"/>
      <c r="S66" s="136"/>
      <c r="Y66"/>
      <c r="Z66"/>
      <c r="AA66"/>
      <c r="AB66"/>
      <c r="AC66"/>
      <c r="AD66"/>
      <c r="AE66"/>
      <c r="AF66"/>
      <c r="AG66"/>
      <c r="AH66"/>
      <c r="AI66"/>
      <c r="AJ66"/>
      <c r="AK66" s="1"/>
      <c r="AL66" s="1"/>
      <c r="AM66" s="1"/>
      <c r="AN66"/>
      <c r="AO66"/>
      <c r="AP66"/>
    </row>
    <row r="67" spans="2:42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317</v>
      </c>
      <c r="I67" s="88"/>
      <c r="J67" s="89"/>
      <c r="K67" s="90">
        <f>+K65+K66*2</f>
        <v>368.14</v>
      </c>
      <c r="L67" s="135"/>
      <c r="N67" s="136"/>
      <c r="O67" s="136"/>
      <c r="P67" s="136"/>
      <c r="Q67" s="136"/>
      <c r="R67" s="136"/>
      <c r="S67" s="136"/>
      <c r="Y67"/>
      <c r="Z67"/>
      <c r="AA67"/>
      <c r="AB67"/>
      <c r="AC67"/>
      <c r="AD67"/>
      <c r="AE67"/>
      <c r="AF67"/>
      <c r="AG67"/>
      <c r="AH67"/>
      <c r="AI67"/>
      <c r="AJ67"/>
      <c r="AK67" s="1"/>
      <c r="AL67" s="1"/>
      <c r="AM67" s="1"/>
      <c r="AN67"/>
      <c r="AO67"/>
      <c r="AP67"/>
    </row>
    <row r="68" spans="2:42" s="10" customFormat="1" x14ac:dyDescent="0.3">
      <c r="B68"/>
      <c r="C68"/>
      <c r="D68"/>
      <c r="E68" s="455">
        <f>+E48</f>
        <v>6</v>
      </c>
      <c r="F68" s="455" t="s">
        <v>56</v>
      </c>
      <c r="G68" s="82" t="s">
        <v>48</v>
      </c>
      <c r="H68" s="83">
        <f>422-14</f>
        <v>408</v>
      </c>
      <c r="I68" s="84"/>
      <c r="J68" s="85"/>
      <c r="K68" s="86">
        <f>367.45-19.5</f>
        <v>347.95</v>
      </c>
      <c r="L68" s="135"/>
      <c r="N68" s="136"/>
      <c r="O68" s="136"/>
      <c r="P68" s="136"/>
      <c r="Q68" s="136"/>
      <c r="R68" s="136"/>
      <c r="S68" s="136"/>
      <c r="Y68"/>
      <c r="Z68"/>
      <c r="AA68"/>
      <c r="AB68"/>
      <c r="AC68"/>
      <c r="AD68"/>
      <c r="AE68"/>
      <c r="AF68"/>
      <c r="AG68"/>
      <c r="AH68"/>
      <c r="AI68"/>
      <c r="AJ68"/>
      <c r="AK68" s="1"/>
      <c r="AL68" s="1"/>
      <c r="AM68" s="1"/>
      <c r="AN68"/>
      <c r="AO68"/>
      <c r="AP68"/>
    </row>
    <row r="69" spans="2:42" s="10" customFormat="1" x14ac:dyDescent="0.3">
      <c r="B69"/>
      <c r="C69"/>
      <c r="D69"/>
      <c r="E69" s="456"/>
      <c r="F69" s="456"/>
      <c r="G69" s="82" t="s">
        <v>50</v>
      </c>
      <c r="H69" s="83">
        <v>14</v>
      </c>
      <c r="I69" s="84"/>
      <c r="J69" s="85"/>
      <c r="K69" s="86">
        <v>19.5</v>
      </c>
      <c r="L69" s="135"/>
      <c r="N69" s="136"/>
      <c r="O69" s="136"/>
      <c r="P69" s="136"/>
      <c r="Q69" s="136"/>
      <c r="R69" s="136"/>
      <c r="S69" s="136"/>
      <c r="Y69"/>
      <c r="Z69"/>
      <c r="AA69"/>
      <c r="AB69"/>
      <c r="AC69"/>
      <c r="AD69"/>
      <c r="AE69"/>
      <c r="AF69"/>
      <c r="AG69"/>
      <c r="AH69"/>
      <c r="AI69"/>
      <c r="AJ69"/>
      <c r="AK69" s="1"/>
      <c r="AL69" s="1"/>
      <c r="AM69" s="1"/>
      <c r="AN69"/>
      <c r="AO69"/>
      <c r="AP69"/>
    </row>
    <row r="70" spans="2:42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436</v>
      </c>
      <c r="I70" s="88"/>
      <c r="J70" s="89"/>
      <c r="K70" s="90">
        <f>+K68+K69*2</f>
        <v>386.95</v>
      </c>
      <c r="L70" s="135"/>
      <c r="N70" s="136"/>
      <c r="O70" s="136"/>
      <c r="P70" s="136"/>
      <c r="Q70" s="136"/>
      <c r="R70" s="136"/>
      <c r="S70" s="136"/>
      <c r="Y70"/>
      <c r="Z70"/>
      <c r="AA70"/>
      <c r="AB70"/>
      <c r="AC70"/>
      <c r="AD70"/>
      <c r="AE70"/>
      <c r="AF70"/>
      <c r="AG70"/>
      <c r="AH70"/>
      <c r="AI70"/>
      <c r="AJ70"/>
      <c r="AK70" s="1"/>
      <c r="AL70" s="1"/>
      <c r="AM70" s="1"/>
      <c r="AN70"/>
      <c r="AO70"/>
      <c r="AP70"/>
    </row>
    <row r="71" spans="2:42" s="10" customFormat="1" x14ac:dyDescent="0.3">
      <c r="B71"/>
      <c r="C71"/>
      <c r="D71"/>
      <c r="E71" s="455">
        <f>+E51</f>
        <v>7</v>
      </c>
      <c r="F71" s="455" t="s">
        <v>38</v>
      </c>
      <c r="G71" s="82" t="s">
        <v>48</v>
      </c>
      <c r="H71" s="83">
        <f>417-8</f>
        <v>409</v>
      </c>
      <c r="I71" s="84"/>
      <c r="J71" s="85"/>
      <c r="K71" s="86">
        <f>414.4-10.56</f>
        <v>403.84</v>
      </c>
      <c r="L71" s="135"/>
      <c r="N71" s="136"/>
      <c r="O71" s="136"/>
      <c r="P71" s="136"/>
      <c r="Q71" s="136"/>
      <c r="R71" s="136"/>
      <c r="S71" s="136"/>
      <c r="Y71"/>
      <c r="Z71"/>
      <c r="AA71"/>
      <c r="AB71"/>
      <c r="AC71"/>
      <c r="AD71"/>
      <c r="AE71"/>
      <c r="AF71"/>
      <c r="AG71"/>
      <c r="AH71"/>
      <c r="AI71"/>
      <c r="AJ71"/>
      <c r="AK71" s="1"/>
      <c r="AL71" s="1"/>
      <c r="AM71" s="1"/>
      <c r="AN71"/>
      <c r="AO71"/>
      <c r="AP71"/>
    </row>
    <row r="72" spans="2:42" s="10" customFormat="1" x14ac:dyDescent="0.3">
      <c r="B72"/>
      <c r="C72"/>
      <c r="D72"/>
      <c r="E72" s="456"/>
      <c r="F72" s="456"/>
      <c r="G72" s="82" t="s">
        <v>50</v>
      </c>
      <c r="H72" s="83">
        <v>8</v>
      </c>
      <c r="I72" s="84"/>
      <c r="J72" s="85"/>
      <c r="K72" s="86">
        <v>10.56</v>
      </c>
      <c r="L72" s="135"/>
      <c r="N72" s="136"/>
      <c r="O72" s="136"/>
      <c r="P72" s="136"/>
      <c r="Q72" s="136"/>
      <c r="R72" s="136"/>
      <c r="S72" s="136"/>
      <c r="Y72"/>
      <c r="Z72"/>
      <c r="AA72"/>
      <c r="AB72"/>
      <c r="AC72"/>
      <c r="AD72"/>
      <c r="AE72"/>
      <c r="AF72"/>
      <c r="AG72"/>
      <c r="AH72"/>
      <c r="AI72"/>
      <c r="AJ72"/>
      <c r="AK72" s="1"/>
      <c r="AL72" s="1"/>
      <c r="AM72" s="1"/>
      <c r="AN72"/>
      <c r="AO72"/>
      <c r="AP72"/>
    </row>
    <row r="73" spans="2:42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425</v>
      </c>
      <c r="I73" s="88"/>
      <c r="J73" s="89"/>
      <c r="K73" s="90">
        <f>+K71+K72*2</f>
        <v>424.96</v>
      </c>
      <c r="L73" s="135"/>
      <c r="N73" s="136"/>
      <c r="O73" s="136"/>
      <c r="P73" s="136"/>
      <c r="Q73" s="136"/>
      <c r="R73" s="136"/>
      <c r="S73" s="136"/>
      <c r="Y73"/>
      <c r="Z73"/>
      <c r="AA73"/>
      <c r="AB73"/>
      <c r="AC73"/>
      <c r="AD73"/>
      <c r="AE73"/>
      <c r="AF73"/>
      <c r="AG73"/>
      <c r="AH73"/>
      <c r="AI73"/>
      <c r="AJ73"/>
      <c r="AK73" s="1"/>
      <c r="AL73" s="1"/>
      <c r="AM73" s="1"/>
      <c r="AN73"/>
      <c r="AO73"/>
      <c r="AP73"/>
    </row>
    <row r="76" spans="2:42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</row>
    <row r="77" spans="2:42" ht="18" customHeight="1" x14ac:dyDescent="0.3">
      <c r="B77" t="s">
        <v>5</v>
      </c>
      <c r="D77" s="7">
        <v>55</v>
      </c>
      <c r="F77" s="8" t="s">
        <v>6</v>
      </c>
      <c r="T77" s="9">
        <v>1.2</v>
      </c>
      <c r="Z77" s="12">
        <f>Z61</f>
        <v>0</v>
      </c>
      <c r="AA77" s="11">
        <f>AA61</f>
        <v>0</v>
      </c>
      <c r="AB77" s="12"/>
      <c r="AD77" s="8"/>
    </row>
    <row r="78" spans="2:42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441" t="s">
        <v>12</v>
      </c>
      <c r="U78" s="418"/>
      <c r="V78" s="442"/>
      <c r="W78" s="446" t="s">
        <v>13</v>
      </c>
      <c r="X78" s="418"/>
      <c r="Y78" s="418"/>
      <c r="Z78" s="13"/>
      <c r="AA78" s="14"/>
      <c r="AB78" s="447" t="s">
        <v>14</v>
      </c>
      <c r="AC78" s="449" t="s">
        <v>15</v>
      </c>
      <c r="AD78" s="418" t="s">
        <v>16</v>
      </c>
    </row>
    <row r="79" spans="2:42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5" t="s">
        <v>12</v>
      </c>
      <c r="U79" s="16" t="s">
        <v>17</v>
      </c>
      <c r="V79" s="17" t="s">
        <v>18</v>
      </c>
      <c r="W79" s="18" t="s">
        <v>13</v>
      </c>
      <c r="X79" s="16" t="s">
        <v>19</v>
      </c>
      <c r="Y79" s="19" t="s">
        <v>18</v>
      </c>
      <c r="Z79" s="187" t="s">
        <v>20</v>
      </c>
      <c r="AA79" s="20" t="s">
        <v>21</v>
      </c>
      <c r="AB79" s="448"/>
      <c r="AC79" s="450"/>
      <c r="AD79" s="419"/>
      <c r="AE79" s="21" t="s">
        <v>22</v>
      </c>
      <c r="AF79" s="21" t="s">
        <v>23</v>
      </c>
      <c r="AG79" s="22"/>
      <c r="AH79" s="22"/>
      <c r="AI79" s="22" t="s">
        <v>24</v>
      </c>
      <c r="AJ79" s="22"/>
      <c r="AK79" s="23" t="s">
        <v>25</v>
      </c>
      <c r="AL79" s="23" t="s">
        <v>26</v>
      </c>
      <c r="AM79" s="23" t="s">
        <v>27</v>
      </c>
      <c r="AN79" s="22"/>
      <c r="AO79" s="22">
        <f>SUM(AO80:AO85)</f>
        <v>-50</v>
      </c>
    </row>
    <row r="80" spans="2:42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95">
        <f>+T94</f>
        <v>0</v>
      </c>
      <c r="U80" s="96">
        <f>IF(F80=0,"휴무",T80/F80)</f>
        <v>0</v>
      </c>
      <c r="V80" s="97">
        <f>IFERROR(T80/#REF!,0)</f>
        <v>0</v>
      </c>
      <c r="W80" s="98">
        <f>+W94</f>
        <v>0</v>
      </c>
      <c r="X80" s="96">
        <f t="shared" ref="X80:X85" si="25">IF(F80=0,"휴무",W80/F80)</f>
        <v>0</v>
      </c>
      <c r="Y80" s="99">
        <f>IFERROR(W80/#REF!,0)</f>
        <v>0</v>
      </c>
      <c r="Z80" s="100" t="e">
        <f>IF(F80=0,"휴무",T80/#REF!*$Z$4)</f>
        <v>#REF!</v>
      </c>
      <c r="AA80" s="101" t="e">
        <f>IF(F80=0,"휴무",W80/#REF!*$AA$4)</f>
        <v>#REF!</v>
      </c>
      <c r="AB80" s="102" t="e">
        <f t="shared" ref="AB80:AB85" si="26">IF(F80=0,"휴무",Z80+AA80)</f>
        <v>#REF!</v>
      </c>
      <c r="AC80" s="103" t="e">
        <f t="shared" ref="AC80:AC85" si="27">IF(F80=0,"휴무",IF(AB80&gt;=100,"좋아요",IF(AB80&gt;=90,"90~99",IF(AB80&gt;=80,"80~89"," 사유?→"))))</f>
        <v>#REF!</v>
      </c>
      <c r="AD80" s="104"/>
      <c r="AE80" s="37">
        <f>AF80-F80</f>
        <v>-10</v>
      </c>
      <c r="AF80" s="38">
        <f>AM80</f>
        <v>0</v>
      </c>
      <c r="AG80" s="193" t="s">
        <v>29</v>
      </c>
      <c r="AH80" s="39"/>
      <c r="AI80" s="40" t="str">
        <f>IFERROR(Y80/V80*1000,"")</f>
        <v/>
      </c>
      <c r="AJ80" s="39"/>
      <c r="AK80" s="41"/>
      <c r="AL80" s="41"/>
      <c r="AM80" s="41"/>
      <c r="AN80" s="193"/>
      <c r="AO80" s="193">
        <f>AN80-F80</f>
        <v>-10</v>
      </c>
    </row>
    <row r="81" spans="2:41" ht="98.25" customHeight="1" x14ac:dyDescent="0.3">
      <c r="B81" s="459"/>
      <c r="C81" s="92">
        <v>20</v>
      </c>
      <c r="D81" s="194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95">
        <f>+T97</f>
        <v>0</v>
      </c>
      <c r="U81" s="62">
        <f>IF(F81=0,"휴무",T81/F81)</f>
        <v>0</v>
      </c>
      <c r="V81" s="63">
        <f>IFERROR(T81/#REF!,0)</f>
        <v>0</v>
      </c>
      <c r="W81" s="105">
        <f>+W97</f>
        <v>0</v>
      </c>
      <c r="X81" s="96">
        <f t="shared" si="25"/>
        <v>0</v>
      </c>
      <c r="Y81" s="65">
        <f>IFERROR(W81/#REF!,0)</f>
        <v>0</v>
      </c>
      <c r="Z81" s="106" t="e">
        <f>IF(F81=0,"휴무",T81/#REF!*$Z$4)</f>
        <v>#REF!</v>
      </c>
      <c r="AA81" s="107" t="e">
        <f>IF(F81=0,"휴무",W81/#REF!*$AA$4)</f>
        <v>#REF!</v>
      </c>
      <c r="AB81" s="66" t="e">
        <f t="shared" si="26"/>
        <v>#REF!</v>
      </c>
      <c r="AC81" s="108" t="e">
        <f t="shared" si="27"/>
        <v>#REF!</v>
      </c>
      <c r="AD81" s="109"/>
      <c r="AE81" s="37">
        <f>AF81-F81</f>
        <v>-10</v>
      </c>
      <c r="AF81" s="38">
        <f>AM81</f>
        <v>0</v>
      </c>
      <c r="AG81" s="193" t="s">
        <v>34</v>
      </c>
      <c r="AH81" s="39"/>
      <c r="AI81" s="40" t="str">
        <f>IFERROR(Y81/V81*1000,"")</f>
        <v/>
      </c>
      <c r="AJ81" s="39"/>
      <c r="AK81" s="41"/>
      <c r="AL81" s="41"/>
      <c r="AM81" s="41"/>
      <c r="AN81" s="193"/>
      <c r="AO81" s="193">
        <f>AN81-F81</f>
        <v>-10</v>
      </c>
    </row>
    <row r="82" spans="2:41" ht="98.25" customHeight="1" x14ac:dyDescent="0.3">
      <c r="B82" s="459"/>
      <c r="C82" s="92">
        <v>21</v>
      </c>
      <c r="D82" s="194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95">
        <f>+T100</f>
        <v>0</v>
      </c>
      <c r="U82" s="62">
        <f>IF(F82=0,"휴무",T82/F82)</f>
        <v>0</v>
      </c>
      <c r="V82" s="63">
        <f>IFERROR(T82/#REF!,0)</f>
        <v>0</v>
      </c>
      <c r="W82" s="105">
        <f>+W100</f>
        <v>0</v>
      </c>
      <c r="X82" s="96">
        <f t="shared" si="25"/>
        <v>0</v>
      </c>
      <c r="Y82" s="65">
        <f>IFERROR(W82/#REF!,0)</f>
        <v>0</v>
      </c>
      <c r="Z82" s="106" t="e">
        <f>IF(F82=0,"휴무",T82/#REF!*$Z$4)</f>
        <v>#REF!</v>
      </c>
      <c r="AA82" s="107" t="e">
        <f>IF(F82=0,"휴무",W82/#REF!*$AA$4)</f>
        <v>#REF!</v>
      </c>
      <c r="AB82" s="66" t="e">
        <f t="shared" si="26"/>
        <v>#REF!</v>
      </c>
      <c r="AC82" s="108" t="e">
        <f t="shared" si="27"/>
        <v>#REF!</v>
      </c>
      <c r="AD82" s="109"/>
      <c r="AE82" s="37">
        <f>AF82-F82</f>
        <v>-10</v>
      </c>
      <c r="AF82" s="38">
        <f>AM82</f>
        <v>0</v>
      </c>
      <c r="AG82" s="193" t="s">
        <v>36</v>
      </c>
      <c r="AH82" s="39"/>
      <c r="AI82" s="40" t="str">
        <f>IFERROR(Y82/V82*1000,"")</f>
        <v/>
      </c>
      <c r="AJ82" s="39"/>
      <c r="AK82" s="41"/>
      <c r="AL82" s="41"/>
      <c r="AM82" s="41"/>
      <c r="AN82" s="193"/>
      <c r="AO82" s="193">
        <f>AN82-F82</f>
        <v>-10</v>
      </c>
    </row>
    <row r="83" spans="2:41" ht="98.25" customHeight="1" x14ac:dyDescent="0.3">
      <c r="B83" s="459"/>
      <c r="C83" s="92">
        <v>22</v>
      </c>
      <c r="D83" s="194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95">
        <f>+T103</f>
        <v>0</v>
      </c>
      <c r="U83" s="62">
        <f>IF(F83=0,"휴무",T83/F83)</f>
        <v>0</v>
      </c>
      <c r="V83" s="63">
        <f>IFERROR(T83/#REF!,0)</f>
        <v>0</v>
      </c>
      <c r="W83" s="105">
        <f>+W103</f>
        <v>0</v>
      </c>
      <c r="X83" s="62">
        <f t="shared" si="25"/>
        <v>0</v>
      </c>
      <c r="Y83" s="65">
        <f>IFERROR(W83/#REF!,0)</f>
        <v>0</v>
      </c>
      <c r="Z83" s="106" t="e">
        <f>IF(F83=0,"휴무",T83/#REF!*$Z$4)</f>
        <v>#REF!</v>
      </c>
      <c r="AA83" s="107" t="e">
        <f>IF(F83=0,"휴무",W83/#REF!*$AA$4)</f>
        <v>#REF!</v>
      </c>
      <c r="AB83" s="66" t="e">
        <f t="shared" si="26"/>
        <v>#REF!</v>
      </c>
      <c r="AC83" s="110" t="e">
        <f t="shared" si="27"/>
        <v>#REF!</v>
      </c>
      <c r="AD83" s="104"/>
      <c r="AE83" s="37">
        <f>AF83-F83</f>
        <v>-10</v>
      </c>
      <c r="AF83" s="38">
        <f>AM83</f>
        <v>0</v>
      </c>
      <c r="AG83" s="193" t="s">
        <v>33</v>
      </c>
      <c r="AH83" s="39"/>
      <c r="AI83" s="40" t="str">
        <f>IFERROR(Y83/V83*1000,"")</f>
        <v/>
      </c>
      <c r="AJ83" s="39"/>
      <c r="AK83" s="41"/>
      <c r="AL83" s="41"/>
      <c r="AM83" s="41"/>
      <c r="AN83" s="193"/>
      <c r="AO83" s="193">
        <f>AN83-F83</f>
        <v>-10</v>
      </c>
    </row>
    <row r="84" spans="2:41" ht="98.25" customHeight="1" x14ac:dyDescent="0.3">
      <c r="B84" s="459"/>
      <c r="C84" s="92">
        <v>23</v>
      </c>
      <c r="D84" s="194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95">
        <f>+T104</f>
        <v>0</v>
      </c>
      <c r="U84" s="62">
        <f>IF(F84=0,"휴무",T84/F84)</f>
        <v>0</v>
      </c>
      <c r="V84" s="63">
        <f>IFERROR(T84/#REF!,0)</f>
        <v>0</v>
      </c>
      <c r="W84" s="105">
        <f>+W104</f>
        <v>0</v>
      </c>
      <c r="X84" s="62">
        <f t="shared" si="25"/>
        <v>0</v>
      </c>
      <c r="Y84" s="65">
        <f>IFERROR(W84/#REF!,0)</f>
        <v>0</v>
      </c>
      <c r="Z84" s="106" t="e">
        <f>IF(F84=0,"휴무",T84/#REF!*$Z$4)</f>
        <v>#REF!</v>
      </c>
      <c r="AA84" s="107" t="e">
        <f>IF(F84=0,"휴무",W84/#REF!*$AA$4)</f>
        <v>#REF!</v>
      </c>
      <c r="AB84" s="66" t="e">
        <f t="shared" si="26"/>
        <v>#REF!</v>
      </c>
      <c r="AC84" s="110" t="e">
        <f t="shared" si="27"/>
        <v>#REF!</v>
      </c>
      <c r="AD84" s="104"/>
      <c r="AE84" s="37">
        <f>AF84-F84</f>
        <v>-10</v>
      </c>
      <c r="AF84" s="38">
        <f>AM84</f>
        <v>0</v>
      </c>
      <c r="AG84" s="193" t="s">
        <v>46</v>
      </c>
      <c r="AH84" s="39"/>
      <c r="AI84" s="40" t="str">
        <f>IFERROR(Y84/V84*1000,"")</f>
        <v/>
      </c>
      <c r="AJ84" s="193"/>
      <c r="AK84" s="41"/>
      <c r="AL84" s="41"/>
      <c r="AM84" s="41"/>
      <c r="AN84" s="193"/>
      <c r="AO84" s="193">
        <f>AN84-F84</f>
        <v>-10</v>
      </c>
    </row>
    <row r="85" spans="2:41" ht="98.25" customHeight="1" x14ac:dyDescent="0.3">
      <c r="B85" s="459"/>
      <c r="C85" s="92">
        <v>25</v>
      </c>
      <c r="D85" s="194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95">
        <f>T109</f>
        <v>0</v>
      </c>
      <c r="U85" s="96">
        <v>58.924999999999997</v>
      </c>
      <c r="V85" s="97">
        <v>0.89280303030303021</v>
      </c>
      <c r="W85" s="98">
        <f>W109</f>
        <v>0</v>
      </c>
      <c r="X85" s="62" t="str">
        <f t="shared" si="25"/>
        <v>휴무</v>
      </c>
      <c r="Y85" s="65">
        <f>IFERROR(W85/#REF!,0)</f>
        <v>0</v>
      </c>
      <c r="Z85" s="106" t="str">
        <f>IF(F85=0,"휴무",T85/#REF!*$Z$4)</f>
        <v>휴무</v>
      </c>
      <c r="AA85" s="107" t="str">
        <f>IF(F85=0,"휴무",W85/#REF!*$AA$4)</f>
        <v>휴무</v>
      </c>
      <c r="AB85" s="66" t="str">
        <f t="shared" si="26"/>
        <v>휴무</v>
      </c>
      <c r="AC85" s="110" t="str">
        <f t="shared" si="27"/>
        <v>휴무</v>
      </c>
      <c r="AD85" s="104"/>
      <c r="AE85" s="37"/>
      <c r="AF85" s="38"/>
      <c r="AG85" s="193"/>
      <c r="AH85" s="39"/>
      <c r="AI85" s="40"/>
      <c r="AJ85" s="193"/>
      <c r="AK85" s="41"/>
      <c r="AL85" s="41"/>
      <c r="AM85" s="41"/>
      <c r="AN85" s="193"/>
      <c r="AO85" s="193"/>
    </row>
    <row r="86" spans="2:41" ht="36" customHeight="1" x14ac:dyDescent="0.3">
      <c r="B86" s="460" t="s">
        <v>39</v>
      </c>
      <c r="C86" s="461"/>
      <c r="D86" s="461"/>
      <c r="E86" s="462"/>
      <c r="F86" s="194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11">
        <f>SUM(T80:T85)</f>
        <v>0</v>
      </c>
      <c r="U86" s="112"/>
      <c r="V86" s="63">
        <f>IFERROR(T86/#REF!,0)</f>
        <v>0</v>
      </c>
      <c r="W86" s="113">
        <f>SUM(W80:W85)</f>
        <v>0</v>
      </c>
      <c r="X86" s="62"/>
      <c r="Y86" s="65">
        <f>IFERROR(W86/#REF!,0)</f>
        <v>0</v>
      </c>
      <c r="Z86" s="194"/>
      <c r="AA86" s="190"/>
      <c r="AB86" s="114"/>
      <c r="AC86" s="115"/>
      <c r="AD86" s="192"/>
      <c r="AE86" s="37">
        <f>AF86-F86</f>
        <v>-50</v>
      </c>
      <c r="AF86" s="38">
        <f>SUM(AF80:AF85)</f>
        <v>0</v>
      </c>
      <c r="AG86" s="193"/>
      <c r="AH86" s="193"/>
      <c r="AI86" s="40"/>
      <c r="AJ86" s="193"/>
      <c r="AK86" s="59"/>
      <c r="AL86" s="59"/>
      <c r="AM86" s="59"/>
      <c r="AN86" s="193"/>
      <c r="AO86" s="193"/>
    </row>
    <row r="87" spans="2:41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191"/>
      <c r="H87" s="191"/>
      <c r="I87" s="191"/>
      <c r="J87" s="191"/>
      <c r="K87" s="191"/>
      <c r="L87" s="191"/>
      <c r="M87" s="191"/>
      <c r="N87" s="191"/>
      <c r="O87" s="191"/>
      <c r="P87" s="191"/>
      <c r="Q87" s="191"/>
      <c r="R87" s="191"/>
      <c r="S87" s="191"/>
      <c r="T87" s="61">
        <f>U87*F87</f>
        <v>0</v>
      </c>
      <c r="U87" s="62">
        <f>T86/F86</f>
        <v>0</v>
      </c>
      <c r="V87" s="63">
        <f>IFERROR(T87/#REF!,0)</f>
        <v>0</v>
      </c>
      <c r="W87" s="64">
        <f>W86/F86*F87</f>
        <v>0</v>
      </c>
      <c r="X87" s="62">
        <f>IF(F87=0,"휴무",W87/F87)</f>
        <v>0</v>
      </c>
      <c r="Y87" s="65">
        <f>IFERROR(W87/#REF!,0)</f>
        <v>0</v>
      </c>
      <c r="Z87" s="60" t="e">
        <f>AVERAGE(Z80:Z85)</f>
        <v>#REF!</v>
      </c>
      <c r="AA87" s="60" t="e">
        <f>AVERAGE(AA80:AA85)</f>
        <v>#REF!</v>
      </c>
      <c r="AB87" s="66" t="e">
        <f>Z87+AA87</f>
        <v>#REF!</v>
      </c>
      <c r="AC87" s="115" t="e">
        <f>IF(F87=0,"휴무",IF(AB87&gt;=100,"좋아요",IF(AB87&gt;=90,"90~99",IF(AB87&gt;=80,"80~89"," 사유?→"))))</f>
        <v>#REF!</v>
      </c>
      <c r="AD87" s="68"/>
      <c r="AE87" s="69"/>
      <c r="AF87" s="69"/>
      <c r="AG87" s="69"/>
      <c r="AH87" s="69"/>
      <c r="AI87" s="40" t="str">
        <f>IFERROR(Y87/V87*1000,"")</f>
        <v/>
      </c>
      <c r="AJ87" s="69"/>
      <c r="AK87" s="10"/>
      <c r="AL87" s="10"/>
      <c r="AM87" s="10"/>
      <c r="AN87" s="69"/>
      <c r="AO87" s="69"/>
    </row>
    <row r="88" spans="2:41" x14ac:dyDescent="0.3">
      <c r="B88" s="70" t="s">
        <v>41</v>
      </c>
      <c r="C88" s="71"/>
      <c r="D88" s="71"/>
      <c r="E88" s="72"/>
      <c r="T88" s="22"/>
      <c r="V88" s="73">
        <f>V87*60</f>
        <v>0</v>
      </c>
      <c r="W88" s="74"/>
      <c r="X88" s="73"/>
      <c r="Y88" s="74">
        <f>Y87*40</f>
        <v>0</v>
      </c>
      <c r="Z88" s="81"/>
      <c r="AA88" s="81"/>
      <c r="AB88" s="74">
        <f>V88+Y88</f>
        <v>0</v>
      </c>
      <c r="AC88" s="193"/>
      <c r="AD88" s="193"/>
      <c r="AE88" s="193"/>
      <c r="AF88" s="193"/>
      <c r="AG88" s="193"/>
      <c r="AH88" s="193"/>
      <c r="AI88" s="193"/>
      <c r="AJ88" s="193"/>
      <c r="AK88" s="59"/>
      <c r="AL88" s="59"/>
      <c r="AM88" s="59"/>
      <c r="AN88" s="193"/>
      <c r="AO88" s="193"/>
    </row>
    <row r="89" spans="2:41" ht="17.25" thickBot="1" x14ac:dyDescent="0.35">
      <c r="B89" s="70" t="s">
        <v>61</v>
      </c>
      <c r="U89" s="10">
        <v>8.8000000000000007</v>
      </c>
    </row>
    <row r="90" spans="2:41" ht="17.25" thickBot="1" x14ac:dyDescent="0.35">
      <c r="B90" s="76" t="s">
        <v>42</v>
      </c>
      <c r="C90" s="77"/>
      <c r="D90" s="78" t="s">
        <v>43</v>
      </c>
      <c r="E90" s="78"/>
      <c r="F90" s="79"/>
      <c r="X90" s="10">
        <v>50</v>
      </c>
    </row>
    <row r="92" spans="2:41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3"/>
      <c r="U92" s="84"/>
      <c r="V92" s="85"/>
      <c r="W92" s="86"/>
    </row>
    <row r="93" spans="2:41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3"/>
      <c r="U93" s="84"/>
      <c r="V93" s="85"/>
      <c r="W93" s="86"/>
    </row>
    <row r="94" spans="2:41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7">
        <f>+T92+T93*1.6</f>
        <v>0</v>
      </c>
      <c r="U94" s="88"/>
      <c r="V94" s="89"/>
      <c r="W94" s="90">
        <f>+W92+W93*1.6</f>
        <v>0</v>
      </c>
    </row>
    <row r="95" spans="2:41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3"/>
      <c r="U95" s="84"/>
      <c r="V95" s="85"/>
      <c r="W95" s="86"/>
    </row>
    <row r="96" spans="2:41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3"/>
      <c r="U96" s="84"/>
      <c r="V96" s="85"/>
      <c r="W96" s="86"/>
    </row>
    <row r="97" spans="5:30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91">
        <f>+T95+T96*1.6</f>
        <v>0</v>
      </c>
      <c r="U97" s="88"/>
      <c r="V97" s="89"/>
      <c r="W97" s="90">
        <f>+W95+W96*1.6</f>
        <v>0</v>
      </c>
    </row>
    <row r="98" spans="5:30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84"/>
      <c r="V98" s="85"/>
      <c r="W98" s="86"/>
    </row>
    <row r="99" spans="5:30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3"/>
      <c r="U99" s="84"/>
      <c r="V99" s="85"/>
      <c r="W99" s="86"/>
    </row>
    <row r="100" spans="5:30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7">
        <f>+T98+T99*1.6</f>
        <v>0</v>
      </c>
      <c r="U100" s="88"/>
      <c r="V100" s="89"/>
      <c r="W100" s="90">
        <f>+W98+W99*1.6</f>
        <v>0</v>
      </c>
    </row>
    <row r="101" spans="5:30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3"/>
      <c r="U101" s="84"/>
      <c r="V101" s="85"/>
      <c r="W101" s="86"/>
    </row>
    <row r="102" spans="5:30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3"/>
      <c r="U102" s="84"/>
      <c r="V102" s="85"/>
      <c r="W102" s="86"/>
    </row>
    <row r="103" spans="5:30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7">
        <f>+T101+T102*1.6</f>
        <v>0</v>
      </c>
      <c r="U103" s="88"/>
      <c r="V103" s="89"/>
      <c r="W103" s="90">
        <f>+W101+W102*1.6</f>
        <v>0</v>
      </c>
    </row>
    <row r="104" spans="5:30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3"/>
      <c r="U104" s="84"/>
      <c r="V104" s="85"/>
      <c r="W104" s="86"/>
    </row>
    <row r="105" spans="5:30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3"/>
      <c r="U105" s="84"/>
      <c r="V105" s="85"/>
      <c r="W105" s="86"/>
    </row>
    <row r="106" spans="5:30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7">
        <f>+T104+T105*1.6</f>
        <v>0</v>
      </c>
      <c r="U106" s="88"/>
      <c r="V106" s="89"/>
      <c r="W106" s="90">
        <f>+W104+W105*1.6</f>
        <v>0</v>
      </c>
    </row>
    <row r="107" spans="5:30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3"/>
      <c r="U107" s="84"/>
      <c r="V107" s="85"/>
      <c r="W107" s="86"/>
      <c r="AD107" s="116"/>
    </row>
    <row r="108" spans="5:30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3"/>
      <c r="U108" s="84"/>
      <c r="V108" s="85"/>
      <c r="W108" s="86"/>
    </row>
    <row r="109" spans="5:30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7">
        <f>+T107+T108*1.6</f>
        <v>0</v>
      </c>
      <c r="U109" s="88"/>
      <c r="V109" s="89"/>
      <c r="W109" s="90">
        <f>+W107+W108*1.6</f>
        <v>0</v>
      </c>
    </row>
    <row r="114" spans="3:26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</row>
    <row r="116" spans="3:26" x14ac:dyDescent="0.3">
      <c r="C116" s="194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117"/>
      <c r="V116" s="118"/>
      <c r="W116" s="116"/>
      <c r="X116" s="117"/>
      <c r="Y116" s="116"/>
      <c r="Z116" s="116"/>
    </row>
    <row r="117" spans="3:26" x14ac:dyDescent="0.3">
      <c r="C117" s="194" t="s">
        <v>63</v>
      </c>
      <c r="D117" s="466" t="s">
        <v>12</v>
      </c>
      <c r="E117" s="466"/>
      <c r="F117" s="194" t="s">
        <v>64</v>
      </c>
      <c r="G117" s="194"/>
      <c r="H117" s="194"/>
      <c r="I117" s="194"/>
      <c r="J117" s="194"/>
      <c r="K117" s="194"/>
      <c r="L117" s="194"/>
      <c r="M117" s="194"/>
      <c r="N117" s="194"/>
      <c r="O117" s="194"/>
      <c r="P117" s="194"/>
      <c r="Q117" s="194"/>
      <c r="R117" s="194"/>
      <c r="S117" s="194"/>
      <c r="T117" s="194" t="s">
        <v>15</v>
      </c>
      <c r="U117" s="117"/>
      <c r="V117" s="118"/>
      <c r="W117" s="116"/>
      <c r="X117" s="117"/>
      <c r="Y117" s="116"/>
      <c r="Z117" s="116"/>
    </row>
    <row r="118" spans="3:26" x14ac:dyDescent="0.3">
      <c r="C118" s="119">
        <v>45075</v>
      </c>
      <c r="D118" s="466"/>
      <c r="E118" s="466"/>
      <c r="F118" s="194"/>
      <c r="G118" s="194"/>
      <c r="H118" s="194"/>
      <c r="I118" s="194"/>
      <c r="J118" s="194"/>
      <c r="K118" s="194"/>
      <c r="L118" s="194"/>
      <c r="M118" s="194"/>
      <c r="N118" s="194"/>
      <c r="O118" s="194"/>
      <c r="P118" s="194"/>
      <c r="Q118" s="194"/>
      <c r="R118" s="194"/>
      <c r="S118" s="194"/>
      <c r="T118" s="194"/>
      <c r="U118" s="117"/>
      <c r="V118" s="118"/>
      <c r="W118" s="116"/>
      <c r="X118" s="117"/>
      <c r="Y118" s="116"/>
      <c r="Z118" s="116"/>
    </row>
    <row r="119" spans="3:26" x14ac:dyDescent="0.3">
      <c r="C119" s="119">
        <v>45076</v>
      </c>
      <c r="D119" s="466"/>
      <c r="E119" s="466"/>
      <c r="F119" s="194"/>
      <c r="G119" s="194"/>
      <c r="H119" s="194"/>
      <c r="I119" s="194"/>
      <c r="J119" s="194"/>
      <c r="K119" s="194"/>
      <c r="L119" s="194"/>
      <c r="M119" s="194"/>
      <c r="N119" s="194"/>
      <c r="O119" s="194"/>
      <c r="P119" s="194"/>
      <c r="Q119" s="194"/>
      <c r="R119" s="194"/>
      <c r="S119" s="194"/>
      <c r="T119" s="194"/>
      <c r="U119" s="117"/>
      <c r="V119" s="118"/>
      <c r="W119" s="116"/>
      <c r="X119" s="117"/>
      <c r="Y119" s="116"/>
      <c r="Z119" s="116"/>
    </row>
    <row r="120" spans="3:26" x14ac:dyDescent="0.3">
      <c r="C120" s="119">
        <v>45077</v>
      </c>
      <c r="D120" s="466"/>
      <c r="E120" s="466"/>
      <c r="F120" s="194"/>
      <c r="G120" s="194"/>
      <c r="H120" s="194"/>
      <c r="I120" s="194"/>
      <c r="J120" s="194"/>
      <c r="K120" s="194"/>
      <c r="L120" s="194"/>
      <c r="M120" s="194"/>
      <c r="N120" s="194"/>
      <c r="O120" s="194"/>
      <c r="P120" s="194"/>
      <c r="Q120" s="194"/>
      <c r="R120" s="194"/>
      <c r="S120" s="194"/>
      <c r="T120" s="194"/>
      <c r="U120" s="117"/>
      <c r="V120" s="118"/>
      <c r="W120" s="116"/>
      <c r="X120" s="117"/>
      <c r="Y120" s="116"/>
      <c r="Z120" s="116"/>
    </row>
    <row r="121" spans="3:26" x14ac:dyDescent="0.3">
      <c r="C121" s="119">
        <v>45078</v>
      </c>
      <c r="D121" s="466"/>
      <c r="E121" s="466"/>
      <c r="F121" s="194"/>
      <c r="G121" s="194"/>
      <c r="H121" s="194"/>
      <c r="I121" s="194"/>
      <c r="J121" s="194"/>
      <c r="K121" s="194"/>
      <c r="L121" s="194"/>
      <c r="M121" s="194"/>
      <c r="N121" s="194"/>
      <c r="O121" s="194"/>
      <c r="P121" s="194"/>
      <c r="Q121" s="194"/>
      <c r="R121" s="194"/>
      <c r="S121" s="194"/>
      <c r="T121" s="194"/>
      <c r="U121" s="117"/>
      <c r="V121" s="118"/>
      <c r="W121" s="116"/>
      <c r="X121" s="117"/>
      <c r="Y121" s="116"/>
      <c r="Z121" s="116"/>
    </row>
    <row r="122" spans="3:26" x14ac:dyDescent="0.3">
      <c r="C122" s="119">
        <v>45079</v>
      </c>
      <c r="D122" s="466"/>
      <c r="E122" s="466"/>
      <c r="F122" s="194"/>
      <c r="G122" s="194"/>
      <c r="H122" s="194"/>
      <c r="I122" s="194"/>
      <c r="J122" s="194"/>
      <c r="K122" s="194"/>
      <c r="L122" s="194"/>
      <c r="M122" s="194"/>
      <c r="N122" s="194"/>
      <c r="O122" s="194"/>
      <c r="P122" s="194"/>
      <c r="Q122" s="194"/>
      <c r="R122" s="194"/>
      <c r="S122" s="194"/>
      <c r="T122" s="194"/>
      <c r="U122" s="117"/>
      <c r="V122" s="118"/>
      <c r="W122" s="116"/>
      <c r="X122" s="117"/>
      <c r="Y122" s="116"/>
      <c r="Z122" s="116"/>
    </row>
    <row r="123" spans="3:26" x14ac:dyDescent="0.3">
      <c r="C123" s="119">
        <v>45080</v>
      </c>
      <c r="D123" s="466"/>
      <c r="E123" s="466"/>
      <c r="F123" s="194"/>
      <c r="G123" s="194"/>
      <c r="H123" s="194"/>
      <c r="I123" s="194"/>
      <c r="J123" s="194"/>
      <c r="K123" s="194"/>
      <c r="L123" s="194"/>
      <c r="M123" s="194"/>
      <c r="N123" s="194"/>
      <c r="O123" s="194"/>
      <c r="P123" s="194"/>
      <c r="Q123" s="194"/>
      <c r="R123" s="194"/>
      <c r="S123" s="194"/>
      <c r="T123" s="194"/>
      <c r="U123" s="117"/>
      <c r="V123" s="118"/>
      <c r="W123" s="116"/>
      <c r="X123" s="117"/>
      <c r="Y123" s="116"/>
      <c r="Z123" s="116"/>
    </row>
    <row r="124" spans="3:26" x14ac:dyDescent="0.3">
      <c r="C124" s="194"/>
      <c r="D124" s="460"/>
      <c r="E124" s="462"/>
      <c r="F124" s="194"/>
      <c r="G124" s="194"/>
      <c r="H124" s="194"/>
      <c r="I124" s="194"/>
      <c r="J124" s="194"/>
      <c r="K124" s="194"/>
      <c r="L124" s="194"/>
      <c r="M124" s="194"/>
      <c r="N124" s="194"/>
      <c r="O124" s="194"/>
      <c r="P124" s="194"/>
      <c r="Q124" s="194"/>
      <c r="R124" s="194"/>
      <c r="S124" s="194"/>
      <c r="T124" s="194"/>
      <c r="U124" s="117"/>
      <c r="V124" s="118"/>
      <c r="W124" s="116"/>
      <c r="X124" s="117"/>
      <c r="Y124" s="116"/>
      <c r="Z124" s="116"/>
    </row>
    <row r="125" spans="3:26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117"/>
      <c r="V125" s="118"/>
      <c r="W125" s="116"/>
      <c r="X125" s="117"/>
      <c r="Y125" s="116"/>
      <c r="Z125" s="116"/>
    </row>
    <row r="126" spans="3:26" x14ac:dyDescent="0.3">
      <c r="C126" s="194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117"/>
      <c r="V126" s="118"/>
      <c r="W126" s="116"/>
      <c r="X126" s="117"/>
      <c r="Y126" s="116"/>
      <c r="Z126" s="116"/>
    </row>
    <row r="127" spans="3:26" x14ac:dyDescent="0.3">
      <c r="C127" s="194" t="s">
        <v>63</v>
      </c>
      <c r="D127" s="466" t="s">
        <v>12</v>
      </c>
      <c r="E127" s="466"/>
      <c r="F127" s="194" t="s">
        <v>64</v>
      </c>
      <c r="G127" s="194"/>
      <c r="H127" s="194"/>
      <c r="I127" s="194"/>
      <c r="J127" s="194"/>
      <c r="K127" s="194"/>
      <c r="L127" s="194"/>
      <c r="M127" s="194"/>
      <c r="N127" s="194"/>
      <c r="O127" s="194"/>
      <c r="P127" s="194"/>
      <c r="Q127" s="194"/>
      <c r="R127" s="194"/>
      <c r="S127" s="194"/>
      <c r="T127" s="194" t="s">
        <v>15</v>
      </c>
      <c r="U127" s="117"/>
      <c r="V127" s="118"/>
      <c r="W127" s="116"/>
      <c r="X127" s="117"/>
      <c r="Y127" s="116"/>
      <c r="Z127" s="116"/>
    </row>
    <row r="128" spans="3:26" x14ac:dyDescent="0.3">
      <c r="C128" s="119">
        <v>45075</v>
      </c>
      <c r="D128" s="466"/>
      <c r="E128" s="466"/>
      <c r="F128" s="194"/>
      <c r="G128" s="194"/>
      <c r="H128" s="194"/>
      <c r="I128" s="194"/>
      <c r="J128" s="194"/>
      <c r="K128" s="194"/>
      <c r="L128" s="194"/>
      <c r="M128" s="194"/>
      <c r="N128" s="194"/>
      <c r="O128" s="194"/>
      <c r="P128" s="194"/>
      <c r="Q128" s="194"/>
      <c r="R128" s="194"/>
      <c r="S128" s="194"/>
      <c r="T128" s="194"/>
      <c r="U128" s="117"/>
      <c r="V128" s="118"/>
      <c r="W128" s="116"/>
      <c r="X128" s="117"/>
      <c r="Y128" s="116"/>
      <c r="Z128" s="116"/>
    </row>
    <row r="129" spans="3:26" x14ac:dyDescent="0.3">
      <c r="C129" s="119">
        <v>45076</v>
      </c>
      <c r="D129" s="466"/>
      <c r="E129" s="466"/>
      <c r="F129" s="194"/>
      <c r="G129" s="194"/>
      <c r="H129" s="194"/>
      <c r="I129" s="194"/>
      <c r="J129" s="194"/>
      <c r="K129" s="194"/>
      <c r="L129" s="194"/>
      <c r="M129" s="194"/>
      <c r="N129" s="194"/>
      <c r="O129" s="194"/>
      <c r="P129" s="194"/>
      <c r="Q129" s="194"/>
      <c r="R129" s="194"/>
      <c r="S129" s="194"/>
      <c r="T129" s="194"/>
      <c r="U129" s="117"/>
      <c r="V129" s="118"/>
      <c r="W129" s="116"/>
      <c r="X129" s="117"/>
      <c r="Y129" s="116"/>
      <c r="Z129" s="116"/>
    </row>
    <row r="130" spans="3:26" x14ac:dyDescent="0.3">
      <c r="C130" s="119">
        <v>45077</v>
      </c>
      <c r="D130" s="466"/>
      <c r="E130" s="466"/>
      <c r="F130" s="194"/>
      <c r="G130" s="194"/>
      <c r="H130" s="194"/>
      <c r="I130" s="194"/>
      <c r="J130" s="194"/>
      <c r="K130" s="194"/>
      <c r="L130" s="194"/>
      <c r="M130" s="194"/>
      <c r="N130" s="194"/>
      <c r="O130" s="194"/>
      <c r="P130" s="194"/>
      <c r="Q130" s="194"/>
      <c r="R130" s="194"/>
      <c r="S130" s="194"/>
      <c r="T130" s="194"/>
      <c r="U130" s="117"/>
      <c r="V130" s="118"/>
      <c r="W130" s="116"/>
      <c r="X130" s="117"/>
      <c r="Y130" s="116"/>
      <c r="Z130" s="116"/>
    </row>
    <row r="131" spans="3:26" x14ac:dyDescent="0.3">
      <c r="C131" s="119">
        <v>45078</v>
      </c>
      <c r="D131" s="466"/>
      <c r="E131" s="466"/>
      <c r="F131" s="194"/>
      <c r="G131" s="194"/>
      <c r="H131" s="194"/>
      <c r="I131" s="194"/>
      <c r="J131" s="194"/>
      <c r="K131" s="194"/>
      <c r="L131" s="194"/>
      <c r="M131" s="194"/>
      <c r="N131" s="194"/>
      <c r="O131" s="194"/>
      <c r="P131" s="194"/>
      <c r="Q131" s="194"/>
      <c r="R131" s="194"/>
      <c r="S131" s="194"/>
      <c r="T131" s="194"/>
      <c r="U131" s="117"/>
      <c r="V131" s="118"/>
      <c r="W131" s="116"/>
      <c r="X131" s="117"/>
      <c r="Y131" s="116"/>
      <c r="Z131" s="116"/>
    </row>
    <row r="132" spans="3:26" x14ac:dyDescent="0.3">
      <c r="C132" s="119">
        <v>45079</v>
      </c>
      <c r="D132" s="466"/>
      <c r="E132" s="466"/>
      <c r="F132" s="194"/>
      <c r="G132" s="194"/>
      <c r="H132" s="194"/>
      <c r="I132" s="194"/>
      <c r="J132" s="194"/>
      <c r="K132" s="194"/>
      <c r="L132" s="194"/>
      <c r="M132" s="194"/>
      <c r="N132" s="194"/>
      <c r="O132" s="194"/>
      <c r="P132" s="194"/>
      <c r="Q132" s="194"/>
      <c r="R132" s="194"/>
      <c r="S132" s="194"/>
      <c r="T132" s="194"/>
      <c r="U132" s="117"/>
      <c r="V132" s="118"/>
      <c r="W132" s="116"/>
      <c r="X132" s="117"/>
      <c r="Y132" s="116"/>
      <c r="Z132" s="116"/>
    </row>
    <row r="133" spans="3:26" x14ac:dyDescent="0.3">
      <c r="C133" s="119">
        <v>45080</v>
      </c>
      <c r="D133" s="466"/>
      <c r="E133" s="466"/>
      <c r="F133" s="194"/>
      <c r="G133" s="194"/>
      <c r="H133" s="194"/>
      <c r="I133" s="194"/>
      <c r="J133" s="194"/>
      <c r="K133" s="194"/>
      <c r="L133" s="194"/>
      <c r="M133" s="194"/>
      <c r="N133" s="194"/>
      <c r="O133" s="194"/>
      <c r="P133" s="194"/>
      <c r="Q133" s="194"/>
      <c r="R133" s="194"/>
      <c r="S133" s="194"/>
      <c r="T133" s="194"/>
      <c r="U133" s="117"/>
      <c r="V133" s="118"/>
      <c r="W133" s="116"/>
      <c r="X133" s="117"/>
      <c r="Y133" s="116"/>
      <c r="Z133" s="116"/>
    </row>
    <row r="134" spans="3:26" x14ac:dyDescent="0.3">
      <c r="C134" s="194"/>
      <c r="D134" s="460"/>
      <c r="E134" s="462"/>
      <c r="F134" s="194"/>
      <c r="G134" s="194"/>
      <c r="H134" s="194"/>
      <c r="I134" s="194"/>
      <c r="J134" s="194"/>
      <c r="K134" s="194"/>
      <c r="L134" s="194"/>
      <c r="M134" s="194"/>
      <c r="N134" s="194"/>
      <c r="O134" s="194"/>
      <c r="P134" s="194"/>
      <c r="Q134" s="194"/>
      <c r="R134" s="194"/>
      <c r="S134" s="194"/>
      <c r="T134" s="194"/>
      <c r="U134" s="117"/>
      <c r="V134" s="118"/>
      <c r="W134" s="116"/>
      <c r="X134" s="117"/>
      <c r="Y134" s="116"/>
      <c r="Z134" s="116"/>
    </row>
    <row r="135" spans="3:26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117"/>
      <c r="V135" s="118"/>
      <c r="W135" s="116"/>
      <c r="X135" s="117"/>
      <c r="Y135" s="116"/>
      <c r="Z135" s="116"/>
    </row>
    <row r="136" spans="3:26" x14ac:dyDescent="0.3">
      <c r="C136" s="194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117"/>
      <c r="V136" s="118"/>
      <c r="W136" s="116"/>
      <c r="X136" s="117"/>
      <c r="Y136" s="116"/>
      <c r="Z136" s="116"/>
    </row>
    <row r="137" spans="3:26" x14ac:dyDescent="0.3">
      <c r="C137" s="194" t="s">
        <v>63</v>
      </c>
      <c r="D137" s="466" t="s">
        <v>12</v>
      </c>
      <c r="E137" s="466"/>
      <c r="F137" s="194" t="s">
        <v>64</v>
      </c>
      <c r="G137" s="194"/>
      <c r="H137" s="194"/>
      <c r="I137" s="194"/>
      <c r="J137" s="194"/>
      <c r="K137" s="194"/>
      <c r="L137" s="194"/>
      <c r="M137" s="194"/>
      <c r="N137" s="194"/>
      <c r="O137" s="194"/>
      <c r="P137" s="194"/>
      <c r="Q137" s="194"/>
      <c r="R137" s="194"/>
      <c r="S137" s="194"/>
      <c r="T137" s="194" t="s">
        <v>15</v>
      </c>
      <c r="U137" s="117"/>
      <c r="V137" s="118"/>
      <c r="W137" s="116"/>
      <c r="X137" s="117"/>
      <c r="Y137" s="116"/>
      <c r="Z137" s="116"/>
    </row>
    <row r="138" spans="3:26" x14ac:dyDescent="0.3">
      <c r="C138" s="119">
        <v>45075</v>
      </c>
      <c r="D138" s="466"/>
      <c r="E138" s="466"/>
      <c r="F138" s="194"/>
      <c r="G138" s="194"/>
      <c r="H138" s="194"/>
      <c r="I138" s="194"/>
      <c r="J138" s="194"/>
      <c r="K138" s="194"/>
      <c r="L138" s="194"/>
      <c r="M138" s="194"/>
      <c r="N138" s="194"/>
      <c r="O138" s="194"/>
      <c r="P138" s="194"/>
      <c r="Q138" s="194"/>
      <c r="R138" s="194"/>
      <c r="S138" s="194"/>
      <c r="T138" s="194"/>
      <c r="U138" s="117"/>
      <c r="V138" s="118"/>
      <c r="W138" s="116"/>
      <c r="X138" s="117"/>
      <c r="Y138" s="116"/>
      <c r="Z138" s="116"/>
    </row>
    <row r="139" spans="3:26" x14ac:dyDescent="0.3">
      <c r="C139" s="119">
        <v>45076</v>
      </c>
      <c r="D139" s="466"/>
      <c r="E139" s="466"/>
      <c r="F139" s="194"/>
      <c r="G139" s="194"/>
      <c r="H139" s="194"/>
      <c r="I139" s="194"/>
      <c r="J139" s="194"/>
      <c r="K139" s="194"/>
      <c r="L139" s="194"/>
      <c r="M139" s="194"/>
      <c r="N139" s="194"/>
      <c r="O139" s="194"/>
      <c r="P139" s="194"/>
      <c r="Q139" s="194"/>
      <c r="R139" s="194"/>
      <c r="S139" s="194"/>
      <c r="T139" s="194"/>
      <c r="U139" s="117"/>
      <c r="V139" s="118"/>
      <c r="W139" s="116"/>
      <c r="X139" s="117"/>
      <c r="Y139" s="116"/>
      <c r="Z139" s="116"/>
    </row>
    <row r="140" spans="3:26" x14ac:dyDescent="0.3">
      <c r="C140" s="119">
        <v>45077</v>
      </c>
      <c r="D140" s="466"/>
      <c r="E140" s="466"/>
      <c r="F140" s="194"/>
      <c r="G140" s="194"/>
      <c r="H140" s="194"/>
      <c r="I140" s="194"/>
      <c r="J140" s="194"/>
      <c r="K140" s="194"/>
      <c r="L140" s="194"/>
      <c r="M140" s="194"/>
      <c r="N140" s="194"/>
      <c r="O140" s="194"/>
      <c r="P140" s="194"/>
      <c r="Q140" s="194"/>
      <c r="R140" s="194"/>
      <c r="S140" s="194"/>
      <c r="T140" s="194"/>
    </row>
    <row r="141" spans="3:26" x14ac:dyDescent="0.3">
      <c r="C141" s="119">
        <v>45078</v>
      </c>
      <c r="D141" s="466"/>
      <c r="E141" s="466"/>
      <c r="F141" s="194"/>
      <c r="G141" s="194"/>
      <c r="H141" s="194"/>
      <c r="I141" s="194"/>
      <c r="J141" s="194"/>
      <c r="K141" s="194"/>
      <c r="L141" s="194"/>
      <c r="M141" s="194"/>
      <c r="N141" s="194"/>
      <c r="O141" s="194"/>
      <c r="P141" s="194"/>
      <c r="Q141" s="194"/>
      <c r="R141" s="194"/>
      <c r="S141" s="194"/>
      <c r="T141" s="194"/>
    </row>
    <row r="142" spans="3:26" x14ac:dyDescent="0.3">
      <c r="C142" s="119">
        <v>45079</v>
      </c>
      <c r="D142" s="466"/>
      <c r="E142" s="466"/>
      <c r="F142" s="194"/>
      <c r="G142" s="194"/>
      <c r="H142" s="194"/>
      <c r="I142" s="194"/>
      <c r="J142" s="194"/>
      <c r="K142" s="194"/>
      <c r="L142" s="194"/>
      <c r="M142" s="194"/>
      <c r="N142" s="194"/>
      <c r="O142" s="194"/>
      <c r="P142" s="194"/>
      <c r="Q142" s="194"/>
      <c r="R142" s="194"/>
      <c r="S142" s="194"/>
      <c r="T142" s="194"/>
    </row>
    <row r="143" spans="3:26" x14ac:dyDescent="0.3">
      <c r="C143" s="119">
        <v>45080</v>
      </c>
      <c r="D143" s="466"/>
      <c r="E143" s="466"/>
      <c r="F143" s="194"/>
      <c r="G143" s="194"/>
      <c r="H143" s="194"/>
      <c r="I143" s="194"/>
      <c r="J143" s="194"/>
      <c r="K143" s="194"/>
      <c r="L143" s="194"/>
      <c r="M143" s="194"/>
      <c r="N143" s="194"/>
      <c r="O143" s="194"/>
      <c r="P143" s="194"/>
      <c r="Q143" s="194"/>
      <c r="R143" s="194"/>
      <c r="S143" s="194"/>
      <c r="T143" s="194"/>
    </row>
    <row r="144" spans="3:26" x14ac:dyDescent="0.3">
      <c r="C144" s="194"/>
      <c r="D144" s="460"/>
      <c r="E144" s="462"/>
      <c r="F144" s="194"/>
      <c r="G144" s="194"/>
      <c r="H144" s="194"/>
      <c r="I144" s="194"/>
      <c r="J144" s="194"/>
      <c r="K144" s="194"/>
      <c r="L144" s="194"/>
      <c r="M144" s="194"/>
      <c r="N144" s="194"/>
      <c r="O144" s="194"/>
      <c r="P144" s="194"/>
      <c r="Q144" s="194"/>
      <c r="R144" s="194"/>
      <c r="S144" s="194"/>
      <c r="T144" s="194"/>
    </row>
  </sheetData>
  <mergeCells count="113"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E104:E106"/>
    <mergeCell ref="F104:F106"/>
    <mergeCell ref="E107:E109"/>
    <mergeCell ref="F107:F109"/>
    <mergeCell ref="C114:T114"/>
    <mergeCell ref="D117:E117"/>
    <mergeCell ref="E95:E97"/>
    <mergeCell ref="F95:F97"/>
    <mergeCell ref="E98:E100"/>
    <mergeCell ref="F98:F100"/>
    <mergeCell ref="E101:E103"/>
    <mergeCell ref="F101:F103"/>
    <mergeCell ref="AD78:AD79"/>
    <mergeCell ref="B80:B85"/>
    <mergeCell ref="B86:E86"/>
    <mergeCell ref="B87:E87"/>
    <mergeCell ref="E92:E94"/>
    <mergeCell ref="F92:F94"/>
    <mergeCell ref="B76:AD76"/>
    <mergeCell ref="B78:B79"/>
    <mergeCell ref="C78:C79"/>
    <mergeCell ref="D78:D79"/>
    <mergeCell ref="E78:E79"/>
    <mergeCell ref="F78:F79"/>
    <mergeCell ref="T78:V78"/>
    <mergeCell ref="W78:Y78"/>
    <mergeCell ref="AB78:AB79"/>
    <mergeCell ref="AC78:AC79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B23:B28"/>
    <mergeCell ref="B29:E29"/>
    <mergeCell ref="B30:E30"/>
    <mergeCell ref="I21:R21"/>
    <mergeCell ref="S21:S22"/>
    <mergeCell ref="T21:V21"/>
    <mergeCell ref="W21:Y21"/>
    <mergeCell ref="Z21:Z22"/>
    <mergeCell ref="AA21:AA22"/>
    <mergeCell ref="B13:E13"/>
    <mergeCell ref="B14:E14"/>
    <mergeCell ref="B19:AD19"/>
    <mergeCell ref="B21:B22"/>
    <mergeCell ref="C21:C22"/>
    <mergeCell ref="D21:D22"/>
    <mergeCell ref="E21:E22"/>
    <mergeCell ref="F21:F22"/>
    <mergeCell ref="G21:G22"/>
    <mergeCell ref="H21:H22"/>
    <mergeCell ref="AB21:AB22"/>
    <mergeCell ref="AC21:AC22"/>
    <mergeCell ref="AD21:AD22"/>
    <mergeCell ref="T5:V5"/>
    <mergeCell ref="W5:Y5"/>
    <mergeCell ref="AB5:AB6"/>
    <mergeCell ref="AC5:AC6"/>
    <mergeCell ref="AD5:AD6"/>
    <mergeCell ref="B7:B12"/>
    <mergeCell ref="B2:AD2"/>
    <mergeCell ref="B3:AD3"/>
    <mergeCell ref="B5:C6"/>
    <mergeCell ref="D5:D6"/>
    <mergeCell ref="E5:E6"/>
    <mergeCell ref="F5:F6"/>
    <mergeCell ref="G5:G6"/>
    <mergeCell ref="H5:H6"/>
    <mergeCell ref="I5:R5"/>
    <mergeCell ref="S5:S6"/>
  </mergeCells>
  <phoneticPr fontId="4" type="noConversion"/>
  <dataValidations count="3">
    <dataValidation type="list" allowBlank="1" showInputMessage="1" showErrorMessage="1" sqref="E12 E24 E8 E28">
      <formula1>$T$7:$T$12</formula1>
    </dataValidation>
    <dataValidation type="list" allowBlank="1" showInputMessage="1" showErrorMessage="1" sqref="AG23:AG25 AG7 AG10 AG80:AG82">
      <formula1>$AD$6:$AD$8</formula1>
    </dataValidation>
    <dataValidation type="list" allowBlank="1" showInputMessage="1" showErrorMessage="1" sqref="E80:E85 E25:E27 E23 E7 E9:E11">
      <formula1>$AG$7:$AG$12</formula1>
    </dataValidation>
  </dataValidations>
  <pageMargins left="0.62992125984251968" right="0.62992125984251968" top="0.94488188976377963" bottom="0.55118110236220474" header="0.31496062992125984" footer="0.31496062992125984"/>
  <pageSetup paperSize="9" scale="26" orientation="landscape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Y144"/>
  <sheetViews>
    <sheetView showGridLines="0" zoomScale="80" zoomScaleNormal="80" workbookViewId="0">
      <pane xSplit="4" ySplit="6" topLeftCell="M22" activePane="bottomRight" state="frozen"/>
      <selection pane="topRight" activeCell="D1" sqref="D1"/>
      <selection pane="bottomLeft" activeCell="A6" sqref="A6"/>
      <selection pane="bottomRight" activeCell="S41" sqref="S41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19" width="8.625" style="8" customWidth="1"/>
    <col min="20" max="20" width="10.75" style="75" customWidth="1"/>
    <col min="21" max="21" width="10.875" style="10" customWidth="1"/>
    <col min="22" max="22" width="7.375" style="11" customWidth="1"/>
    <col min="23" max="23" width="12.25" customWidth="1"/>
    <col min="24" max="24" width="7.75" style="10" customWidth="1"/>
    <col min="25" max="25" width="10.375" customWidth="1"/>
    <col min="26" max="26" width="9.5" customWidth="1"/>
    <col min="27" max="27" width="10" customWidth="1"/>
    <col min="28" max="28" width="7.125" customWidth="1"/>
    <col min="29" max="29" width="8.375" customWidth="1"/>
    <col min="30" max="30" width="62.75" customWidth="1"/>
    <col min="31" max="32" width="9.125" hidden="1" customWidth="1"/>
    <col min="33" max="33" width="8.75" hidden="1" customWidth="1"/>
    <col min="34" max="34" width="2.75" hidden="1" customWidth="1"/>
    <col min="35" max="35" width="9.125" hidden="1" customWidth="1"/>
    <col min="36" max="36" width="0" hidden="1" customWidth="1"/>
    <col min="37" max="39" width="9.125" style="1" hidden="1" customWidth="1"/>
    <col min="40" max="41" width="0" hidden="1" customWidth="1"/>
    <col min="42" max="42" width="11.75" hidden="1" customWidth="1"/>
    <col min="43" max="43" width="3.25" customWidth="1"/>
  </cols>
  <sheetData>
    <row r="2" spans="2:51" ht="20.25" x14ac:dyDescent="0.3">
      <c r="B2" s="425" t="s">
        <v>115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V2" s="2" t="s">
        <v>0</v>
      </c>
      <c r="AW2" s="182" t="s">
        <v>1</v>
      </c>
      <c r="AX2" s="182" t="s">
        <v>2</v>
      </c>
      <c r="AY2" s="3" t="s">
        <v>3</v>
      </c>
    </row>
    <row r="3" spans="2:51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V3" s="4"/>
      <c r="AW3" s="5"/>
      <c r="AX3" s="5"/>
      <c r="AY3" s="6"/>
    </row>
    <row r="4" spans="2:51" x14ac:dyDescent="0.3">
      <c r="B4" t="s">
        <v>5</v>
      </c>
      <c r="D4" s="7">
        <v>55</v>
      </c>
      <c r="F4" s="8" t="s">
        <v>6</v>
      </c>
      <c r="T4" s="9">
        <v>1.2</v>
      </c>
      <c r="Z4" s="12">
        <v>50</v>
      </c>
      <c r="AA4" s="11">
        <f>50*10.89/10</f>
        <v>54.45</v>
      </c>
      <c r="AB4" s="12"/>
      <c r="AD4" s="8"/>
    </row>
    <row r="5" spans="2:51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8"/>
      <c r="S5" s="439" t="s">
        <v>11</v>
      </c>
      <c r="T5" s="441" t="s">
        <v>12</v>
      </c>
      <c r="U5" s="418"/>
      <c r="V5" s="442"/>
      <c r="W5" s="446" t="s">
        <v>13</v>
      </c>
      <c r="X5" s="418"/>
      <c r="Y5" s="418"/>
      <c r="Z5" s="13"/>
      <c r="AA5" s="14"/>
      <c r="AB5" s="447" t="s">
        <v>14</v>
      </c>
      <c r="AC5" s="449" t="s">
        <v>15</v>
      </c>
      <c r="AD5" s="418" t="s">
        <v>16</v>
      </c>
    </row>
    <row r="6" spans="2:51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185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76</v>
      </c>
      <c r="Q6" s="18" t="s">
        <v>77</v>
      </c>
      <c r="R6" s="127" t="s">
        <v>80</v>
      </c>
      <c r="S6" s="440"/>
      <c r="T6" s="15" t="s">
        <v>12</v>
      </c>
      <c r="U6" s="16" t="s">
        <v>17</v>
      </c>
      <c r="V6" s="17" t="s">
        <v>18</v>
      </c>
      <c r="W6" s="18" t="s">
        <v>13</v>
      </c>
      <c r="X6" s="16" t="s">
        <v>19</v>
      </c>
      <c r="Y6" s="19" t="s">
        <v>18</v>
      </c>
      <c r="Z6" s="185" t="s">
        <v>20</v>
      </c>
      <c r="AA6" s="20" t="s">
        <v>21</v>
      </c>
      <c r="AB6" s="448"/>
      <c r="AC6" s="450"/>
      <c r="AD6" s="419"/>
      <c r="AE6" s="21" t="s">
        <v>22</v>
      </c>
      <c r="AF6" s="21" t="s">
        <v>23</v>
      </c>
      <c r="AI6" s="22" t="s">
        <v>24</v>
      </c>
      <c r="AK6" s="23" t="s">
        <v>25</v>
      </c>
      <c r="AL6" s="23" t="s">
        <v>26</v>
      </c>
      <c r="AM6" s="23" t="s">
        <v>27</v>
      </c>
      <c r="AO6" s="22">
        <f>SUM(AO7:AO12)</f>
        <v>-63</v>
      </c>
    </row>
    <row r="7" spans="2:51" s="183" customFormat="1" ht="99" customHeight="1" thickTop="1" x14ac:dyDescent="0.3">
      <c r="B7" s="420">
        <v>1</v>
      </c>
      <c r="C7" s="24">
        <v>26</v>
      </c>
      <c r="D7" s="25" t="s">
        <v>7</v>
      </c>
      <c r="E7" s="26" t="s">
        <v>28</v>
      </c>
      <c r="F7" s="25">
        <v>11</v>
      </c>
      <c r="G7" s="128">
        <v>633</v>
      </c>
      <c r="H7" s="128">
        <f t="shared" ref="H7:H12" si="0">(G7/T7)*100</f>
        <v>99.528301886792448</v>
      </c>
      <c r="I7" s="123" t="s">
        <v>85</v>
      </c>
      <c r="J7" s="123" t="s">
        <v>86</v>
      </c>
      <c r="K7" s="123" t="s">
        <v>73</v>
      </c>
      <c r="L7" s="123" t="s">
        <v>87</v>
      </c>
      <c r="M7" s="123"/>
      <c r="N7" s="129" t="s">
        <v>90</v>
      </c>
      <c r="O7" s="123" t="s">
        <v>74</v>
      </c>
      <c r="P7" s="123" t="s">
        <v>91</v>
      </c>
      <c r="Q7" s="123" t="s">
        <v>89</v>
      </c>
      <c r="R7" s="125">
        <f t="shared" ref="R7:R13" si="1">COUNTA(I7:M7)+COUNTA(N7:Q7)/2</f>
        <v>6</v>
      </c>
      <c r="S7" s="27">
        <f t="shared" ref="S7:S12" si="2">F7*$D$4*$T$4</f>
        <v>726</v>
      </c>
      <c r="T7" s="28">
        <f>+H38</f>
        <v>636</v>
      </c>
      <c r="U7" s="29">
        <f t="shared" ref="U7:U12" si="3">IF(F7=0,"휴무",T7/F7)</f>
        <v>57.81818181818182</v>
      </c>
      <c r="V7" s="30">
        <f t="shared" ref="V7:V13" si="4">IFERROR(T7/S7,0)</f>
        <v>0.87603305785123964</v>
      </c>
      <c r="W7" s="31">
        <f>+K38</f>
        <v>612.48</v>
      </c>
      <c r="X7" s="29">
        <f t="shared" ref="X7:X12" si="5">IF(F7=0,"휴무",W7/F7)</f>
        <v>55.68</v>
      </c>
      <c r="Y7" s="32">
        <f t="shared" ref="Y7:Y13" si="6">IFERROR(W7/S7,0)</f>
        <v>0.84363636363636363</v>
      </c>
      <c r="Z7" s="33">
        <f t="shared" ref="Z7:Z12" si="7">IF(F7=0,"휴무",T7/S7*$Z$4)</f>
        <v>43.801652892561982</v>
      </c>
      <c r="AA7" s="34">
        <f t="shared" ref="AA7:AA12" si="8">IF(F7=0,"휴무",W7/S7*$AA$4)</f>
        <v>45.936</v>
      </c>
      <c r="AB7" s="138">
        <f t="shared" ref="AB7:AB13" si="9">IF(F7=0,"휴무",Z7+AA7)</f>
        <v>89.737652892561982</v>
      </c>
      <c r="AC7" s="35" t="str">
        <f t="shared" ref="AC7:AC13" si="10">IF(F7=0,"휴무",IF(AB7&gt;=100,"좋아요",IF(AB7&gt;=90,"90~99",IF(AB7&gt;=80,"80~89"," 사유?→"))))</f>
        <v>80~89</v>
      </c>
      <c r="AD7" s="36"/>
      <c r="AE7" s="37">
        <f>AF7-F7</f>
        <v>-11</v>
      </c>
      <c r="AF7" s="38">
        <f>AM7</f>
        <v>0</v>
      </c>
      <c r="AG7" s="183" t="s">
        <v>29</v>
      </c>
      <c r="AH7" s="39"/>
      <c r="AI7" s="40">
        <f>IFERROR(Y7/V7*1000,"")</f>
        <v>963.01886792452831</v>
      </c>
      <c r="AJ7" s="39"/>
      <c r="AK7" s="41"/>
      <c r="AL7" s="41"/>
      <c r="AM7" s="41"/>
      <c r="AO7" s="183">
        <f t="shared" ref="AO7:AO12" si="11">AN7-F7</f>
        <v>-11</v>
      </c>
      <c r="AP7" s="42"/>
    </row>
    <row r="8" spans="2:51" s="183" customFormat="1" ht="99.75" customHeight="1" x14ac:dyDescent="0.3">
      <c r="B8" s="421"/>
      <c r="C8" s="24">
        <f>+C7+1</f>
        <v>27</v>
      </c>
      <c r="D8" s="43" t="s">
        <v>30</v>
      </c>
      <c r="E8" s="26" t="s">
        <v>28</v>
      </c>
      <c r="F8" s="25">
        <v>11</v>
      </c>
      <c r="G8" s="125">
        <v>582</v>
      </c>
      <c r="H8" s="125">
        <f t="shared" si="0"/>
        <v>98.644067796610173</v>
      </c>
      <c r="I8" s="123" t="s">
        <v>85</v>
      </c>
      <c r="J8" s="123" t="s">
        <v>86</v>
      </c>
      <c r="K8" s="123" t="s">
        <v>73</v>
      </c>
      <c r="L8" s="123" t="s">
        <v>87</v>
      </c>
      <c r="M8" s="123"/>
      <c r="N8" s="129" t="s">
        <v>90</v>
      </c>
      <c r="O8" s="123" t="s">
        <v>74</v>
      </c>
      <c r="P8" s="123" t="s">
        <v>91</v>
      </c>
      <c r="Q8" s="123" t="s">
        <v>89</v>
      </c>
      <c r="R8" s="125">
        <f t="shared" si="1"/>
        <v>6</v>
      </c>
      <c r="S8" s="27">
        <f t="shared" si="2"/>
        <v>726</v>
      </c>
      <c r="T8" s="28">
        <f>+H41</f>
        <v>590</v>
      </c>
      <c r="U8" s="44">
        <f t="shared" si="3"/>
        <v>53.636363636363633</v>
      </c>
      <c r="V8" s="45">
        <f t="shared" si="4"/>
        <v>0.81267217630853994</v>
      </c>
      <c r="W8" s="46">
        <f>+K41</f>
        <v>531.36</v>
      </c>
      <c r="X8" s="29">
        <f t="shared" si="5"/>
        <v>48.305454545454545</v>
      </c>
      <c r="Y8" s="47">
        <f t="shared" si="6"/>
        <v>0.73190082644628096</v>
      </c>
      <c r="Z8" s="48">
        <f t="shared" si="7"/>
        <v>40.633608815426996</v>
      </c>
      <c r="AA8" s="49">
        <f t="shared" si="8"/>
        <v>39.852000000000004</v>
      </c>
      <c r="AB8" s="139">
        <f t="shared" si="9"/>
        <v>80.485608815427</v>
      </c>
      <c r="AC8" s="50" t="str">
        <f t="shared" si="10"/>
        <v>80~89</v>
      </c>
      <c r="AD8" s="36"/>
      <c r="AE8" s="37">
        <f>AF8-F8</f>
        <v>-11</v>
      </c>
      <c r="AF8" s="38">
        <f>AM8</f>
        <v>0</v>
      </c>
      <c r="AG8" s="183" t="s">
        <v>31</v>
      </c>
      <c r="AH8" s="39"/>
      <c r="AI8" s="40">
        <f>IFERROR(Y8/V8*1000,"")</f>
        <v>900.61016949152543</v>
      </c>
      <c r="AJ8" s="39"/>
      <c r="AK8" s="41"/>
      <c r="AL8" s="41"/>
      <c r="AM8" s="41"/>
      <c r="AO8" s="183">
        <f t="shared" si="11"/>
        <v>-11</v>
      </c>
      <c r="AP8" s="42"/>
    </row>
    <row r="9" spans="2:51" s="183" customFormat="1" ht="97.5" customHeight="1" x14ac:dyDescent="0.3">
      <c r="B9" s="421"/>
      <c r="C9" s="24">
        <f>+C8+1</f>
        <v>28</v>
      </c>
      <c r="D9" s="43" t="s">
        <v>32</v>
      </c>
      <c r="E9" s="26" t="s">
        <v>28</v>
      </c>
      <c r="F9" s="25">
        <v>11</v>
      </c>
      <c r="G9" s="125">
        <v>397</v>
      </c>
      <c r="H9" s="125">
        <f t="shared" si="0"/>
        <v>99.25</v>
      </c>
      <c r="I9" s="123" t="s">
        <v>85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91</v>
      </c>
      <c r="Q9" s="123" t="s">
        <v>89</v>
      </c>
      <c r="R9" s="125">
        <f t="shared" si="1"/>
        <v>6</v>
      </c>
      <c r="S9" s="27">
        <f t="shared" si="2"/>
        <v>726</v>
      </c>
      <c r="T9" s="51">
        <f>+H44</f>
        <v>400</v>
      </c>
      <c r="U9" s="44">
        <f t="shared" si="3"/>
        <v>36.363636363636367</v>
      </c>
      <c r="V9" s="45">
        <f t="shared" si="4"/>
        <v>0.55096418732782371</v>
      </c>
      <c r="W9" s="46">
        <f>+K44</f>
        <v>534.74</v>
      </c>
      <c r="X9" s="44">
        <f t="shared" si="5"/>
        <v>48.612727272727277</v>
      </c>
      <c r="Y9" s="47">
        <f t="shared" si="6"/>
        <v>0.73655647382920109</v>
      </c>
      <c r="Z9" s="48">
        <f t="shared" si="7"/>
        <v>27.548209366391184</v>
      </c>
      <c r="AA9" s="49">
        <f t="shared" si="8"/>
        <v>40.105499999999999</v>
      </c>
      <c r="AB9" s="139">
        <f t="shared" si="9"/>
        <v>67.653709366391183</v>
      </c>
      <c r="AC9" s="161" t="str">
        <f t="shared" si="10"/>
        <v xml:space="preserve"> 사유?→</v>
      </c>
      <c r="AD9" s="160" t="s">
        <v>113</v>
      </c>
      <c r="AE9" s="37">
        <f>AF9-F9</f>
        <v>-11</v>
      </c>
      <c r="AF9" s="38">
        <f>AM9</f>
        <v>0</v>
      </c>
      <c r="AG9" s="183" t="s">
        <v>34</v>
      </c>
      <c r="AH9" s="39"/>
      <c r="AI9" s="40">
        <f>IFERROR(Y9/V9*1000,"")</f>
        <v>1336.85</v>
      </c>
      <c r="AJ9" s="39"/>
      <c r="AK9" s="41"/>
      <c r="AL9" s="41"/>
      <c r="AM9" s="41"/>
      <c r="AO9" s="183">
        <f t="shared" si="11"/>
        <v>-11</v>
      </c>
      <c r="AP9" s="42"/>
    </row>
    <row r="10" spans="2:51" s="183" customFormat="1" ht="95.25" customHeight="1" x14ac:dyDescent="0.3">
      <c r="B10" s="421"/>
      <c r="C10" s="24">
        <f>+C9+1</f>
        <v>29</v>
      </c>
      <c r="D10" s="43" t="s">
        <v>35</v>
      </c>
      <c r="E10" s="26" t="s">
        <v>28</v>
      </c>
      <c r="F10" s="25">
        <v>11</v>
      </c>
      <c r="G10" s="125">
        <v>538</v>
      </c>
      <c r="H10" s="125">
        <f t="shared" si="0"/>
        <v>98.89705882352942</v>
      </c>
      <c r="I10" s="123" t="s">
        <v>85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74</v>
      </c>
      <c r="P10" s="123" t="s">
        <v>91</v>
      </c>
      <c r="Q10" s="123" t="s">
        <v>89</v>
      </c>
      <c r="R10" s="125">
        <f t="shared" si="1"/>
        <v>6</v>
      </c>
      <c r="S10" s="27">
        <f t="shared" si="2"/>
        <v>726</v>
      </c>
      <c r="T10" s="28">
        <f>+H47</f>
        <v>544</v>
      </c>
      <c r="U10" s="44">
        <f t="shared" si="3"/>
        <v>49.454545454545453</v>
      </c>
      <c r="V10" s="45">
        <f t="shared" si="4"/>
        <v>0.74931129476584024</v>
      </c>
      <c r="W10" s="46">
        <f>+K47</f>
        <v>478.81</v>
      </c>
      <c r="X10" s="29">
        <f t="shared" si="5"/>
        <v>43.528181818181821</v>
      </c>
      <c r="Y10" s="47">
        <f t="shared" si="6"/>
        <v>0.6595179063360882</v>
      </c>
      <c r="Z10" s="48">
        <f t="shared" si="7"/>
        <v>37.465564738292009</v>
      </c>
      <c r="AA10" s="49">
        <f t="shared" si="8"/>
        <v>35.910750000000007</v>
      </c>
      <c r="AB10" s="139">
        <f t="shared" si="9"/>
        <v>73.376314738292024</v>
      </c>
      <c r="AC10" s="161" t="str">
        <f t="shared" si="10"/>
        <v xml:space="preserve"> 사유?→</v>
      </c>
      <c r="AD10" s="160" t="s">
        <v>114</v>
      </c>
      <c r="AE10" s="37">
        <f>AF10-F10</f>
        <v>-11</v>
      </c>
      <c r="AF10" s="38">
        <f>AM10</f>
        <v>0</v>
      </c>
      <c r="AG10" s="183" t="s">
        <v>36</v>
      </c>
      <c r="AH10" s="39"/>
      <c r="AI10" s="40">
        <f>IFERROR(Y10/V10*1000,"")</f>
        <v>880.16544117647061</v>
      </c>
      <c r="AJ10" s="39"/>
      <c r="AK10" s="41"/>
      <c r="AL10" s="41"/>
      <c r="AM10" s="41"/>
      <c r="AO10" s="183">
        <f t="shared" si="11"/>
        <v>-11</v>
      </c>
      <c r="AP10" s="42"/>
    </row>
    <row r="11" spans="2:51" s="183" customFormat="1" ht="102.75" customHeight="1" x14ac:dyDescent="0.3">
      <c r="B11" s="421"/>
      <c r="C11" s="24">
        <f>+C10+1</f>
        <v>30</v>
      </c>
      <c r="D11" s="43" t="s">
        <v>37</v>
      </c>
      <c r="E11" s="26" t="s">
        <v>28</v>
      </c>
      <c r="F11" s="25">
        <v>11</v>
      </c>
      <c r="G11" s="125">
        <v>684</v>
      </c>
      <c r="H11" s="125">
        <f t="shared" si="0"/>
        <v>100</v>
      </c>
      <c r="I11" s="123" t="s">
        <v>85</v>
      </c>
      <c r="J11" s="123" t="s">
        <v>86</v>
      </c>
      <c r="K11" s="123" t="s">
        <v>73</v>
      </c>
      <c r="L11" s="123" t="s">
        <v>87</v>
      </c>
      <c r="M11" s="123"/>
      <c r="N11" s="129" t="s">
        <v>90</v>
      </c>
      <c r="O11" s="123" t="s">
        <v>74</v>
      </c>
      <c r="P11" s="123" t="s">
        <v>91</v>
      </c>
      <c r="Q11" s="123" t="s">
        <v>89</v>
      </c>
      <c r="R11" s="125">
        <f t="shared" si="1"/>
        <v>6</v>
      </c>
      <c r="S11" s="27">
        <f t="shared" si="2"/>
        <v>726</v>
      </c>
      <c r="T11" s="28">
        <f>+H50</f>
        <v>684</v>
      </c>
      <c r="U11" s="44">
        <f t="shared" si="3"/>
        <v>62.18181818181818</v>
      </c>
      <c r="V11" s="45">
        <f t="shared" si="4"/>
        <v>0.94214876033057848</v>
      </c>
      <c r="W11" s="46">
        <f>+K50</f>
        <v>608.04999999999995</v>
      </c>
      <c r="X11" s="44">
        <f t="shared" si="5"/>
        <v>55.277272727272724</v>
      </c>
      <c r="Y11" s="47">
        <f t="shared" si="6"/>
        <v>0.8375344352617079</v>
      </c>
      <c r="Z11" s="48">
        <f t="shared" si="7"/>
        <v>47.107438016528924</v>
      </c>
      <c r="AA11" s="49">
        <f t="shared" si="8"/>
        <v>45.603749999999998</v>
      </c>
      <c r="AB11" s="139">
        <f t="shared" si="9"/>
        <v>92.711188016528922</v>
      </c>
      <c r="AC11" s="50" t="str">
        <f t="shared" si="10"/>
        <v>90~99</v>
      </c>
      <c r="AD11" s="36"/>
      <c r="AE11" s="37">
        <f>AF11-F11</f>
        <v>-11</v>
      </c>
      <c r="AF11" s="38">
        <f>AM11</f>
        <v>0</v>
      </c>
      <c r="AG11" s="183" t="s">
        <v>33</v>
      </c>
      <c r="AH11" s="39"/>
      <c r="AI11" s="40">
        <f>IFERROR(Y11/V11*1000,"")</f>
        <v>888.96198830409344</v>
      </c>
      <c r="AK11" s="41"/>
      <c r="AL11" s="41"/>
      <c r="AM11" s="41"/>
      <c r="AO11" s="183">
        <f t="shared" si="11"/>
        <v>-11</v>
      </c>
      <c r="AP11" s="42"/>
    </row>
    <row r="12" spans="2:51" s="183" customFormat="1" ht="102.75" customHeight="1" x14ac:dyDescent="0.3">
      <c r="B12" s="421"/>
      <c r="C12" s="24">
        <f>+C11+1</f>
        <v>31</v>
      </c>
      <c r="D12" s="43" t="s">
        <v>38</v>
      </c>
      <c r="E12" s="26" t="s">
        <v>36</v>
      </c>
      <c r="F12" s="25">
        <v>8</v>
      </c>
      <c r="G12" s="125">
        <v>489</v>
      </c>
      <c r="H12" s="125">
        <f t="shared" si="0"/>
        <v>100</v>
      </c>
      <c r="I12" s="123" t="s">
        <v>85</v>
      </c>
      <c r="J12" s="123" t="s">
        <v>86</v>
      </c>
      <c r="K12" s="123" t="s">
        <v>73</v>
      </c>
      <c r="L12" s="123" t="s">
        <v>99</v>
      </c>
      <c r="M12" s="123"/>
      <c r="N12" s="129" t="s">
        <v>90</v>
      </c>
      <c r="O12" s="123" t="s">
        <v>74</v>
      </c>
      <c r="P12" s="123" t="s">
        <v>91</v>
      </c>
      <c r="Q12" s="123" t="s">
        <v>89</v>
      </c>
      <c r="R12" s="125">
        <f t="shared" si="1"/>
        <v>6</v>
      </c>
      <c r="S12" s="186">
        <f t="shared" si="2"/>
        <v>528</v>
      </c>
      <c r="T12" s="28">
        <f>+H53</f>
        <v>489</v>
      </c>
      <c r="U12" s="29">
        <f t="shared" si="3"/>
        <v>61.125</v>
      </c>
      <c r="V12" s="30">
        <f t="shared" si="4"/>
        <v>0.92613636363636365</v>
      </c>
      <c r="W12" s="31">
        <f>+K53</f>
        <v>335.96</v>
      </c>
      <c r="X12" s="44">
        <f t="shared" si="5"/>
        <v>41.994999999999997</v>
      </c>
      <c r="Y12" s="47">
        <f t="shared" si="6"/>
        <v>0.63628787878787874</v>
      </c>
      <c r="Z12" s="48">
        <f t="shared" si="7"/>
        <v>46.30681818181818</v>
      </c>
      <c r="AA12" s="49">
        <f t="shared" si="8"/>
        <v>34.645874999999997</v>
      </c>
      <c r="AB12" s="139">
        <f t="shared" si="9"/>
        <v>80.952693181818177</v>
      </c>
      <c r="AC12" s="50" t="str">
        <f t="shared" si="10"/>
        <v>80~89</v>
      </c>
      <c r="AD12" s="36"/>
      <c r="AE12" s="37"/>
      <c r="AF12" s="38"/>
      <c r="AH12" s="39"/>
      <c r="AI12" s="40"/>
      <c r="AK12" s="41"/>
      <c r="AL12" s="41"/>
      <c r="AM12" s="41"/>
      <c r="AO12" s="183">
        <f t="shared" si="11"/>
        <v>-8</v>
      </c>
      <c r="AP12" s="42"/>
    </row>
    <row r="13" spans="2:51" s="183" customFormat="1" ht="36" customHeight="1" x14ac:dyDescent="0.3">
      <c r="B13" s="422" t="s">
        <v>39</v>
      </c>
      <c r="C13" s="423"/>
      <c r="D13" s="423"/>
      <c r="E13" s="424"/>
      <c r="F13" s="43">
        <f>SUM(F7:F12)</f>
        <v>63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5">
        <f t="shared" si="1"/>
        <v>0</v>
      </c>
      <c r="S13" s="52">
        <f>SUM(S7:S12)</f>
        <v>4158</v>
      </c>
      <c r="T13" s="53">
        <f>SUM(T7:T12)</f>
        <v>3343</v>
      </c>
      <c r="U13" s="54">
        <f>T13/F13</f>
        <v>53.063492063492063</v>
      </c>
      <c r="V13" s="45">
        <f t="shared" si="4"/>
        <v>0.80399230399230404</v>
      </c>
      <c r="W13" s="55">
        <f>SUM(W7:W12)</f>
        <v>3101.4000000000005</v>
      </c>
      <c r="X13" s="44">
        <f>W13/F13</f>
        <v>49.228571428571435</v>
      </c>
      <c r="Y13" s="47">
        <f t="shared" si="6"/>
        <v>0.74588744588744604</v>
      </c>
      <c r="Z13" s="56">
        <f>T13/S13*Z4</f>
        <v>40.199615199615202</v>
      </c>
      <c r="AA13" s="57">
        <f>W13/S13*AA4</f>
        <v>40.61357142857144</v>
      </c>
      <c r="AB13" s="140">
        <f t="shared" si="9"/>
        <v>80.813186628186642</v>
      </c>
      <c r="AC13" s="58" t="str">
        <f t="shared" si="10"/>
        <v>80~89</v>
      </c>
      <c r="AD13" s="43"/>
      <c r="AE13" s="37">
        <f>AF13-F13</f>
        <v>-63</v>
      </c>
      <c r="AF13" s="38">
        <f>SUM(AF7:AF12)</f>
        <v>0</v>
      </c>
      <c r="AI13" s="40"/>
      <c r="AK13" s="59"/>
      <c r="AL13" s="59"/>
      <c r="AM13" s="59"/>
    </row>
    <row r="14" spans="2:51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10.5</v>
      </c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  <c r="S14" s="184"/>
      <c r="T14" s="61">
        <f>U14*F14</f>
        <v>557.16666666666663</v>
      </c>
      <c r="U14" s="62">
        <f>T13/F13</f>
        <v>53.063492063492063</v>
      </c>
      <c r="V14" s="63">
        <f>IFERROR(T14/#REF!,0)</f>
        <v>0</v>
      </c>
      <c r="W14" s="64">
        <f>W13/F13*F14</f>
        <v>516.90000000000009</v>
      </c>
      <c r="X14" s="62">
        <f>IF(F14=0,"휴무",W14/F14)</f>
        <v>49.228571428571435</v>
      </c>
      <c r="Y14" s="65">
        <f>IFERROR(W14/#REF!,0)</f>
        <v>0</v>
      </c>
      <c r="Z14" s="60">
        <f>AVERAGE(Z7:Z12)</f>
        <v>40.47721533516988</v>
      </c>
      <c r="AA14" s="60">
        <f>AVERAGE(AA7:AA12)</f>
        <v>40.342312499999998</v>
      </c>
      <c r="AB14" s="141">
        <f>Z14+AA14</f>
        <v>80.819527835169879</v>
      </c>
      <c r="AC14" s="67"/>
      <c r="AD14" s="68"/>
      <c r="AI14" s="40" t="str">
        <f>IFERROR(Y14/V14*1000,"")</f>
        <v/>
      </c>
      <c r="AK14" s="10"/>
      <c r="AL14" s="10"/>
      <c r="AM14" s="10"/>
    </row>
    <row r="15" spans="2:51" s="183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22"/>
      <c r="U15" s="10"/>
      <c r="V15" s="73">
        <f>V14*60</f>
        <v>0</v>
      </c>
      <c r="W15" s="74"/>
      <c r="X15" s="73"/>
      <c r="Y15" s="74">
        <f>Y14*40</f>
        <v>0</v>
      </c>
      <c r="AB15" s="142">
        <f>V15+Y15</f>
        <v>0</v>
      </c>
      <c r="AK15" s="59"/>
      <c r="AL15" s="59"/>
      <c r="AM15" s="59"/>
    </row>
    <row r="16" spans="2:51" ht="17.25" thickBot="1" x14ac:dyDescent="0.35">
      <c r="B16" s="70"/>
    </row>
    <row r="17" spans="2:42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2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</row>
    <row r="20" spans="2:42" x14ac:dyDescent="0.3">
      <c r="B20" t="s">
        <v>5</v>
      </c>
      <c r="D20" s="7">
        <v>55</v>
      </c>
      <c r="F20" s="8" t="s">
        <v>6</v>
      </c>
      <c r="T20" s="9">
        <v>1.2</v>
      </c>
      <c r="Z20" s="12">
        <f>Z4</f>
        <v>50</v>
      </c>
      <c r="AA20" s="11">
        <f>AA4</f>
        <v>54.45</v>
      </c>
      <c r="AB20" s="12"/>
      <c r="AD20" s="8"/>
    </row>
    <row r="21" spans="2:42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8"/>
      <c r="S21" s="439" t="s">
        <v>11</v>
      </c>
      <c r="T21" s="441" t="s">
        <v>12</v>
      </c>
      <c r="U21" s="418"/>
      <c r="V21" s="442"/>
      <c r="W21" s="446" t="s">
        <v>13</v>
      </c>
      <c r="X21" s="418"/>
      <c r="Y21" s="418"/>
      <c r="Z21" s="451" t="s">
        <v>20</v>
      </c>
      <c r="AA21" s="453" t="s">
        <v>21</v>
      </c>
      <c r="AB21" s="447" t="s">
        <v>14</v>
      </c>
      <c r="AC21" s="449" t="s">
        <v>15</v>
      </c>
      <c r="AD21" s="418" t="s">
        <v>16</v>
      </c>
    </row>
    <row r="22" spans="2:42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76</v>
      </c>
      <c r="Q22" s="18" t="s">
        <v>77</v>
      </c>
      <c r="R22" s="127" t="s">
        <v>80</v>
      </c>
      <c r="S22" s="440"/>
      <c r="T22" s="15" t="s">
        <v>12</v>
      </c>
      <c r="U22" s="16" t="s">
        <v>17</v>
      </c>
      <c r="V22" s="17" t="s">
        <v>18</v>
      </c>
      <c r="W22" s="18" t="s">
        <v>13</v>
      </c>
      <c r="X22" s="16" t="s">
        <v>19</v>
      </c>
      <c r="Y22" s="19" t="s">
        <v>18</v>
      </c>
      <c r="Z22" s="452"/>
      <c r="AA22" s="454"/>
      <c r="AB22" s="448"/>
      <c r="AC22" s="450"/>
      <c r="AD22" s="419"/>
      <c r="AE22" s="21" t="s">
        <v>22</v>
      </c>
      <c r="AF22" s="21" t="s">
        <v>23</v>
      </c>
      <c r="AI22" s="22" t="s">
        <v>24</v>
      </c>
      <c r="AK22" s="23" t="s">
        <v>25</v>
      </c>
      <c r="AL22" s="23" t="s">
        <v>26</v>
      </c>
      <c r="AM22" s="23" t="s">
        <v>27</v>
      </c>
      <c r="AO22" s="22">
        <f>SUM(AO23:AO28)</f>
        <v>-63</v>
      </c>
    </row>
    <row r="23" spans="2:42" s="183" customFormat="1" ht="99" customHeight="1" thickTop="1" x14ac:dyDescent="0.3">
      <c r="B23" s="420">
        <f>+B7</f>
        <v>1</v>
      </c>
      <c r="C23" s="24">
        <f t="shared" ref="C23:C28" si="12">+C7</f>
        <v>26</v>
      </c>
      <c r="D23" s="25" t="s">
        <v>7</v>
      </c>
      <c r="E23" s="26" t="s">
        <v>28</v>
      </c>
      <c r="F23" s="25">
        <v>11</v>
      </c>
      <c r="G23" s="128">
        <v>549</v>
      </c>
      <c r="H23" s="128">
        <f t="shared" ref="H23:H28" si="13">(G23/T23)*100</f>
        <v>98.741007194244602</v>
      </c>
      <c r="I23" s="123" t="s">
        <v>78</v>
      </c>
      <c r="J23" s="123" t="s">
        <v>88</v>
      </c>
      <c r="K23" s="123" t="s">
        <v>92</v>
      </c>
      <c r="L23" s="123" t="s">
        <v>84</v>
      </c>
      <c r="M23" s="123"/>
      <c r="N23" s="129" t="s">
        <v>90</v>
      </c>
      <c r="O23" s="123" t="s">
        <v>74</v>
      </c>
      <c r="P23" s="123" t="s">
        <v>91</v>
      </c>
      <c r="Q23" s="123" t="s">
        <v>89</v>
      </c>
      <c r="R23" s="124">
        <f t="shared" ref="R23:R28" si="14">COUNTA(I23:M23)+COUNTA(N23:Q23)/2</f>
        <v>6</v>
      </c>
      <c r="S23" s="27">
        <f t="shared" ref="S23:S28" si="15">F23*$D$4*$T$4</f>
        <v>726</v>
      </c>
      <c r="T23" s="28">
        <f>+H58</f>
        <v>556</v>
      </c>
      <c r="U23" s="29">
        <f t="shared" ref="U23:U28" si="16">IF(F23=0,"휴무",T23/F23)</f>
        <v>50.545454545454547</v>
      </c>
      <c r="V23" s="30">
        <f t="shared" ref="V23:V29" si="17">IFERROR(T23/S23,0)</f>
        <v>0.7658402203856749</v>
      </c>
      <c r="W23" s="31">
        <f>+K58</f>
        <v>597.92999999999995</v>
      </c>
      <c r="X23" s="29">
        <f t="shared" ref="X23:X28" si="18">IF(F23=0,"휴무",W23/F23)</f>
        <v>54.357272727272722</v>
      </c>
      <c r="Y23" s="32">
        <f t="shared" ref="Y23:Y29" si="19">IFERROR(W23/S23,0)</f>
        <v>0.82359504132231398</v>
      </c>
      <c r="Z23" s="33">
        <f t="shared" ref="Z23:Z28" si="20">IF(F23=0,"휴무",T23/S23*$Z$4)</f>
        <v>38.292011019283748</v>
      </c>
      <c r="AA23" s="34">
        <f t="shared" ref="AA23:AA28" si="21">IF(F23=0,"휴무",W23/S23*$AA$4)</f>
        <v>44.844749999999998</v>
      </c>
      <c r="AB23" s="138">
        <f t="shared" ref="AB23:AB29" si="22">IF(F23=0,"휴무",Z23+AA23)</f>
        <v>83.136761019283739</v>
      </c>
      <c r="AC23" s="35" t="str">
        <f t="shared" ref="AC23:AC29" si="23">IF(F23=0,"휴무",IF(AB23&gt;=100,"좋아요",IF(AB23&gt;=90,"90~99",IF(AB23&gt;=80,"80~89"," 사유?→"))))</f>
        <v>80~89</v>
      </c>
      <c r="AD23" s="36"/>
      <c r="AE23" s="37">
        <f>AF23-F23</f>
        <v>-11</v>
      </c>
      <c r="AF23" s="38">
        <f>AM23</f>
        <v>0</v>
      </c>
      <c r="AG23" s="183" t="s">
        <v>29</v>
      </c>
      <c r="AH23" s="39"/>
      <c r="AI23" s="40">
        <f>IFERROR(Y23/V23*1000,"")</f>
        <v>1075.4136690647483</v>
      </c>
      <c r="AJ23" s="39"/>
      <c r="AK23" s="41"/>
      <c r="AL23" s="41"/>
      <c r="AM23" s="41"/>
      <c r="AO23" s="183">
        <f t="shared" ref="AO23:AO28" si="24">AN23-F23</f>
        <v>-11</v>
      </c>
      <c r="AP23" s="42"/>
    </row>
    <row r="24" spans="2:42" s="183" customFormat="1" ht="99.75" customHeight="1" x14ac:dyDescent="0.3">
      <c r="B24" s="421"/>
      <c r="C24" s="24">
        <f t="shared" si="12"/>
        <v>27</v>
      </c>
      <c r="D24" s="43" t="s">
        <v>30</v>
      </c>
      <c r="E24" s="26" t="s">
        <v>28</v>
      </c>
      <c r="F24" s="25">
        <v>11</v>
      </c>
      <c r="G24" s="125">
        <v>332</v>
      </c>
      <c r="H24" s="125">
        <f t="shared" si="13"/>
        <v>60.473588342440799</v>
      </c>
      <c r="I24" s="123" t="s">
        <v>78</v>
      </c>
      <c r="J24" s="123" t="s">
        <v>88</v>
      </c>
      <c r="K24" s="123" t="s">
        <v>92</v>
      </c>
      <c r="L24" s="123" t="s">
        <v>84</v>
      </c>
      <c r="M24" s="123"/>
      <c r="N24" s="129" t="s">
        <v>90</v>
      </c>
      <c r="O24" s="123" t="s">
        <v>74</v>
      </c>
      <c r="P24" s="123" t="s">
        <v>91</v>
      </c>
      <c r="Q24" s="123" t="s">
        <v>89</v>
      </c>
      <c r="R24" s="124">
        <f t="shared" si="14"/>
        <v>6</v>
      </c>
      <c r="S24" s="27">
        <f t="shared" si="15"/>
        <v>726</v>
      </c>
      <c r="T24" s="28">
        <f>+H61</f>
        <v>549</v>
      </c>
      <c r="U24" s="44">
        <f t="shared" si="16"/>
        <v>49.909090909090907</v>
      </c>
      <c r="V24" s="45">
        <f t="shared" si="17"/>
        <v>0.75619834710743805</v>
      </c>
      <c r="W24" s="46">
        <f>+K61</f>
        <v>508.49</v>
      </c>
      <c r="X24" s="29">
        <f t="shared" si="18"/>
        <v>46.226363636363637</v>
      </c>
      <c r="Y24" s="47">
        <f t="shared" si="19"/>
        <v>0.70039944903581264</v>
      </c>
      <c r="Z24" s="48">
        <f t="shared" si="20"/>
        <v>37.809917355371901</v>
      </c>
      <c r="AA24" s="49">
        <f t="shared" si="21"/>
        <v>38.136749999999999</v>
      </c>
      <c r="AB24" s="139">
        <f t="shared" si="22"/>
        <v>75.9466673553719</v>
      </c>
      <c r="AC24" s="195" t="str">
        <f t="shared" si="23"/>
        <v xml:space="preserve"> 사유?→</v>
      </c>
      <c r="AD24" s="160" t="s">
        <v>112</v>
      </c>
      <c r="AE24" s="37">
        <f>AF24-F24</f>
        <v>-11</v>
      </c>
      <c r="AF24" s="38">
        <f>AM24</f>
        <v>0</v>
      </c>
      <c r="AG24" s="183" t="s">
        <v>34</v>
      </c>
      <c r="AH24" s="39"/>
      <c r="AI24" s="40">
        <f>IFERROR(Y24/V24*1000,"")</f>
        <v>926.21129326047344</v>
      </c>
      <c r="AJ24" s="39"/>
      <c r="AK24" s="41"/>
      <c r="AL24" s="41"/>
      <c r="AM24" s="41"/>
      <c r="AO24" s="183">
        <f t="shared" si="24"/>
        <v>-11</v>
      </c>
      <c r="AP24" s="42"/>
    </row>
    <row r="25" spans="2:42" s="183" customFormat="1" ht="97.5" customHeight="1" x14ac:dyDescent="0.3">
      <c r="B25" s="421"/>
      <c r="C25" s="24">
        <f t="shared" si="12"/>
        <v>28</v>
      </c>
      <c r="D25" s="43" t="s">
        <v>32</v>
      </c>
      <c r="E25" s="26" t="s">
        <v>28</v>
      </c>
      <c r="F25" s="25">
        <v>11</v>
      </c>
      <c r="G25" s="124">
        <v>455</v>
      </c>
      <c r="H25" s="124">
        <f t="shared" si="13"/>
        <v>67.307692307692307</v>
      </c>
      <c r="I25" s="123" t="s">
        <v>78</v>
      </c>
      <c r="J25" s="123" t="s">
        <v>88</v>
      </c>
      <c r="K25" s="123" t="s">
        <v>92</v>
      </c>
      <c r="L25" s="123" t="s">
        <v>84</v>
      </c>
      <c r="M25" s="123"/>
      <c r="N25" s="129" t="s">
        <v>90</v>
      </c>
      <c r="O25" s="123" t="s">
        <v>74</v>
      </c>
      <c r="P25" s="123" t="s">
        <v>91</v>
      </c>
      <c r="Q25" s="123" t="s">
        <v>89</v>
      </c>
      <c r="R25" s="124">
        <f t="shared" si="14"/>
        <v>6</v>
      </c>
      <c r="S25" s="27">
        <f t="shared" si="15"/>
        <v>726</v>
      </c>
      <c r="T25" s="28">
        <f>+H64</f>
        <v>676</v>
      </c>
      <c r="U25" s="44">
        <f t="shared" si="16"/>
        <v>61.454545454545453</v>
      </c>
      <c r="V25" s="45">
        <f t="shared" si="17"/>
        <v>0.93112947658402201</v>
      </c>
      <c r="W25" s="46">
        <f>+K64</f>
        <v>528.5</v>
      </c>
      <c r="X25" s="29">
        <f t="shared" si="18"/>
        <v>48.045454545454547</v>
      </c>
      <c r="Y25" s="47">
        <f t="shared" si="19"/>
        <v>0.72796143250688705</v>
      </c>
      <c r="Z25" s="48">
        <f t="shared" si="20"/>
        <v>46.556473829201103</v>
      </c>
      <c r="AA25" s="49">
        <f t="shared" si="21"/>
        <v>39.637500000000003</v>
      </c>
      <c r="AB25" s="139">
        <f t="shared" si="22"/>
        <v>86.193973829201099</v>
      </c>
      <c r="AC25" s="50" t="str">
        <f t="shared" si="23"/>
        <v>80~89</v>
      </c>
      <c r="AD25" s="36"/>
      <c r="AE25" s="37">
        <f>AF25-F25</f>
        <v>-11</v>
      </c>
      <c r="AF25" s="38">
        <f>AM25</f>
        <v>0</v>
      </c>
      <c r="AG25" s="183" t="s">
        <v>36</v>
      </c>
      <c r="AH25" s="39"/>
      <c r="AI25" s="40">
        <f>IFERROR(Y25/V25*1000,"")</f>
        <v>781.80473372781069</v>
      </c>
      <c r="AJ25" s="39"/>
      <c r="AK25" s="41"/>
      <c r="AL25" s="41"/>
      <c r="AM25" s="41"/>
      <c r="AO25" s="183">
        <f t="shared" si="24"/>
        <v>-11</v>
      </c>
      <c r="AP25" s="42"/>
    </row>
    <row r="26" spans="2:42" s="183" customFormat="1" ht="115.5" customHeight="1" x14ac:dyDescent="0.3">
      <c r="B26" s="421"/>
      <c r="C26" s="24">
        <f t="shared" si="12"/>
        <v>29</v>
      </c>
      <c r="D26" s="43" t="s">
        <v>35</v>
      </c>
      <c r="E26" s="26" t="s">
        <v>28</v>
      </c>
      <c r="F26" s="25">
        <v>11</v>
      </c>
      <c r="G26" s="124">
        <v>678</v>
      </c>
      <c r="H26" s="124">
        <f t="shared" si="13"/>
        <v>96.718972895863047</v>
      </c>
      <c r="I26" s="123" t="s">
        <v>78</v>
      </c>
      <c r="J26" s="123" t="s">
        <v>88</v>
      </c>
      <c r="K26" s="123" t="s">
        <v>92</v>
      </c>
      <c r="L26" s="123" t="s">
        <v>84</v>
      </c>
      <c r="M26" s="123"/>
      <c r="N26" s="129" t="s">
        <v>90</v>
      </c>
      <c r="O26" s="123" t="s">
        <v>74</v>
      </c>
      <c r="P26" s="123" t="s">
        <v>91</v>
      </c>
      <c r="Q26" s="123" t="s">
        <v>89</v>
      </c>
      <c r="R26" s="124">
        <f t="shared" si="14"/>
        <v>6</v>
      </c>
      <c r="S26" s="27">
        <f t="shared" si="15"/>
        <v>726</v>
      </c>
      <c r="T26" s="28">
        <f>+H67</f>
        <v>701</v>
      </c>
      <c r="U26" s="44">
        <f t="shared" si="16"/>
        <v>63.727272727272727</v>
      </c>
      <c r="V26" s="45">
        <f t="shared" si="17"/>
        <v>0.96556473829201106</v>
      </c>
      <c r="W26" s="46">
        <f>+K67</f>
        <v>609.98</v>
      </c>
      <c r="X26" s="44">
        <f t="shared" si="18"/>
        <v>55.452727272727273</v>
      </c>
      <c r="Y26" s="47">
        <f t="shared" si="19"/>
        <v>0.84019283746556472</v>
      </c>
      <c r="Z26" s="48">
        <f t="shared" si="20"/>
        <v>48.278236914600555</v>
      </c>
      <c r="AA26" s="49">
        <f t="shared" si="21"/>
        <v>45.7485</v>
      </c>
      <c r="AB26" s="139">
        <f t="shared" si="22"/>
        <v>94.026736914600548</v>
      </c>
      <c r="AC26" s="50" t="str">
        <f t="shared" si="23"/>
        <v>90~99</v>
      </c>
      <c r="AD26" s="36"/>
      <c r="AE26" s="37">
        <f>AF26-F26</f>
        <v>-11</v>
      </c>
      <c r="AF26" s="38">
        <f>AM26</f>
        <v>0</v>
      </c>
      <c r="AG26" s="183" t="s">
        <v>33</v>
      </c>
      <c r="AH26" s="39"/>
      <c r="AI26" s="40">
        <f>IFERROR(Y26/V26*1000,"")</f>
        <v>870.15691868758915</v>
      </c>
      <c r="AJ26" s="39"/>
      <c r="AK26" s="41"/>
      <c r="AL26" s="41"/>
      <c r="AM26" s="41"/>
      <c r="AO26" s="183">
        <f t="shared" si="24"/>
        <v>-11</v>
      </c>
      <c r="AP26" s="42"/>
    </row>
    <row r="27" spans="2:42" s="183" customFormat="1" ht="104.25" customHeight="1" x14ac:dyDescent="0.3">
      <c r="B27" s="421"/>
      <c r="C27" s="24">
        <f t="shared" si="12"/>
        <v>30</v>
      </c>
      <c r="D27" s="43" t="s">
        <v>37</v>
      </c>
      <c r="E27" s="26" t="s">
        <v>28</v>
      </c>
      <c r="F27" s="25">
        <v>11</v>
      </c>
      <c r="G27" s="125">
        <v>715</v>
      </c>
      <c r="H27" s="130">
        <f t="shared" si="13"/>
        <v>98.756906077348063</v>
      </c>
      <c r="I27" s="123" t="s">
        <v>78</v>
      </c>
      <c r="J27" s="123" t="s">
        <v>88</v>
      </c>
      <c r="K27" s="123" t="s">
        <v>92</v>
      </c>
      <c r="L27" s="123" t="s">
        <v>84</v>
      </c>
      <c r="M27" s="123"/>
      <c r="N27" s="129" t="s">
        <v>90</v>
      </c>
      <c r="O27" s="123" t="s">
        <v>74</v>
      </c>
      <c r="P27" s="123" t="s">
        <v>91</v>
      </c>
      <c r="Q27" s="123" t="s">
        <v>89</v>
      </c>
      <c r="R27" s="125">
        <f t="shared" si="14"/>
        <v>6</v>
      </c>
      <c r="S27" s="27">
        <f t="shared" si="15"/>
        <v>726</v>
      </c>
      <c r="T27" s="28">
        <f>+H70</f>
        <v>724</v>
      </c>
      <c r="U27" s="44">
        <f t="shared" si="16"/>
        <v>65.818181818181813</v>
      </c>
      <c r="V27" s="45">
        <f t="shared" si="17"/>
        <v>0.99724517906336085</v>
      </c>
      <c r="W27" s="46">
        <f>+K70</f>
        <v>545.86000000000013</v>
      </c>
      <c r="X27" s="44">
        <f t="shared" si="18"/>
        <v>49.623636363636372</v>
      </c>
      <c r="Y27" s="47">
        <f t="shared" si="19"/>
        <v>0.75187327823691474</v>
      </c>
      <c r="Z27" s="48">
        <f t="shared" si="20"/>
        <v>49.862258953168045</v>
      </c>
      <c r="AA27" s="49">
        <f t="shared" si="21"/>
        <v>40.93950000000001</v>
      </c>
      <c r="AB27" s="139">
        <f t="shared" si="22"/>
        <v>90.801758953168047</v>
      </c>
      <c r="AC27" s="50" t="str">
        <f t="shared" si="23"/>
        <v>90~99</v>
      </c>
      <c r="AD27" s="36"/>
      <c r="AE27" s="37">
        <f>AF27-F27</f>
        <v>-11</v>
      </c>
      <c r="AF27" s="38">
        <f>AM27</f>
        <v>0</v>
      </c>
      <c r="AG27" s="183" t="s">
        <v>46</v>
      </c>
      <c r="AH27" s="39"/>
      <c r="AI27" s="40">
        <f>IFERROR(Y27/V27*1000,"")</f>
        <v>753.95027624309409</v>
      </c>
      <c r="AK27" s="41"/>
      <c r="AL27" s="41"/>
      <c r="AM27" s="41"/>
      <c r="AO27" s="183">
        <f t="shared" si="24"/>
        <v>-11</v>
      </c>
      <c r="AP27" s="42"/>
    </row>
    <row r="28" spans="2:42" s="183" customFormat="1" ht="104.25" customHeight="1" x14ac:dyDescent="0.3">
      <c r="B28" s="421"/>
      <c r="C28" s="24">
        <f t="shared" si="12"/>
        <v>31</v>
      </c>
      <c r="D28" s="43" t="s">
        <v>47</v>
      </c>
      <c r="E28" s="26" t="s">
        <v>36</v>
      </c>
      <c r="F28" s="25">
        <v>8</v>
      </c>
      <c r="G28" s="124">
        <v>429</v>
      </c>
      <c r="H28" s="124">
        <f t="shared" si="13"/>
        <v>97.278911564625844</v>
      </c>
      <c r="I28" s="123" t="s">
        <v>78</v>
      </c>
      <c r="J28" s="123" t="s">
        <v>88</v>
      </c>
      <c r="K28" s="123" t="s">
        <v>92</v>
      </c>
      <c r="L28" s="123" t="s">
        <v>84</v>
      </c>
      <c r="M28" s="123"/>
      <c r="N28" s="129" t="s">
        <v>90</v>
      </c>
      <c r="O28" s="123" t="s">
        <v>74</v>
      </c>
      <c r="P28" s="123" t="s">
        <v>91</v>
      </c>
      <c r="Q28" s="123" t="s">
        <v>89</v>
      </c>
      <c r="R28" s="124">
        <f t="shared" si="14"/>
        <v>6</v>
      </c>
      <c r="S28" s="186">
        <f t="shared" si="15"/>
        <v>528</v>
      </c>
      <c r="T28" s="28">
        <f>+H73</f>
        <v>441</v>
      </c>
      <c r="U28" s="29">
        <f t="shared" si="16"/>
        <v>55.125</v>
      </c>
      <c r="V28" s="30">
        <f t="shared" si="17"/>
        <v>0.83522727272727271</v>
      </c>
      <c r="W28" s="31">
        <f>+K73</f>
        <v>513.03</v>
      </c>
      <c r="X28" s="44">
        <f t="shared" si="18"/>
        <v>64.128749999999997</v>
      </c>
      <c r="Y28" s="47">
        <f t="shared" si="19"/>
        <v>0.97164772727272719</v>
      </c>
      <c r="Z28" s="48">
        <f t="shared" si="20"/>
        <v>41.761363636363633</v>
      </c>
      <c r="AA28" s="49">
        <f t="shared" si="21"/>
        <v>52.906218750000001</v>
      </c>
      <c r="AB28" s="139">
        <f t="shared" si="22"/>
        <v>94.667582386363634</v>
      </c>
      <c r="AC28" s="50" t="str">
        <f t="shared" si="23"/>
        <v>90~99</v>
      </c>
      <c r="AD28" s="36"/>
      <c r="AE28" s="37"/>
      <c r="AF28" s="38"/>
      <c r="AH28" s="39"/>
      <c r="AI28" s="40"/>
      <c r="AK28" s="41"/>
      <c r="AL28" s="41"/>
      <c r="AM28" s="41"/>
      <c r="AO28" s="183">
        <f t="shared" si="24"/>
        <v>-8</v>
      </c>
      <c r="AP28" s="42"/>
    </row>
    <row r="29" spans="2:42" s="183" customFormat="1" ht="36" customHeight="1" x14ac:dyDescent="0.3">
      <c r="B29" s="422" t="s">
        <v>39</v>
      </c>
      <c r="C29" s="423"/>
      <c r="D29" s="423"/>
      <c r="E29" s="424"/>
      <c r="F29" s="43">
        <f>SUM(F23:F28)</f>
        <v>63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6"/>
      <c r="S29" s="52">
        <f>SUM(S23:S28)</f>
        <v>4158</v>
      </c>
      <c r="T29" s="53">
        <f>SUM(T23:T28)</f>
        <v>3647</v>
      </c>
      <c r="U29" s="54">
        <f>T29/F29</f>
        <v>57.888888888888886</v>
      </c>
      <c r="V29" s="45">
        <f t="shared" si="17"/>
        <v>0.87710437710437705</v>
      </c>
      <c r="W29" s="55">
        <f>SUM(W23:W28)</f>
        <v>3303.79</v>
      </c>
      <c r="X29" s="44">
        <f>W29/F29</f>
        <v>52.441111111111113</v>
      </c>
      <c r="Y29" s="47">
        <f t="shared" si="19"/>
        <v>0.79456228956228958</v>
      </c>
      <c r="Z29" s="56">
        <f>T29/S29*Z20</f>
        <v>43.855218855218851</v>
      </c>
      <c r="AA29" s="57">
        <f>W29/S29*AA20</f>
        <v>43.263916666666667</v>
      </c>
      <c r="AB29" s="140">
        <f t="shared" si="22"/>
        <v>87.119135521885511</v>
      </c>
      <c r="AC29" s="58" t="str">
        <f t="shared" si="23"/>
        <v>80~89</v>
      </c>
      <c r="AD29" s="43"/>
      <c r="AE29" s="37">
        <f>AF29-F29</f>
        <v>-63</v>
      </c>
      <c r="AF29" s="38">
        <f>SUM(AF23:AF28)</f>
        <v>0</v>
      </c>
      <c r="AI29" s="40"/>
      <c r="AK29" s="59"/>
      <c r="AL29" s="59"/>
      <c r="AM29" s="59"/>
    </row>
    <row r="30" spans="2:42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10.5</v>
      </c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61">
        <f>U30*F30</f>
        <v>607.83333333333326</v>
      </c>
      <c r="U30" s="62">
        <f>T29/F29</f>
        <v>57.888888888888886</v>
      </c>
      <c r="V30" s="63">
        <f>IFERROR(T30/#REF!,0)</f>
        <v>0</v>
      </c>
      <c r="W30" s="64">
        <f>W29/F29*F30</f>
        <v>550.63166666666666</v>
      </c>
      <c r="X30" s="62">
        <f>IF(F30=0,"휴무",W30/F30)</f>
        <v>52.441111111111113</v>
      </c>
      <c r="Y30" s="65">
        <f>IFERROR(W30/#REF!,0)</f>
        <v>0</v>
      </c>
      <c r="Z30" s="60">
        <f>AVERAGE(Z23:Z28)</f>
        <v>43.760043617998171</v>
      </c>
      <c r="AA30" s="60">
        <f>AVERAGE(AA23:AA28)</f>
        <v>43.702203125000004</v>
      </c>
      <c r="AB30" s="141">
        <f>Z30+AA30</f>
        <v>87.462246742998175</v>
      </c>
      <c r="AC30" s="67"/>
      <c r="AD30" s="68"/>
      <c r="AI30" s="40" t="str">
        <f>IFERROR(Y30/V30*1000,"")</f>
        <v/>
      </c>
      <c r="AK30" s="10"/>
      <c r="AL30" s="10"/>
      <c r="AM30" s="10"/>
    </row>
    <row r="31" spans="2:42" s="183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22"/>
      <c r="U31" s="10"/>
      <c r="V31" s="73">
        <f>V30*60</f>
        <v>0</v>
      </c>
      <c r="W31" s="74"/>
      <c r="X31" s="73"/>
      <c r="Y31" s="74">
        <f>Y30*40</f>
        <v>0</v>
      </c>
      <c r="Z31" s="81"/>
      <c r="AA31" s="81"/>
      <c r="AB31" s="142">
        <f>V31+Y31</f>
        <v>0</v>
      </c>
      <c r="AK31" s="59"/>
      <c r="AL31" s="59"/>
      <c r="AM31" s="59"/>
    </row>
    <row r="32" spans="2:42" x14ac:dyDescent="0.3">
      <c r="B32" s="120" t="s">
        <v>67</v>
      </c>
      <c r="U32" s="10">
        <v>8.8000000000000007</v>
      </c>
    </row>
    <row r="33" spans="2:42" ht="17.25" thickBot="1" x14ac:dyDescent="0.35">
      <c r="B33" s="70"/>
    </row>
    <row r="34" spans="2:42" ht="17.25" thickBot="1" x14ac:dyDescent="0.35">
      <c r="B34" s="76" t="s">
        <v>42</v>
      </c>
      <c r="C34" s="77"/>
      <c r="D34" s="78" t="s">
        <v>43</v>
      </c>
      <c r="E34" s="78"/>
      <c r="F34" s="79"/>
      <c r="X34" s="10">
        <v>50</v>
      </c>
    </row>
    <row r="36" spans="2:42" s="10" customFormat="1" x14ac:dyDescent="0.3">
      <c r="B36"/>
      <c r="C36"/>
      <c r="D36"/>
      <c r="E36" s="455">
        <f>+C7</f>
        <v>26</v>
      </c>
      <c r="F36" s="455" t="s">
        <v>7</v>
      </c>
      <c r="G36" s="82" t="s">
        <v>48</v>
      </c>
      <c r="H36" s="83">
        <v>636</v>
      </c>
      <c r="I36" s="84"/>
      <c r="J36" s="85"/>
      <c r="K36" s="86">
        <v>612.48</v>
      </c>
      <c r="L36" s="135"/>
      <c r="N36" s="136"/>
      <c r="O36" s="136"/>
      <c r="P36" s="136"/>
      <c r="Q36" s="136"/>
      <c r="R36" s="136"/>
      <c r="S36" s="136"/>
      <c r="Y36"/>
      <c r="Z36"/>
      <c r="AA36"/>
      <c r="AB36"/>
      <c r="AC36"/>
      <c r="AD36"/>
      <c r="AE36"/>
      <c r="AF36"/>
      <c r="AG36"/>
      <c r="AH36"/>
      <c r="AI36"/>
      <c r="AJ36"/>
      <c r="AK36" s="1"/>
      <c r="AL36" s="1"/>
      <c r="AM36" s="1"/>
      <c r="AN36"/>
      <c r="AO36"/>
      <c r="AP36"/>
    </row>
    <row r="37" spans="2:42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Y37"/>
      <c r="Z37"/>
      <c r="AA37"/>
      <c r="AB37"/>
      <c r="AC37"/>
      <c r="AD37"/>
      <c r="AE37"/>
      <c r="AF37"/>
      <c r="AG37"/>
      <c r="AH37"/>
      <c r="AI37"/>
      <c r="AJ37"/>
      <c r="AK37" s="1"/>
      <c r="AL37" s="1"/>
      <c r="AM37" s="1"/>
      <c r="AN37"/>
      <c r="AO37"/>
      <c r="AP37"/>
    </row>
    <row r="38" spans="2:42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636</v>
      </c>
      <c r="I38" s="88"/>
      <c r="J38" s="89"/>
      <c r="K38" s="90">
        <f>+K36+K37*2</f>
        <v>612.48</v>
      </c>
      <c r="L38" s="135"/>
      <c r="N38" s="136"/>
      <c r="O38" s="136"/>
      <c r="P38" s="136"/>
      <c r="Q38" s="136"/>
      <c r="R38" s="136"/>
      <c r="S38" s="136"/>
      <c r="Y38"/>
      <c r="Z38"/>
      <c r="AA38"/>
      <c r="AB38"/>
      <c r="AC38"/>
      <c r="AD38"/>
      <c r="AE38"/>
      <c r="AF38"/>
      <c r="AG38"/>
      <c r="AH38"/>
      <c r="AI38"/>
      <c r="AJ38"/>
      <c r="AK38" s="1"/>
      <c r="AL38" s="1"/>
      <c r="AM38" s="1"/>
      <c r="AN38"/>
      <c r="AO38"/>
      <c r="AP38"/>
    </row>
    <row r="39" spans="2:42" s="10" customFormat="1" x14ac:dyDescent="0.3">
      <c r="B39"/>
      <c r="C39"/>
      <c r="D39"/>
      <c r="E39" s="455">
        <f>+C8</f>
        <v>27</v>
      </c>
      <c r="F39" s="455" t="s">
        <v>52</v>
      </c>
      <c r="G39" s="82" t="s">
        <v>48</v>
      </c>
      <c r="H39" s="83">
        <v>590</v>
      </c>
      <c r="I39" s="84"/>
      <c r="J39" s="85"/>
      <c r="K39" s="86">
        <v>531.36</v>
      </c>
      <c r="L39" s="135"/>
      <c r="N39" s="136"/>
      <c r="O39" s="136"/>
      <c r="P39" s="136"/>
      <c r="Q39" s="136"/>
      <c r="R39" s="136"/>
      <c r="S39" s="136"/>
      <c r="Y39"/>
      <c r="Z39"/>
      <c r="AA39"/>
      <c r="AB39"/>
      <c r="AC39"/>
      <c r="AD39"/>
      <c r="AE39"/>
      <c r="AF39"/>
      <c r="AG39"/>
      <c r="AH39"/>
      <c r="AI39"/>
      <c r="AJ39"/>
      <c r="AK39" s="1"/>
      <c r="AL39" s="1"/>
      <c r="AM39" s="1"/>
      <c r="AN39"/>
      <c r="AO39"/>
      <c r="AP39"/>
    </row>
    <row r="40" spans="2:42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Y40"/>
      <c r="Z40"/>
      <c r="AA40"/>
      <c r="AB40"/>
      <c r="AC40"/>
      <c r="AD40"/>
      <c r="AE40"/>
      <c r="AF40"/>
      <c r="AG40"/>
      <c r="AH40"/>
      <c r="AI40"/>
      <c r="AJ40"/>
      <c r="AK40" s="1"/>
      <c r="AL40" s="1"/>
      <c r="AM40" s="1"/>
      <c r="AN40"/>
      <c r="AO40"/>
      <c r="AP40"/>
    </row>
    <row r="41" spans="2:42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590</v>
      </c>
      <c r="I41" s="88"/>
      <c r="J41" s="89"/>
      <c r="K41" s="90">
        <f>+K39+K40*2</f>
        <v>531.36</v>
      </c>
      <c r="L41" s="135"/>
      <c r="N41" s="136"/>
      <c r="O41" s="136"/>
      <c r="P41" s="136"/>
      <c r="Q41" s="136"/>
      <c r="R41" s="136"/>
      <c r="S41" s="136"/>
      <c r="Y41"/>
      <c r="Z41"/>
      <c r="AA41"/>
      <c r="AB41"/>
      <c r="AC41"/>
      <c r="AD41"/>
      <c r="AE41"/>
      <c r="AF41"/>
      <c r="AG41"/>
      <c r="AH41"/>
      <c r="AI41"/>
      <c r="AJ41"/>
      <c r="AK41" s="1"/>
      <c r="AL41" s="1"/>
      <c r="AM41" s="1"/>
      <c r="AN41"/>
      <c r="AO41"/>
      <c r="AP41"/>
    </row>
    <row r="42" spans="2:42" s="10" customFormat="1" x14ac:dyDescent="0.3">
      <c r="B42"/>
      <c r="C42"/>
      <c r="D42"/>
      <c r="E42" s="455">
        <f>+C9</f>
        <v>28</v>
      </c>
      <c r="F42" s="455" t="s">
        <v>53</v>
      </c>
      <c r="G42" s="82" t="s">
        <v>48</v>
      </c>
      <c r="H42" s="83">
        <v>400</v>
      </c>
      <c r="I42" s="84"/>
      <c r="J42" s="85"/>
      <c r="K42" s="86">
        <v>534.74</v>
      </c>
      <c r="L42" s="135"/>
      <c r="N42" s="136"/>
      <c r="O42" s="136"/>
      <c r="P42" s="136"/>
      <c r="Q42" s="136"/>
      <c r="R42" s="136"/>
      <c r="S42" s="136"/>
      <c r="Y42"/>
      <c r="Z42"/>
      <c r="AA42"/>
      <c r="AB42"/>
      <c r="AC42"/>
      <c r="AD42"/>
      <c r="AE42"/>
      <c r="AF42"/>
      <c r="AG42"/>
      <c r="AH42"/>
      <c r="AI42"/>
      <c r="AJ42"/>
      <c r="AK42" s="1"/>
      <c r="AL42" s="1"/>
      <c r="AM42" s="1"/>
      <c r="AN42"/>
      <c r="AO42"/>
      <c r="AP42"/>
    </row>
    <row r="43" spans="2:42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Y43"/>
      <c r="Z43"/>
      <c r="AA43"/>
      <c r="AB43"/>
      <c r="AC43"/>
      <c r="AD43"/>
      <c r="AE43"/>
      <c r="AF43"/>
      <c r="AG43"/>
      <c r="AH43"/>
      <c r="AI43"/>
      <c r="AJ43"/>
      <c r="AK43" s="1"/>
      <c r="AL43" s="1"/>
      <c r="AM43" s="1"/>
      <c r="AN43"/>
      <c r="AO43"/>
      <c r="AP43"/>
    </row>
    <row r="44" spans="2:42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400</v>
      </c>
      <c r="I44" s="88"/>
      <c r="J44" s="89"/>
      <c r="K44" s="90">
        <f>+K42+K43*2</f>
        <v>534.74</v>
      </c>
      <c r="L44" s="137" t="s">
        <v>54</v>
      </c>
      <c r="N44" s="136"/>
      <c r="O44" s="136"/>
      <c r="P44" s="136"/>
      <c r="Q44" s="136"/>
      <c r="R44" s="136"/>
      <c r="S44" s="136"/>
      <c r="Y44"/>
      <c r="Z44"/>
      <c r="AA44"/>
      <c r="AB44"/>
      <c r="AC44"/>
      <c r="AE44"/>
      <c r="AF44"/>
      <c r="AG44"/>
      <c r="AH44"/>
      <c r="AI44"/>
      <c r="AJ44"/>
      <c r="AK44" s="1"/>
      <c r="AL44" s="1"/>
      <c r="AM44" s="1"/>
      <c r="AN44"/>
      <c r="AO44"/>
      <c r="AP44"/>
    </row>
    <row r="45" spans="2:42" s="10" customFormat="1" x14ac:dyDescent="0.3">
      <c r="B45"/>
      <c r="C45"/>
      <c r="D45"/>
      <c r="E45" s="455">
        <f>+C10</f>
        <v>29</v>
      </c>
      <c r="F45" s="455" t="s">
        <v>55</v>
      </c>
      <c r="G45" s="82" t="s">
        <v>48</v>
      </c>
      <c r="H45" s="83">
        <v>544</v>
      </c>
      <c r="I45" s="84"/>
      <c r="J45" s="85"/>
      <c r="K45" s="86">
        <v>478.81</v>
      </c>
      <c r="L45" s="135"/>
      <c r="N45" s="136"/>
      <c r="O45" s="136"/>
      <c r="P45" s="136"/>
      <c r="Q45" s="136"/>
      <c r="R45" s="136"/>
      <c r="S45" s="136"/>
      <c r="Y45"/>
      <c r="Z45"/>
      <c r="AA45"/>
      <c r="AB45"/>
      <c r="AC45"/>
      <c r="AD45"/>
      <c r="AE45"/>
      <c r="AF45"/>
      <c r="AG45"/>
      <c r="AH45"/>
      <c r="AI45"/>
      <c r="AJ45"/>
      <c r="AK45" s="1"/>
      <c r="AL45" s="1"/>
      <c r="AM45" s="1"/>
      <c r="AN45"/>
      <c r="AO45"/>
      <c r="AP45"/>
    </row>
    <row r="46" spans="2:42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Y46"/>
      <c r="Z46"/>
      <c r="AA46"/>
      <c r="AB46"/>
      <c r="AC46"/>
      <c r="AD46"/>
      <c r="AE46"/>
      <c r="AF46"/>
      <c r="AG46"/>
      <c r="AH46"/>
      <c r="AI46"/>
      <c r="AJ46"/>
      <c r="AK46" s="1"/>
      <c r="AL46" s="1"/>
      <c r="AM46" s="1"/>
      <c r="AN46"/>
      <c r="AO46"/>
      <c r="AP46"/>
    </row>
    <row r="47" spans="2:42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544</v>
      </c>
      <c r="I47" s="88"/>
      <c r="J47" s="89"/>
      <c r="K47" s="90">
        <f>+K45+K46*2</f>
        <v>478.81</v>
      </c>
      <c r="L47" s="135"/>
      <c r="N47" s="136"/>
      <c r="O47" s="136"/>
      <c r="P47" s="136"/>
      <c r="Q47" s="136"/>
      <c r="R47" s="136"/>
      <c r="S47" s="136"/>
      <c r="Y47"/>
      <c r="Z47"/>
      <c r="AA47"/>
      <c r="AB47"/>
      <c r="AC47"/>
      <c r="AD47"/>
      <c r="AE47"/>
      <c r="AF47"/>
      <c r="AG47"/>
      <c r="AH47"/>
      <c r="AI47"/>
      <c r="AJ47"/>
      <c r="AK47" s="1"/>
      <c r="AL47" s="1"/>
      <c r="AM47" s="1"/>
      <c r="AN47"/>
      <c r="AO47"/>
      <c r="AP47"/>
    </row>
    <row r="48" spans="2:42" s="10" customFormat="1" x14ac:dyDescent="0.3">
      <c r="B48"/>
      <c r="C48"/>
      <c r="D48"/>
      <c r="E48" s="455">
        <f>+C11</f>
        <v>30</v>
      </c>
      <c r="F48" s="455" t="s">
        <v>56</v>
      </c>
      <c r="G48" s="82" t="s">
        <v>48</v>
      </c>
      <c r="H48" s="83">
        <v>684</v>
      </c>
      <c r="I48" s="84"/>
      <c r="J48" s="85"/>
      <c r="K48" s="86">
        <v>608.04999999999995</v>
      </c>
      <c r="L48" s="135"/>
      <c r="N48" s="136"/>
      <c r="O48" s="136"/>
      <c r="P48" s="136"/>
      <c r="Q48" s="136"/>
      <c r="R48" s="136"/>
      <c r="S48" s="136"/>
      <c r="Y48"/>
      <c r="Z48"/>
      <c r="AA48"/>
      <c r="AB48"/>
      <c r="AC48"/>
      <c r="AD48"/>
      <c r="AE48"/>
      <c r="AF48"/>
      <c r="AG48"/>
      <c r="AH48"/>
      <c r="AI48"/>
      <c r="AJ48"/>
      <c r="AK48" s="1"/>
      <c r="AL48" s="1"/>
      <c r="AM48" s="1"/>
      <c r="AN48"/>
      <c r="AO48"/>
      <c r="AP48"/>
    </row>
    <row r="49" spans="2:42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Y49"/>
      <c r="Z49"/>
      <c r="AA49"/>
      <c r="AB49"/>
      <c r="AC49"/>
      <c r="AD49"/>
      <c r="AE49"/>
      <c r="AF49"/>
      <c r="AG49"/>
      <c r="AH49"/>
      <c r="AI49"/>
      <c r="AJ49"/>
      <c r="AK49" s="1"/>
      <c r="AL49" s="1"/>
      <c r="AM49" s="1"/>
      <c r="AN49"/>
      <c r="AO49"/>
      <c r="AP49"/>
    </row>
    <row r="50" spans="2:42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684</v>
      </c>
      <c r="I50" s="88"/>
      <c r="J50" s="89"/>
      <c r="K50" s="90">
        <f>+K48+K49*2</f>
        <v>608.04999999999995</v>
      </c>
      <c r="L50" s="135"/>
      <c r="N50" s="136"/>
      <c r="O50" s="136"/>
      <c r="P50" s="136"/>
      <c r="Q50" s="136"/>
      <c r="R50" s="136"/>
      <c r="S50" s="136"/>
      <c r="Y50"/>
      <c r="Z50"/>
      <c r="AA50"/>
      <c r="AB50"/>
      <c r="AC50"/>
      <c r="AD50"/>
      <c r="AE50"/>
      <c r="AF50"/>
      <c r="AG50"/>
      <c r="AH50"/>
      <c r="AI50"/>
      <c r="AJ50"/>
      <c r="AK50" s="1"/>
      <c r="AL50" s="1"/>
      <c r="AM50" s="1"/>
      <c r="AN50"/>
      <c r="AO50"/>
      <c r="AP50"/>
    </row>
    <row r="51" spans="2:42" s="10" customFormat="1" x14ac:dyDescent="0.3">
      <c r="B51"/>
      <c r="C51"/>
      <c r="D51"/>
      <c r="E51" s="455">
        <f>+C12</f>
        <v>31</v>
      </c>
      <c r="F51" s="455" t="s">
        <v>38</v>
      </c>
      <c r="G51" s="82" t="s">
        <v>48</v>
      </c>
      <c r="H51" s="83">
        <v>489</v>
      </c>
      <c r="I51" s="84"/>
      <c r="J51" s="85"/>
      <c r="K51" s="86">
        <v>335.96</v>
      </c>
      <c r="L51" s="135"/>
      <c r="N51" s="136"/>
      <c r="O51" s="136"/>
      <c r="P51" s="136"/>
      <c r="Q51" s="136"/>
      <c r="R51" s="136"/>
      <c r="S51" s="136"/>
      <c r="Y51"/>
      <c r="Z51"/>
      <c r="AA51"/>
      <c r="AB51"/>
      <c r="AC51"/>
      <c r="AD51"/>
      <c r="AE51"/>
      <c r="AF51"/>
      <c r="AG51"/>
      <c r="AH51"/>
      <c r="AI51"/>
      <c r="AJ51"/>
      <c r="AK51" s="1"/>
      <c r="AL51" s="1"/>
      <c r="AM51" s="1"/>
      <c r="AN51"/>
      <c r="AO51"/>
      <c r="AP51"/>
    </row>
    <row r="52" spans="2:42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Y52"/>
      <c r="Z52"/>
      <c r="AA52"/>
      <c r="AB52"/>
      <c r="AC52"/>
      <c r="AD52"/>
      <c r="AE52"/>
      <c r="AF52"/>
      <c r="AG52"/>
      <c r="AH52"/>
      <c r="AI52"/>
      <c r="AJ52"/>
      <c r="AK52" s="1"/>
      <c r="AL52" s="1"/>
      <c r="AM52" s="1"/>
      <c r="AN52"/>
      <c r="AO52"/>
      <c r="AP52"/>
    </row>
    <row r="53" spans="2:42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489</v>
      </c>
      <c r="I53" s="88"/>
      <c r="J53" s="89"/>
      <c r="K53" s="90">
        <f>+K51+K52*2</f>
        <v>335.96</v>
      </c>
      <c r="L53" s="135"/>
      <c r="N53" s="136"/>
      <c r="O53" s="136"/>
      <c r="P53" s="136"/>
      <c r="Q53" s="136"/>
      <c r="R53" s="136"/>
      <c r="S53" s="136"/>
      <c r="Y53"/>
      <c r="Z53"/>
      <c r="AA53"/>
      <c r="AB53"/>
      <c r="AC53"/>
      <c r="AD53"/>
      <c r="AE53"/>
      <c r="AF53"/>
      <c r="AG53"/>
      <c r="AH53"/>
      <c r="AI53"/>
      <c r="AJ53"/>
      <c r="AK53" s="1"/>
      <c r="AL53" s="1"/>
      <c r="AM53" s="1"/>
      <c r="AN53"/>
      <c r="AO53"/>
      <c r="AP53"/>
    </row>
    <row r="54" spans="2:42" x14ac:dyDescent="0.3">
      <c r="H54" s="75"/>
      <c r="I54" s="10"/>
      <c r="J54" s="11"/>
      <c r="K54"/>
    </row>
    <row r="55" spans="2:42" x14ac:dyDescent="0.3">
      <c r="H55" s="75"/>
      <c r="I55" s="10"/>
      <c r="J55" s="11"/>
      <c r="K55"/>
    </row>
    <row r="56" spans="2:42" s="10" customFormat="1" x14ac:dyDescent="0.3">
      <c r="B56"/>
      <c r="C56"/>
      <c r="D56"/>
      <c r="E56" s="455">
        <f>+E36</f>
        <v>26</v>
      </c>
      <c r="F56" s="455" t="s">
        <v>7</v>
      </c>
      <c r="G56" s="82" t="s">
        <v>48</v>
      </c>
      <c r="H56" s="83">
        <v>556</v>
      </c>
      <c r="I56" s="84"/>
      <c r="J56" s="85"/>
      <c r="K56" s="86">
        <v>597.92999999999995</v>
      </c>
      <c r="L56" s="135"/>
      <c r="N56" s="136"/>
      <c r="O56" s="136"/>
      <c r="P56" s="136"/>
      <c r="Q56" s="136"/>
      <c r="R56" s="136"/>
      <c r="S56" s="136"/>
      <c r="Y56"/>
      <c r="Z56"/>
      <c r="AA56"/>
      <c r="AB56"/>
      <c r="AC56"/>
      <c r="AD56"/>
      <c r="AE56"/>
      <c r="AF56"/>
      <c r="AG56"/>
      <c r="AH56"/>
      <c r="AI56"/>
      <c r="AJ56"/>
      <c r="AK56" s="1"/>
      <c r="AL56" s="1"/>
      <c r="AM56" s="1"/>
      <c r="AN56"/>
      <c r="AO56"/>
      <c r="AP56"/>
    </row>
    <row r="57" spans="2:42" s="10" customFormat="1" x14ac:dyDescent="0.3">
      <c r="B57"/>
      <c r="C57" t="s">
        <v>57</v>
      </c>
      <c r="D57"/>
      <c r="E57" s="456"/>
      <c r="F57" s="456"/>
      <c r="G57" s="82" t="s">
        <v>50</v>
      </c>
      <c r="H57" s="83"/>
      <c r="I57" s="84"/>
      <c r="J57" s="85"/>
      <c r="K57" s="86"/>
      <c r="L57" s="135"/>
      <c r="N57" s="136"/>
      <c r="O57" s="136"/>
      <c r="P57" s="136"/>
      <c r="Q57" s="136"/>
      <c r="R57" s="136"/>
      <c r="S57" s="136"/>
      <c r="Y57"/>
      <c r="Z57"/>
      <c r="AA57"/>
      <c r="AB57"/>
      <c r="AC57"/>
      <c r="AD57"/>
      <c r="AE57"/>
      <c r="AF57"/>
      <c r="AG57"/>
      <c r="AH57"/>
      <c r="AI57"/>
      <c r="AJ57"/>
      <c r="AK57" s="1"/>
      <c r="AL57" s="1"/>
      <c r="AM57" s="1"/>
      <c r="AN57"/>
      <c r="AO57"/>
      <c r="AP57"/>
    </row>
    <row r="58" spans="2:42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556</v>
      </c>
      <c r="I58" s="88"/>
      <c r="J58" s="89"/>
      <c r="K58" s="90">
        <f>+K56+K57*2</f>
        <v>597.92999999999995</v>
      </c>
      <c r="L58" s="135"/>
      <c r="N58" s="136"/>
      <c r="O58" s="136"/>
      <c r="P58" s="136"/>
      <c r="Q58" s="136"/>
      <c r="R58" s="136"/>
      <c r="S58" s="136"/>
      <c r="Y58"/>
      <c r="Z58"/>
      <c r="AA58"/>
      <c r="AB58"/>
      <c r="AC58"/>
      <c r="AD58"/>
      <c r="AE58"/>
      <c r="AF58"/>
      <c r="AG58"/>
      <c r="AH58"/>
      <c r="AI58"/>
      <c r="AJ58"/>
      <c r="AK58" s="1"/>
      <c r="AL58" s="1"/>
      <c r="AM58" s="1"/>
      <c r="AN58"/>
      <c r="AO58"/>
      <c r="AP58"/>
    </row>
    <row r="59" spans="2:42" s="10" customFormat="1" x14ac:dyDescent="0.3">
      <c r="B59"/>
      <c r="C59"/>
      <c r="D59"/>
      <c r="E59" s="455">
        <f>+E39</f>
        <v>27</v>
      </c>
      <c r="F59" s="455" t="s">
        <v>52</v>
      </c>
      <c r="G59" s="82" t="s">
        <v>48</v>
      </c>
      <c r="H59" s="83">
        <f>333-216</f>
        <v>117</v>
      </c>
      <c r="I59" s="84"/>
      <c r="J59" s="85"/>
      <c r="K59" s="86">
        <f>310.93-197.56</f>
        <v>113.37</v>
      </c>
      <c r="L59" s="135"/>
      <c r="N59" s="136"/>
      <c r="O59" s="136"/>
      <c r="P59" s="136"/>
      <c r="Q59" s="136"/>
      <c r="R59" s="136"/>
      <c r="S59" s="136"/>
      <c r="Y59"/>
      <c r="Z59"/>
      <c r="AA59"/>
      <c r="AB59"/>
      <c r="AC59"/>
      <c r="AD59"/>
      <c r="AE59"/>
      <c r="AF59"/>
      <c r="AG59"/>
      <c r="AH59"/>
      <c r="AI59"/>
      <c r="AJ59"/>
      <c r="AK59" s="1"/>
      <c r="AL59" s="1"/>
      <c r="AM59" s="1"/>
      <c r="AN59"/>
      <c r="AO59"/>
      <c r="AP59"/>
    </row>
    <row r="60" spans="2:42" s="10" customFormat="1" x14ac:dyDescent="0.3">
      <c r="B60"/>
      <c r="C60"/>
      <c r="D60"/>
      <c r="E60" s="456"/>
      <c r="F60" s="456"/>
      <c r="G60" s="82" t="s">
        <v>50</v>
      </c>
      <c r="H60" s="83">
        <v>216</v>
      </c>
      <c r="I60" s="84"/>
      <c r="J60" s="85"/>
      <c r="K60" s="86">
        <v>197.56</v>
      </c>
      <c r="L60" s="135"/>
      <c r="N60" s="136"/>
      <c r="O60" s="136"/>
      <c r="P60" s="136"/>
      <c r="Q60" s="136"/>
      <c r="R60" s="136"/>
      <c r="S60" s="136"/>
      <c r="Y60"/>
      <c r="Z60"/>
      <c r="AA60"/>
      <c r="AB60"/>
      <c r="AC60"/>
      <c r="AD60"/>
      <c r="AE60"/>
      <c r="AF60"/>
      <c r="AG60"/>
      <c r="AH60"/>
      <c r="AI60"/>
      <c r="AJ60"/>
      <c r="AK60" s="1"/>
      <c r="AL60" s="1"/>
      <c r="AM60" s="1"/>
      <c r="AN60"/>
      <c r="AO60"/>
      <c r="AP60"/>
    </row>
    <row r="61" spans="2:42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549</v>
      </c>
      <c r="I61" s="88"/>
      <c r="J61" s="89"/>
      <c r="K61" s="90">
        <f>+K59+K60*2</f>
        <v>508.49</v>
      </c>
      <c r="L61" s="135"/>
      <c r="N61" s="136"/>
      <c r="O61" s="136"/>
      <c r="P61" s="136"/>
      <c r="Q61" s="136"/>
      <c r="R61" s="136"/>
      <c r="S61" s="136"/>
      <c r="Y61"/>
      <c r="Z61"/>
      <c r="AA61"/>
      <c r="AB61"/>
      <c r="AC61"/>
      <c r="AD61"/>
      <c r="AE61"/>
      <c r="AF61"/>
      <c r="AG61"/>
      <c r="AH61"/>
      <c r="AI61"/>
      <c r="AJ61"/>
      <c r="AK61" s="1"/>
      <c r="AL61" s="1"/>
      <c r="AM61" s="1"/>
      <c r="AN61"/>
      <c r="AO61"/>
      <c r="AP61"/>
    </row>
    <row r="62" spans="2:42" s="10" customFormat="1" x14ac:dyDescent="0.3">
      <c r="B62"/>
      <c r="C62"/>
      <c r="D62"/>
      <c r="E62" s="455">
        <f>+E42</f>
        <v>28</v>
      </c>
      <c r="F62" s="455" t="s">
        <v>53</v>
      </c>
      <c r="G62" s="82" t="s">
        <v>48</v>
      </c>
      <c r="H62" s="83">
        <f>478-198</f>
        <v>280</v>
      </c>
      <c r="I62" s="84"/>
      <c r="J62" s="85"/>
      <c r="K62" s="86">
        <f>374.99-153.51</f>
        <v>221.48000000000002</v>
      </c>
      <c r="L62" s="135"/>
      <c r="N62" s="136"/>
      <c r="O62" s="136"/>
      <c r="P62" s="136"/>
      <c r="Q62" s="136"/>
      <c r="R62" s="136"/>
      <c r="S62" s="136"/>
      <c r="Y62"/>
      <c r="Z62"/>
      <c r="AA62"/>
      <c r="AB62"/>
      <c r="AC62"/>
      <c r="AD62"/>
      <c r="AE62"/>
      <c r="AF62"/>
      <c r="AG62"/>
      <c r="AH62"/>
      <c r="AI62"/>
      <c r="AJ62"/>
      <c r="AK62" s="1"/>
      <c r="AL62" s="1"/>
      <c r="AM62" s="1"/>
      <c r="AN62"/>
      <c r="AO62"/>
      <c r="AP62"/>
    </row>
    <row r="63" spans="2:42" s="10" customFormat="1" x14ac:dyDescent="0.3">
      <c r="B63"/>
      <c r="C63"/>
      <c r="D63"/>
      <c r="E63" s="456"/>
      <c r="F63" s="456"/>
      <c r="G63" s="82" t="s">
        <v>50</v>
      </c>
      <c r="H63" s="83">
        <v>198</v>
      </c>
      <c r="I63" s="84"/>
      <c r="J63" s="85"/>
      <c r="K63" s="86">
        <v>153.51</v>
      </c>
      <c r="L63" s="135"/>
      <c r="N63" s="136"/>
      <c r="O63" s="136"/>
      <c r="P63" s="136"/>
      <c r="Q63" s="136"/>
      <c r="R63" s="136"/>
      <c r="S63" s="136"/>
      <c r="Y63"/>
      <c r="Z63"/>
      <c r="AA63"/>
      <c r="AB63"/>
      <c r="AC63"/>
      <c r="AD63"/>
      <c r="AE63"/>
      <c r="AF63"/>
      <c r="AG63"/>
      <c r="AH63"/>
      <c r="AI63"/>
      <c r="AJ63"/>
      <c r="AK63" s="1"/>
      <c r="AL63" s="1"/>
      <c r="AM63" s="1"/>
      <c r="AN63"/>
      <c r="AO63"/>
      <c r="AP63"/>
    </row>
    <row r="64" spans="2:42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676</v>
      </c>
      <c r="I64" s="88"/>
      <c r="J64" s="89"/>
      <c r="K64" s="90">
        <f>+K62+K63*2</f>
        <v>528.5</v>
      </c>
      <c r="L64" s="137" t="s">
        <v>54</v>
      </c>
      <c r="N64" s="136"/>
      <c r="O64" s="136"/>
      <c r="P64" s="136"/>
      <c r="Q64" s="136"/>
      <c r="R64" s="136"/>
      <c r="S64" s="136"/>
      <c r="Y64"/>
      <c r="Z64"/>
      <c r="AA64"/>
      <c r="AB64"/>
      <c r="AC64"/>
      <c r="AE64"/>
      <c r="AF64"/>
      <c r="AG64"/>
      <c r="AH64"/>
      <c r="AI64"/>
      <c r="AJ64"/>
      <c r="AK64" s="1"/>
      <c r="AL64" s="1"/>
      <c r="AM64" s="1"/>
      <c r="AN64"/>
      <c r="AO64"/>
      <c r="AP64"/>
    </row>
    <row r="65" spans="2:42" s="10" customFormat="1" x14ac:dyDescent="0.3">
      <c r="B65"/>
      <c r="C65"/>
      <c r="D65"/>
      <c r="E65" s="455">
        <f>+E45</f>
        <v>29</v>
      </c>
      <c r="F65" s="455" t="s">
        <v>55</v>
      </c>
      <c r="G65" s="82" t="s">
        <v>48</v>
      </c>
      <c r="H65" s="83">
        <f>680-21</f>
        <v>659</v>
      </c>
      <c r="I65" s="84"/>
      <c r="J65" s="85"/>
      <c r="K65" s="86">
        <f>600.42-9.56</f>
        <v>590.86</v>
      </c>
      <c r="L65" s="135"/>
      <c r="N65" s="136"/>
      <c r="O65" s="136"/>
      <c r="P65" s="136"/>
      <c r="Q65" s="136"/>
      <c r="R65" s="136"/>
      <c r="S65" s="136"/>
      <c r="Y65"/>
      <c r="Z65"/>
      <c r="AA65"/>
      <c r="AB65"/>
      <c r="AC65"/>
      <c r="AD65"/>
      <c r="AE65"/>
      <c r="AF65"/>
      <c r="AG65"/>
      <c r="AH65"/>
      <c r="AI65"/>
      <c r="AJ65"/>
      <c r="AK65" s="1"/>
      <c r="AL65" s="1"/>
      <c r="AM65" s="1"/>
      <c r="AN65"/>
      <c r="AO65"/>
      <c r="AP65"/>
    </row>
    <row r="66" spans="2:42" s="10" customFormat="1" x14ac:dyDescent="0.3">
      <c r="B66"/>
      <c r="C66"/>
      <c r="D66"/>
      <c r="E66" s="456"/>
      <c r="F66" s="456"/>
      <c r="G66" s="82" t="s">
        <v>50</v>
      </c>
      <c r="H66" s="83">
        <v>21</v>
      </c>
      <c r="I66" s="84"/>
      <c r="J66" s="85"/>
      <c r="K66" s="86">
        <v>9.56</v>
      </c>
      <c r="L66" s="135"/>
      <c r="N66" s="136"/>
      <c r="O66" s="136"/>
      <c r="P66" s="136"/>
      <c r="Q66" s="136"/>
      <c r="R66" s="136"/>
      <c r="S66" s="136"/>
      <c r="Y66"/>
      <c r="Z66"/>
      <c r="AA66"/>
      <c r="AB66"/>
      <c r="AC66"/>
      <c r="AD66"/>
      <c r="AE66"/>
      <c r="AF66"/>
      <c r="AG66"/>
      <c r="AH66"/>
      <c r="AI66"/>
      <c r="AJ66"/>
      <c r="AK66" s="1"/>
      <c r="AL66" s="1"/>
      <c r="AM66" s="1"/>
      <c r="AN66"/>
      <c r="AO66"/>
      <c r="AP66"/>
    </row>
    <row r="67" spans="2:42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701</v>
      </c>
      <c r="I67" s="88"/>
      <c r="J67" s="89"/>
      <c r="K67" s="90">
        <f>+K65+K66*2</f>
        <v>609.98</v>
      </c>
      <c r="L67" s="135"/>
      <c r="N67" s="136"/>
      <c r="O67" s="136"/>
      <c r="P67" s="136"/>
      <c r="Q67" s="136"/>
      <c r="R67" s="136"/>
      <c r="S67" s="136"/>
      <c r="Y67"/>
      <c r="Z67"/>
      <c r="AA67"/>
      <c r="AB67"/>
      <c r="AC67"/>
      <c r="AD67"/>
      <c r="AE67"/>
      <c r="AF67"/>
      <c r="AG67"/>
      <c r="AH67"/>
      <c r="AI67"/>
      <c r="AJ67"/>
      <c r="AK67" s="1"/>
      <c r="AL67" s="1"/>
      <c r="AM67" s="1"/>
      <c r="AN67"/>
      <c r="AO67"/>
      <c r="AP67"/>
    </row>
    <row r="68" spans="2:42" s="10" customFormat="1" x14ac:dyDescent="0.3">
      <c r="B68"/>
      <c r="C68"/>
      <c r="D68"/>
      <c r="E68" s="455">
        <f>+E48</f>
        <v>30</v>
      </c>
      <c r="F68" s="455" t="s">
        <v>56</v>
      </c>
      <c r="G68" s="82" t="s">
        <v>48</v>
      </c>
      <c r="H68" s="83">
        <f>715-9</f>
        <v>706</v>
      </c>
      <c r="I68" s="84"/>
      <c r="J68" s="85"/>
      <c r="K68" s="86">
        <f>538.57-7.29</f>
        <v>531.28000000000009</v>
      </c>
      <c r="L68" s="135"/>
      <c r="N68" s="136"/>
      <c r="O68" s="136"/>
      <c r="P68" s="136"/>
      <c r="Q68" s="136"/>
      <c r="R68" s="136"/>
      <c r="S68" s="136"/>
      <c r="Y68"/>
      <c r="Z68"/>
      <c r="AA68"/>
      <c r="AB68"/>
      <c r="AC68"/>
      <c r="AD68"/>
      <c r="AE68"/>
      <c r="AF68"/>
      <c r="AG68"/>
      <c r="AH68"/>
      <c r="AI68"/>
      <c r="AJ68"/>
      <c r="AK68" s="1"/>
      <c r="AL68" s="1"/>
      <c r="AM68" s="1"/>
      <c r="AN68"/>
      <c r="AO68"/>
      <c r="AP68"/>
    </row>
    <row r="69" spans="2:42" s="10" customFormat="1" x14ac:dyDescent="0.3">
      <c r="B69"/>
      <c r="C69"/>
      <c r="D69"/>
      <c r="E69" s="456"/>
      <c r="F69" s="456"/>
      <c r="G69" s="82" t="s">
        <v>50</v>
      </c>
      <c r="H69" s="83">
        <v>9</v>
      </c>
      <c r="I69" s="84"/>
      <c r="J69" s="85"/>
      <c r="K69" s="86">
        <v>7.29</v>
      </c>
      <c r="L69" s="135"/>
      <c r="N69" s="136"/>
      <c r="O69" s="136"/>
      <c r="P69" s="136"/>
      <c r="Q69" s="136"/>
      <c r="R69" s="136"/>
      <c r="S69" s="136"/>
      <c r="Y69"/>
      <c r="Z69"/>
      <c r="AA69"/>
      <c r="AB69"/>
      <c r="AC69"/>
      <c r="AD69"/>
      <c r="AE69"/>
      <c r="AF69"/>
      <c r="AG69"/>
      <c r="AH69"/>
      <c r="AI69"/>
      <c r="AJ69"/>
      <c r="AK69" s="1"/>
      <c r="AL69" s="1"/>
      <c r="AM69" s="1"/>
      <c r="AN69"/>
      <c r="AO69"/>
      <c r="AP69"/>
    </row>
    <row r="70" spans="2:42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724</v>
      </c>
      <c r="I70" s="88"/>
      <c r="J70" s="89"/>
      <c r="K70" s="90">
        <f>+K68+K69*2</f>
        <v>545.86000000000013</v>
      </c>
      <c r="L70" s="135"/>
      <c r="N70" s="136"/>
      <c r="O70" s="136"/>
      <c r="P70" s="136"/>
      <c r="Q70" s="136"/>
      <c r="R70" s="136"/>
      <c r="S70" s="136"/>
      <c r="Y70"/>
      <c r="Z70"/>
      <c r="AA70"/>
      <c r="AB70"/>
      <c r="AC70"/>
      <c r="AD70"/>
      <c r="AE70"/>
      <c r="AF70"/>
      <c r="AG70"/>
      <c r="AH70"/>
      <c r="AI70"/>
      <c r="AJ70"/>
      <c r="AK70" s="1"/>
      <c r="AL70" s="1"/>
      <c r="AM70" s="1"/>
      <c r="AN70"/>
      <c r="AO70"/>
      <c r="AP70"/>
    </row>
    <row r="71" spans="2:42" s="10" customFormat="1" x14ac:dyDescent="0.3">
      <c r="B71"/>
      <c r="C71"/>
      <c r="D71"/>
      <c r="E71" s="455">
        <f>+E51</f>
        <v>31</v>
      </c>
      <c r="F71" s="455" t="s">
        <v>38</v>
      </c>
      <c r="G71" s="82" t="s">
        <v>48</v>
      </c>
      <c r="H71" s="83">
        <v>439</v>
      </c>
      <c r="I71" s="84"/>
      <c r="J71" s="85"/>
      <c r="K71" s="86">
        <f>512.22-0.81</f>
        <v>511.41</v>
      </c>
      <c r="L71" s="135"/>
      <c r="N71" s="136"/>
      <c r="O71" s="136"/>
      <c r="P71" s="136"/>
      <c r="Q71" s="136"/>
      <c r="R71" s="136"/>
      <c r="S71" s="136"/>
      <c r="Y71"/>
      <c r="Z71"/>
      <c r="AA71"/>
      <c r="AB71"/>
      <c r="AC71"/>
      <c r="AD71"/>
      <c r="AE71"/>
      <c r="AF71"/>
      <c r="AG71"/>
      <c r="AH71"/>
      <c r="AI71"/>
      <c r="AJ71"/>
      <c r="AK71" s="1"/>
      <c r="AL71" s="1"/>
      <c r="AM71" s="1"/>
      <c r="AN71"/>
      <c r="AO71"/>
      <c r="AP71"/>
    </row>
    <row r="72" spans="2:42" s="10" customFormat="1" x14ac:dyDescent="0.3">
      <c r="B72"/>
      <c r="C72"/>
      <c r="D72"/>
      <c r="E72" s="456"/>
      <c r="F72" s="456"/>
      <c r="G72" s="82" t="s">
        <v>50</v>
      </c>
      <c r="H72" s="83">
        <v>1</v>
      </c>
      <c r="I72" s="84"/>
      <c r="J72" s="85"/>
      <c r="K72" s="86">
        <v>0.81</v>
      </c>
      <c r="L72" s="135"/>
      <c r="N72" s="136"/>
      <c r="O72" s="136"/>
      <c r="P72" s="136"/>
      <c r="Q72" s="136"/>
      <c r="R72" s="136"/>
      <c r="S72" s="136"/>
      <c r="Y72"/>
      <c r="Z72"/>
      <c r="AA72"/>
      <c r="AB72"/>
      <c r="AC72"/>
      <c r="AD72"/>
      <c r="AE72"/>
      <c r="AF72"/>
      <c r="AG72"/>
      <c r="AH72"/>
      <c r="AI72"/>
      <c r="AJ72"/>
      <c r="AK72" s="1"/>
      <c r="AL72" s="1"/>
      <c r="AM72" s="1"/>
      <c r="AN72"/>
      <c r="AO72"/>
      <c r="AP72"/>
    </row>
    <row r="73" spans="2:42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441</v>
      </c>
      <c r="I73" s="88"/>
      <c r="J73" s="89"/>
      <c r="K73" s="90">
        <f>+K71+K72*2</f>
        <v>513.03</v>
      </c>
      <c r="L73" s="135"/>
      <c r="N73" s="136"/>
      <c r="O73" s="136"/>
      <c r="P73" s="136"/>
      <c r="Q73" s="136"/>
      <c r="R73" s="136"/>
      <c r="S73" s="136"/>
      <c r="Y73"/>
      <c r="Z73"/>
      <c r="AA73"/>
      <c r="AB73"/>
      <c r="AC73"/>
      <c r="AD73"/>
      <c r="AE73"/>
      <c r="AF73"/>
      <c r="AG73"/>
      <c r="AH73"/>
      <c r="AI73"/>
      <c r="AJ73"/>
      <c r="AK73" s="1"/>
      <c r="AL73" s="1"/>
      <c r="AM73" s="1"/>
      <c r="AN73"/>
      <c r="AO73"/>
      <c r="AP73"/>
    </row>
    <row r="76" spans="2:42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</row>
    <row r="77" spans="2:42" ht="18" customHeight="1" x14ac:dyDescent="0.3">
      <c r="B77" t="s">
        <v>5</v>
      </c>
      <c r="D77" s="7">
        <v>55</v>
      </c>
      <c r="F77" s="8" t="s">
        <v>6</v>
      </c>
      <c r="T77" s="9">
        <v>1.2</v>
      </c>
      <c r="Z77" s="12">
        <f>Z61</f>
        <v>0</v>
      </c>
      <c r="AA77" s="11">
        <f>AA61</f>
        <v>0</v>
      </c>
      <c r="AB77" s="12"/>
      <c r="AD77" s="8"/>
    </row>
    <row r="78" spans="2:42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441" t="s">
        <v>12</v>
      </c>
      <c r="U78" s="418"/>
      <c r="V78" s="442"/>
      <c r="W78" s="446" t="s">
        <v>13</v>
      </c>
      <c r="X78" s="418"/>
      <c r="Y78" s="418"/>
      <c r="Z78" s="13"/>
      <c r="AA78" s="14"/>
      <c r="AB78" s="447" t="s">
        <v>14</v>
      </c>
      <c r="AC78" s="449" t="s">
        <v>15</v>
      </c>
      <c r="AD78" s="418" t="s">
        <v>16</v>
      </c>
    </row>
    <row r="79" spans="2:42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5" t="s">
        <v>12</v>
      </c>
      <c r="U79" s="16" t="s">
        <v>17</v>
      </c>
      <c r="V79" s="17" t="s">
        <v>18</v>
      </c>
      <c r="W79" s="18" t="s">
        <v>13</v>
      </c>
      <c r="X79" s="16" t="s">
        <v>19</v>
      </c>
      <c r="Y79" s="19" t="s">
        <v>18</v>
      </c>
      <c r="Z79" s="185" t="s">
        <v>20</v>
      </c>
      <c r="AA79" s="20" t="s">
        <v>21</v>
      </c>
      <c r="AB79" s="448"/>
      <c r="AC79" s="450"/>
      <c r="AD79" s="419"/>
      <c r="AE79" s="21" t="s">
        <v>22</v>
      </c>
      <c r="AF79" s="21" t="s">
        <v>23</v>
      </c>
      <c r="AG79" s="22"/>
      <c r="AH79" s="22"/>
      <c r="AI79" s="22" t="s">
        <v>24</v>
      </c>
      <c r="AJ79" s="22"/>
      <c r="AK79" s="23" t="s">
        <v>25</v>
      </c>
      <c r="AL79" s="23" t="s">
        <v>26</v>
      </c>
      <c r="AM79" s="23" t="s">
        <v>27</v>
      </c>
      <c r="AN79" s="22"/>
      <c r="AO79" s="22">
        <f>SUM(AO80:AO85)</f>
        <v>-50</v>
      </c>
    </row>
    <row r="80" spans="2:42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95">
        <f>+T94</f>
        <v>0</v>
      </c>
      <c r="U80" s="96">
        <f>IF(F80=0,"휴무",T80/F80)</f>
        <v>0</v>
      </c>
      <c r="V80" s="97">
        <f>IFERROR(T80/#REF!,0)</f>
        <v>0</v>
      </c>
      <c r="W80" s="98">
        <f>+W94</f>
        <v>0</v>
      </c>
      <c r="X80" s="96">
        <f t="shared" ref="X80:X85" si="25">IF(F80=0,"휴무",W80/F80)</f>
        <v>0</v>
      </c>
      <c r="Y80" s="99">
        <f>IFERROR(W80/#REF!,0)</f>
        <v>0</v>
      </c>
      <c r="Z80" s="100" t="e">
        <f>IF(F80=0,"휴무",T80/#REF!*$Z$4)</f>
        <v>#REF!</v>
      </c>
      <c r="AA80" s="101" t="e">
        <f>IF(F80=0,"휴무",W80/#REF!*$AA$4)</f>
        <v>#REF!</v>
      </c>
      <c r="AB80" s="102" t="e">
        <f t="shared" ref="AB80:AB85" si="26">IF(F80=0,"휴무",Z80+AA80)</f>
        <v>#REF!</v>
      </c>
      <c r="AC80" s="103" t="e">
        <f t="shared" ref="AC80:AC85" si="27">IF(F80=0,"휴무",IF(AB80&gt;=100,"좋아요",IF(AB80&gt;=90,"90~99",IF(AB80&gt;=80,"80~89"," 사유?→"))))</f>
        <v>#REF!</v>
      </c>
      <c r="AD80" s="104"/>
      <c r="AE80" s="37">
        <f>AF80-F80</f>
        <v>-10</v>
      </c>
      <c r="AF80" s="38">
        <f>AM80</f>
        <v>0</v>
      </c>
      <c r="AG80" s="183" t="s">
        <v>29</v>
      </c>
      <c r="AH80" s="39"/>
      <c r="AI80" s="40" t="str">
        <f>IFERROR(Y80/V80*1000,"")</f>
        <v/>
      </c>
      <c r="AJ80" s="39"/>
      <c r="AK80" s="41"/>
      <c r="AL80" s="41"/>
      <c r="AM80" s="41"/>
      <c r="AN80" s="183"/>
      <c r="AO80" s="183">
        <f>AN80-F80</f>
        <v>-10</v>
      </c>
    </row>
    <row r="81" spans="2:41" ht="98.25" customHeight="1" x14ac:dyDescent="0.3">
      <c r="B81" s="459"/>
      <c r="C81" s="92">
        <v>20</v>
      </c>
      <c r="D81" s="179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95">
        <f>+T97</f>
        <v>0</v>
      </c>
      <c r="U81" s="62">
        <f>IF(F81=0,"휴무",T81/F81)</f>
        <v>0</v>
      </c>
      <c r="V81" s="63">
        <f>IFERROR(T81/#REF!,0)</f>
        <v>0</v>
      </c>
      <c r="W81" s="105">
        <f>+W97</f>
        <v>0</v>
      </c>
      <c r="X81" s="96">
        <f t="shared" si="25"/>
        <v>0</v>
      </c>
      <c r="Y81" s="65">
        <f>IFERROR(W81/#REF!,0)</f>
        <v>0</v>
      </c>
      <c r="Z81" s="106" t="e">
        <f>IF(F81=0,"휴무",T81/#REF!*$Z$4)</f>
        <v>#REF!</v>
      </c>
      <c r="AA81" s="107" t="e">
        <f>IF(F81=0,"휴무",W81/#REF!*$AA$4)</f>
        <v>#REF!</v>
      </c>
      <c r="AB81" s="66" t="e">
        <f t="shared" si="26"/>
        <v>#REF!</v>
      </c>
      <c r="AC81" s="108" t="e">
        <f t="shared" si="27"/>
        <v>#REF!</v>
      </c>
      <c r="AD81" s="109"/>
      <c r="AE81" s="37">
        <f>AF81-F81</f>
        <v>-10</v>
      </c>
      <c r="AF81" s="38">
        <f>AM81</f>
        <v>0</v>
      </c>
      <c r="AG81" s="183" t="s">
        <v>34</v>
      </c>
      <c r="AH81" s="39"/>
      <c r="AI81" s="40" t="str">
        <f>IFERROR(Y81/V81*1000,"")</f>
        <v/>
      </c>
      <c r="AJ81" s="39"/>
      <c r="AK81" s="41"/>
      <c r="AL81" s="41"/>
      <c r="AM81" s="41"/>
      <c r="AN81" s="183"/>
      <c r="AO81" s="183">
        <f>AN81-F81</f>
        <v>-10</v>
      </c>
    </row>
    <row r="82" spans="2:41" ht="98.25" customHeight="1" x14ac:dyDescent="0.3">
      <c r="B82" s="459"/>
      <c r="C82" s="92">
        <v>21</v>
      </c>
      <c r="D82" s="179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95">
        <f>+T100</f>
        <v>0</v>
      </c>
      <c r="U82" s="62">
        <f>IF(F82=0,"휴무",T82/F82)</f>
        <v>0</v>
      </c>
      <c r="V82" s="63">
        <f>IFERROR(T82/#REF!,0)</f>
        <v>0</v>
      </c>
      <c r="W82" s="105">
        <f>+W100</f>
        <v>0</v>
      </c>
      <c r="X82" s="96">
        <f t="shared" si="25"/>
        <v>0</v>
      </c>
      <c r="Y82" s="65">
        <f>IFERROR(W82/#REF!,0)</f>
        <v>0</v>
      </c>
      <c r="Z82" s="106" t="e">
        <f>IF(F82=0,"휴무",T82/#REF!*$Z$4)</f>
        <v>#REF!</v>
      </c>
      <c r="AA82" s="107" t="e">
        <f>IF(F82=0,"휴무",W82/#REF!*$AA$4)</f>
        <v>#REF!</v>
      </c>
      <c r="AB82" s="66" t="e">
        <f t="shared" si="26"/>
        <v>#REF!</v>
      </c>
      <c r="AC82" s="108" t="e">
        <f t="shared" si="27"/>
        <v>#REF!</v>
      </c>
      <c r="AD82" s="109"/>
      <c r="AE82" s="37">
        <f>AF82-F82</f>
        <v>-10</v>
      </c>
      <c r="AF82" s="38">
        <f>AM82</f>
        <v>0</v>
      </c>
      <c r="AG82" s="183" t="s">
        <v>36</v>
      </c>
      <c r="AH82" s="39"/>
      <c r="AI82" s="40" t="str">
        <f>IFERROR(Y82/V82*1000,"")</f>
        <v/>
      </c>
      <c r="AJ82" s="39"/>
      <c r="AK82" s="41"/>
      <c r="AL82" s="41"/>
      <c r="AM82" s="41"/>
      <c r="AN82" s="183"/>
      <c r="AO82" s="183">
        <f>AN82-F82</f>
        <v>-10</v>
      </c>
    </row>
    <row r="83" spans="2:41" ht="98.25" customHeight="1" x14ac:dyDescent="0.3">
      <c r="B83" s="459"/>
      <c r="C83" s="92">
        <v>22</v>
      </c>
      <c r="D83" s="179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95">
        <f>+T103</f>
        <v>0</v>
      </c>
      <c r="U83" s="62">
        <f>IF(F83=0,"휴무",T83/F83)</f>
        <v>0</v>
      </c>
      <c r="V83" s="63">
        <f>IFERROR(T83/#REF!,0)</f>
        <v>0</v>
      </c>
      <c r="W83" s="105">
        <f>+W103</f>
        <v>0</v>
      </c>
      <c r="X83" s="62">
        <f t="shared" si="25"/>
        <v>0</v>
      </c>
      <c r="Y83" s="65">
        <f>IFERROR(W83/#REF!,0)</f>
        <v>0</v>
      </c>
      <c r="Z83" s="106" t="e">
        <f>IF(F83=0,"휴무",T83/#REF!*$Z$4)</f>
        <v>#REF!</v>
      </c>
      <c r="AA83" s="107" t="e">
        <f>IF(F83=0,"휴무",W83/#REF!*$AA$4)</f>
        <v>#REF!</v>
      </c>
      <c r="AB83" s="66" t="e">
        <f t="shared" si="26"/>
        <v>#REF!</v>
      </c>
      <c r="AC83" s="110" t="e">
        <f t="shared" si="27"/>
        <v>#REF!</v>
      </c>
      <c r="AD83" s="104"/>
      <c r="AE83" s="37">
        <f>AF83-F83</f>
        <v>-10</v>
      </c>
      <c r="AF83" s="38">
        <f>AM83</f>
        <v>0</v>
      </c>
      <c r="AG83" s="183" t="s">
        <v>33</v>
      </c>
      <c r="AH83" s="39"/>
      <c r="AI83" s="40" t="str">
        <f>IFERROR(Y83/V83*1000,"")</f>
        <v/>
      </c>
      <c r="AJ83" s="39"/>
      <c r="AK83" s="41"/>
      <c r="AL83" s="41"/>
      <c r="AM83" s="41"/>
      <c r="AN83" s="183"/>
      <c r="AO83" s="183">
        <f>AN83-F83</f>
        <v>-10</v>
      </c>
    </row>
    <row r="84" spans="2:41" ht="98.25" customHeight="1" x14ac:dyDescent="0.3">
      <c r="B84" s="459"/>
      <c r="C84" s="92">
        <v>23</v>
      </c>
      <c r="D84" s="179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95">
        <f>+T104</f>
        <v>0</v>
      </c>
      <c r="U84" s="62">
        <f>IF(F84=0,"휴무",T84/F84)</f>
        <v>0</v>
      </c>
      <c r="V84" s="63">
        <f>IFERROR(T84/#REF!,0)</f>
        <v>0</v>
      </c>
      <c r="W84" s="105">
        <f>+W104</f>
        <v>0</v>
      </c>
      <c r="X84" s="62">
        <f t="shared" si="25"/>
        <v>0</v>
      </c>
      <c r="Y84" s="65">
        <f>IFERROR(W84/#REF!,0)</f>
        <v>0</v>
      </c>
      <c r="Z84" s="106" t="e">
        <f>IF(F84=0,"휴무",T84/#REF!*$Z$4)</f>
        <v>#REF!</v>
      </c>
      <c r="AA84" s="107" t="e">
        <f>IF(F84=0,"휴무",W84/#REF!*$AA$4)</f>
        <v>#REF!</v>
      </c>
      <c r="AB84" s="66" t="e">
        <f t="shared" si="26"/>
        <v>#REF!</v>
      </c>
      <c r="AC84" s="110" t="e">
        <f t="shared" si="27"/>
        <v>#REF!</v>
      </c>
      <c r="AD84" s="104"/>
      <c r="AE84" s="37">
        <f>AF84-F84</f>
        <v>-10</v>
      </c>
      <c r="AF84" s="38">
        <f>AM84</f>
        <v>0</v>
      </c>
      <c r="AG84" s="183" t="s">
        <v>46</v>
      </c>
      <c r="AH84" s="39"/>
      <c r="AI84" s="40" t="str">
        <f>IFERROR(Y84/V84*1000,"")</f>
        <v/>
      </c>
      <c r="AJ84" s="183"/>
      <c r="AK84" s="41"/>
      <c r="AL84" s="41"/>
      <c r="AM84" s="41"/>
      <c r="AN84" s="183"/>
      <c r="AO84" s="183">
        <f>AN84-F84</f>
        <v>-10</v>
      </c>
    </row>
    <row r="85" spans="2:41" ht="98.25" customHeight="1" x14ac:dyDescent="0.3">
      <c r="B85" s="459"/>
      <c r="C85" s="92">
        <v>25</v>
      </c>
      <c r="D85" s="179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95">
        <f>T109</f>
        <v>0</v>
      </c>
      <c r="U85" s="96">
        <v>58.924999999999997</v>
      </c>
      <c r="V85" s="97">
        <v>0.89280303030303021</v>
      </c>
      <c r="W85" s="98">
        <f>W109</f>
        <v>0</v>
      </c>
      <c r="X85" s="62" t="str">
        <f t="shared" si="25"/>
        <v>휴무</v>
      </c>
      <c r="Y85" s="65">
        <f>IFERROR(W85/#REF!,0)</f>
        <v>0</v>
      </c>
      <c r="Z85" s="106" t="str">
        <f>IF(F85=0,"휴무",T85/#REF!*$Z$4)</f>
        <v>휴무</v>
      </c>
      <c r="AA85" s="107" t="str">
        <f>IF(F85=0,"휴무",W85/#REF!*$AA$4)</f>
        <v>휴무</v>
      </c>
      <c r="AB85" s="66" t="str">
        <f t="shared" si="26"/>
        <v>휴무</v>
      </c>
      <c r="AC85" s="110" t="str">
        <f t="shared" si="27"/>
        <v>휴무</v>
      </c>
      <c r="AD85" s="104"/>
      <c r="AE85" s="37"/>
      <c r="AF85" s="38"/>
      <c r="AG85" s="183"/>
      <c r="AH85" s="39"/>
      <c r="AI85" s="40"/>
      <c r="AJ85" s="183"/>
      <c r="AK85" s="41"/>
      <c r="AL85" s="41"/>
      <c r="AM85" s="41"/>
      <c r="AN85" s="183"/>
      <c r="AO85" s="183"/>
    </row>
    <row r="86" spans="2:41" ht="36" customHeight="1" x14ac:dyDescent="0.3">
      <c r="B86" s="460" t="s">
        <v>39</v>
      </c>
      <c r="C86" s="461"/>
      <c r="D86" s="461"/>
      <c r="E86" s="462"/>
      <c r="F86" s="179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11">
        <f>SUM(T80:T85)</f>
        <v>0</v>
      </c>
      <c r="U86" s="112"/>
      <c r="V86" s="63">
        <f>IFERROR(T86/#REF!,0)</f>
        <v>0</v>
      </c>
      <c r="W86" s="113">
        <f>SUM(W80:W85)</f>
        <v>0</v>
      </c>
      <c r="X86" s="62"/>
      <c r="Y86" s="65">
        <f>IFERROR(W86/#REF!,0)</f>
        <v>0</v>
      </c>
      <c r="Z86" s="179"/>
      <c r="AA86" s="180"/>
      <c r="AB86" s="114"/>
      <c r="AC86" s="115"/>
      <c r="AD86" s="181"/>
      <c r="AE86" s="37">
        <f>AF86-F86</f>
        <v>-50</v>
      </c>
      <c r="AF86" s="38">
        <f>SUM(AF80:AF85)</f>
        <v>0</v>
      </c>
      <c r="AG86" s="183"/>
      <c r="AH86" s="183"/>
      <c r="AI86" s="40"/>
      <c r="AJ86" s="183"/>
      <c r="AK86" s="59"/>
      <c r="AL86" s="59"/>
      <c r="AM86" s="59"/>
      <c r="AN86" s="183"/>
      <c r="AO86" s="183"/>
    </row>
    <row r="87" spans="2:41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184"/>
      <c r="H87" s="184"/>
      <c r="I87" s="184"/>
      <c r="J87" s="184"/>
      <c r="K87" s="184"/>
      <c r="L87" s="184"/>
      <c r="M87" s="184"/>
      <c r="N87" s="184"/>
      <c r="O87" s="184"/>
      <c r="P87" s="184"/>
      <c r="Q87" s="184"/>
      <c r="R87" s="184"/>
      <c r="S87" s="184"/>
      <c r="T87" s="61">
        <f>U87*F87</f>
        <v>0</v>
      </c>
      <c r="U87" s="62">
        <f>T86/F86</f>
        <v>0</v>
      </c>
      <c r="V87" s="63">
        <f>IFERROR(T87/#REF!,0)</f>
        <v>0</v>
      </c>
      <c r="W87" s="64">
        <f>W86/F86*F87</f>
        <v>0</v>
      </c>
      <c r="X87" s="62">
        <f>IF(F87=0,"휴무",W87/F87)</f>
        <v>0</v>
      </c>
      <c r="Y87" s="65">
        <f>IFERROR(W87/#REF!,0)</f>
        <v>0</v>
      </c>
      <c r="Z87" s="60" t="e">
        <f>AVERAGE(Z80:Z85)</f>
        <v>#REF!</v>
      </c>
      <c r="AA87" s="60" t="e">
        <f>AVERAGE(AA80:AA85)</f>
        <v>#REF!</v>
      </c>
      <c r="AB87" s="66" t="e">
        <f>Z87+AA87</f>
        <v>#REF!</v>
      </c>
      <c r="AC87" s="115" t="e">
        <f>IF(F87=0,"휴무",IF(AB87&gt;=100,"좋아요",IF(AB87&gt;=90,"90~99",IF(AB87&gt;=80,"80~89"," 사유?→"))))</f>
        <v>#REF!</v>
      </c>
      <c r="AD87" s="68"/>
      <c r="AE87" s="69"/>
      <c r="AF87" s="69"/>
      <c r="AG87" s="69"/>
      <c r="AH87" s="69"/>
      <c r="AI87" s="40" t="str">
        <f>IFERROR(Y87/V87*1000,"")</f>
        <v/>
      </c>
      <c r="AJ87" s="69"/>
      <c r="AK87" s="10"/>
      <c r="AL87" s="10"/>
      <c r="AM87" s="10"/>
      <c r="AN87" s="69"/>
      <c r="AO87" s="69"/>
    </row>
    <row r="88" spans="2:41" x14ac:dyDescent="0.3">
      <c r="B88" s="70" t="s">
        <v>41</v>
      </c>
      <c r="C88" s="71"/>
      <c r="D88" s="71"/>
      <c r="E88" s="72"/>
      <c r="T88" s="22"/>
      <c r="V88" s="73">
        <f>V87*60</f>
        <v>0</v>
      </c>
      <c r="W88" s="74"/>
      <c r="X88" s="73"/>
      <c r="Y88" s="74">
        <f>Y87*40</f>
        <v>0</v>
      </c>
      <c r="Z88" s="81"/>
      <c r="AA88" s="81"/>
      <c r="AB88" s="74">
        <f>V88+Y88</f>
        <v>0</v>
      </c>
      <c r="AC88" s="183"/>
      <c r="AD88" s="183"/>
      <c r="AE88" s="183"/>
      <c r="AF88" s="183"/>
      <c r="AG88" s="183"/>
      <c r="AH88" s="183"/>
      <c r="AI88" s="183"/>
      <c r="AJ88" s="183"/>
      <c r="AK88" s="59"/>
      <c r="AL88" s="59"/>
      <c r="AM88" s="59"/>
      <c r="AN88" s="183"/>
      <c r="AO88" s="183"/>
    </row>
    <row r="89" spans="2:41" ht="17.25" thickBot="1" x14ac:dyDescent="0.35">
      <c r="B89" s="70" t="s">
        <v>61</v>
      </c>
      <c r="U89" s="10">
        <v>8.8000000000000007</v>
      </c>
    </row>
    <row r="90" spans="2:41" ht="17.25" thickBot="1" x14ac:dyDescent="0.35">
      <c r="B90" s="76" t="s">
        <v>42</v>
      </c>
      <c r="C90" s="77"/>
      <c r="D90" s="78" t="s">
        <v>43</v>
      </c>
      <c r="E90" s="78"/>
      <c r="F90" s="79"/>
      <c r="X90" s="10">
        <v>50</v>
      </c>
    </row>
    <row r="92" spans="2:41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3"/>
      <c r="U92" s="84"/>
      <c r="V92" s="85"/>
      <c r="W92" s="86"/>
    </row>
    <row r="93" spans="2:41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3"/>
      <c r="U93" s="84"/>
      <c r="V93" s="85"/>
      <c r="W93" s="86"/>
    </row>
    <row r="94" spans="2:41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7">
        <f>+T92+T93*1.6</f>
        <v>0</v>
      </c>
      <c r="U94" s="88"/>
      <c r="V94" s="89"/>
      <c r="W94" s="90">
        <f>+W92+W93*1.6</f>
        <v>0</v>
      </c>
    </row>
    <row r="95" spans="2:41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3"/>
      <c r="U95" s="84"/>
      <c r="V95" s="85"/>
      <c r="W95" s="86"/>
    </row>
    <row r="96" spans="2:41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3"/>
      <c r="U96" s="84"/>
      <c r="V96" s="85"/>
      <c r="W96" s="86"/>
    </row>
    <row r="97" spans="5:30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91">
        <f>+T95+T96*1.6</f>
        <v>0</v>
      </c>
      <c r="U97" s="88"/>
      <c r="V97" s="89"/>
      <c r="W97" s="90">
        <f>+W95+W96*1.6</f>
        <v>0</v>
      </c>
    </row>
    <row r="98" spans="5:30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84"/>
      <c r="V98" s="85"/>
      <c r="W98" s="86"/>
    </row>
    <row r="99" spans="5:30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3"/>
      <c r="U99" s="84"/>
      <c r="V99" s="85"/>
      <c r="W99" s="86"/>
    </row>
    <row r="100" spans="5:30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7">
        <f>+T98+T99*1.6</f>
        <v>0</v>
      </c>
      <c r="U100" s="88"/>
      <c r="V100" s="89"/>
      <c r="W100" s="90">
        <f>+W98+W99*1.6</f>
        <v>0</v>
      </c>
    </row>
    <row r="101" spans="5:30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3"/>
      <c r="U101" s="84"/>
      <c r="V101" s="85"/>
      <c r="W101" s="86"/>
    </row>
    <row r="102" spans="5:30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3"/>
      <c r="U102" s="84"/>
      <c r="V102" s="85"/>
      <c r="W102" s="86"/>
    </row>
    <row r="103" spans="5:30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7">
        <f>+T101+T102*1.6</f>
        <v>0</v>
      </c>
      <c r="U103" s="88"/>
      <c r="V103" s="89"/>
      <c r="W103" s="90">
        <f>+W101+W102*1.6</f>
        <v>0</v>
      </c>
    </row>
    <row r="104" spans="5:30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3"/>
      <c r="U104" s="84"/>
      <c r="V104" s="85"/>
      <c r="W104" s="86"/>
    </row>
    <row r="105" spans="5:30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3"/>
      <c r="U105" s="84"/>
      <c r="V105" s="85"/>
      <c r="W105" s="86"/>
    </row>
    <row r="106" spans="5:30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7">
        <f>+T104+T105*1.6</f>
        <v>0</v>
      </c>
      <c r="U106" s="88"/>
      <c r="V106" s="89"/>
      <c r="W106" s="90">
        <f>+W104+W105*1.6</f>
        <v>0</v>
      </c>
    </row>
    <row r="107" spans="5:30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3"/>
      <c r="U107" s="84"/>
      <c r="V107" s="85"/>
      <c r="W107" s="86"/>
      <c r="AD107" s="116"/>
    </row>
    <row r="108" spans="5:30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3"/>
      <c r="U108" s="84"/>
      <c r="V108" s="85"/>
      <c r="W108" s="86"/>
    </row>
    <row r="109" spans="5:30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7">
        <f>+T107+T108*1.6</f>
        <v>0</v>
      </c>
      <c r="U109" s="88"/>
      <c r="V109" s="89"/>
      <c r="W109" s="90">
        <f>+W107+W108*1.6</f>
        <v>0</v>
      </c>
    </row>
    <row r="114" spans="3:26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</row>
    <row r="116" spans="3:26" x14ac:dyDescent="0.3">
      <c r="C116" s="179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117"/>
      <c r="V116" s="118"/>
      <c r="W116" s="116"/>
      <c r="X116" s="117"/>
      <c r="Y116" s="116"/>
      <c r="Z116" s="116"/>
    </row>
    <row r="117" spans="3:26" x14ac:dyDescent="0.3">
      <c r="C117" s="179" t="s">
        <v>63</v>
      </c>
      <c r="D117" s="466" t="s">
        <v>12</v>
      </c>
      <c r="E117" s="466"/>
      <c r="F117" s="179" t="s">
        <v>64</v>
      </c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 t="s">
        <v>15</v>
      </c>
      <c r="U117" s="117"/>
      <c r="V117" s="118"/>
      <c r="W117" s="116"/>
      <c r="X117" s="117"/>
      <c r="Y117" s="116"/>
      <c r="Z117" s="116"/>
    </row>
    <row r="118" spans="3:26" x14ac:dyDescent="0.3">
      <c r="C118" s="119">
        <v>45075</v>
      </c>
      <c r="D118" s="466"/>
      <c r="E118" s="466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17"/>
      <c r="V118" s="118"/>
      <c r="W118" s="116"/>
      <c r="X118" s="117"/>
      <c r="Y118" s="116"/>
      <c r="Z118" s="116"/>
    </row>
    <row r="119" spans="3:26" x14ac:dyDescent="0.3">
      <c r="C119" s="119">
        <v>45076</v>
      </c>
      <c r="D119" s="466"/>
      <c r="E119" s="466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17"/>
      <c r="V119" s="118"/>
      <c r="W119" s="116"/>
      <c r="X119" s="117"/>
      <c r="Y119" s="116"/>
      <c r="Z119" s="116"/>
    </row>
    <row r="120" spans="3:26" x14ac:dyDescent="0.3">
      <c r="C120" s="119">
        <v>45077</v>
      </c>
      <c r="D120" s="466"/>
      <c r="E120" s="466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17"/>
      <c r="V120" s="118"/>
      <c r="W120" s="116"/>
      <c r="X120" s="117"/>
      <c r="Y120" s="116"/>
      <c r="Z120" s="116"/>
    </row>
    <row r="121" spans="3:26" x14ac:dyDescent="0.3">
      <c r="C121" s="119">
        <v>45078</v>
      </c>
      <c r="D121" s="466"/>
      <c r="E121" s="466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17"/>
      <c r="V121" s="118"/>
      <c r="W121" s="116"/>
      <c r="X121" s="117"/>
      <c r="Y121" s="116"/>
      <c r="Z121" s="116"/>
    </row>
    <row r="122" spans="3:26" x14ac:dyDescent="0.3">
      <c r="C122" s="119">
        <v>45079</v>
      </c>
      <c r="D122" s="466"/>
      <c r="E122" s="466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17"/>
      <c r="V122" s="118"/>
      <c r="W122" s="116"/>
      <c r="X122" s="117"/>
      <c r="Y122" s="116"/>
      <c r="Z122" s="116"/>
    </row>
    <row r="123" spans="3:26" x14ac:dyDescent="0.3">
      <c r="C123" s="119">
        <v>45080</v>
      </c>
      <c r="D123" s="466"/>
      <c r="E123" s="466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17"/>
      <c r="V123" s="118"/>
      <c r="W123" s="116"/>
      <c r="X123" s="117"/>
      <c r="Y123" s="116"/>
      <c r="Z123" s="116"/>
    </row>
    <row r="124" spans="3:26" x14ac:dyDescent="0.3">
      <c r="C124" s="179"/>
      <c r="D124" s="460"/>
      <c r="E124" s="462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17"/>
      <c r="V124" s="118"/>
      <c r="W124" s="116"/>
      <c r="X124" s="117"/>
      <c r="Y124" s="116"/>
      <c r="Z124" s="116"/>
    </row>
    <row r="125" spans="3:26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117"/>
      <c r="V125" s="118"/>
      <c r="W125" s="116"/>
      <c r="X125" s="117"/>
      <c r="Y125" s="116"/>
      <c r="Z125" s="116"/>
    </row>
    <row r="126" spans="3:26" x14ac:dyDescent="0.3">
      <c r="C126" s="179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117"/>
      <c r="V126" s="118"/>
      <c r="W126" s="116"/>
      <c r="X126" s="117"/>
      <c r="Y126" s="116"/>
      <c r="Z126" s="116"/>
    </row>
    <row r="127" spans="3:26" x14ac:dyDescent="0.3">
      <c r="C127" s="179" t="s">
        <v>63</v>
      </c>
      <c r="D127" s="466" t="s">
        <v>12</v>
      </c>
      <c r="E127" s="466"/>
      <c r="F127" s="179" t="s">
        <v>64</v>
      </c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 t="s">
        <v>15</v>
      </c>
      <c r="U127" s="117"/>
      <c r="V127" s="118"/>
      <c r="W127" s="116"/>
      <c r="X127" s="117"/>
      <c r="Y127" s="116"/>
      <c r="Z127" s="116"/>
    </row>
    <row r="128" spans="3:26" x14ac:dyDescent="0.3">
      <c r="C128" s="119">
        <v>45075</v>
      </c>
      <c r="D128" s="466"/>
      <c r="E128" s="466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17"/>
      <c r="V128" s="118"/>
      <c r="W128" s="116"/>
      <c r="X128" s="117"/>
      <c r="Y128" s="116"/>
      <c r="Z128" s="116"/>
    </row>
    <row r="129" spans="3:26" x14ac:dyDescent="0.3">
      <c r="C129" s="119">
        <v>45076</v>
      </c>
      <c r="D129" s="466"/>
      <c r="E129" s="466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17"/>
      <c r="V129" s="118"/>
      <c r="W129" s="116"/>
      <c r="X129" s="117"/>
      <c r="Y129" s="116"/>
      <c r="Z129" s="116"/>
    </row>
    <row r="130" spans="3:26" x14ac:dyDescent="0.3">
      <c r="C130" s="119">
        <v>45077</v>
      </c>
      <c r="D130" s="466"/>
      <c r="E130" s="466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17"/>
      <c r="V130" s="118"/>
      <c r="W130" s="116"/>
      <c r="X130" s="117"/>
      <c r="Y130" s="116"/>
      <c r="Z130" s="116"/>
    </row>
    <row r="131" spans="3:26" x14ac:dyDescent="0.3">
      <c r="C131" s="119">
        <v>45078</v>
      </c>
      <c r="D131" s="466"/>
      <c r="E131" s="466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17"/>
      <c r="V131" s="118"/>
      <c r="W131" s="116"/>
      <c r="X131" s="117"/>
      <c r="Y131" s="116"/>
      <c r="Z131" s="116"/>
    </row>
    <row r="132" spans="3:26" x14ac:dyDescent="0.3">
      <c r="C132" s="119">
        <v>45079</v>
      </c>
      <c r="D132" s="466"/>
      <c r="E132" s="466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17"/>
      <c r="V132" s="118"/>
      <c r="W132" s="116"/>
      <c r="X132" s="117"/>
      <c r="Y132" s="116"/>
      <c r="Z132" s="116"/>
    </row>
    <row r="133" spans="3:26" x14ac:dyDescent="0.3">
      <c r="C133" s="119">
        <v>45080</v>
      </c>
      <c r="D133" s="466"/>
      <c r="E133" s="466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17"/>
      <c r="V133" s="118"/>
      <c r="W133" s="116"/>
      <c r="X133" s="117"/>
      <c r="Y133" s="116"/>
      <c r="Z133" s="116"/>
    </row>
    <row r="134" spans="3:26" x14ac:dyDescent="0.3">
      <c r="C134" s="179"/>
      <c r="D134" s="460"/>
      <c r="E134" s="462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17"/>
      <c r="V134" s="118"/>
      <c r="W134" s="116"/>
      <c r="X134" s="117"/>
      <c r="Y134" s="116"/>
      <c r="Z134" s="116"/>
    </row>
    <row r="135" spans="3:26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117"/>
      <c r="V135" s="118"/>
      <c r="W135" s="116"/>
      <c r="X135" s="117"/>
      <c r="Y135" s="116"/>
      <c r="Z135" s="116"/>
    </row>
    <row r="136" spans="3:26" x14ac:dyDescent="0.3">
      <c r="C136" s="179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117"/>
      <c r="V136" s="118"/>
      <c r="W136" s="116"/>
      <c r="X136" s="117"/>
      <c r="Y136" s="116"/>
      <c r="Z136" s="116"/>
    </row>
    <row r="137" spans="3:26" x14ac:dyDescent="0.3">
      <c r="C137" s="179" t="s">
        <v>63</v>
      </c>
      <c r="D137" s="466" t="s">
        <v>12</v>
      </c>
      <c r="E137" s="466"/>
      <c r="F137" s="179" t="s">
        <v>64</v>
      </c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 t="s">
        <v>15</v>
      </c>
      <c r="U137" s="117"/>
      <c r="V137" s="118"/>
      <c r="W137" s="116"/>
      <c r="X137" s="117"/>
      <c r="Y137" s="116"/>
      <c r="Z137" s="116"/>
    </row>
    <row r="138" spans="3:26" x14ac:dyDescent="0.3">
      <c r="C138" s="119">
        <v>45075</v>
      </c>
      <c r="D138" s="466"/>
      <c r="E138" s="466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17"/>
      <c r="V138" s="118"/>
      <c r="W138" s="116"/>
      <c r="X138" s="117"/>
      <c r="Y138" s="116"/>
      <c r="Z138" s="116"/>
    </row>
    <row r="139" spans="3:26" x14ac:dyDescent="0.3">
      <c r="C139" s="119">
        <v>45076</v>
      </c>
      <c r="D139" s="466"/>
      <c r="E139" s="466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17"/>
      <c r="V139" s="118"/>
      <c r="W139" s="116"/>
      <c r="X139" s="117"/>
      <c r="Y139" s="116"/>
      <c r="Z139" s="116"/>
    </row>
    <row r="140" spans="3:26" x14ac:dyDescent="0.3">
      <c r="C140" s="119">
        <v>45077</v>
      </c>
      <c r="D140" s="466"/>
      <c r="E140" s="466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</row>
    <row r="141" spans="3:26" x14ac:dyDescent="0.3">
      <c r="C141" s="119">
        <v>45078</v>
      </c>
      <c r="D141" s="466"/>
      <c r="E141" s="466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</row>
    <row r="142" spans="3:26" x14ac:dyDescent="0.3">
      <c r="C142" s="119">
        <v>45079</v>
      </c>
      <c r="D142" s="466"/>
      <c r="E142" s="466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</row>
    <row r="143" spans="3:26" x14ac:dyDescent="0.3">
      <c r="C143" s="119">
        <v>45080</v>
      </c>
      <c r="D143" s="466"/>
      <c r="E143" s="466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</row>
    <row r="144" spans="3:26" x14ac:dyDescent="0.3">
      <c r="C144" s="179"/>
      <c r="D144" s="460"/>
      <c r="E144" s="462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</row>
  </sheetData>
  <mergeCells count="113">
    <mergeCell ref="T5:V5"/>
    <mergeCell ref="W5:Y5"/>
    <mergeCell ref="AB5:AB6"/>
    <mergeCell ref="AC5:AC6"/>
    <mergeCell ref="AD5:AD6"/>
    <mergeCell ref="B7:B12"/>
    <mergeCell ref="B2:AD2"/>
    <mergeCell ref="B3:AD3"/>
    <mergeCell ref="B5:C6"/>
    <mergeCell ref="D5:D6"/>
    <mergeCell ref="E5:E6"/>
    <mergeCell ref="F5:F6"/>
    <mergeCell ref="G5:G6"/>
    <mergeCell ref="H5:H6"/>
    <mergeCell ref="I5:R5"/>
    <mergeCell ref="S5:S6"/>
    <mergeCell ref="B13:E13"/>
    <mergeCell ref="B14:E14"/>
    <mergeCell ref="B19:AD19"/>
    <mergeCell ref="B21:B22"/>
    <mergeCell ref="C21:C22"/>
    <mergeCell ref="D21:D22"/>
    <mergeCell ref="E21:E22"/>
    <mergeCell ref="F21:F22"/>
    <mergeCell ref="G21:G22"/>
    <mergeCell ref="H21:H22"/>
    <mergeCell ref="AB21:AB22"/>
    <mergeCell ref="AC21:AC22"/>
    <mergeCell ref="AD21:AD22"/>
    <mergeCell ref="B23:B28"/>
    <mergeCell ref="B29:E29"/>
    <mergeCell ref="B30:E30"/>
    <mergeCell ref="I21:R21"/>
    <mergeCell ref="S21:S22"/>
    <mergeCell ref="T21:V21"/>
    <mergeCell ref="W21:Y21"/>
    <mergeCell ref="Z21:Z22"/>
    <mergeCell ref="AA21:AA22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AD78:AD79"/>
    <mergeCell ref="B80:B85"/>
    <mergeCell ref="B86:E86"/>
    <mergeCell ref="B87:E87"/>
    <mergeCell ref="E92:E94"/>
    <mergeCell ref="F92:F94"/>
    <mergeCell ref="B76:AD76"/>
    <mergeCell ref="B78:B79"/>
    <mergeCell ref="C78:C79"/>
    <mergeCell ref="D78:D79"/>
    <mergeCell ref="E78:E79"/>
    <mergeCell ref="F78:F79"/>
    <mergeCell ref="T78:V78"/>
    <mergeCell ref="W78:Y78"/>
    <mergeCell ref="AB78:AB79"/>
    <mergeCell ref="AC78:AC79"/>
    <mergeCell ref="E104:E106"/>
    <mergeCell ref="F104:F106"/>
    <mergeCell ref="E107:E109"/>
    <mergeCell ref="F107:F109"/>
    <mergeCell ref="C114:T114"/>
    <mergeCell ref="D117:E117"/>
    <mergeCell ref="E95:E97"/>
    <mergeCell ref="F95:F97"/>
    <mergeCell ref="E98:E100"/>
    <mergeCell ref="F98:F100"/>
    <mergeCell ref="E101:E103"/>
    <mergeCell ref="F101:F103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</mergeCells>
  <phoneticPr fontId="4" type="noConversion"/>
  <dataValidations count="3">
    <dataValidation type="list" allowBlank="1" showInputMessage="1" showErrorMessage="1" sqref="E7:E12 E23:E28">
      <formula1>$T$7:$T$12</formula1>
    </dataValidation>
    <dataValidation type="list" allowBlank="1" showInputMessage="1" showErrorMessage="1" sqref="AG23:AG25 AG7 AG10 AG80:AG82">
      <formula1>$AD$6:$AD$8</formula1>
    </dataValidation>
    <dataValidation type="list" allowBlank="1" showInputMessage="1" showErrorMessage="1" sqref="E80:E85">
      <formula1>$AG$7:$AG$12</formula1>
    </dataValidation>
  </dataValidations>
  <pageMargins left="0.62992125984251968" right="0.62992125984251968" top="0.94488188976377963" bottom="0.55118110236220474" header="0.31496062992125984" footer="0.31496062992125984"/>
  <pageSetup paperSize="9" scale="26" orientation="landscape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Y144"/>
  <sheetViews>
    <sheetView showGridLines="0" zoomScale="80" zoomScaleNormal="80" workbookViewId="0">
      <pane xSplit="4" ySplit="6" topLeftCell="E25" activePane="bottomRight" state="frozen"/>
      <selection pane="topRight" activeCell="D1" sqref="D1"/>
      <selection pane="bottomLeft" activeCell="A6" sqref="A6"/>
      <selection pane="bottomRight" activeCell="W9" sqref="W9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19" width="8.625" style="8" customWidth="1"/>
    <col min="20" max="20" width="10.75" style="75" customWidth="1"/>
    <col min="21" max="21" width="10.875" style="10" customWidth="1"/>
    <col min="22" max="22" width="7.375" style="11" customWidth="1"/>
    <col min="23" max="23" width="12.25" customWidth="1"/>
    <col min="24" max="24" width="7.75" style="10" customWidth="1"/>
    <col min="25" max="25" width="10.375" customWidth="1"/>
    <col min="26" max="26" width="9.5" customWidth="1"/>
    <col min="27" max="27" width="10" customWidth="1"/>
    <col min="28" max="28" width="7.125" customWidth="1"/>
    <col min="29" max="29" width="8.375" customWidth="1"/>
    <col min="30" max="30" width="61.75" customWidth="1"/>
    <col min="31" max="32" width="9.125" hidden="1" customWidth="1"/>
    <col min="33" max="33" width="8.75" hidden="1" customWidth="1"/>
    <col min="34" max="34" width="2.75" hidden="1" customWidth="1"/>
    <col min="35" max="35" width="9.125" hidden="1" customWidth="1"/>
    <col min="36" max="36" width="0" hidden="1" customWidth="1"/>
    <col min="37" max="39" width="9.125" style="1" hidden="1" customWidth="1"/>
    <col min="40" max="41" width="0" hidden="1" customWidth="1"/>
    <col min="42" max="42" width="11.75" hidden="1" customWidth="1"/>
    <col min="43" max="43" width="3.25" customWidth="1"/>
  </cols>
  <sheetData>
    <row r="2" spans="2:51" ht="20.25" x14ac:dyDescent="0.3">
      <c r="B2" s="425" t="s">
        <v>109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V2" s="2" t="s">
        <v>0</v>
      </c>
      <c r="AW2" s="174" t="s">
        <v>1</v>
      </c>
      <c r="AX2" s="174" t="s">
        <v>2</v>
      </c>
      <c r="AY2" s="3" t="s">
        <v>3</v>
      </c>
    </row>
    <row r="3" spans="2:51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V3" s="4"/>
      <c r="AW3" s="5"/>
      <c r="AX3" s="5"/>
      <c r="AY3" s="6"/>
    </row>
    <row r="4" spans="2:51" x14ac:dyDescent="0.3">
      <c r="B4" t="s">
        <v>5</v>
      </c>
      <c r="D4" s="7">
        <v>55</v>
      </c>
      <c r="F4" s="8" t="s">
        <v>6</v>
      </c>
      <c r="T4" s="9">
        <v>1.2</v>
      </c>
      <c r="Z4" s="12">
        <v>50</v>
      </c>
      <c r="AA4" s="11">
        <f>50*10.89/10</f>
        <v>54.45</v>
      </c>
      <c r="AB4" s="12"/>
      <c r="AD4" s="8"/>
    </row>
    <row r="5" spans="2:51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8"/>
      <c r="S5" s="439" t="s">
        <v>11</v>
      </c>
      <c r="T5" s="441" t="s">
        <v>12</v>
      </c>
      <c r="U5" s="418"/>
      <c r="V5" s="442"/>
      <c r="W5" s="446" t="s">
        <v>13</v>
      </c>
      <c r="X5" s="418"/>
      <c r="Y5" s="418"/>
      <c r="Z5" s="13"/>
      <c r="AA5" s="14"/>
      <c r="AB5" s="447" t="s">
        <v>14</v>
      </c>
      <c r="AC5" s="449" t="s">
        <v>15</v>
      </c>
      <c r="AD5" s="418" t="s">
        <v>16</v>
      </c>
    </row>
    <row r="6" spans="2:51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177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76</v>
      </c>
      <c r="Q6" s="18" t="s">
        <v>77</v>
      </c>
      <c r="R6" s="127" t="s">
        <v>80</v>
      </c>
      <c r="S6" s="440"/>
      <c r="T6" s="15" t="s">
        <v>12</v>
      </c>
      <c r="U6" s="16" t="s">
        <v>17</v>
      </c>
      <c r="V6" s="17" t="s">
        <v>18</v>
      </c>
      <c r="W6" s="18" t="s">
        <v>13</v>
      </c>
      <c r="X6" s="16" t="s">
        <v>19</v>
      </c>
      <c r="Y6" s="19" t="s">
        <v>18</v>
      </c>
      <c r="Z6" s="177" t="s">
        <v>20</v>
      </c>
      <c r="AA6" s="20" t="s">
        <v>21</v>
      </c>
      <c r="AB6" s="448"/>
      <c r="AC6" s="450"/>
      <c r="AD6" s="419"/>
      <c r="AE6" s="21" t="s">
        <v>22</v>
      </c>
      <c r="AF6" s="21" t="s">
        <v>23</v>
      </c>
      <c r="AI6" s="22" t="s">
        <v>24</v>
      </c>
      <c r="AK6" s="23" t="s">
        <v>25</v>
      </c>
      <c r="AL6" s="23" t="s">
        <v>26</v>
      </c>
      <c r="AM6" s="23" t="s">
        <v>27</v>
      </c>
      <c r="AO6" s="22">
        <f>SUM(AO7:AO12)</f>
        <v>-63</v>
      </c>
    </row>
    <row r="7" spans="2:51" s="175" customFormat="1" ht="99" customHeight="1" thickTop="1" x14ac:dyDescent="0.3">
      <c r="B7" s="420">
        <v>1</v>
      </c>
      <c r="C7" s="24">
        <v>19</v>
      </c>
      <c r="D7" s="25" t="s">
        <v>7</v>
      </c>
      <c r="E7" s="26" t="s">
        <v>28</v>
      </c>
      <c r="F7" s="25">
        <v>11</v>
      </c>
      <c r="G7" s="128">
        <v>609</v>
      </c>
      <c r="H7" s="128">
        <f t="shared" ref="H7:H12" si="0">(G7/T7)*100</f>
        <v>99.185667752442995</v>
      </c>
      <c r="I7" s="123" t="s">
        <v>85</v>
      </c>
      <c r="J7" s="123" t="s">
        <v>86</v>
      </c>
      <c r="K7" s="123" t="s">
        <v>73</v>
      </c>
      <c r="L7" s="123" t="s">
        <v>87</v>
      </c>
      <c r="M7" s="123"/>
      <c r="N7" s="129" t="s">
        <v>90</v>
      </c>
      <c r="O7" s="123" t="s">
        <v>74</v>
      </c>
      <c r="P7" s="123" t="s">
        <v>91</v>
      </c>
      <c r="Q7" s="123" t="s">
        <v>89</v>
      </c>
      <c r="R7" s="125">
        <f t="shared" ref="R7:R13" si="1">COUNTA(I7:M7)+COUNTA(N7:Q7)/2</f>
        <v>6</v>
      </c>
      <c r="S7" s="27">
        <f t="shared" ref="S7:S12" si="2">F7*$D$4*$T$4</f>
        <v>726</v>
      </c>
      <c r="T7" s="28">
        <f>+H38</f>
        <v>614</v>
      </c>
      <c r="U7" s="29">
        <f t="shared" ref="U7:U12" si="3">IF(F7=0,"휴무",T7/F7)</f>
        <v>55.81818181818182</v>
      </c>
      <c r="V7" s="30">
        <f t="shared" ref="V7:V13" si="4">IFERROR(T7/S7,0)</f>
        <v>0.84573002754820936</v>
      </c>
      <c r="W7" s="31">
        <f>+K38</f>
        <v>527.70000000000005</v>
      </c>
      <c r="X7" s="29">
        <f t="shared" ref="X7:X12" si="5">IF(F7=0,"휴무",W7/F7)</f>
        <v>47.972727272727276</v>
      </c>
      <c r="Y7" s="32">
        <f t="shared" ref="Y7:Y13" si="6">IFERROR(W7/S7,0)</f>
        <v>0.72685950413223144</v>
      </c>
      <c r="Z7" s="33">
        <f t="shared" ref="Z7:Z12" si="7">IF(F7=0,"휴무",T7/S7*$Z$4)</f>
        <v>42.286501377410467</v>
      </c>
      <c r="AA7" s="34">
        <f t="shared" ref="AA7:AA12" si="8">IF(F7=0,"휴무",W7/S7*$AA$4)</f>
        <v>39.577500000000001</v>
      </c>
      <c r="AB7" s="138">
        <f t="shared" ref="AB7:AB13" si="9">IF(F7=0,"휴무",Z7+AA7)</f>
        <v>81.86400137741046</v>
      </c>
      <c r="AC7" s="35" t="str">
        <f t="shared" ref="AC7:AC13" si="10">IF(F7=0,"휴무",IF(AB7&gt;=100,"좋아요",IF(AB7&gt;=90,"90~99",IF(AB7&gt;=80,"80~89"," 사유?→"))))</f>
        <v>80~89</v>
      </c>
      <c r="AD7" s="36"/>
      <c r="AE7" s="37">
        <f>AF7-F7</f>
        <v>-11</v>
      </c>
      <c r="AF7" s="38">
        <f>AM7</f>
        <v>0</v>
      </c>
      <c r="AG7" s="175" t="s">
        <v>29</v>
      </c>
      <c r="AH7" s="39"/>
      <c r="AI7" s="40">
        <f>IFERROR(Y7/V7*1000,"")</f>
        <v>859.44625407166131</v>
      </c>
      <c r="AJ7" s="39"/>
      <c r="AK7" s="41"/>
      <c r="AL7" s="41"/>
      <c r="AM7" s="41"/>
      <c r="AO7" s="175">
        <f t="shared" ref="AO7:AO12" si="11">AN7-F7</f>
        <v>-11</v>
      </c>
      <c r="AP7" s="42"/>
    </row>
    <row r="8" spans="2:51" s="175" customFormat="1" ht="99.75" customHeight="1" x14ac:dyDescent="0.3">
      <c r="B8" s="421"/>
      <c r="C8" s="24">
        <f>+C7+1</f>
        <v>20</v>
      </c>
      <c r="D8" s="43" t="s">
        <v>30</v>
      </c>
      <c r="E8" s="26" t="s">
        <v>28</v>
      </c>
      <c r="F8" s="25">
        <v>11</v>
      </c>
      <c r="G8" s="125">
        <v>618</v>
      </c>
      <c r="H8" s="125">
        <f t="shared" si="0"/>
        <v>100</v>
      </c>
      <c r="I8" s="123" t="s">
        <v>85</v>
      </c>
      <c r="J8" s="123" t="s">
        <v>86</v>
      </c>
      <c r="K8" s="123" t="s">
        <v>73</v>
      </c>
      <c r="L8" s="123" t="s">
        <v>87</v>
      </c>
      <c r="M8" s="123"/>
      <c r="N8" s="129" t="s">
        <v>90</v>
      </c>
      <c r="O8" s="123" t="s">
        <v>74</v>
      </c>
      <c r="P8" s="123" t="s">
        <v>91</v>
      </c>
      <c r="Q8" s="123" t="s">
        <v>89</v>
      </c>
      <c r="R8" s="125">
        <f t="shared" si="1"/>
        <v>6</v>
      </c>
      <c r="S8" s="27">
        <f t="shared" si="2"/>
        <v>726</v>
      </c>
      <c r="T8" s="28">
        <f>+H41</f>
        <v>618</v>
      </c>
      <c r="U8" s="44">
        <f t="shared" si="3"/>
        <v>56.18181818181818</v>
      </c>
      <c r="V8" s="45">
        <f t="shared" si="4"/>
        <v>0.85123966942148765</v>
      </c>
      <c r="W8" s="46">
        <f>+K41</f>
        <v>538.02</v>
      </c>
      <c r="X8" s="29">
        <f t="shared" si="5"/>
        <v>48.910909090909087</v>
      </c>
      <c r="Y8" s="47">
        <f t="shared" si="6"/>
        <v>0.74107438016528926</v>
      </c>
      <c r="Z8" s="48">
        <f t="shared" si="7"/>
        <v>42.561983471074385</v>
      </c>
      <c r="AA8" s="49">
        <f t="shared" si="8"/>
        <v>40.351500000000001</v>
      </c>
      <c r="AB8" s="139">
        <f t="shared" si="9"/>
        <v>82.913483471074386</v>
      </c>
      <c r="AC8" s="50" t="str">
        <f t="shared" si="10"/>
        <v>80~89</v>
      </c>
      <c r="AD8" s="36"/>
      <c r="AE8" s="37">
        <f>AF8-F8</f>
        <v>-11</v>
      </c>
      <c r="AF8" s="38">
        <f>AM8</f>
        <v>0</v>
      </c>
      <c r="AG8" s="175" t="s">
        <v>31</v>
      </c>
      <c r="AH8" s="39"/>
      <c r="AI8" s="40">
        <f>IFERROR(Y8/V8*1000,"")</f>
        <v>870.58252427184459</v>
      </c>
      <c r="AJ8" s="39"/>
      <c r="AK8" s="41"/>
      <c r="AL8" s="41"/>
      <c r="AM8" s="41"/>
      <c r="AO8" s="175">
        <f t="shared" si="11"/>
        <v>-11</v>
      </c>
      <c r="AP8" s="42"/>
    </row>
    <row r="9" spans="2:51" s="175" customFormat="1" ht="97.5" customHeight="1" x14ac:dyDescent="0.3">
      <c r="B9" s="421"/>
      <c r="C9" s="24">
        <f>+C8+1</f>
        <v>21</v>
      </c>
      <c r="D9" s="43" t="s">
        <v>32</v>
      </c>
      <c r="E9" s="26" t="s">
        <v>28</v>
      </c>
      <c r="F9" s="25">
        <v>11</v>
      </c>
      <c r="G9" s="125">
        <v>626</v>
      </c>
      <c r="H9" s="125">
        <f t="shared" si="0"/>
        <v>99.840510366826152</v>
      </c>
      <c r="I9" s="123" t="s">
        <v>85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91</v>
      </c>
      <c r="Q9" s="123" t="s">
        <v>89</v>
      </c>
      <c r="R9" s="125">
        <f t="shared" si="1"/>
        <v>6</v>
      </c>
      <c r="S9" s="27">
        <f t="shared" si="2"/>
        <v>726</v>
      </c>
      <c r="T9" s="51">
        <f>+H44</f>
        <v>627</v>
      </c>
      <c r="U9" s="44">
        <f t="shared" si="3"/>
        <v>57</v>
      </c>
      <c r="V9" s="45">
        <f t="shared" si="4"/>
        <v>0.86363636363636365</v>
      </c>
      <c r="W9" s="46">
        <f>+K44</f>
        <v>528.26</v>
      </c>
      <c r="X9" s="44">
        <f t="shared" si="5"/>
        <v>48.023636363636363</v>
      </c>
      <c r="Y9" s="47">
        <f t="shared" si="6"/>
        <v>0.72763085399449035</v>
      </c>
      <c r="Z9" s="48">
        <f t="shared" si="7"/>
        <v>43.18181818181818</v>
      </c>
      <c r="AA9" s="49">
        <f t="shared" si="8"/>
        <v>39.619500000000002</v>
      </c>
      <c r="AB9" s="139">
        <f t="shared" si="9"/>
        <v>82.801318181818175</v>
      </c>
      <c r="AC9" s="50" t="str">
        <f t="shared" si="10"/>
        <v>80~89</v>
      </c>
      <c r="AD9" s="36"/>
      <c r="AE9" s="37">
        <f>AF9-F9</f>
        <v>-11</v>
      </c>
      <c r="AF9" s="38">
        <f>AM9</f>
        <v>0</v>
      </c>
      <c r="AG9" s="175" t="s">
        <v>34</v>
      </c>
      <c r="AH9" s="39"/>
      <c r="AI9" s="40">
        <f>IFERROR(Y9/V9*1000,"")</f>
        <v>842.51993620414669</v>
      </c>
      <c r="AJ9" s="39"/>
      <c r="AK9" s="41"/>
      <c r="AL9" s="41"/>
      <c r="AM9" s="41"/>
      <c r="AO9" s="175">
        <f t="shared" si="11"/>
        <v>-11</v>
      </c>
      <c r="AP9" s="42"/>
    </row>
    <row r="10" spans="2:51" s="175" customFormat="1" ht="95.25" customHeight="1" x14ac:dyDescent="0.3">
      <c r="B10" s="421"/>
      <c r="C10" s="24">
        <f>+C9+1</f>
        <v>22</v>
      </c>
      <c r="D10" s="43" t="s">
        <v>35</v>
      </c>
      <c r="E10" s="26" t="s">
        <v>28</v>
      </c>
      <c r="F10" s="25">
        <v>11</v>
      </c>
      <c r="G10" s="125">
        <v>676</v>
      </c>
      <c r="H10" s="125">
        <f t="shared" si="0"/>
        <v>99.705014749262531</v>
      </c>
      <c r="I10" s="123" t="s">
        <v>85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74</v>
      </c>
      <c r="P10" s="123" t="s">
        <v>91</v>
      </c>
      <c r="Q10" s="123" t="s">
        <v>89</v>
      </c>
      <c r="R10" s="125">
        <f t="shared" si="1"/>
        <v>6</v>
      </c>
      <c r="S10" s="27">
        <f t="shared" si="2"/>
        <v>726</v>
      </c>
      <c r="T10" s="28">
        <f>+H47</f>
        <v>678</v>
      </c>
      <c r="U10" s="44">
        <f t="shared" si="3"/>
        <v>61.636363636363633</v>
      </c>
      <c r="V10" s="45">
        <f t="shared" si="4"/>
        <v>0.93388429752066116</v>
      </c>
      <c r="W10" s="46">
        <f>+K47</f>
        <v>517.92999999999995</v>
      </c>
      <c r="X10" s="29">
        <f t="shared" si="5"/>
        <v>47.084545454545449</v>
      </c>
      <c r="Y10" s="47">
        <f t="shared" si="6"/>
        <v>0.71340220385674924</v>
      </c>
      <c r="Z10" s="48">
        <f t="shared" si="7"/>
        <v>46.694214876033058</v>
      </c>
      <c r="AA10" s="49">
        <f t="shared" si="8"/>
        <v>38.844749999999998</v>
      </c>
      <c r="AB10" s="139">
        <f t="shared" si="9"/>
        <v>85.538964876033049</v>
      </c>
      <c r="AC10" s="50" t="str">
        <f t="shared" si="10"/>
        <v>80~89</v>
      </c>
      <c r="AD10" s="36"/>
      <c r="AE10" s="37">
        <f>AF10-F10</f>
        <v>-11</v>
      </c>
      <c r="AF10" s="38">
        <f>AM10</f>
        <v>0</v>
      </c>
      <c r="AG10" s="175" t="s">
        <v>36</v>
      </c>
      <c r="AH10" s="39"/>
      <c r="AI10" s="40">
        <f>IFERROR(Y10/V10*1000,"")</f>
        <v>763.90855457227133</v>
      </c>
      <c r="AJ10" s="39"/>
      <c r="AK10" s="41"/>
      <c r="AL10" s="41"/>
      <c r="AM10" s="41"/>
      <c r="AO10" s="175">
        <f t="shared" si="11"/>
        <v>-11</v>
      </c>
      <c r="AP10" s="42"/>
    </row>
    <row r="11" spans="2:51" s="175" customFormat="1" ht="102.75" customHeight="1" x14ac:dyDescent="0.3">
      <c r="B11" s="421"/>
      <c r="C11" s="24">
        <f>+C10+1</f>
        <v>23</v>
      </c>
      <c r="D11" s="43" t="s">
        <v>37</v>
      </c>
      <c r="E11" s="26" t="s">
        <v>28</v>
      </c>
      <c r="F11" s="25">
        <v>11</v>
      </c>
      <c r="G11" s="125">
        <v>634</v>
      </c>
      <c r="H11" s="125">
        <f t="shared" si="0"/>
        <v>99.373040752351088</v>
      </c>
      <c r="I11" s="123" t="s">
        <v>85</v>
      </c>
      <c r="J11" s="123" t="s">
        <v>86</v>
      </c>
      <c r="K11" s="123" t="s">
        <v>73</v>
      </c>
      <c r="L11" s="123" t="s">
        <v>87</v>
      </c>
      <c r="M11" s="123"/>
      <c r="N11" s="129" t="s">
        <v>90</v>
      </c>
      <c r="O11" s="123" t="s">
        <v>74</v>
      </c>
      <c r="P11" s="123" t="s">
        <v>91</v>
      </c>
      <c r="Q11" s="123" t="s">
        <v>89</v>
      </c>
      <c r="R11" s="125">
        <f t="shared" si="1"/>
        <v>6</v>
      </c>
      <c r="S11" s="27">
        <f t="shared" si="2"/>
        <v>726</v>
      </c>
      <c r="T11" s="28">
        <f>+H50</f>
        <v>638</v>
      </c>
      <c r="U11" s="44">
        <f t="shared" si="3"/>
        <v>58</v>
      </c>
      <c r="V11" s="45">
        <f t="shared" si="4"/>
        <v>0.87878787878787878</v>
      </c>
      <c r="W11" s="46">
        <f>+K50</f>
        <v>538.24</v>
      </c>
      <c r="X11" s="44">
        <f t="shared" si="5"/>
        <v>48.93090909090909</v>
      </c>
      <c r="Y11" s="47">
        <f t="shared" si="6"/>
        <v>0.74137741046831962</v>
      </c>
      <c r="Z11" s="48">
        <f t="shared" si="7"/>
        <v>43.939393939393938</v>
      </c>
      <c r="AA11" s="49">
        <f t="shared" si="8"/>
        <v>40.368000000000002</v>
      </c>
      <c r="AB11" s="139">
        <f t="shared" si="9"/>
        <v>84.307393939393933</v>
      </c>
      <c r="AC11" s="50" t="str">
        <f t="shared" si="10"/>
        <v>80~89</v>
      </c>
      <c r="AD11" s="36"/>
      <c r="AE11" s="37">
        <f>AF11-F11</f>
        <v>-11</v>
      </c>
      <c r="AF11" s="38">
        <f>AM11</f>
        <v>0</v>
      </c>
      <c r="AG11" s="175" t="s">
        <v>33</v>
      </c>
      <c r="AH11" s="39"/>
      <c r="AI11" s="40">
        <f>IFERROR(Y11/V11*1000,"")</f>
        <v>843.63636363636374</v>
      </c>
      <c r="AK11" s="41"/>
      <c r="AL11" s="41"/>
      <c r="AM11" s="41"/>
      <c r="AO11" s="175">
        <f t="shared" si="11"/>
        <v>-11</v>
      </c>
      <c r="AP11" s="42"/>
    </row>
    <row r="12" spans="2:51" s="175" customFormat="1" ht="102.75" customHeight="1" x14ac:dyDescent="0.3">
      <c r="B12" s="421"/>
      <c r="C12" s="24">
        <f>+C11+1</f>
        <v>24</v>
      </c>
      <c r="D12" s="43" t="s">
        <v>38</v>
      </c>
      <c r="E12" s="26" t="s">
        <v>36</v>
      </c>
      <c r="F12" s="25">
        <v>8</v>
      </c>
      <c r="G12" s="125">
        <v>424</v>
      </c>
      <c r="H12" s="125">
        <f t="shared" si="0"/>
        <v>99.065420560747668</v>
      </c>
      <c r="I12" s="123" t="s">
        <v>85</v>
      </c>
      <c r="J12" s="123" t="s">
        <v>86</v>
      </c>
      <c r="K12" s="123" t="s">
        <v>73</v>
      </c>
      <c r="L12" s="123" t="s">
        <v>87</v>
      </c>
      <c r="M12" s="123"/>
      <c r="N12" s="129" t="s">
        <v>103</v>
      </c>
      <c r="O12" s="123" t="s">
        <v>110</v>
      </c>
      <c r="P12" s="123" t="s">
        <v>91</v>
      </c>
      <c r="Q12" s="123" t="s">
        <v>89</v>
      </c>
      <c r="R12" s="125">
        <f t="shared" si="1"/>
        <v>6</v>
      </c>
      <c r="S12" s="178">
        <f t="shared" si="2"/>
        <v>528</v>
      </c>
      <c r="T12" s="28">
        <f>+H53</f>
        <v>428</v>
      </c>
      <c r="U12" s="29">
        <f t="shared" si="3"/>
        <v>53.5</v>
      </c>
      <c r="V12" s="30">
        <f t="shared" si="4"/>
        <v>0.81060606060606055</v>
      </c>
      <c r="W12" s="31">
        <f>+K53</f>
        <v>410.84</v>
      </c>
      <c r="X12" s="44">
        <f t="shared" si="5"/>
        <v>51.354999999999997</v>
      </c>
      <c r="Y12" s="47">
        <f t="shared" si="6"/>
        <v>0.77810606060606058</v>
      </c>
      <c r="Z12" s="48">
        <f t="shared" si="7"/>
        <v>40.530303030303031</v>
      </c>
      <c r="AA12" s="49">
        <f t="shared" si="8"/>
        <v>42.367874999999998</v>
      </c>
      <c r="AB12" s="139">
        <f t="shared" si="9"/>
        <v>82.898178030303029</v>
      </c>
      <c r="AC12" s="50" t="str">
        <f t="shared" si="10"/>
        <v>80~89</v>
      </c>
      <c r="AD12" s="36"/>
      <c r="AE12" s="37"/>
      <c r="AF12" s="38"/>
      <c r="AH12" s="39"/>
      <c r="AI12" s="40"/>
      <c r="AK12" s="41"/>
      <c r="AL12" s="41"/>
      <c r="AM12" s="41"/>
      <c r="AO12" s="175">
        <f t="shared" si="11"/>
        <v>-8</v>
      </c>
      <c r="AP12" s="42"/>
    </row>
    <row r="13" spans="2:51" s="175" customFormat="1" ht="36" customHeight="1" x14ac:dyDescent="0.3">
      <c r="B13" s="422" t="s">
        <v>39</v>
      </c>
      <c r="C13" s="423"/>
      <c r="D13" s="423"/>
      <c r="E13" s="424"/>
      <c r="F13" s="43">
        <f>SUM(F7:F12)</f>
        <v>63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5">
        <f t="shared" si="1"/>
        <v>0</v>
      </c>
      <c r="S13" s="52">
        <f>SUM(S7:S12)</f>
        <v>4158</v>
      </c>
      <c r="T13" s="53">
        <f>SUM(T7:T12)</f>
        <v>3603</v>
      </c>
      <c r="U13" s="54">
        <f>T13/F13</f>
        <v>57.19047619047619</v>
      </c>
      <c r="V13" s="45">
        <f t="shared" si="4"/>
        <v>0.86652236652236647</v>
      </c>
      <c r="W13" s="55">
        <f>SUM(W7:W12)</f>
        <v>3060.99</v>
      </c>
      <c r="X13" s="44">
        <f>W13/F13</f>
        <v>48.587142857142851</v>
      </c>
      <c r="Y13" s="47">
        <f t="shared" si="6"/>
        <v>0.73616883116883114</v>
      </c>
      <c r="Z13" s="56">
        <f>T13/S13*Z4</f>
        <v>43.326118326118326</v>
      </c>
      <c r="AA13" s="57">
        <f>W13/S13*AA4</f>
        <v>40.084392857142859</v>
      </c>
      <c r="AB13" s="140">
        <f t="shared" si="9"/>
        <v>83.410511183261178</v>
      </c>
      <c r="AC13" s="58" t="str">
        <f t="shared" si="10"/>
        <v>80~89</v>
      </c>
      <c r="AD13" s="43"/>
      <c r="AE13" s="37">
        <f>AF13-F13</f>
        <v>-63</v>
      </c>
      <c r="AF13" s="38">
        <f>SUM(AF7:AF12)</f>
        <v>0</v>
      </c>
      <c r="AI13" s="40"/>
      <c r="AK13" s="59"/>
      <c r="AL13" s="59"/>
      <c r="AM13" s="59"/>
    </row>
    <row r="14" spans="2:51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10.5</v>
      </c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61">
        <f>U14*F14</f>
        <v>600.5</v>
      </c>
      <c r="U14" s="62">
        <f>T13/F13</f>
        <v>57.19047619047619</v>
      </c>
      <c r="V14" s="63">
        <f>IFERROR(T14/#REF!,0)</f>
        <v>0</v>
      </c>
      <c r="W14" s="64">
        <f>W13/F13*F14</f>
        <v>510.16499999999996</v>
      </c>
      <c r="X14" s="62">
        <f>IF(F14=0,"휴무",W14/F14)</f>
        <v>48.587142857142851</v>
      </c>
      <c r="Y14" s="65">
        <f>IFERROR(W14/#REF!,0)</f>
        <v>0</v>
      </c>
      <c r="Z14" s="60">
        <f>AVERAGE(Z7:Z12)</f>
        <v>43.199035812672172</v>
      </c>
      <c r="AA14" s="60">
        <f>AVERAGE(AA7:AA12)</f>
        <v>40.188187499999998</v>
      </c>
      <c r="AB14" s="141">
        <f>Z14+AA14</f>
        <v>83.387223312672177</v>
      </c>
      <c r="AC14" s="67"/>
      <c r="AD14" s="68"/>
      <c r="AI14" s="40" t="str">
        <f>IFERROR(Y14/V14*1000,"")</f>
        <v/>
      </c>
      <c r="AK14" s="10"/>
      <c r="AL14" s="10"/>
      <c r="AM14" s="10"/>
    </row>
    <row r="15" spans="2:51" s="175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22"/>
      <c r="U15" s="10"/>
      <c r="V15" s="73">
        <f>V14*60</f>
        <v>0</v>
      </c>
      <c r="W15" s="74"/>
      <c r="X15" s="73"/>
      <c r="Y15" s="74">
        <f>Y14*40</f>
        <v>0</v>
      </c>
      <c r="AB15" s="142">
        <f>V15+Y15</f>
        <v>0</v>
      </c>
      <c r="AK15" s="59"/>
      <c r="AL15" s="59"/>
      <c r="AM15" s="59"/>
    </row>
    <row r="16" spans="2:51" ht="17.25" thickBot="1" x14ac:dyDescent="0.35">
      <c r="B16" s="70"/>
    </row>
    <row r="17" spans="2:42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2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</row>
    <row r="20" spans="2:42" x14ac:dyDescent="0.3">
      <c r="B20" t="s">
        <v>5</v>
      </c>
      <c r="D20" s="7">
        <v>55</v>
      </c>
      <c r="F20" s="8" t="s">
        <v>6</v>
      </c>
      <c r="T20" s="9">
        <v>1.2</v>
      </c>
      <c r="Z20" s="12">
        <f>Z4</f>
        <v>50</v>
      </c>
      <c r="AA20" s="11">
        <f>AA4</f>
        <v>54.45</v>
      </c>
      <c r="AB20" s="12"/>
      <c r="AD20" s="8"/>
    </row>
    <row r="21" spans="2:42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8"/>
      <c r="S21" s="439" t="s">
        <v>11</v>
      </c>
      <c r="T21" s="441" t="s">
        <v>12</v>
      </c>
      <c r="U21" s="418"/>
      <c r="V21" s="442"/>
      <c r="W21" s="446" t="s">
        <v>13</v>
      </c>
      <c r="X21" s="418"/>
      <c r="Y21" s="418"/>
      <c r="Z21" s="451" t="s">
        <v>20</v>
      </c>
      <c r="AA21" s="453" t="s">
        <v>21</v>
      </c>
      <c r="AB21" s="447" t="s">
        <v>14</v>
      </c>
      <c r="AC21" s="449" t="s">
        <v>15</v>
      </c>
      <c r="AD21" s="418" t="s">
        <v>16</v>
      </c>
    </row>
    <row r="22" spans="2:42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76</v>
      </c>
      <c r="Q22" s="18" t="s">
        <v>77</v>
      </c>
      <c r="R22" s="127" t="s">
        <v>80</v>
      </c>
      <c r="S22" s="440"/>
      <c r="T22" s="15" t="s">
        <v>12</v>
      </c>
      <c r="U22" s="16" t="s">
        <v>17</v>
      </c>
      <c r="V22" s="17" t="s">
        <v>18</v>
      </c>
      <c r="W22" s="18" t="s">
        <v>13</v>
      </c>
      <c r="X22" s="16" t="s">
        <v>19</v>
      </c>
      <c r="Y22" s="19" t="s">
        <v>18</v>
      </c>
      <c r="Z22" s="452"/>
      <c r="AA22" s="454"/>
      <c r="AB22" s="448"/>
      <c r="AC22" s="450"/>
      <c r="AD22" s="419"/>
      <c r="AE22" s="21" t="s">
        <v>22</v>
      </c>
      <c r="AF22" s="21" t="s">
        <v>23</v>
      </c>
      <c r="AI22" s="22" t="s">
        <v>24</v>
      </c>
      <c r="AK22" s="23" t="s">
        <v>25</v>
      </c>
      <c r="AL22" s="23" t="s">
        <v>26</v>
      </c>
      <c r="AM22" s="23" t="s">
        <v>27</v>
      </c>
      <c r="AO22" s="22">
        <f>SUM(AO23:AO28)</f>
        <v>-62.2</v>
      </c>
    </row>
    <row r="23" spans="2:42" s="175" customFormat="1" ht="99" customHeight="1" thickTop="1" x14ac:dyDescent="0.3">
      <c r="B23" s="420">
        <f>+B7</f>
        <v>1</v>
      </c>
      <c r="C23" s="24">
        <f t="shared" ref="C23:C28" si="12">+C7</f>
        <v>19</v>
      </c>
      <c r="D23" s="25" t="s">
        <v>7</v>
      </c>
      <c r="E23" s="26" t="s">
        <v>28</v>
      </c>
      <c r="F23" s="25">
        <v>11</v>
      </c>
      <c r="G23" s="128">
        <v>726</v>
      </c>
      <c r="H23" s="128">
        <f t="shared" ref="H23:H28" si="13">(G23/T23)*100</f>
        <v>95.904887714663147</v>
      </c>
      <c r="I23" s="123" t="s">
        <v>78</v>
      </c>
      <c r="J23" s="123" t="s">
        <v>88</v>
      </c>
      <c r="K23" s="123" t="s">
        <v>92</v>
      </c>
      <c r="L23" s="123" t="s">
        <v>84</v>
      </c>
      <c r="M23" s="123"/>
      <c r="N23" s="129" t="s">
        <v>90</v>
      </c>
      <c r="O23" s="123" t="s">
        <v>74</v>
      </c>
      <c r="P23" s="123" t="s">
        <v>91</v>
      </c>
      <c r="Q23" s="123" t="s">
        <v>89</v>
      </c>
      <c r="R23" s="124">
        <f t="shared" ref="R23:R28" si="14">COUNTA(I23:M23)+COUNTA(N23:Q23)/2</f>
        <v>6</v>
      </c>
      <c r="S23" s="27">
        <f t="shared" ref="S23:S28" si="15">F23*$D$4*$T$4</f>
        <v>726</v>
      </c>
      <c r="T23" s="28">
        <f>+H58</f>
        <v>757</v>
      </c>
      <c r="U23" s="29">
        <f t="shared" ref="U23:U28" si="16">IF(F23=0,"휴무",T23/F23)</f>
        <v>68.818181818181813</v>
      </c>
      <c r="V23" s="30">
        <f t="shared" ref="V23:V29" si="17">IFERROR(T23/S23,0)</f>
        <v>1.0426997245179064</v>
      </c>
      <c r="W23" s="31">
        <f>+K58</f>
        <v>601.16</v>
      </c>
      <c r="X23" s="29">
        <f t="shared" ref="X23:X28" si="18">IF(F23=0,"휴무",W23/F23)</f>
        <v>54.650909090909089</v>
      </c>
      <c r="Y23" s="32">
        <f t="shared" ref="Y23:Y29" si="19">IFERROR(W23/S23,0)</f>
        <v>0.82804407713498618</v>
      </c>
      <c r="Z23" s="33">
        <f t="shared" ref="Z23:Z28" si="20">IF(F23=0,"휴무",T23/S23*$Z$4)</f>
        <v>52.134986225895318</v>
      </c>
      <c r="AA23" s="34">
        <f t="shared" ref="AA23:AA28" si="21">IF(F23=0,"휴무",W23/S23*$AA$4)</f>
        <v>45.087000000000003</v>
      </c>
      <c r="AB23" s="138">
        <f t="shared" ref="AB23:AB29" si="22">IF(F23=0,"휴무",Z23+AA23)</f>
        <v>97.221986225895321</v>
      </c>
      <c r="AC23" s="35" t="str">
        <f t="shared" ref="AC23:AC29" si="23">IF(F23=0,"휴무",IF(AB23&gt;=100,"좋아요",IF(AB23&gt;=90,"90~99",IF(AB23&gt;=80,"80~89"," 사유?→"))))</f>
        <v>90~99</v>
      </c>
      <c r="AD23" s="36"/>
      <c r="AE23" s="37">
        <f>AF23-F23</f>
        <v>-11</v>
      </c>
      <c r="AF23" s="38">
        <f>AM23</f>
        <v>0</v>
      </c>
      <c r="AG23" s="175" t="s">
        <v>29</v>
      </c>
      <c r="AH23" s="39"/>
      <c r="AI23" s="40">
        <f>IFERROR(Y23/V23*1000,"")</f>
        <v>794.13474240422715</v>
      </c>
      <c r="AJ23" s="39"/>
      <c r="AK23" s="41"/>
      <c r="AL23" s="41"/>
      <c r="AM23" s="41"/>
      <c r="AO23" s="175">
        <f t="shared" ref="AO23:AO28" si="24">AN23-F23</f>
        <v>-11</v>
      </c>
      <c r="AP23" s="42"/>
    </row>
    <row r="24" spans="2:42" s="175" customFormat="1" ht="99.75" customHeight="1" x14ac:dyDescent="0.3">
      <c r="B24" s="421"/>
      <c r="C24" s="24">
        <f t="shared" si="12"/>
        <v>20</v>
      </c>
      <c r="D24" s="43" t="s">
        <v>30</v>
      </c>
      <c r="E24" s="26" t="s">
        <v>28</v>
      </c>
      <c r="F24" s="25">
        <v>11</v>
      </c>
      <c r="G24" s="125">
        <v>702</v>
      </c>
      <c r="H24" s="125">
        <f t="shared" si="13"/>
        <v>100</v>
      </c>
      <c r="I24" s="123" t="s">
        <v>78</v>
      </c>
      <c r="J24" s="123" t="s">
        <v>88</v>
      </c>
      <c r="K24" s="123" t="s">
        <v>92</v>
      </c>
      <c r="L24" s="123" t="s">
        <v>84</v>
      </c>
      <c r="M24" s="123"/>
      <c r="N24" s="129" t="s">
        <v>90</v>
      </c>
      <c r="O24" s="123" t="s">
        <v>74</v>
      </c>
      <c r="P24" s="123" t="s">
        <v>91</v>
      </c>
      <c r="Q24" s="123" t="s">
        <v>89</v>
      </c>
      <c r="R24" s="124">
        <f t="shared" si="14"/>
        <v>6</v>
      </c>
      <c r="S24" s="27">
        <f t="shared" si="15"/>
        <v>726</v>
      </c>
      <c r="T24" s="28">
        <f>+H61</f>
        <v>702</v>
      </c>
      <c r="U24" s="44">
        <f t="shared" si="16"/>
        <v>63.81818181818182</v>
      </c>
      <c r="V24" s="45">
        <f t="shared" si="17"/>
        <v>0.96694214876033058</v>
      </c>
      <c r="W24" s="46">
        <f>+K61</f>
        <v>597.28</v>
      </c>
      <c r="X24" s="29">
        <f t="shared" si="18"/>
        <v>54.298181818181817</v>
      </c>
      <c r="Y24" s="47">
        <f t="shared" si="19"/>
        <v>0.82269972451790629</v>
      </c>
      <c r="Z24" s="48">
        <f t="shared" si="20"/>
        <v>48.347107438016529</v>
      </c>
      <c r="AA24" s="49">
        <f t="shared" si="21"/>
        <v>44.795999999999999</v>
      </c>
      <c r="AB24" s="139">
        <f t="shared" si="22"/>
        <v>93.143107438016528</v>
      </c>
      <c r="AC24" s="80" t="str">
        <f t="shared" si="23"/>
        <v>90~99</v>
      </c>
      <c r="AD24" s="36"/>
      <c r="AE24" s="37">
        <f>AF24-F24</f>
        <v>-11</v>
      </c>
      <c r="AF24" s="38">
        <f>AM24</f>
        <v>0</v>
      </c>
      <c r="AG24" s="175" t="s">
        <v>34</v>
      </c>
      <c r="AH24" s="39"/>
      <c r="AI24" s="40">
        <f>IFERROR(Y24/V24*1000,"")</f>
        <v>850.82621082621074</v>
      </c>
      <c r="AJ24" s="39"/>
      <c r="AK24" s="41"/>
      <c r="AL24" s="41"/>
      <c r="AM24" s="41"/>
      <c r="AO24" s="175">
        <f t="shared" si="24"/>
        <v>-11</v>
      </c>
      <c r="AP24" s="42"/>
    </row>
    <row r="25" spans="2:42" s="175" customFormat="1" ht="97.5" customHeight="1" x14ac:dyDescent="0.3">
      <c r="B25" s="421"/>
      <c r="C25" s="24">
        <f t="shared" si="12"/>
        <v>21</v>
      </c>
      <c r="D25" s="43" t="s">
        <v>32</v>
      </c>
      <c r="E25" s="26" t="s">
        <v>28</v>
      </c>
      <c r="F25" s="25">
        <v>11</v>
      </c>
      <c r="G25" s="124">
        <v>659</v>
      </c>
      <c r="H25" s="124">
        <f t="shared" si="13"/>
        <v>99.246987951807228</v>
      </c>
      <c r="I25" s="123" t="s">
        <v>78</v>
      </c>
      <c r="J25" s="123" t="s">
        <v>88</v>
      </c>
      <c r="K25" s="123" t="s">
        <v>92</v>
      </c>
      <c r="L25" s="123" t="s">
        <v>84</v>
      </c>
      <c r="M25" s="123"/>
      <c r="N25" s="129" t="s">
        <v>90</v>
      </c>
      <c r="O25" s="123" t="s">
        <v>74</v>
      </c>
      <c r="P25" s="123" t="s">
        <v>91</v>
      </c>
      <c r="Q25" s="123" t="s">
        <v>89</v>
      </c>
      <c r="R25" s="124">
        <f t="shared" si="14"/>
        <v>6</v>
      </c>
      <c r="S25" s="27">
        <f t="shared" si="15"/>
        <v>726</v>
      </c>
      <c r="T25" s="28">
        <f>+H64</f>
        <v>664</v>
      </c>
      <c r="U25" s="44">
        <f t="shared" si="16"/>
        <v>60.363636363636367</v>
      </c>
      <c r="V25" s="45">
        <f t="shared" si="17"/>
        <v>0.91460055096418735</v>
      </c>
      <c r="W25" s="46">
        <f>+K64</f>
        <v>528.02</v>
      </c>
      <c r="X25" s="29">
        <f t="shared" si="18"/>
        <v>48.00181818181818</v>
      </c>
      <c r="Y25" s="47">
        <f t="shared" si="19"/>
        <v>0.72730027548209364</v>
      </c>
      <c r="Z25" s="48">
        <f t="shared" si="20"/>
        <v>45.730027548209371</v>
      </c>
      <c r="AA25" s="49">
        <f t="shared" si="21"/>
        <v>39.601500000000001</v>
      </c>
      <c r="AB25" s="139">
        <f t="shared" si="22"/>
        <v>85.33152754820938</v>
      </c>
      <c r="AC25" s="50" t="str">
        <f t="shared" si="23"/>
        <v>80~89</v>
      </c>
      <c r="AD25" s="36"/>
      <c r="AE25" s="37">
        <f>AF25-F25</f>
        <v>-11</v>
      </c>
      <c r="AF25" s="38">
        <f>AM25</f>
        <v>0</v>
      </c>
      <c r="AG25" s="175" t="s">
        <v>36</v>
      </c>
      <c r="AH25" s="39"/>
      <c r="AI25" s="40">
        <f>IFERROR(Y25/V25*1000,"")</f>
        <v>795.21084337349396</v>
      </c>
      <c r="AJ25" s="39"/>
      <c r="AK25" s="41"/>
      <c r="AL25" s="41"/>
      <c r="AM25" s="41"/>
      <c r="AO25" s="175">
        <f t="shared" si="24"/>
        <v>-11</v>
      </c>
      <c r="AP25" s="42"/>
    </row>
    <row r="26" spans="2:42" s="175" customFormat="1" ht="115.5" customHeight="1" x14ac:dyDescent="0.3">
      <c r="B26" s="421"/>
      <c r="C26" s="24">
        <f t="shared" si="12"/>
        <v>22</v>
      </c>
      <c r="D26" s="43" t="s">
        <v>35</v>
      </c>
      <c r="E26" s="26" t="s">
        <v>28</v>
      </c>
      <c r="F26" s="25">
        <v>11</v>
      </c>
      <c r="G26" s="124">
        <v>706</v>
      </c>
      <c r="H26" s="124">
        <f t="shared" si="13"/>
        <v>97.379310344827587</v>
      </c>
      <c r="I26" s="123" t="s">
        <v>78</v>
      </c>
      <c r="J26" s="123" t="s">
        <v>88</v>
      </c>
      <c r="K26" s="123" t="s">
        <v>92</v>
      </c>
      <c r="L26" s="123" t="s">
        <v>84</v>
      </c>
      <c r="M26" s="123"/>
      <c r="N26" s="129" t="s">
        <v>90</v>
      </c>
      <c r="O26" s="123" t="s">
        <v>74</v>
      </c>
      <c r="P26" s="123" t="s">
        <v>91</v>
      </c>
      <c r="Q26" s="123" t="s">
        <v>89</v>
      </c>
      <c r="R26" s="124">
        <f t="shared" si="14"/>
        <v>6</v>
      </c>
      <c r="S26" s="27">
        <f t="shared" si="15"/>
        <v>726</v>
      </c>
      <c r="T26" s="28">
        <f>+H67</f>
        <v>725</v>
      </c>
      <c r="U26" s="44">
        <f t="shared" si="16"/>
        <v>65.909090909090907</v>
      </c>
      <c r="V26" s="45">
        <f t="shared" si="17"/>
        <v>0.99862258953168048</v>
      </c>
      <c r="W26" s="46">
        <f>+K67</f>
        <v>561.13</v>
      </c>
      <c r="X26" s="44">
        <f t="shared" si="18"/>
        <v>51.011818181818178</v>
      </c>
      <c r="Y26" s="47">
        <f t="shared" si="19"/>
        <v>0.77290633608815429</v>
      </c>
      <c r="Z26" s="48">
        <f t="shared" si="20"/>
        <v>49.931129476584026</v>
      </c>
      <c r="AA26" s="49">
        <f t="shared" si="21"/>
        <v>42.084750000000007</v>
      </c>
      <c r="AB26" s="139">
        <f t="shared" si="22"/>
        <v>92.015879476584033</v>
      </c>
      <c r="AC26" s="50" t="str">
        <f t="shared" si="23"/>
        <v>90~99</v>
      </c>
      <c r="AD26" s="36"/>
      <c r="AE26" s="37">
        <f>AF26-F26</f>
        <v>-11</v>
      </c>
      <c r="AF26" s="38">
        <f>AM26</f>
        <v>0</v>
      </c>
      <c r="AG26" s="175" t="s">
        <v>33</v>
      </c>
      <c r="AH26" s="39"/>
      <c r="AI26" s="40">
        <f>IFERROR(Y26/V26*1000,"")</f>
        <v>773.97241379310344</v>
      </c>
      <c r="AJ26" s="39"/>
      <c r="AK26" s="41"/>
      <c r="AL26" s="41"/>
      <c r="AM26" s="41"/>
      <c r="AO26" s="175">
        <f t="shared" si="24"/>
        <v>-11</v>
      </c>
      <c r="AP26" s="42"/>
    </row>
    <row r="27" spans="2:42" s="175" customFormat="1" ht="104.25" customHeight="1" x14ac:dyDescent="0.3">
      <c r="B27" s="421"/>
      <c r="C27" s="24">
        <f t="shared" si="12"/>
        <v>23</v>
      </c>
      <c r="D27" s="43" t="s">
        <v>37</v>
      </c>
      <c r="E27" s="26" t="s">
        <v>28</v>
      </c>
      <c r="F27" s="25">
        <v>10.199999999999999</v>
      </c>
      <c r="G27" s="125">
        <v>406</v>
      </c>
      <c r="H27" s="130">
        <f t="shared" si="13"/>
        <v>98.067632850241552</v>
      </c>
      <c r="I27" s="123" t="s">
        <v>78</v>
      </c>
      <c r="J27" s="123" t="s">
        <v>88</v>
      </c>
      <c r="K27" s="123" t="s">
        <v>92</v>
      </c>
      <c r="L27" s="123" t="s">
        <v>84</v>
      </c>
      <c r="M27" s="123"/>
      <c r="N27" s="129" t="s">
        <v>90</v>
      </c>
      <c r="O27" s="123" t="s">
        <v>74</v>
      </c>
      <c r="P27" s="123" t="s">
        <v>91</v>
      </c>
      <c r="Q27" s="123" t="s">
        <v>89</v>
      </c>
      <c r="R27" s="125">
        <f t="shared" si="14"/>
        <v>6</v>
      </c>
      <c r="S27" s="27">
        <f t="shared" si="15"/>
        <v>673.19999999999993</v>
      </c>
      <c r="T27" s="28">
        <f>+H70</f>
        <v>414</v>
      </c>
      <c r="U27" s="44">
        <f t="shared" si="16"/>
        <v>40.588235294117652</v>
      </c>
      <c r="V27" s="45">
        <f t="shared" si="17"/>
        <v>0.61497326203208558</v>
      </c>
      <c r="W27" s="46">
        <f>+K70</f>
        <v>446.27</v>
      </c>
      <c r="X27" s="44">
        <f t="shared" si="18"/>
        <v>43.751960784313724</v>
      </c>
      <c r="Y27" s="47">
        <f t="shared" si="19"/>
        <v>0.66290849673202623</v>
      </c>
      <c r="Z27" s="48">
        <f t="shared" si="20"/>
        <v>30.748663101604279</v>
      </c>
      <c r="AA27" s="49">
        <f t="shared" si="21"/>
        <v>36.095367647058829</v>
      </c>
      <c r="AB27" s="139">
        <f t="shared" si="22"/>
        <v>66.844030748663101</v>
      </c>
      <c r="AC27" s="161" t="str">
        <f t="shared" si="23"/>
        <v xml:space="preserve"> 사유?→</v>
      </c>
      <c r="AD27" s="160" t="s">
        <v>111</v>
      </c>
      <c r="AE27" s="37">
        <f>AF27-F27</f>
        <v>-10.199999999999999</v>
      </c>
      <c r="AF27" s="38">
        <f>AM27</f>
        <v>0</v>
      </c>
      <c r="AG27" s="175" t="s">
        <v>46</v>
      </c>
      <c r="AH27" s="39"/>
      <c r="AI27" s="40">
        <f>IFERROR(Y27/V27*1000,"")</f>
        <v>1077.9468599033817</v>
      </c>
      <c r="AK27" s="41"/>
      <c r="AL27" s="41"/>
      <c r="AM27" s="41"/>
      <c r="AO27" s="175">
        <f t="shared" si="24"/>
        <v>-10.199999999999999</v>
      </c>
      <c r="AP27" s="42"/>
    </row>
    <row r="28" spans="2:42" s="175" customFormat="1" ht="104.25" customHeight="1" x14ac:dyDescent="0.3">
      <c r="B28" s="421"/>
      <c r="C28" s="24">
        <f t="shared" si="12"/>
        <v>24</v>
      </c>
      <c r="D28" s="43" t="s">
        <v>47</v>
      </c>
      <c r="E28" s="26" t="s">
        <v>36</v>
      </c>
      <c r="F28" s="25">
        <v>8</v>
      </c>
      <c r="G28" s="124">
        <v>463</v>
      </c>
      <c r="H28" s="124">
        <f t="shared" si="13"/>
        <v>99.784482758620683</v>
      </c>
      <c r="I28" s="123" t="s">
        <v>78</v>
      </c>
      <c r="J28" s="123" t="s">
        <v>88</v>
      </c>
      <c r="K28" s="123" t="s">
        <v>92</v>
      </c>
      <c r="L28" s="123" t="s">
        <v>84</v>
      </c>
      <c r="M28" s="123"/>
      <c r="N28" s="129" t="s">
        <v>103</v>
      </c>
      <c r="O28" s="123" t="s">
        <v>110</v>
      </c>
      <c r="P28" s="123" t="s">
        <v>91</v>
      </c>
      <c r="Q28" s="123" t="s">
        <v>89</v>
      </c>
      <c r="R28" s="124">
        <f t="shared" si="14"/>
        <v>6</v>
      </c>
      <c r="S28" s="178">
        <f t="shared" si="15"/>
        <v>528</v>
      </c>
      <c r="T28" s="28">
        <f>+H73</f>
        <v>464</v>
      </c>
      <c r="U28" s="29">
        <f t="shared" si="16"/>
        <v>58</v>
      </c>
      <c r="V28" s="30">
        <f t="shared" si="17"/>
        <v>0.87878787878787878</v>
      </c>
      <c r="W28" s="31">
        <f>+K73</f>
        <v>382.6</v>
      </c>
      <c r="X28" s="44">
        <f t="shared" si="18"/>
        <v>47.825000000000003</v>
      </c>
      <c r="Y28" s="47">
        <f t="shared" si="19"/>
        <v>0.72462121212121211</v>
      </c>
      <c r="Z28" s="48">
        <f t="shared" si="20"/>
        <v>43.939393939393938</v>
      </c>
      <c r="AA28" s="49">
        <f t="shared" si="21"/>
        <v>39.455625000000005</v>
      </c>
      <c r="AB28" s="139">
        <f t="shared" si="22"/>
        <v>83.395018939393935</v>
      </c>
      <c r="AC28" s="50" t="str">
        <f t="shared" si="23"/>
        <v>80~89</v>
      </c>
      <c r="AD28" s="36"/>
      <c r="AE28" s="37"/>
      <c r="AF28" s="38"/>
      <c r="AH28" s="39"/>
      <c r="AI28" s="40"/>
      <c r="AK28" s="41"/>
      <c r="AL28" s="41"/>
      <c r="AM28" s="41"/>
      <c r="AO28" s="175">
        <f t="shared" si="24"/>
        <v>-8</v>
      </c>
      <c r="AP28" s="42"/>
    </row>
    <row r="29" spans="2:42" s="175" customFormat="1" ht="36" customHeight="1" x14ac:dyDescent="0.3">
      <c r="B29" s="422" t="s">
        <v>39</v>
      </c>
      <c r="C29" s="423"/>
      <c r="D29" s="423"/>
      <c r="E29" s="424"/>
      <c r="F29" s="43">
        <f>SUM(F23:F28)</f>
        <v>62.2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6"/>
      <c r="S29" s="52">
        <f>SUM(S23:S28)</f>
        <v>4105.2</v>
      </c>
      <c r="T29" s="53">
        <f>SUM(T23:T28)</f>
        <v>3726</v>
      </c>
      <c r="U29" s="54">
        <f>T29/F29</f>
        <v>59.90353697749196</v>
      </c>
      <c r="V29" s="45">
        <f t="shared" si="17"/>
        <v>0.90762934814381768</v>
      </c>
      <c r="W29" s="55">
        <f>SUM(W23:W28)</f>
        <v>3116.46</v>
      </c>
      <c r="X29" s="44">
        <f>W29/F29</f>
        <v>50.103858520900317</v>
      </c>
      <c r="Y29" s="47">
        <f t="shared" si="19"/>
        <v>0.7591493715287928</v>
      </c>
      <c r="Z29" s="56">
        <f>T29/S29*Z20</f>
        <v>45.381467407190883</v>
      </c>
      <c r="AA29" s="57">
        <f>W29/S29*AA20</f>
        <v>41.335683279742767</v>
      </c>
      <c r="AB29" s="140">
        <f t="shared" si="22"/>
        <v>86.71715068693365</v>
      </c>
      <c r="AC29" s="58" t="str">
        <f t="shared" si="23"/>
        <v>80~89</v>
      </c>
      <c r="AD29" s="43"/>
      <c r="AE29" s="37">
        <f>AF29-F29</f>
        <v>-62.2</v>
      </c>
      <c r="AF29" s="38">
        <f>SUM(AF23:AF28)</f>
        <v>0</v>
      </c>
      <c r="AI29" s="40"/>
      <c r="AK29" s="59"/>
      <c r="AL29" s="59"/>
      <c r="AM29" s="59"/>
    </row>
    <row r="30" spans="2:42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10.366666666666667</v>
      </c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61">
        <f>U30*F30</f>
        <v>621</v>
      </c>
      <c r="U30" s="62">
        <f>T29/F29</f>
        <v>59.90353697749196</v>
      </c>
      <c r="V30" s="63">
        <f>IFERROR(T30/#REF!,0)</f>
        <v>0</v>
      </c>
      <c r="W30" s="64">
        <f>W29/F29*F30</f>
        <v>519.41</v>
      </c>
      <c r="X30" s="62">
        <f>IF(F30=0,"휴무",W30/F30)</f>
        <v>50.103858520900317</v>
      </c>
      <c r="Y30" s="65">
        <f>IFERROR(W30/#REF!,0)</f>
        <v>0</v>
      </c>
      <c r="Z30" s="60">
        <f>AVERAGE(Z23:Z28)</f>
        <v>45.138551288283907</v>
      </c>
      <c r="AA30" s="60">
        <f>AVERAGE(AA23:AA28)</f>
        <v>41.186707107843141</v>
      </c>
      <c r="AB30" s="141">
        <f>Z30+AA30</f>
        <v>86.325258396127055</v>
      </c>
      <c r="AC30" s="67"/>
      <c r="AD30" s="68"/>
      <c r="AI30" s="40" t="str">
        <f>IFERROR(Y30/V30*1000,"")</f>
        <v/>
      </c>
      <c r="AK30" s="10"/>
      <c r="AL30" s="10"/>
      <c r="AM30" s="10"/>
    </row>
    <row r="31" spans="2:42" s="175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22"/>
      <c r="U31" s="10"/>
      <c r="V31" s="73">
        <f>V30*60</f>
        <v>0</v>
      </c>
      <c r="W31" s="74"/>
      <c r="X31" s="73"/>
      <c r="Y31" s="74">
        <f>Y30*40</f>
        <v>0</v>
      </c>
      <c r="Z31" s="81"/>
      <c r="AA31" s="81"/>
      <c r="AB31" s="142">
        <f>V31+Y31</f>
        <v>0</v>
      </c>
      <c r="AK31" s="59"/>
      <c r="AL31" s="59"/>
      <c r="AM31" s="59"/>
    </row>
    <row r="32" spans="2:42" x14ac:dyDescent="0.3">
      <c r="B32" s="120" t="s">
        <v>67</v>
      </c>
      <c r="U32" s="10">
        <v>8.8000000000000007</v>
      </c>
    </row>
    <row r="33" spans="2:42" ht="17.25" thickBot="1" x14ac:dyDescent="0.35">
      <c r="B33" s="70"/>
    </row>
    <row r="34" spans="2:42" ht="17.25" thickBot="1" x14ac:dyDescent="0.35">
      <c r="B34" s="76" t="s">
        <v>42</v>
      </c>
      <c r="C34" s="77"/>
      <c r="D34" s="78" t="s">
        <v>43</v>
      </c>
      <c r="E34" s="78"/>
      <c r="F34" s="79"/>
      <c r="X34" s="10">
        <v>50</v>
      </c>
    </row>
    <row r="36" spans="2:42" s="10" customFormat="1" x14ac:dyDescent="0.3">
      <c r="B36"/>
      <c r="C36"/>
      <c r="D36"/>
      <c r="E36" s="455">
        <f>+C7</f>
        <v>19</v>
      </c>
      <c r="F36" s="455" t="s">
        <v>7</v>
      </c>
      <c r="G36" s="82" t="s">
        <v>48</v>
      </c>
      <c r="H36" s="83">
        <v>614</v>
      </c>
      <c r="I36" s="84"/>
      <c r="J36" s="85"/>
      <c r="K36" s="86">
        <v>527.70000000000005</v>
      </c>
      <c r="L36" s="135"/>
      <c r="N36" s="136"/>
      <c r="O36" s="136"/>
      <c r="P36" s="136"/>
      <c r="Q36" s="136"/>
      <c r="R36" s="136"/>
      <c r="S36" s="136"/>
      <c r="Y36"/>
      <c r="Z36"/>
      <c r="AA36"/>
      <c r="AB36"/>
      <c r="AC36"/>
      <c r="AD36"/>
      <c r="AE36"/>
      <c r="AF36"/>
      <c r="AG36"/>
      <c r="AH36"/>
      <c r="AI36"/>
      <c r="AJ36"/>
      <c r="AK36" s="1"/>
      <c r="AL36" s="1"/>
      <c r="AM36" s="1"/>
      <c r="AN36"/>
      <c r="AO36"/>
      <c r="AP36"/>
    </row>
    <row r="37" spans="2:42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Y37"/>
      <c r="Z37"/>
      <c r="AA37"/>
      <c r="AB37"/>
      <c r="AC37"/>
      <c r="AD37"/>
      <c r="AE37"/>
      <c r="AF37"/>
      <c r="AG37"/>
      <c r="AH37"/>
      <c r="AI37"/>
      <c r="AJ37"/>
      <c r="AK37" s="1"/>
      <c r="AL37" s="1"/>
      <c r="AM37" s="1"/>
      <c r="AN37"/>
      <c r="AO37"/>
      <c r="AP37"/>
    </row>
    <row r="38" spans="2:42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614</v>
      </c>
      <c r="I38" s="88"/>
      <c r="J38" s="89"/>
      <c r="K38" s="90">
        <f>+K36+K37*2</f>
        <v>527.70000000000005</v>
      </c>
      <c r="L38" s="135"/>
      <c r="N38" s="136"/>
      <c r="O38" s="136"/>
      <c r="P38" s="136"/>
      <c r="Q38" s="136"/>
      <c r="R38" s="136"/>
      <c r="S38" s="136"/>
      <c r="Y38"/>
      <c r="Z38"/>
      <c r="AA38"/>
      <c r="AB38"/>
      <c r="AC38"/>
      <c r="AD38"/>
      <c r="AE38"/>
      <c r="AF38"/>
      <c r="AG38"/>
      <c r="AH38"/>
      <c r="AI38"/>
      <c r="AJ38"/>
      <c r="AK38" s="1"/>
      <c r="AL38" s="1"/>
      <c r="AM38" s="1"/>
      <c r="AN38"/>
      <c r="AO38"/>
      <c r="AP38"/>
    </row>
    <row r="39" spans="2:42" s="10" customFormat="1" x14ac:dyDescent="0.3">
      <c r="B39"/>
      <c r="C39"/>
      <c r="D39"/>
      <c r="E39" s="455">
        <f>+C8</f>
        <v>20</v>
      </c>
      <c r="F39" s="455" t="s">
        <v>52</v>
      </c>
      <c r="G39" s="82" t="s">
        <v>48</v>
      </c>
      <c r="H39" s="83">
        <v>618</v>
      </c>
      <c r="I39" s="84"/>
      <c r="J39" s="85"/>
      <c r="K39" s="86">
        <v>538.02</v>
      </c>
      <c r="L39" s="135"/>
      <c r="N39" s="136"/>
      <c r="O39" s="136"/>
      <c r="P39" s="136"/>
      <c r="Q39" s="136"/>
      <c r="R39" s="136"/>
      <c r="S39" s="136"/>
      <c r="Y39"/>
      <c r="Z39"/>
      <c r="AA39"/>
      <c r="AB39"/>
      <c r="AC39"/>
      <c r="AD39"/>
      <c r="AE39"/>
      <c r="AF39"/>
      <c r="AG39"/>
      <c r="AH39"/>
      <c r="AI39"/>
      <c r="AJ39"/>
      <c r="AK39" s="1"/>
      <c r="AL39" s="1"/>
      <c r="AM39" s="1"/>
      <c r="AN39"/>
      <c r="AO39"/>
      <c r="AP39"/>
    </row>
    <row r="40" spans="2:42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Y40"/>
      <c r="Z40"/>
      <c r="AA40"/>
      <c r="AB40"/>
      <c r="AC40"/>
      <c r="AD40"/>
      <c r="AE40"/>
      <c r="AF40"/>
      <c r="AG40"/>
      <c r="AH40"/>
      <c r="AI40"/>
      <c r="AJ40"/>
      <c r="AK40" s="1"/>
      <c r="AL40" s="1"/>
      <c r="AM40" s="1"/>
      <c r="AN40"/>
      <c r="AO40"/>
      <c r="AP40"/>
    </row>
    <row r="41" spans="2:42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618</v>
      </c>
      <c r="I41" s="88"/>
      <c r="J41" s="89"/>
      <c r="K41" s="90">
        <f>+K39+K40*2</f>
        <v>538.02</v>
      </c>
      <c r="L41" s="135"/>
      <c r="N41" s="136"/>
      <c r="O41" s="136"/>
      <c r="P41" s="136"/>
      <c r="Q41" s="136"/>
      <c r="R41" s="136"/>
      <c r="S41" s="136"/>
      <c r="Y41"/>
      <c r="Z41"/>
      <c r="AA41"/>
      <c r="AB41"/>
      <c r="AC41"/>
      <c r="AD41"/>
      <c r="AE41"/>
      <c r="AF41"/>
      <c r="AG41"/>
      <c r="AH41"/>
      <c r="AI41"/>
      <c r="AJ41"/>
      <c r="AK41" s="1"/>
      <c r="AL41" s="1"/>
      <c r="AM41" s="1"/>
      <c r="AN41"/>
      <c r="AO41"/>
      <c r="AP41"/>
    </row>
    <row r="42" spans="2:42" s="10" customFormat="1" x14ac:dyDescent="0.3">
      <c r="B42"/>
      <c r="C42"/>
      <c r="D42"/>
      <c r="E42" s="455">
        <f>+C9</f>
        <v>21</v>
      </c>
      <c r="F42" s="455" t="s">
        <v>53</v>
      </c>
      <c r="G42" s="82" t="s">
        <v>48</v>
      </c>
      <c r="H42" s="83">
        <v>627</v>
      </c>
      <c r="I42" s="84"/>
      <c r="J42" s="85"/>
      <c r="K42" s="86">
        <v>528.26</v>
      </c>
      <c r="L42" s="135"/>
      <c r="N42" s="136"/>
      <c r="O42" s="136"/>
      <c r="P42" s="136"/>
      <c r="Q42" s="136"/>
      <c r="R42" s="136"/>
      <c r="S42" s="136"/>
      <c r="Y42"/>
      <c r="Z42"/>
      <c r="AA42"/>
      <c r="AB42"/>
      <c r="AC42"/>
      <c r="AD42"/>
      <c r="AE42"/>
      <c r="AF42"/>
      <c r="AG42"/>
      <c r="AH42"/>
      <c r="AI42"/>
      <c r="AJ42"/>
      <c r="AK42" s="1"/>
      <c r="AL42" s="1"/>
      <c r="AM42" s="1"/>
      <c r="AN42"/>
      <c r="AO42"/>
      <c r="AP42"/>
    </row>
    <row r="43" spans="2:42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Y43"/>
      <c r="Z43"/>
      <c r="AA43"/>
      <c r="AB43"/>
      <c r="AC43"/>
      <c r="AD43"/>
      <c r="AE43"/>
      <c r="AF43"/>
      <c r="AG43"/>
      <c r="AH43"/>
      <c r="AI43"/>
      <c r="AJ43"/>
      <c r="AK43" s="1"/>
      <c r="AL43" s="1"/>
      <c r="AM43" s="1"/>
      <c r="AN43"/>
      <c r="AO43"/>
      <c r="AP43"/>
    </row>
    <row r="44" spans="2:42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627</v>
      </c>
      <c r="I44" s="88"/>
      <c r="J44" s="89"/>
      <c r="K44" s="90">
        <f>+K42+K43*2</f>
        <v>528.26</v>
      </c>
      <c r="L44" s="137" t="s">
        <v>54</v>
      </c>
      <c r="N44" s="136"/>
      <c r="O44" s="136"/>
      <c r="P44" s="136"/>
      <c r="Q44" s="136"/>
      <c r="R44" s="136"/>
      <c r="S44" s="136"/>
      <c r="Y44"/>
      <c r="Z44"/>
      <c r="AA44"/>
      <c r="AB44"/>
      <c r="AC44"/>
      <c r="AE44"/>
      <c r="AF44"/>
      <c r="AG44"/>
      <c r="AH44"/>
      <c r="AI44"/>
      <c r="AJ44"/>
      <c r="AK44" s="1"/>
      <c r="AL44" s="1"/>
      <c r="AM44" s="1"/>
      <c r="AN44"/>
      <c r="AO44"/>
      <c r="AP44"/>
    </row>
    <row r="45" spans="2:42" s="10" customFormat="1" x14ac:dyDescent="0.3">
      <c r="B45"/>
      <c r="C45"/>
      <c r="D45"/>
      <c r="E45" s="455">
        <f>+C10</f>
        <v>22</v>
      </c>
      <c r="F45" s="455" t="s">
        <v>55</v>
      </c>
      <c r="G45" s="82" t="s">
        <v>48</v>
      </c>
      <c r="H45" s="83">
        <v>678</v>
      </c>
      <c r="I45" s="84"/>
      <c r="J45" s="85"/>
      <c r="K45" s="86">
        <v>517.92999999999995</v>
      </c>
      <c r="L45" s="135"/>
      <c r="N45" s="136"/>
      <c r="O45" s="136"/>
      <c r="P45" s="136"/>
      <c r="Q45" s="136"/>
      <c r="R45" s="136"/>
      <c r="S45" s="136"/>
      <c r="Y45"/>
      <c r="Z45"/>
      <c r="AA45"/>
      <c r="AB45"/>
      <c r="AC45"/>
      <c r="AD45"/>
      <c r="AE45"/>
      <c r="AF45"/>
      <c r="AG45"/>
      <c r="AH45"/>
      <c r="AI45"/>
      <c r="AJ45"/>
      <c r="AK45" s="1"/>
      <c r="AL45" s="1"/>
      <c r="AM45" s="1"/>
      <c r="AN45"/>
      <c r="AO45"/>
      <c r="AP45"/>
    </row>
    <row r="46" spans="2:42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Y46"/>
      <c r="Z46"/>
      <c r="AA46"/>
      <c r="AB46"/>
      <c r="AC46"/>
      <c r="AD46"/>
      <c r="AE46"/>
      <c r="AF46"/>
      <c r="AG46"/>
      <c r="AH46"/>
      <c r="AI46"/>
      <c r="AJ46"/>
      <c r="AK46" s="1"/>
      <c r="AL46" s="1"/>
      <c r="AM46" s="1"/>
      <c r="AN46"/>
      <c r="AO46"/>
      <c r="AP46"/>
    </row>
    <row r="47" spans="2:42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678</v>
      </c>
      <c r="I47" s="88"/>
      <c r="J47" s="89"/>
      <c r="K47" s="90">
        <f>+K45+K46*2</f>
        <v>517.92999999999995</v>
      </c>
      <c r="L47" s="135"/>
      <c r="N47" s="136"/>
      <c r="O47" s="136"/>
      <c r="P47" s="136"/>
      <c r="Q47" s="136"/>
      <c r="R47" s="136"/>
      <c r="S47" s="136"/>
      <c r="Y47"/>
      <c r="Z47"/>
      <c r="AA47"/>
      <c r="AB47"/>
      <c r="AC47"/>
      <c r="AD47"/>
      <c r="AE47"/>
      <c r="AF47"/>
      <c r="AG47"/>
      <c r="AH47"/>
      <c r="AI47"/>
      <c r="AJ47"/>
      <c r="AK47" s="1"/>
      <c r="AL47" s="1"/>
      <c r="AM47" s="1"/>
      <c r="AN47"/>
      <c r="AO47"/>
      <c r="AP47"/>
    </row>
    <row r="48" spans="2:42" s="10" customFormat="1" x14ac:dyDescent="0.3">
      <c r="B48"/>
      <c r="C48"/>
      <c r="D48"/>
      <c r="E48" s="455">
        <f>+C11</f>
        <v>23</v>
      </c>
      <c r="F48" s="455" t="s">
        <v>56</v>
      </c>
      <c r="G48" s="82" t="s">
        <v>48</v>
      </c>
      <c r="H48" s="83">
        <v>638</v>
      </c>
      <c r="I48" s="84"/>
      <c r="J48" s="85"/>
      <c r="K48" s="86">
        <v>538.24</v>
      </c>
      <c r="L48" s="135"/>
      <c r="N48" s="136"/>
      <c r="O48" s="136"/>
      <c r="P48" s="136"/>
      <c r="Q48" s="136"/>
      <c r="R48" s="136"/>
      <c r="S48" s="136"/>
      <c r="Y48"/>
      <c r="Z48"/>
      <c r="AA48"/>
      <c r="AB48"/>
      <c r="AC48"/>
      <c r="AD48"/>
      <c r="AE48"/>
      <c r="AF48"/>
      <c r="AG48"/>
      <c r="AH48"/>
      <c r="AI48"/>
      <c r="AJ48"/>
      <c r="AK48" s="1"/>
      <c r="AL48" s="1"/>
      <c r="AM48" s="1"/>
      <c r="AN48"/>
      <c r="AO48"/>
      <c r="AP48"/>
    </row>
    <row r="49" spans="2:42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Y49"/>
      <c r="Z49"/>
      <c r="AA49"/>
      <c r="AB49"/>
      <c r="AC49"/>
      <c r="AD49"/>
      <c r="AE49"/>
      <c r="AF49"/>
      <c r="AG49"/>
      <c r="AH49"/>
      <c r="AI49"/>
      <c r="AJ49"/>
      <c r="AK49" s="1"/>
      <c r="AL49" s="1"/>
      <c r="AM49" s="1"/>
      <c r="AN49"/>
      <c r="AO49"/>
      <c r="AP49"/>
    </row>
    <row r="50" spans="2:42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638</v>
      </c>
      <c r="I50" s="88"/>
      <c r="J50" s="89"/>
      <c r="K50" s="90">
        <f>+K48+K49*2</f>
        <v>538.24</v>
      </c>
      <c r="L50" s="135"/>
      <c r="N50" s="136"/>
      <c r="O50" s="136"/>
      <c r="P50" s="136"/>
      <c r="Q50" s="136"/>
      <c r="R50" s="136"/>
      <c r="S50" s="136"/>
      <c r="Y50"/>
      <c r="Z50"/>
      <c r="AA50"/>
      <c r="AB50"/>
      <c r="AC50"/>
      <c r="AD50"/>
      <c r="AE50"/>
      <c r="AF50"/>
      <c r="AG50"/>
      <c r="AH50"/>
      <c r="AI50"/>
      <c r="AJ50"/>
      <c r="AK50" s="1"/>
      <c r="AL50" s="1"/>
      <c r="AM50" s="1"/>
      <c r="AN50"/>
      <c r="AO50"/>
      <c r="AP50"/>
    </row>
    <row r="51" spans="2:42" s="10" customFormat="1" x14ac:dyDescent="0.3">
      <c r="B51"/>
      <c r="C51"/>
      <c r="D51"/>
      <c r="E51" s="455">
        <f>+C12</f>
        <v>24</v>
      </c>
      <c r="F51" s="455" t="s">
        <v>38</v>
      </c>
      <c r="G51" s="82" t="s">
        <v>48</v>
      </c>
      <c r="H51" s="83">
        <v>428</v>
      </c>
      <c r="I51" s="84"/>
      <c r="J51" s="85"/>
      <c r="K51" s="86">
        <v>410.84</v>
      </c>
      <c r="L51" s="135"/>
      <c r="N51" s="136"/>
      <c r="O51" s="136"/>
      <c r="P51" s="136"/>
      <c r="Q51" s="136"/>
      <c r="R51" s="136"/>
      <c r="S51" s="136"/>
      <c r="Y51"/>
      <c r="Z51"/>
      <c r="AA51"/>
      <c r="AB51"/>
      <c r="AC51"/>
      <c r="AD51"/>
      <c r="AE51"/>
      <c r="AF51"/>
      <c r="AG51"/>
      <c r="AH51"/>
      <c r="AI51"/>
      <c r="AJ51"/>
      <c r="AK51" s="1"/>
      <c r="AL51" s="1"/>
      <c r="AM51" s="1"/>
      <c r="AN51"/>
      <c r="AO51"/>
      <c r="AP51"/>
    </row>
    <row r="52" spans="2:42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Y52"/>
      <c r="Z52"/>
      <c r="AA52"/>
      <c r="AB52"/>
      <c r="AC52"/>
      <c r="AD52"/>
      <c r="AE52"/>
      <c r="AF52"/>
      <c r="AG52"/>
      <c r="AH52"/>
      <c r="AI52"/>
      <c r="AJ52"/>
      <c r="AK52" s="1"/>
      <c r="AL52" s="1"/>
      <c r="AM52" s="1"/>
      <c r="AN52"/>
      <c r="AO52"/>
      <c r="AP52"/>
    </row>
    <row r="53" spans="2:42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428</v>
      </c>
      <c r="I53" s="88"/>
      <c r="J53" s="89"/>
      <c r="K53" s="90">
        <f>+K51+K52*2</f>
        <v>410.84</v>
      </c>
      <c r="L53" s="135"/>
      <c r="N53" s="136"/>
      <c r="O53" s="136"/>
      <c r="P53" s="136"/>
      <c r="Q53" s="136"/>
      <c r="R53" s="136"/>
      <c r="S53" s="136"/>
      <c r="Y53"/>
      <c r="Z53"/>
      <c r="AA53"/>
      <c r="AB53"/>
      <c r="AC53"/>
      <c r="AD53"/>
      <c r="AE53"/>
      <c r="AF53"/>
      <c r="AG53"/>
      <c r="AH53"/>
      <c r="AI53"/>
      <c r="AJ53"/>
      <c r="AK53" s="1"/>
      <c r="AL53" s="1"/>
      <c r="AM53" s="1"/>
      <c r="AN53"/>
      <c r="AO53"/>
      <c r="AP53"/>
    </row>
    <row r="54" spans="2:42" x14ac:dyDescent="0.3">
      <c r="H54" s="75"/>
      <c r="I54" s="10"/>
      <c r="J54" s="11"/>
      <c r="K54"/>
    </row>
    <row r="55" spans="2:42" x14ac:dyDescent="0.3">
      <c r="H55" s="75"/>
      <c r="I55" s="10"/>
      <c r="J55" s="11"/>
      <c r="K55"/>
    </row>
    <row r="56" spans="2:42" s="10" customFormat="1" x14ac:dyDescent="0.3">
      <c r="B56"/>
      <c r="C56"/>
      <c r="D56"/>
      <c r="E56" s="455">
        <f>+E36</f>
        <v>19</v>
      </c>
      <c r="F56" s="455" t="s">
        <v>7</v>
      </c>
      <c r="G56" s="82" t="s">
        <v>48</v>
      </c>
      <c r="H56" s="83">
        <v>701</v>
      </c>
      <c r="I56" s="84"/>
      <c r="J56" s="85"/>
      <c r="K56" s="86">
        <v>528.02</v>
      </c>
      <c r="L56" s="135"/>
      <c r="N56" s="136"/>
      <c r="O56" s="136"/>
      <c r="P56" s="136"/>
      <c r="Q56" s="136"/>
      <c r="R56" s="136"/>
      <c r="S56" s="136"/>
      <c r="Y56"/>
      <c r="Z56"/>
      <c r="AA56"/>
      <c r="AB56"/>
      <c r="AC56"/>
      <c r="AD56"/>
      <c r="AE56"/>
      <c r="AF56"/>
      <c r="AG56"/>
      <c r="AH56"/>
      <c r="AI56"/>
      <c r="AJ56"/>
      <c r="AK56" s="1"/>
      <c r="AL56" s="1"/>
      <c r="AM56" s="1"/>
      <c r="AN56"/>
      <c r="AO56"/>
      <c r="AP56"/>
    </row>
    <row r="57" spans="2:42" s="10" customFormat="1" x14ac:dyDescent="0.3">
      <c r="B57"/>
      <c r="C57" t="s">
        <v>57</v>
      </c>
      <c r="D57"/>
      <c r="E57" s="456"/>
      <c r="F57" s="456"/>
      <c r="G57" s="82" t="s">
        <v>50</v>
      </c>
      <c r="H57" s="83">
        <v>28</v>
      </c>
      <c r="I57" s="84"/>
      <c r="J57" s="85"/>
      <c r="K57" s="86">
        <v>36.57</v>
      </c>
      <c r="L57" s="135"/>
      <c r="N57" s="136"/>
      <c r="O57" s="136"/>
      <c r="P57" s="136"/>
      <c r="Q57" s="136"/>
      <c r="R57" s="136"/>
      <c r="S57" s="136"/>
      <c r="Y57"/>
      <c r="Z57"/>
      <c r="AA57"/>
      <c r="AB57"/>
      <c r="AC57"/>
      <c r="AD57"/>
      <c r="AE57"/>
      <c r="AF57"/>
      <c r="AG57"/>
      <c r="AH57"/>
      <c r="AI57"/>
      <c r="AJ57"/>
      <c r="AK57" s="1"/>
      <c r="AL57" s="1"/>
      <c r="AM57" s="1"/>
      <c r="AN57"/>
      <c r="AO57"/>
      <c r="AP57"/>
    </row>
    <row r="58" spans="2:42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757</v>
      </c>
      <c r="I58" s="88"/>
      <c r="J58" s="89"/>
      <c r="K58" s="90">
        <f>+K56+K57*2</f>
        <v>601.16</v>
      </c>
      <c r="L58" s="135"/>
      <c r="N58" s="136"/>
      <c r="O58" s="136"/>
      <c r="P58" s="136"/>
      <c r="Q58" s="136"/>
      <c r="R58" s="136"/>
      <c r="S58" s="136"/>
      <c r="Y58"/>
      <c r="Z58"/>
      <c r="AA58"/>
      <c r="AB58"/>
      <c r="AC58"/>
      <c r="AD58"/>
      <c r="AE58"/>
      <c r="AF58"/>
      <c r="AG58"/>
      <c r="AH58"/>
      <c r="AI58"/>
      <c r="AJ58"/>
      <c r="AK58" s="1"/>
      <c r="AL58" s="1"/>
      <c r="AM58" s="1"/>
      <c r="AN58"/>
      <c r="AO58"/>
      <c r="AP58"/>
    </row>
    <row r="59" spans="2:42" s="10" customFormat="1" x14ac:dyDescent="0.3">
      <c r="B59"/>
      <c r="C59"/>
      <c r="D59"/>
      <c r="E59" s="455">
        <f>+E39</f>
        <v>20</v>
      </c>
      <c r="F59" s="455" t="s">
        <v>52</v>
      </c>
      <c r="G59" s="82" t="s">
        <v>48</v>
      </c>
      <c r="H59" s="83">
        <v>702</v>
      </c>
      <c r="I59" s="84"/>
      <c r="J59" s="85"/>
      <c r="K59" s="86">
        <v>597.28</v>
      </c>
      <c r="L59" s="135"/>
      <c r="N59" s="136"/>
      <c r="O59" s="136"/>
      <c r="P59" s="136"/>
      <c r="Q59" s="136"/>
      <c r="R59" s="136"/>
      <c r="S59" s="136"/>
      <c r="Y59"/>
      <c r="Z59"/>
      <c r="AA59"/>
      <c r="AB59"/>
      <c r="AC59"/>
      <c r="AD59"/>
      <c r="AE59"/>
      <c r="AF59"/>
      <c r="AG59"/>
      <c r="AH59"/>
      <c r="AI59"/>
      <c r="AJ59"/>
      <c r="AK59" s="1"/>
      <c r="AL59" s="1"/>
      <c r="AM59" s="1"/>
      <c r="AN59"/>
      <c r="AO59"/>
      <c r="AP59"/>
    </row>
    <row r="60" spans="2:42" s="10" customFormat="1" x14ac:dyDescent="0.3">
      <c r="B60"/>
      <c r="C60"/>
      <c r="D60"/>
      <c r="E60" s="456"/>
      <c r="F60" s="456"/>
      <c r="G60" s="82" t="s">
        <v>50</v>
      </c>
      <c r="H60" s="83"/>
      <c r="I60" s="84"/>
      <c r="J60" s="85"/>
      <c r="K60" s="86"/>
      <c r="L60" s="135"/>
      <c r="N60" s="136"/>
      <c r="O60" s="136"/>
      <c r="P60" s="136"/>
      <c r="Q60" s="136"/>
      <c r="R60" s="136"/>
      <c r="S60" s="136"/>
      <c r="Y60"/>
      <c r="Z60"/>
      <c r="AA60"/>
      <c r="AB60"/>
      <c r="AC60"/>
      <c r="AD60"/>
      <c r="AE60"/>
      <c r="AF60"/>
      <c r="AG60"/>
      <c r="AH60"/>
      <c r="AI60"/>
      <c r="AJ60"/>
      <c r="AK60" s="1"/>
      <c r="AL60" s="1"/>
      <c r="AM60" s="1"/>
      <c r="AN60"/>
      <c r="AO60"/>
      <c r="AP60"/>
    </row>
    <row r="61" spans="2:42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702</v>
      </c>
      <c r="I61" s="88"/>
      <c r="J61" s="89"/>
      <c r="K61" s="90">
        <f>+K59+K60*2</f>
        <v>597.28</v>
      </c>
      <c r="L61" s="135"/>
      <c r="N61" s="136"/>
      <c r="O61" s="136"/>
      <c r="P61" s="136"/>
      <c r="Q61" s="136"/>
      <c r="R61" s="136"/>
      <c r="S61" s="136"/>
      <c r="Y61"/>
      <c r="Z61"/>
      <c r="AA61"/>
      <c r="AB61"/>
      <c r="AC61"/>
      <c r="AD61"/>
      <c r="AE61"/>
      <c r="AF61"/>
      <c r="AG61"/>
      <c r="AH61"/>
      <c r="AI61"/>
      <c r="AJ61"/>
      <c r="AK61" s="1"/>
      <c r="AL61" s="1"/>
      <c r="AM61" s="1"/>
      <c r="AN61"/>
      <c r="AO61"/>
      <c r="AP61"/>
    </row>
    <row r="62" spans="2:42" s="10" customFormat="1" x14ac:dyDescent="0.3">
      <c r="B62"/>
      <c r="C62"/>
      <c r="D62"/>
      <c r="E62" s="455">
        <f>+E42</f>
        <v>21</v>
      </c>
      <c r="F62" s="455" t="s">
        <v>53</v>
      </c>
      <c r="G62" s="82" t="s">
        <v>48</v>
      </c>
      <c r="H62" s="83">
        <v>662</v>
      </c>
      <c r="I62" s="84"/>
      <c r="J62" s="85"/>
      <c r="K62" s="86">
        <f>527.53-0.49</f>
        <v>527.04</v>
      </c>
      <c r="L62" s="135"/>
      <c r="N62" s="136"/>
      <c r="O62" s="136"/>
      <c r="P62" s="136"/>
      <c r="Q62" s="136"/>
      <c r="R62" s="136"/>
      <c r="S62" s="136"/>
      <c r="Y62"/>
      <c r="Z62"/>
      <c r="AA62"/>
      <c r="AB62"/>
      <c r="AC62"/>
      <c r="AD62"/>
      <c r="AE62"/>
      <c r="AF62"/>
      <c r="AG62"/>
      <c r="AH62"/>
      <c r="AI62"/>
      <c r="AJ62"/>
      <c r="AK62" s="1"/>
      <c r="AL62" s="1"/>
      <c r="AM62" s="1"/>
      <c r="AN62"/>
      <c r="AO62"/>
      <c r="AP62"/>
    </row>
    <row r="63" spans="2:42" s="10" customFormat="1" x14ac:dyDescent="0.3">
      <c r="B63"/>
      <c r="C63"/>
      <c r="D63"/>
      <c r="E63" s="456"/>
      <c r="F63" s="456"/>
      <c r="G63" s="82" t="s">
        <v>50</v>
      </c>
      <c r="H63" s="83">
        <v>1</v>
      </c>
      <c r="I63" s="84"/>
      <c r="J63" s="85"/>
      <c r="K63" s="86">
        <v>0.49</v>
      </c>
      <c r="L63" s="135"/>
      <c r="N63" s="136"/>
      <c r="O63" s="136"/>
      <c r="P63" s="136"/>
      <c r="Q63" s="136"/>
      <c r="R63" s="136"/>
      <c r="S63" s="136"/>
      <c r="Y63"/>
      <c r="Z63"/>
      <c r="AA63"/>
      <c r="AB63"/>
      <c r="AC63"/>
      <c r="AD63"/>
      <c r="AE63"/>
      <c r="AF63"/>
      <c r="AG63"/>
      <c r="AH63"/>
      <c r="AI63"/>
      <c r="AJ63"/>
      <c r="AK63" s="1"/>
      <c r="AL63" s="1"/>
      <c r="AM63" s="1"/>
      <c r="AN63"/>
      <c r="AO63"/>
      <c r="AP63"/>
    </row>
    <row r="64" spans="2:42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664</v>
      </c>
      <c r="I64" s="88"/>
      <c r="J64" s="89"/>
      <c r="K64" s="90">
        <f>+K62+K63*2</f>
        <v>528.02</v>
      </c>
      <c r="L64" s="137" t="s">
        <v>54</v>
      </c>
      <c r="N64" s="136"/>
      <c r="O64" s="136"/>
      <c r="P64" s="136"/>
      <c r="Q64" s="136"/>
      <c r="R64" s="136"/>
      <c r="S64" s="136"/>
      <c r="Y64"/>
      <c r="Z64"/>
      <c r="AA64"/>
      <c r="AB64"/>
      <c r="AC64"/>
      <c r="AE64"/>
      <c r="AF64"/>
      <c r="AG64"/>
      <c r="AH64"/>
      <c r="AI64"/>
      <c r="AJ64"/>
      <c r="AK64" s="1"/>
      <c r="AL64" s="1"/>
      <c r="AM64" s="1"/>
      <c r="AN64"/>
      <c r="AO64"/>
      <c r="AP64"/>
    </row>
    <row r="65" spans="2:42" s="10" customFormat="1" x14ac:dyDescent="0.3">
      <c r="B65"/>
      <c r="C65"/>
      <c r="D65"/>
      <c r="E65" s="455">
        <f>+E45</f>
        <v>22</v>
      </c>
      <c r="F65" s="455" t="s">
        <v>55</v>
      </c>
      <c r="G65" s="82" t="s">
        <v>48</v>
      </c>
      <c r="H65" s="83">
        <v>725</v>
      </c>
      <c r="I65" s="84"/>
      <c r="J65" s="85"/>
      <c r="K65" s="86">
        <v>561.13</v>
      </c>
      <c r="L65" s="135"/>
      <c r="N65" s="136"/>
      <c r="O65" s="136"/>
      <c r="P65" s="136"/>
      <c r="Q65" s="136"/>
      <c r="R65" s="136"/>
      <c r="S65" s="136"/>
      <c r="Y65"/>
      <c r="Z65"/>
      <c r="AA65"/>
      <c r="AB65"/>
      <c r="AC65"/>
      <c r="AD65"/>
      <c r="AE65"/>
      <c r="AF65"/>
      <c r="AG65"/>
      <c r="AH65"/>
      <c r="AI65"/>
      <c r="AJ65"/>
      <c r="AK65" s="1"/>
      <c r="AL65" s="1"/>
      <c r="AM65" s="1"/>
      <c r="AN65"/>
      <c r="AO65"/>
      <c r="AP65"/>
    </row>
    <row r="66" spans="2:42" s="10" customFormat="1" x14ac:dyDescent="0.3">
      <c r="B66"/>
      <c r="C66"/>
      <c r="D66"/>
      <c r="E66" s="456"/>
      <c r="F66" s="456"/>
      <c r="G66" s="82" t="s">
        <v>50</v>
      </c>
      <c r="H66" s="83"/>
      <c r="I66" s="84"/>
      <c r="J66" s="85"/>
      <c r="K66" s="86"/>
      <c r="L66" s="135"/>
      <c r="N66" s="136"/>
      <c r="O66" s="136"/>
      <c r="P66" s="136"/>
      <c r="Q66" s="136"/>
      <c r="R66" s="136"/>
      <c r="S66" s="136"/>
      <c r="Y66"/>
      <c r="Z66"/>
      <c r="AA66"/>
      <c r="AB66"/>
      <c r="AC66"/>
      <c r="AD66"/>
      <c r="AE66"/>
      <c r="AF66"/>
      <c r="AG66"/>
      <c r="AH66"/>
      <c r="AI66"/>
      <c r="AJ66"/>
      <c r="AK66" s="1"/>
      <c r="AL66" s="1"/>
      <c r="AM66" s="1"/>
      <c r="AN66"/>
      <c r="AO66"/>
      <c r="AP66"/>
    </row>
    <row r="67" spans="2:42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725</v>
      </c>
      <c r="I67" s="88"/>
      <c r="J67" s="89"/>
      <c r="K67" s="90">
        <f>+K65+K66*2</f>
        <v>561.13</v>
      </c>
      <c r="L67" s="135"/>
      <c r="N67" s="136"/>
      <c r="O67" s="136"/>
      <c r="P67" s="136"/>
      <c r="Q67" s="136"/>
      <c r="R67" s="136"/>
      <c r="S67" s="136"/>
      <c r="Y67"/>
      <c r="Z67"/>
      <c r="AA67"/>
      <c r="AB67"/>
      <c r="AC67"/>
      <c r="AD67"/>
      <c r="AE67"/>
      <c r="AF67"/>
      <c r="AG67"/>
      <c r="AH67"/>
      <c r="AI67"/>
      <c r="AJ67"/>
      <c r="AK67" s="1"/>
      <c r="AL67" s="1"/>
      <c r="AM67" s="1"/>
      <c r="AN67"/>
      <c r="AO67"/>
      <c r="AP67"/>
    </row>
    <row r="68" spans="2:42" s="10" customFormat="1" x14ac:dyDescent="0.3">
      <c r="B68"/>
      <c r="C68"/>
      <c r="D68"/>
      <c r="E68" s="455">
        <f>+E48</f>
        <v>23</v>
      </c>
      <c r="F68" s="455" t="s">
        <v>56</v>
      </c>
      <c r="G68" s="82" t="s">
        <v>48</v>
      </c>
      <c r="H68" s="83">
        <v>414</v>
      </c>
      <c r="I68" s="84"/>
      <c r="J68" s="85"/>
      <c r="K68" s="86">
        <v>446.27</v>
      </c>
      <c r="L68" s="135"/>
      <c r="N68" s="136"/>
      <c r="O68" s="136"/>
      <c r="P68" s="136"/>
      <c r="Q68" s="136"/>
      <c r="R68" s="136"/>
      <c r="S68" s="136"/>
      <c r="Y68"/>
      <c r="Z68"/>
      <c r="AA68"/>
      <c r="AB68"/>
      <c r="AC68"/>
      <c r="AD68"/>
      <c r="AE68"/>
      <c r="AF68"/>
      <c r="AG68"/>
      <c r="AH68"/>
      <c r="AI68"/>
      <c r="AJ68"/>
      <c r="AK68" s="1"/>
      <c r="AL68" s="1"/>
      <c r="AM68" s="1"/>
      <c r="AN68"/>
      <c r="AO68"/>
      <c r="AP68"/>
    </row>
    <row r="69" spans="2:42" s="10" customFormat="1" x14ac:dyDescent="0.3">
      <c r="B69"/>
      <c r="C69"/>
      <c r="D69"/>
      <c r="E69" s="456"/>
      <c r="F69" s="456"/>
      <c r="G69" s="82" t="s">
        <v>50</v>
      </c>
      <c r="H69" s="83"/>
      <c r="I69" s="84"/>
      <c r="J69" s="85"/>
      <c r="K69" s="86"/>
      <c r="L69" s="135"/>
      <c r="N69" s="136"/>
      <c r="O69" s="136"/>
      <c r="P69" s="136"/>
      <c r="Q69" s="136"/>
      <c r="R69" s="136"/>
      <c r="S69" s="136"/>
      <c r="Y69"/>
      <c r="Z69"/>
      <c r="AA69"/>
      <c r="AB69"/>
      <c r="AC69"/>
      <c r="AD69"/>
      <c r="AE69"/>
      <c r="AF69"/>
      <c r="AG69"/>
      <c r="AH69"/>
      <c r="AI69"/>
      <c r="AJ69"/>
      <c r="AK69" s="1"/>
      <c r="AL69" s="1"/>
      <c r="AM69" s="1"/>
      <c r="AN69"/>
      <c r="AO69"/>
      <c r="AP69"/>
    </row>
    <row r="70" spans="2:42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414</v>
      </c>
      <c r="I70" s="88"/>
      <c r="J70" s="89"/>
      <c r="K70" s="90">
        <f>+K68+K69*2</f>
        <v>446.27</v>
      </c>
      <c r="L70" s="135"/>
      <c r="N70" s="136"/>
      <c r="O70" s="136"/>
      <c r="P70" s="136"/>
      <c r="Q70" s="136"/>
      <c r="R70" s="136"/>
      <c r="S70" s="136"/>
      <c r="Y70"/>
      <c r="Z70"/>
      <c r="AA70"/>
      <c r="AB70"/>
      <c r="AC70"/>
      <c r="AD70"/>
      <c r="AE70"/>
      <c r="AF70"/>
      <c r="AG70"/>
      <c r="AH70"/>
      <c r="AI70"/>
      <c r="AJ70"/>
      <c r="AK70" s="1"/>
      <c r="AL70" s="1"/>
      <c r="AM70" s="1"/>
      <c r="AN70"/>
      <c r="AO70"/>
      <c r="AP70"/>
    </row>
    <row r="71" spans="2:42" s="10" customFormat="1" x14ac:dyDescent="0.3">
      <c r="B71"/>
      <c r="C71"/>
      <c r="D71"/>
      <c r="E71" s="455">
        <f>+E51</f>
        <v>24</v>
      </c>
      <c r="F71" s="455" t="s">
        <v>38</v>
      </c>
      <c r="G71" s="82" t="s">
        <v>48</v>
      </c>
      <c r="H71" s="83">
        <v>464</v>
      </c>
      <c r="I71" s="84"/>
      <c r="J71" s="85"/>
      <c r="K71" s="86">
        <v>382.6</v>
      </c>
      <c r="L71" s="135"/>
      <c r="N71" s="136"/>
      <c r="O71" s="136"/>
      <c r="P71" s="136"/>
      <c r="Q71" s="136"/>
      <c r="R71" s="136"/>
      <c r="S71" s="136"/>
      <c r="Y71"/>
      <c r="Z71"/>
      <c r="AA71"/>
      <c r="AB71"/>
      <c r="AC71"/>
      <c r="AD71"/>
      <c r="AE71"/>
      <c r="AF71"/>
      <c r="AG71"/>
      <c r="AH71"/>
      <c r="AI71"/>
      <c r="AJ71"/>
      <c r="AK71" s="1"/>
      <c r="AL71" s="1"/>
      <c r="AM71" s="1"/>
      <c r="AN71"/>
      <c r="AO71"/>
      <c r="AP71"/>
    </row>
    <row r="72" spans="2:42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Y72"/>
      <c r="Z72"/>
      <c r="AA72"/>
      <c r="AB72"/>
      <c r="AC72"/>
      <c r="AD72"/>
      <c r="AE72"/>
      <c r="AF72"/>
      <c r="AG72"/>
      <c r="AH72"/>
      <c r="AI72"/>
      <c r="AJ72"/>
      <c r="AK72" s="1"/>
      <c r="AL72" s="1"/>
      <c r="AM72" s="1"/>
      <c r="AN72"/>
      <c r="AO72"/>
      <c r="AP72"/>
    </row>
    <row r="73" spans="2:42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464</v>
      </c>
      <c r="I73" s="88"/>
      <c r="J73" s="89"/>
      <c r="K73" s="90">
        <f>+K71+K72*2</f>
        <v>382.6</v>
      </c>
      <c r="L73" s="135"/>
      <c r="N73" s="136"/>
      <c r="O73" s="136"/>
      <c r="P73" s="136"/>
      <c r="Q73" s="136"/>
      <c r="R73" s="136"/>
      <c r="S73" s="136"/>
      <c r="Y73"/>
      <c r="Z73"/>
      <c r="AA73"/>
      <c r="AB73"/>
      <c r="AC73"/>
      <c r="AD73"/>
      <c r="AE73"/>
      <c r="AF73"/>
      <c r="AG73"/>
      <c r="AH73"/>
      <c r="AI73"/>
      <c r="AJ73"/>
      <c r="AK73" s="1"/>
      <c r="AL73" s="1"/>
      <c r="AM73" s="1"/>
      <c r="AN73"/>
      <c r="AO73"/>
      <c r="AP73"/>
    </row>
    <row r="76" spans="2:42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</row>
    <row r="77" spans="2:42" ht="18" customHeight="1" x14ac:dyDescent="0.3">
      <c r="B77" t="s">
        <v>5</v>
      </c>
      <c r="D77" s="7">
        <v>55</v>
      </c>
      <c r="F77" s="8" t="s">
        <v>6</v>
      </c>
      <c r="T77" s="9">
        <v>1.2</v>
      </c>
      <c r="Z77" s="12">
        <f>Z61</f>
        <v>0</v>
      </c>
      <c r="AA77" s="11">
        <f>AA61</f>
        <v>0</v>
      </c>
      <c r="AB77" s="12"/>
      <c r="AD77" s="8"/>
    </row>
    <row r="78" spans="2:42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441" t="s">
        <v>12</v>
      </c>
      <c r="U78" s="418"/>
      <c r="V78" s="442"/>
      <c r="W78" s="446" t="s">
        <v>13</v>
      </c>
      <c r="X78" s="418"/>
      <c r="Y78" s="418"/>
      <c r="Z78" s="13"/>
      <c r="AA78" s="14"/>
      <c r="AB78" s="447" t="s">
        <v>14</v>
      </c>
      <c r="AC78" s="449" t="s">
        <v>15</v>
      </c>
      <c r="AD78" s="418" t="s">
        <v>16</v>
      </c>
    </row>
    <row r="79" spans="2:42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5" t="s">
        <v>12</v>
      </c>
      <c r="U79" s="16" t="s">
        <v>17</v>
      </c>
      <c r="V79" s="17" t="s">
        <v>18</v>
      </c>
      <c r="W79" s="18" t="s">
        <v>13</v>
      </c>
      <c r="X79" s="16" t="s">
        <v>19</v>
      </c>
      <c r="Y79" s="19" t="s">
        <v>18</v>
      </c>
      <c r="Z79" s="177" t="s">
        <v>20</v>
      </c>
      <c r="AA79" s="20" t="s">
        <v>21</v>
      </c>
      <c r="AB79" s="448"/>
      <c r="AC79" s="450"/>
      <c r="AD79" s="419"/>
      <c r="AE79" s="21" t="s">
        <v>22</v>
      </c>
      <c r="AF79" s="21" t="s">
        <v>23</v>
      </c>
      <c r="AG79" s="22"/>
      <c r="AH79" s="22"/>
      <c r="AI79" s="22" t="s">
        <v>24</v>
      </c>
      <c r="AJ79" s="22"/>
      <c r="AK79" s="23" t="s">
        <v>25</v>
      </c>
      <c r="AL79" s="23" t="s">
        <v>26</v>
      </c>
      <c r="AM79" s="23" t="s">
        <v>27</v>
      </c>
      <c r="AN79" s="22"/>
      <c r="AO79" s="22">
        <f>SUM(AO80:AO85)</f>
        <v>-50</v>
      </c>
    </row>
    <row r="80" spans="2:42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95">
        <f>+T94</f>
        <v>0</v>
      </c>
      <c r="U80" s="96">
        <f>IF(F80=0,"휴무",T80/F80)</f>
        <v>0</v>
      </c>
      <c r="V80" s="97">
        <f>IFERROR(T80/#REF!,0)</f>
        <v>0</v>
      </c>
      <c r="W80" s="98">
        <f>+W94</f>
        <v>0</v>
      </c>
      <c r="X80" s="96">
        <f t="shared" ref="X80:X85" si="25">IF(F80=0,"휴무",W80/F80)</f>
        <v>0</v>
      </c>
      <c r="Y80" s="99">
        <f>IFERROR(W80/#REF!,0)</f>
        <v>0</v>
      </c>
      <c r="Z80" s="100" t="e">
        <f>IF(F80=0,"휴무",T80/#REF!*$Z$4)</f>
        <v>#REF!</v>
      </c>
      <c r="AA80" s="101" t="e">
        <f>IF(F80=0,"휴무",W80/#REF!*$AA$4)</f>
        <v>#REF!</v>
      </c>
      <c r="AB80" s="102" t="e">
        <f t="shared" ref="AB80:AB85" si="26">IF(F80=0,"휴무",Z80+AA80)</f>
        <v>#REF!</v>
      </c>
      <c r="AC80" s="103" t="e">
        <f t="shared" ref="AC80:AC85" si="27">IF(F80=0,"휴무",IF(AB80&gt;=100,"좋아요",IF(AB80&gt;=90,"90~99",IF(AB80&gt;=80,"80~89"," 사유?→"))))</f>
        <v>#REF!</v>
      </c>
      <c r="AD80" s="104"/>
      <c r="AE80" s="37">
        <f>AF80-F80</f>
        <v>-10</v>
      </c>
      <c r="AF80" s="38">
        <f>AM80</f>
        <v>0</v>
      </c>
      <c r="AG80" s="175" t="s">
        <v>29</v>
      </c>
      <c r="AH80" s="39"/>
      <c r="AI80" s="40" t="str">
        <f>IFERROR(Y80/V80*1000,"")</f>
        <v/>
      </c>
      <c r="AJ80" s="39"/>
      <c r="AK80" s="41"/>
      <c r="AL80" s="41"/>
      <c r="AM80" s="41"/>
      <c r="AN80" s="175"/>
      <c r="AO80" s="175">
        <f>AN80-F80</f>
        <v>-10</v>
      </c>
    </row>
    <row r="81" spans="2:41" ht="98.25" customHeight="1" x14ac:dyDescent="0.3">
      <c r="B81" s="459"/>
      <c r="C81" s="92">
        <v>20</v>
      </c>
      <c r="D81" s="171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95">
        <f>+T97</f>
        <v>0</v>
      </c>
      <c r="U81" s="62">
        <f>IF(F81=0,"휴무",T81/F81)</f>
        <v>0</v>
      </c>
      <c r="V81" s="63">
        <f>IFERROR(T81/#REF!,0)</f>
        <v>0</v>
      </c>
      <c r="W81" s="105">
        <f>+W97</f>
        <v>0</v>
      </c>
      <c r="X81" s="96">
        <f t="shared" si="25"/>
        <v>0</v>
      </c>
      <c r="Y81" s="65">
        <f>IFERROR(W81/#REF!,0)</f>
        <v>0</v>
      </c>
      <c r="Z81" s="106" t="e">
        <f>IF(F81=0,"휴무",T81/#REF!*$Z$4)</f>
        <v>#REF!</v>
      </c>
      <c r="AA81" s="107" t="e">
        <f>IF(F81=0,"휴무",W81/#REF!*$AA$4)</f>
        <v>#REF!</v>
      </c>
      <c r="AB81" s="66" t="e">
        <f t="shared" si="26"/>
        <v>#REF!</v>
      </c>
      <c r="AC81" s="108" t="e">
        <f t="shared" si="27"/>
        <v>#REF!</v>
      </c>
      <c r="AD81" s="109"/>
      <c r="AE81" s="37">
        <f>AF81-F81</f>
        <v>-10</v>
      </c>
      <c r="AF81" s="38">
        <f>AM81</f>
        <v>0</v>
      </c>
      <c r="AG81" s="175" t="s">
        <v>34</v>
      </c>
      <c r="AH81" s="39"/>
      <c r="AI81" s="40" t="str">
        <f>IFERROR(Y81/V81*1000,"")</f>
        <v/>
      </c>
      <c r="AJ81" s="39"/>
      <c r="AK81" s="41"/>
      <c r="AL81" s="41"/>
      <c r="AM81" s="41"/>
      <c r="AN81" s="175"/>
      <c r="AO81" s="175">
        <f>AN81-F81</f>
        <v>-10</v>
      </c>
    </row>
    <row r="82" spans="2:41" ht="98.25" customHeight="1" x14ac:dyDescent="0.3">
      <c r="B82" s="459"/>
      <c r="C82" s="92">
        <v>21</v>
      </c>
      <c r="D82" s="171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95">
        <f>+T100</f>
        <v>0</v>
      </c>
      <c r="U82" s="62">
        <f>IF(F82=0,"휴무",T82/F82)</f>
        <v>0</v>
      </c>
      <c r="V82" s="63">
        <f>IFERROR(T82/#REF!,0)</f>
        <v>0</v>
      </c>
      <c r="W82" s="105">
        <f>+W100</f>
        <v>0</v>
      </c>
      <c r="X82" s="96">
        <f t="shared" si="25"/>
        <v>0</v>
      </c>
      <c r="Y82" s="65">
        <f>IFERROR(W82/#REF!,0)</f>
        <v>0</v>
      </c>
      <c r="Z82" s="106" t="e">
        <f>IF(F82=0,"휴무",T82/#REF!*$Z$4)</f>
        <v>#REF!</v>
      </c>
      <c r="AA82" s="107" t="e">
        <f>IF(F82=0,"휴무",W82/#REF!*$AA$4)</f>
        <v>#REF!</v>
      </c>
      <c r="AB82" s="66" t="e">
        <f t="shared" si="26"/>
        <v>#REF!</v>
      </c>
      <c r="AC82" s="108" t="e">
        <f t="shared" si="27"/>
        <v>#REF!</v>
      </c>
      <c r="AD82" s="109"/>
      <c r="AE82" s="37">
        <f>AF82-F82</f>
        <v>-10</v>
      </c>
      <c r="AF82" s="38">
        <f>AM82</f>
        <v>0</v>
      </c>
      <c r="AG82" s="175" t="s">
        <v>36</v>
      </c>
      <c r="AH82" s="39"/>
      <c r="AI82" s="40" t="str">
        <f>IFERROR(Y82/V82*1000,"")</f>
        <v/>
      </c>
      <c r="AJ82" s="39"/>
      <c r="AK82" s="41"/>
      <c r="AL82" s="41"/>
      <c r="AM82" s="41"/>
      <c r="AN82" s="175"/>
      <c r="AO82" s="175">
        <f>AN82-F82</f>
        <v>-10</v>
      </c>
    </row>
    <row r="83" spans="2:41" ht="98.25" customHeight="1" x14ac:dyDescent="0.3">
      <c r="B83" s="459"/>
      <c r="C83" s="92">
        <v>22</v>
      </c>
      <c r="D83" s="171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95">
        <f>+T103</f>
        <v>0</v>
      </c>
      <c r="U83" s="62">
        <f>IF(F83=0,"휴무",T83/F83)</f>
        <v>0</v>
      </c>
      <c r="V83" s="63">
        <f>IFERROR(T83/#REF!,0)</f>
        <v>0</v>
      </c>
      <c r="W83" s="105">
        <f>+W103</f>
        <v>0</v>
      </c>
      <c r="X83" s="62">
        <f t="shared" si="25"/>
        <v>0</v>
      </c>
      <c r="Y83" s="65">
        <f>IFERROR(W83/#REF!,0)</f>
        <v>0</v>
      </c>
      <c r="Z83" s="106" t="e">
        <f>IF(F83=0,"휴무",T83/#REF!*$Z$4)</f>
        <v>#REF!</v>
      </c>
      <c r="AA83" s="107" t="e">
        <f>IF(F83=0,"휴무",W83/#REF!*$AA$4)</f>
        <v>#REF!</v>
      </c>
      <c r="AB83" s="66" t="e">
        <f t="shared" si="26"/>
        <v>#REF!</v>
      </c>
      <c r="AC83" s="110" t="e">
        <f t="shared" si="27"/>
        <v>#REF!</v>
      </c>
      <c r="AD83" s="104"/>
      <c r="AE83" s="37">
        <f>AF83-F83</f>
        <v>-10</v>
      </c>
      <c r="AF83" s="38">
        <f>AM83</f>
        <v>0</v>
      </c>
      <c r="AG83" s="175" t="s">
        <v>33</v>
      </c>
      <c r="AH83" s="39"/>
      <c r="AI83" s="40" t="str">
        <f>IFERROR(Y83/V83*1000,"")</f>
        <v/>
      </c>
      <c r="AJ83" s="39"/>
      <c r="AK83" s="41"/>
      <c r="AL83" s="41"/>
      <c r="AM83" s="41"/>
      <c r="AN83" s="175"/>
      <c r="AO83" s="175">
        <f>AN83-F83</f>
        <v>-10</v>
      </c>
    </row>
    <row r="84" spans="2:41" ht="98.25" customHeight="1" x14ac:dyDescent="0.3">
      <c r="B84" s="459"/>
      <c r="C84" s="92">
        <v>23</v>
      </c>
      <c r="D84" s="171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95">
        <f>+T104</f>
        <v>0</v>
      </c>
      <c r="U84" s="62">
        <f>IF(F84=0,"휴무",T84/F84)</f>
        <v>0</v>
      </c>
      <c r="V84" s="63">
        <f>IFERROR(T84/#REF!,0)</f>
        <v>0</v>
      </c>
      <c r="W84" s="105">
        <f>+W104</f>
        <v>0</v>
      </c>
      <c r="X84" s="62">
        <f t="shared" si="25"/>
        <v>0</v>
      </c>
      <c r="Y84" s="65">
        <f>IFERROR(W84/#REF!,0)</f>
        <v>0</v>
      </c>
      <c r="Z84" s="106" t="e">
        <f>IF(F84=0,"휴무",T84/#REF!*$Z$4)</f>
        <v>#REF!</v>
      </c>
      <c r="AA84" s="107" t="e">
        <f>IF(F84=0,"휴무",W84/#REF!*$AA$4)</f>
        <v>#REF!</v>
      </c>
      <c r="AB84" s="66" t="e">
        <f t="shared" si="26"/>
        <v>#REF!</v>
      </c>
      <c r="AC84" s="110" t="e">
        <f t="shared" si="27"/>
        <v>#REF!</v>
      </c>
      <c r="AD84" s="104"/>
      <c r="AE84" s="37">
        <f>AF84-F84</f>
        <v>-10</v>
      </c>
      <c r="AF84" s="38">
        <f>AM84</f>
        <v>0</v>
      </c>
      <c r="AG84" s="175" t="s">
        <v>46</v>
      </c>
      <c r="AH84" s="39"/>
      <c r="AI84" s="40" t="str">
        <f>IFERROR(Y84/V84*1000,"")</f>
        <v/>
      </c>
      <c r="AJ84" s="175"/>
      <c r="AK84" s="41"/>
      <c r="AL84" s="41"/>
      <c r="AM84" s="41"/>
      <c r="AN84" s="175"/>
      <c r="AO84" s="175">
        <f>AN84-F84</f>
        <v>-10</v>
      </c>
    </row>
    <row r="85" spans="2:41" ht="98.25" customHeight="1" x14ac:dyDescent="0.3">
      <c r="B85" s="459"/>
      <c r="C85" s="92">
        <v>25</v>
      </c>
      <c r="D85" s="171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95">
        <f>T109</f>
        <v>0</v>
      </c>
      <c r="U85" s="96">
        <v>58.924999999999997</v>
      </c>
      <c r="V85" s="97">
        <v>0.89280303030303021</v>
      </c>
      <c r="W85" s="98">
        <f>W109</f>
        <v>0</v>
      </c>
      <c r="X85" s="62" t="str">
        <f t="shared" si="25"/>
        <v>휴무</v>
      </c>
      <c r="Y85" s="65">
        <f>IFERROR(W85/#REF!,0)</f>
        <v>0</v>
      </c>
      <c r="Z85" s="106" t="str">
        <f>IF(F85=0,"휴무",T85/#REF!*$Z$4)</f>
        <v>휴무</v>
      </c>
      <c r="AA85" s="107" t="str">
        <f>IF(F85=0,"휴무",W85/#REF!*$AA$4)</f>
        <v>휴무</v>
      </c>
      <c r="AB85" s="66" t="str">
        <f t="shared" si="26"/>
        <v>휴무</v>
      </c>
      <c r="AC85" s="110" t="str">
        <f t="shared" si="27"/>
        <v>휴무</v>
      </c>
      <c r="AD85" s="104"/>
      <c r="AE85" s="37"/>
      <c r="AF85" s="38"/>
      <c r="AG85" s="175"/>
      <c r="AH85" s="39"/>
      <c r="AI85" s="40"/>
      <c r="AJ85" s="175"/>
      <c r="AK85" s="41"/>
      <c r="AL85" s="41"/>
      <c r="AM85" s="41"/>
      <c r="AN85" s="175"/>
      <c r="AO85" s="175"/>
    </row>
    <row r="86" spans="2:41" ht="36" customHeight="1" x14ac:dyDescent="0.3">
      <c r="B86" s="460" t="s">
        <v>39</v>
      </c>
      <c r="C86" s="461"/>
      <c r="D86" s="461"/>
      <c r="E86" s="462"/>
      <c r="F86" s="171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11">
        <f>SUM(T80:T85)</f>
        <v>0</v>
      </c>
      <c r="U86" s="112"/>
      <c r="V86" s="63">
        <f>IFERROR(T86/#REF!,0)</f>
        <v>0</v>
      </c>
      <c r="W86" s="113">
        <f>SUM(W80:W85)</f>
        <v>0</v>
      </c>
      <c r="X86" s="62"/>
      <c r="Y86" s="65">
        <f>IFERROR(W86/#REF!,0)</f>
        <v>0</v>
      </c>
      <c r="Z86" s="171"/>
      <c r="AA86" s="172"/>
      <c r="AB86" s="114"/>
      <c r="AC86" s="115"/>
      <c r="AD86" s="173"/>
      <c r="AE86" s="37">
        <f>AF86-F86</f>
        <v>-50</v>
      </c>
      <c r="AF86" s="38">
        <f>SUM(AF80:AF85)</f>
        <v>0</v>
      </c>
      <c r="AG86" s="175"/>
      <c r="AH86" s="175"/>
      <c r="AI86" s="40"/>
      <c r="AJ86" s="175"/>
      <c r="AK86" s="59"/>
      <c r="AL86" s="59"/>
      <c r="AM86" s="59"/>
      <c r="AN86" s="175"/>
      <c r="AO86" s="175"/>
    </row>
    <row r="87" spans="2:41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61">
        <f>U87*F87</f>
        <v>0</v>
      </c>
      <c r="U87" s="62">
        <f>T86/F86</f>
        <v>0</v>
      </c>
      <c r="V87" s="63">
        <f>IFERROR(T87/#REF!,0)</f>
        <v>0</v>
      </c>
      <c r="W87" s="64">
        <f>W86/F86*F87</f>
        <v>0</v>
      </c>
      <c r="X87" s="62">
        <f>IF(F87=0,"휴무",W87/F87)</f>
        <v>0</v>
      </c>
      <c r="Y87" s="65">
        <f>IFERROR(W87/#REF!,0)</f>
        <v>0</v>
      </c>
      <c r="Z87" s="60" t="e">
        <f>AVERAGE(Z80:Z85)</f>
        <v>#REF!</v>
      </c>
      <c r="AA87" s="60" t="e">
        <f>AVERAGE(AA80:AA85)</f>
        <v>#REF!</v>
      </c>
      <c r="AB87" s="66" t="e">
        <f>Z87+AA87</f>
        <v>#REF!</v>
      </c>
      <c r="AC87" s="115" t="e">
        <f>IF(F87=0,"휴무",IF(AB87&gt;=100,"좋아요",IF(AB87&gt;=90,"90~99",IF(AB87&gt;=80,"80~89"," 사유?→"))))</f>
        <v>#REF!</v>
      </c>
      <c r="AD87" s="68"/>
      <c r="AE87" s="69"/>
      <c r="AF87" s="69"/>
      <c r="AG87" s="69"/>
      <c r="AH87" s="69"/>
      <c r="AI87" s="40" t="str">
        <f>IFERROR(Y87/V87*1000,"")</f>
        <v/>
      </c>
      <c r="AJ87" s="69"/>
      <c r="AK87" s="10"/>
      <c r="AL87" s="10"/>
      <c r="AM87" s="10"/>
      <c r="AN87" s="69"/>
      <c r="AO87" s="69"/>
    </row>
    <row r="88" spans="2:41" x14ac:dyDescent="0.3">
      <c r="B88" s="70" t="s">
        <v>41</v>
      </c>
      <c r="C88" s="71"/>
      <c r="D88" s="71"/>
      <c r="E88" s="72"/>
      <c r="T88" s="22"/>
      <c r="V88" s="73">
        <f>V87*60</f>
        <v>0</v>
      </c>
      <c r="W88" s="74"/>
      <c r="X88" s="73"/>
      <c r="Y88" s="74">
        <f>Y87*40</f>
        <v>0</v>
      </c>
      <c r="Z88" s="81"/>
      <c r="AA88" s="81"/>
      <c r="AB88" s="74">
        <f>V88+Y88</f>
        <v>0</v>
      </c>
      <c r="AC88" s="175"/>
      <c r="AD88" s="175"/>
      <c r="AE88" s="175"/>
      <c r="AF88" s="175"/>
      <c r="AG88" s="175"/>
      <c r="AH88" s="175"/>
      <c r="AI88" s="175"/>
      <c r="AJ88" s="175"/>
      <c r="AK88" s="59"/>
      <c r="AL88" s="59"/>
      <c r="AM88" s="59"/>
      <c r="AN88" s="175"/>
      <c r="AO88" s="175"/>
    </row>
    <row r="89" spans="2:41" ht="17.25" thickBot="1" x14ac:dyDescent="0.35">
      <c r="B89" s="70" t="s">
        <v>61</v>
      </c>
      <c r="U89" s="10">
        <v>8.8000000000000007</v>
      </c>
    </row>
    <row r="90" spans="2:41" ht="17.25" thickBot="1" x14ac:dyDescent="0.35">
      <c r="B90" s="76" t="s">
        <v>42</v>
      </c>
      <c r="C90" s="77"/>
      <c r="D90" s="78" t="s">
        <v>43</v>
      </c>
      <c r="E90" s="78"/>
      <c r="F90" s="79"/>
      <c r="X90" s="10">
        <v>50</v>
      </c>
    </row>
    <row r="92" spans="2:41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3"/>
      <c r="U92" s="84"/>
      <c r="V92" s="85"/>
      <c r="W92" s="86"/>
    </row>
    <row r="93" spans="2:41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3"/>
      <c r="U93" s="84"/>
      <c r="V93" s="85"/>
      <c r="W93" s="86"/>
    </row>
    <row r="94" spans="2:41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7">
        <f>+T92+T93*1.6</f>
        <v>0</v>
      </c>
      <c r="U94" s="88"/>
      <c r="V94" s="89"/>
      <c r="W94" s="90">
        <f>+W92+W93*1.6</f>
        <v>0</v>
      </c>
    </row>
    <row r="95" spans="2:41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3"/>
      <c r="U95" s="84"/>
      <c r="V95" s="85"/>
      <c r="W95" s="86"/>
    </row>
    <row r="96" spans="2:41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3"/>
      <c r="U96" s="84"/>
      <c r="V96" s="85"/>
      <c r="W96" s="86"/>
    </row>
    <row r="97" spans="5:30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91">
        <f>+T95+T96*1.6</f>
        <v>0</v>
      </c>
      <c r="U97" s="88"/>
      <c r="V97" s="89"/>
      <c r="W97" s="90">
        <f>+W95+W96*1.6</f>
        <v>0</v>
      </c>
    </row>
    <row r="98" spans="5:30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84"/>
      <c r="V98" s="85"/>
      <c r="W98" s="86"/>
    </row>
    <row r="99" spans="5:30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3"/>
      <c r="U99" s="84"/>
      <c r="V99" s="85"/>
      <c r="W99" s="86"/>
    </row>
    <row r="100" spans="5:30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7">
        <f>+T98+T99*1.6</f>
        <v>0</v>
      </c>
      <c r="U100" s="88"/>
      <c r="V100" s="89"/>
      <c r="W100" s="90">
        <f>+W98+W99*1.6</f>
        <v>0</v>
      </c>
    </row>
    <row r="101" spans="5:30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3"/>
      <c r="U101" s="84"/>
      <c r="V101" s="85"/>
      <c r="W101" s="86"/>
    </row>
    <row r="102" spans="5:30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3"/>
      <c r="U102" s="84"/>
      <c r="V102" s="85"/>
      <c r="W102" s="86"/>
    </row>
    <row r="103" spans="5:30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7">
        <f>+T101+T102*1.6</f>
        <v>0</v>
      </c>
      <c r="U103" s="88"/>
      <c r="V103" s="89"/>
      <c r="W103" s="90">
        <f>+W101+W102*1.6</f>
        <v>0</v>
      </c>
    </row>
    <row r="104" spans="5:30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3"/>
      <c r="U104" s="84"/>
      <c r="V104" s="85"/>
      <c r="W104" s="86"/>
    </row>
    <row r="105" spans="5:30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3"/>
      <c r="U105" s="84"/>
      <c r="V105" s="85"/>
      <c r="W105" s="86"/>
    </row>
    <row r="106" spans="5:30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7">
        <f>+T104+T105*1.6</f>
        <v>0</v>
      </c>
      <c r="U106" s="88"/>
      <c r="V106" s="89"/>
      <c r="W106" s="90">
        <f>+W104+W105*1.6</f>
        <v>0</v>
      </c>
    </row>
    <row r="107" spans="5:30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3"/>
      <c r="U107" s="84"/>
      <c r="V107" s="85"/>
      <c r="W107" s="86"/>
      <c r="AD107" s="116"/>
    </row>
    <row r="108" spans="5:30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3"/>
      <c r="U108" s="84"/>
      <c r="V108" s="85"/>
      <c r="W108" s="86"/>
    </row>
    <row r="109" spans="5:30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7">
        <f>+T107+T108*1.6</f>
        <v>0</v>
      </c>
      <c r="U109" s="88"/>
      <c r="V109" s="89"/>
      <c r="W109" s="90">
        <f>+W107+W108*1.6</f>
        <v>0</v>
      </c>
    </row>
    <row r="114" spans="3:26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</row>
    <row r="116" spans="3:26" x14ac:dyDescent="0.3">
      <c r="C116" s="171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117"/>
      <c r="V116" s="118"/>
      <c r="W116" s="116"/>
      <c r="X116" s="117"/>
      <c r="Y116" s="116"/>
      <c r="Z116" s="116"/>
    </row>
    <row r="117" spans="3:26" x14ac:dyDescent="0.3">
      <c r="C117" s="171" t="s">
        <v>63</v>
      </c>
      <c r="D117" s="466" t="s">
        <v>12</v>
      </c>
      <c r="E117" s="466"/>
      <c r="F117" s="171" t="s">
        <v>64</v>
      </c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 t="s">
        <v>15</v>
      </c>
      <c r="U117" s="117"/>
      <c r="V117" s="118"/>
      <c r="W117" s="116"/>
      <c r="X117" s="117"/>
      <c r="Y117" s="116"/>
      <c r="Z117" s="116"/>
    </row>
    <row r="118" spans="3:26" x14ac:dyDescent="0.3">
      <c r="C118" s="119">
        <v>45075</v>
      </c>
      <c r="D118" s="466"/>
      <c r="E118" s="466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17"/>
      <c r="V118" s="118"/>
      <c r="W118" s="116"/>
      <c r="X118" s="117"/>
      <c r="Y118" s="116"/>
      <c r="Z118" s="116"/>
    </row>
    <row r="119" spans="3:26" x14ac:dyDescent="0.3">
      <c r="C119" s="119">
        <v>45076</v>
      </c>
      <c r="D119" s="466"/>
      <c r="E119" s="466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17"/>
      <c r="V119" s="118"/>
      <c r="W119" s="116"/>
      <c r="X119" s="117"/>
      <c r="Y119" s="116"/>
      <c r="Z119" s="116"/>
    </row>
    <row r="120" spans="3:26" x14ac:dyDescent="0.3">
      <c r="C120" s="119">
        <v>45077</v>
      </c>
      <c r="D120" s="466"/>
      <c r="E120" s="466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17"/>
      <c r="V120" s="118"/>
      <c r="W120" s="116"/>
      <c r="X120" s="117"/>
      <c r="Y120" s="116"/>
      <c r="Z120" s="116"/>
    </row>
    <row r="121" spans="3:26" x14ac:dyDescent="0.3">
      <c r="C121" s="119">
        <v>45078</v>
      </c>
      <c r="D121" s="466"/>
      <c r="E121" s="466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17"/>
      <c r="V121" s="118"/>
      <c r="W121" s="116"/>
      <c r="X121" s="117"/>
      <c r="Y121" s="116"/>
      <c r="Z121" s="116"/>
    </row>
    <row r="122" spans="3:26" x14ac:dyDescent="0.3">
      <c r="C122" s="119">
        <v>45079</v>
      </c>
      <c r="D122" s="466"/>
      <c r="E122" s="466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17"/>
      <c r="V122" s="118"/>
      <c r="W122" s="116"/>
      <c r="X122" s="117"/>
      <c r="Y122" s="116"/>
      <c r="Z122" s="116"/>
    </row>
    <row r="123" spans="3:26" x14ac:dyDescent="0.3">
      <c r="C123" s="119">
        <v>45080</v>
      </c>
      <c r="D123" s="466"/>
      <c r="E123" s="466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17"/>
      <c r="V123" s="118"/>
      <c r="W123" s="116"/>
      <c r="X123" s="117"/>
      <c r="Y123" s="116"/>
      <c r="Z123" s="116"/>
    </row>
    <row r="124" spans="3:26" x14ac:dyDescent="0.3">
      <c r="C124" s="171"/>
      <c r="D124" s="460"/>
      <c r="E124" s="462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17"/>
      <c r="V124" s="118"/>
      <c r="W124" s="116"/>
      <c r="X124" s="117"/>
      <c r="Y124" s="116"/>
      <c r="Z124" s="116"/>
    </row>
    <row r="125" spans="3:26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117"/>
      <c r="V125" s="118"/>
      <c r="W125" s="116"/>
      <c r="X125" s="117"/>
      <c r="Y125" s="116"/>
      <c r="Z125" s="116"/>
    </row>
    <row r="126" spans="3:26" x14ac:dyDescent="0.3">
      <c r="C126" s="171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117"/>
      <c r="V126" s="118"/>
      <c r="W126" s="116"/>
      <c r="X126" s="117"/>
      <c r="Y126" s="116"/>
      <c r="Z126" s="116"/>
    </row>
    <row r="127" spans="3:26" x14ac:dyDescent="0.3">
      <c r="C127" s="171" t="s">
        <v>63</v>
      </c>
      <c r="D127" s="466" t="s">
        <v>12</v>
      </c>
      <c r="E127" s="466"/>
      <c r="F127" s="171" t="s">
        <v>64</v>
      </c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 t="s">
        <v>15</v>
      </c>
      <c r="U127" s="117"/>
      <c r="V127" s="118"/>
      <c r="W127" s="116"/>
      <c r="X127" s="117"/>
      <c r="Y127" s="116"/>
      <c r="Z127" s="116"/>
    </row>
    <row r="128" spans="3:26" x14ac:dyDescent="0.3">
      <c r="C128" s="119">
        <v>45075</v>
      </c>
      <c r="D128" s="466"/>
      <c r="E128" s="466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17"/>
      <c r="V128" s="118"/>
      <c r="W128" s="116"/>
      <c r="X128" s="117"/>
      <c r="Y128" s="116"/>
      <c r="Z128" s="116"/>
    </row>
    <row r="129" spans="3:26" x14ac:dyDescent="0.3">
      <c r="C129" s="119">
        <v>45076</v>
      </c>
      <c r="D129" s="466"/>
      <c r="E129" s="466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17"/>
      <c r="V129" s="118"/>
      <c r="W129" s="116"/>
      <c r="X129" s="117"/>
      <c r="Y129" s="116"/>
      <c r="Z129" s="116"/>
    </row>
    <row r="130" spans="3:26" x14ac:dyDescent="0.3">
      <c r="C130" s="119">
        <v>45077</v>
      </c>
      <c r="D130" s="466"/>
      <c r="E130" s="466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17"/>
      <c r="V130" s="118"/>
      <c r="W130" s="116"/>
      <c r="X130" s="117"/>
      <c r="Y130" s="116"/>
      <c r="Z130" s="116"/>
    </row>
    <row r="131" spans="3:26" x14ac:dyDescent="0.3">
      <c r="C131" s="119">
        <v>45078</v>
      </c>
      <c r="D131" s="466"/>
      <c r="E131" s="466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17"/>
      <c r="V131" s="118"/>
      <c r="W131" s="116"/>
      <c r="X131" s="117"/>
      <c r="Y131" s="116"/>
      <c r="Z131" s="116"/>
    </row>
    <row r="132" spans="3:26" x14ac:dyDescent="0.3">
      <c r="C132" s="119">
        <v>45079</v>
      </c>
      <c r="D132" s="466"/>
      <c r="E132" s="466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17"/>
      <c r="V132" s="118"/>
      <c r="W132" s="116"/>
      <c r="X132" s="117"/>
      <c r="Y132" s="116"/>
      <c r="Z132" s="116"/>
    </row>
    <row r="133" spans="3:26" x14ac:dyDescent="0.3">
      <c r="C133" s="119">
        <v>45080</v>
      </c>
      <c r="D133" s="466"/>
      <c r="E133" s="466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17"/>
      <c r="V133" s="118"/>
      <c r="W133" s="116"/>
      <c r="X133" s="117"/>
      <c r="Y133" s="116"/>
      <c r="Z133" s="116"/>
    </row>
    <row r="134" spans="3:26" x14ac:dyDescent="0.3">
      <c r="C134" s="171"/>
      <c r="D134" s="460"/>
      <c r="E134" s="462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17"/>
      <c r="V134" s="118"/>
      <c r="W134" s="116"/>
      <c r="X134" s="117"/>
      <c r="Y134" s="116"/>
      <c r="Z134" s="116"/>
    </row>
    <row r="135" spans="3:26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117"/>
      <c r="V135" s="118"/>
      <c r="W135" s="116"/>
      <c r="X135" s="117"/>
      <c r="Y135" s="116"/>
      <c r="Z135" s="116"/>
    </row>
    <row r="136" spans="3:26" x14ac:dyDescent="0.3">
      <c r="C136" s="171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117"/>
      <c r="V136" s="118"/>
      <c r="W136" s="116"/>
      <c r="X136" s="117"/>
      <c r="Y136" s="116"/>
      <c r="Z136" s="116"/>
    </row>
    <row r="137" spans="3:26" x14ac:dyDescent="0.3">
      <c r="C137" s="171" t="s">
        <v>63</v>
      </c>
      <c r="D137" s="466" t="s">
        <v>12</v>
      </c>
      <c r="E137" s="466"/>
      <c r="F137" s="171" t="s">
        <v>64</v>
      </c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 t="s">
        <v>15</v>
      </c>
      <c r="U137" s="117"/>
      <c r="V137" s="118"/>
      <c r="W137" s="116"/>
      <c r="X137" s="117"/>
      <c r="Y137" s="116"/>
      <c r="Z137" s="116"/>
    </row>
    <row r="138" spans="3:26" x14ac:dyDescent="0.3">
      <c r="C138" s="119">
        <v>45075</v>
      </c>
      <c r="D138" s="466"/>
      <c r="E138" s="466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17"/>
      <c r="V138" s="118"/>
      <c r="W138" s="116"/>
      <c r="X138" s="117"/>
      <c r="Y138" s="116"/>
      <c r="Z138" s="116"/>
    </row>
    <row r="139" spans="3:26" x14ac:dyDescent="0.3">
      <c r="C139" s="119">
        <v>45076</v>
      </c>
      <c r="D139" s="466"/>
      <c r="E139" s="466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17"/>
      <c r="V139" s="118"/>
      <c r="W139" s="116"/>
      <c r="X139" s="117"/>
      <c r="Y139" s="116"/>
      <c r="Z139" s="116"/>
    </row>
    <row r="140" spans="3:26" x14ac:dyDescent="0.3">
      <c r="C140" s="119">
        <v>45077</v>
      </c>
      <c r="D140" s="466"/>
      <c r="E140" s="466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</row>
    <row r="141" spans="3:26" x14ac:dyDescent="0.3">
      <c r="C141" s="119">
        <v>45078</v>
      </c>
      <c r="D141" s="466"/>
      <c r="E141" s="466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</row>
    <row r="142" spans="3:26" x14ac:dyDescent="0.3">
      <c r="C142" s="119">
        <v>45079</v>
      </c>
      <c r="D142" s="466"/>
      <c r="E142" s="466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</row>
    <row r="143" spans="3:26" x14ac:dyDescent="0.3">
      <c r="C143" s="119">
        <v>45080</v>
      </c>
      <c r="D143" s="466"/>
      <c r="E143" s="466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</row>
    <row r="144" spans="3:26" x14ac:dyDescent="0.3">
      <c r="C144" s="171"/>
      <c r="D144" s="460"/>
      <c r="E144" s="462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</row>
  </sheetData>
  <mergeCells count="113">
    <mergeCell ref="T5:V5"/>
    <mergeCell ref="W5:Y5"/>
    <mergeCell ref="AB5:AB6"/>
    <mergeCell ref="AC5:AC6"/>
    <mergeCell ref="AD5:AD6"/>
    <mergeCell ref="B7:B12"/>
    <mergeCell ref="B2:AD2"/>
    <mergeCell ref="B3:AD3"/>
    <mergeCell ref="B5:C6"/>
    <mergeCell ref="D5:D6"/>
    <mergeCell ref="E5:E6"/>
    <mergeCell ref="F5:F6"/>
    <mergeCell ref="G5:G6"/>
    <mergeCell ref="H5:H6"/>
    <mergeCell ref="I5:R5"/>
    <mergeCell ref="S5:S6"/>
    <mergeCell ref="B13:E13"/>
    <mergeCell ref="B14:E14"/>
    <mergeCell ref="B19:AD19"/>
    <mergeCell ref="B21:B22"/>
    <mergeCell ref="C21:C22"/>
    <mergeCell ref="D21:D22"/>
    <mergeCell ref="E21:E22"/>
    <mergeCell ref="F21:F22"/>
    <mergeCell ref="G21:G22"/>
    <mergeCell ref="H21:H22"/>
    <mergeCell ref="AB21:AB22"/>
    <mergeCell ref="AC21:AC22"/>
    <mergeCell ref="AD21:AD22"/>
    <mergeCell ref="B23:B28"/>
    <mergeCell ref="B29:E29"/>
    <mergeCell ref="B30:E30"/>
    <mergeCell ref="I21:R21"/>
    <mergeCell ref="S21:S22"/>
    <mergeCell ref="T21:V21"/>
    <mergeCell ref="W21:Y21"/>
    <mergeCell ref="Z21:Z22"/>
    <mergeCell ref="AA21:AA22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AD78:AD79"/>
    <mergeCell ref="B80:B85"/>
    <mergeCell ref="B86:E86"/>
    <mergeCell ref="B87:E87"/>
    <mergeCell ref="E92:E94"/>
    <mergeCell ref="F92:F94"/>
    <mergeCell ref="B76:AD76"/>
    <mergeCell ref="B78:B79"/>
    <mergeCell ref="C78:C79"/>
    <mergeCell ref="D78:D79"/>
    <mergeCell ref="E78:E79"/>
    <mergeCell ref="F78:F79"/>
    <mergeCell ref="T78:V78"/>
    <mergeCell ref="W78:Y78"/>
    <mergeCell ref="AB78:AB79"/>
    <mergeCell ref="AC78:AC79"/>
    <mergeCell ref="E104:E106"/>
    <mergeCell ref="F104:F106"/>
    <mergeCell ref="E107:E109"/>
    <mergeCell ref="F107:F109"/>
    <mergeCell ref="C114:T114"/>
    <mergeCell ref="D117:E117"/>
    <mergeCell ref="E95:E97"/>
    <mergeCell ref="F95:F97"/>
    <mergeCell ref="E98:E100"/>
    <mergeCell ref="F98:F100"/>
    <mergeCell ref="E101:E103"/>
    <mergeCell ref="F101:F103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</mergeCells>
  <phoneticPr fontId="4" type="noConversion"/>
  <dataValidations count="3">
    <dataValidation type="list" allowBlank="1" showInputMessage="1" showErrorMessage="1" sqref="E7:E12 E23:E28">
      <formula1>$T$7:$T$12</formula1>
    </dataValidation>
    <dataValidation type="list" allowBlank="1" showInputMessage="1" showErrorMessage="1" sqref="AG23:AG25 AG7 AG10 AG80:AG82">
      <formula1>$AD$6:$AD$8</formula1>
    </dataValidation>
    <dataValidation type="list" allowBlank="1" showInputMessage="1" showErrorMessage="1" sqref="E80:E85">
      <formula1>$AG$7:$AG$12</formula1>
    </dataValidation>
  </dataValidations>
  <pageMargins left="0.62992125984251968" right="0.62992125984251968" top="0.94488188976377963" bottom="0.55118110236220474" header="0.31496062992125984" footer="0.31496062992125984"/>
  <pageSetup paperSize="9" scale="26" orientation="landscape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AY143"/>
  <sheetViews>
    <sheetView zoomScale="80" zoomScaleNormal="80" workbookViewId="0">
      <pane xSplit="4" ySplit="5" topLeftCell="E27" activePane="bottomRight" state="frozen"/>
      <selection pane="topRight" activeCell="D1" sqref="D1"/>
      <selection pane="bottomLeft" activeCell="A6" sqref="A6"/>
      <selection pane="bottomRight" activeCell="K9" sqref="K9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19" width="8.625" style="8" customWidth="1"/>
    <col min="20" max="20" width="10.75" style="75" customWidth="1"/>
    <col min="21" max="21" width="10.875" style="10" customWidth="1"/>
    <col min="22" max="22" width="7.375" style="11" customWidth="1"/>
    <col min="23" max="23" width="12.25" customWidth="1"/>
    <col min="24" max="24" width="7.75" style="10" customWidth="1"/>
    <col min="25" max="25" width="10.375" customWidth="1"/>
    <col min="26" max="26" width="9.5" customWidth="1"/>
    <col min="27" max="27" width="10" customWidth="1"/>
    <col min="28" max="28" width="7.125" customWidth="1"/>
    <col min="29" max="29" width="8.375" customWidth="1"/>
    <col min="30" max="30" width="56.375" customWidth="1"/>
    <col min="31" max="32" width="9.125" hidden="1" customWidth="1"/>
    <col min="33" max="33" width="8.75" hidden="1" customWidth="1"/>
    <col min="34" max="34" width="2.75" hidden="1" customWidth="1"/>
    <col min="35" max="35" width="9.125" hidden="1" customWidth="1"/>
    <col min="36" max="36" width="0" hidden="1" customWidth="1"/>
    <col min="37" max="39" width="9.125" style="1" hidden="1" customWidth="1"/>
    <col min="40" max="41" width="0" hidden="1" customWidth="1"/>
    <col min="42" max="42" width="11.75" hidden="1" customWidth="1"/>
    <col min="43" max="43" width="3.25" customWidth="1"/>
  </cols>
  <sheetData>
    <row r="1" spans="2:51" ht="20.25" x14ac:dyDescent="0.3">
      <c r="B1" s="425" t="s">
        <v>105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  <c r="AA1" s="425"/>
      <c r="AB1" s="425"/>
      <c r="AC1" s="425"/>
      <c r="AD1" s="425"/>
      <c r="AV1" s="2" t="s">
        <v>0</v>
      </c>
      <c r="AW1" s="165" t="s">
        <v>1</v>
      </c>
      <c r="AX1" s="165" t="s">
        <v>2</v>
      </c>
      <c r="AY1" s="3" t="s">
        <v>3</v>
      </c>
    </row>
    <row r="2" spans="2:51" ht="45" customHeight="1" x14ac:dyDescent="0.3">
      <c r="B2" s="463" t="s">
        <v>4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V2" s="4"/>
      <c r="AW2" s="5"/>
      <c r="AX2" s="5"/>
      <c r="AY2" s="6"/>
    </row>
    <row r="3" spans="2:51" x14ac:dyDescent="0.3">
      <c r="B3" t="s">
        <v>5</v>
      </c>
      <c r="D3" s="7">
        <v>55</v>
      </c>
      <c r="F3" s="8" t="s">
        <v>6</v>
      </c>
      <c r="T3" s="9">
        <v>1.2</v>
      </c>
      <c r="Z3" s="12">
        <v>50</v>
      </c>
      <c r="AA3" s="11">
        <f>50*10.89/10</f>
        <v>54.45</v>
      </c>
      <c r="AB3" s="12"/>
      <c r="AD3" s="8"/>
    </row>
    <row r="4" spans="2:51" ht="19.149999999999999" customHeight="1" x14ac:dyDescent="0.3">
      <c r="B4" s="426" t="s">
        <v>93</v>
      </c>
      <c r="C4" s="427"/>
      <c r="D4" s="430" t="s">
        <v>8</v>
      </c>
      <c r="E4" s="432" t="s">
        <v>9</v>
      </c>
      <c r="F4" s="432" t="s">
        <v>10</v>
      </c>
      <c r="G4" s="434" t="s">
        <v>83</v>
      </c>
      <c r="H4" s="434" t="s">
        <v>82</v>
      </c>
      <c r="I4" s="436" t="s">
        <v>81</v>
      </c>
      <c r="J4" s="437"/>
      <c r="K4" s="437"/>
      <c r="L4" s="437"/>
      <c r="M4" s="437"/>
      <c r="N4" s="437"/>
      <c r="O4" s="437"/>
      <c r="P4" s="437"/>
      <c r="Q4" s="437"/>
      <c r="R4" s="438"/>
      <c r="S4" s="439" t="s">
        <v>11</v>
      </c>
      <c r="T4" s="441" t="s">
        <v>12</v>
      </c>
      <c r="U4" s="418"/>
      <c r="V4" s="442"/>
      <c r="W4" s="446" t="s">
        <v>13</v>
      </c>
      <c r="X4" s="418"/>
      <c r="Y4" s="418"/>
      <c r="Z4" s="13"/>
      <c r="AA4" s="14"/>
      <c r="AB4" s="447" t="s">
        <v>14</v>
      </c>
      <c r="AC4" s="449" t="s">
        <v>15</v>
      </c>
      <c r="AD4" s="418" t="s">
        <v>16</v>
      </c>
    </row>
    <row r="5" spans="2:51" s="22" customFormat="1" ht="48" customHeight="1" thickBot="1" x14ac:dyDescent="0.35">
      <c r="B5" s="428"/>
      <c r="C5" s="429"/>
      <c r="D5" s="431"/>
      <c r="E5" s="433"/>
      <c r="F5" s="433"/>
      <c r="G5" s="435"/>
      <c r="H5" s="435"/>
      <c r="I5" s="163" t="s">
        <v>68</v>
      </c>
      <c r="J5" s="18" t="s">
        <v>69</v>
      </c>
      <c r="K5" s="18" t="s">
        <v>70</v>
      </c>
      <c r="L5" s="18" t="s">
        <v>71</v>
      </c>
      <c r="M5" s="18" t="s">
        <v>72</v>
      </c>
      <c r="N5" s="18" t="s">
        <v>75</v>
      </c>
      <c r="O5" s="18" t="s">
        <v>75</v>
      </c>
      <c r="P5" s="18" t="s">
        <v>76</v>
      </c>
      <c r="Q5" s="18" t="s">
        <v>77</v>
      </c>
      <c r="R5" s="127" t="s">
        <v>80</v>
      </c>
      <c r="S5" s="440"/>
      <c r="T5" s="15" t="s">
        <v>12</v>
      </c>
      <c r="U5" s="16" t="s">
        <v>17</v>
      </c>
      <c r="V5" s="17" t="s">
        <v>18</v>
      </c>
      <c r="W5" s="18" t="s">
        <v>13</v>
      </c>
      <c r="X5" s="16" t="s">
        <v>19</v>
      </c>
      <c r="Y5" s="19" t="s">
        <v>18</v>
      </c>
      <c r="Z5" s="163" t="s">
        <v>20</v>
      </c>
      <c r="AA5" s="20" t="s">
        <v>21</v>
      </c>
      <c r="AB5" s="448"/>
      <c r="AC5" s="450"/>
      <c r="AD5" s="419"/>
      <c r="AE5" s="21" t="s">
        <v>22</v>
      </c>
      <c r="AF5" s="21" t="s">
        <v>23</v>
      </c>
      <c r="AI5" s="22" t="s">
        <v>24</v>
      </c>
      <c r="AK5" s="23" t="s">
        <v>25</v>
      </c>
      <c r="AL5" s="23" t="s">
        <v>26</v>
      </c>
      <c r="AM5" s="23" t="s">
        <v>27</v>
      </c>
      <c r="AO5" s="22">
        <f>SUM(AO6:AO11)</f>
        <v>-59.75</v>
      </c>
    </row>
    <row r="6" spans="2:51" s="169" customFormat="1" ht="99" customHeight="1" thickTop="1" x14ac:dyDescent="0.3">
      <c r="B6" s="420">
        <v>1</v>
      </c>
      <c r="C6" s="24">
        <v>12</v>
      </c>
      <c r="D6" s="25" t="s">
        <v>7</v>
      </c>
      <c r="E6" s="26" t="s">
        <v>28</v>
      </c>
      <c r="F6" s="25">
        <v>11</v>
      </c>
      <c r="G6" s="128">
        <v>590</v>
      </c>
      <c r="H6" s="128">
        <f t="shared" ref="H6:H11" si="0">(G6/T6)*100</f>
        <v>99.662162162162161</v>
      </c>
      <c r="I6" s="123" t="s">
        <v>85</v>
      </c>
      <c r="J6" s="123" t="s">
        <v>86</v>
      </c>
      <c r="K6" s="123" t="s">
        <v>73</v>
      </c>
      <c r="L6" s="123" t="s">
        <v>87</v>
      </c>
      <c r="M6" s="123"/>
      <c r="N6" s="129" t="s">
        <v>90</v>
      </c>
      <c r="O6" s="123" t="s">
        <v>74</v>
      </c>
      <c r="P6" s="123" t="s">
        <v>91</v>
      </c>
      <c r="Q6" s="123" t="s">
        <v>89</v>
      </c>
      <c r="R6" s="125">
        <f t="shared" ref="R6:R12" si="1">COUNTA(I6:M6)+COUNTA(N6:Q6)/2</f>
        <v>6</v>
      </c>
      <c r="S6" s="27">
        <f t="shared" ref="S6:S11" si="2">F6*$D$3*$T$3</f>
        <v>726</v>
      </c>
      <c r="T6" s="28">
        <f>+H37</f>
        <v>592</v>
      </c>
      <c r="U6" s="29">
        <f t="shared" ref="U6:U11" si="3">IF(F6=0,"휴무",T6/F6)</f>
        <v>53.81818181818182</v>
      </c>
      <c r="V6" s="30">
        <f t="shared" ref="V6:V12" si="4">IFERROR(T6/S6,0)</f>
        <v>0.81542699724517909</v>
      </c>
      <c r="W6" s="31">
        <f>+K37</f>
        <v>573.62</v>
      </c>
      <c r="X6" s="29">
        <f t="shared" ref="X6:X11" si="5">IF(F6=0,"휴무",W6/F6)</f>
        <v>52.147272727272728</v>
      </c>
      <c r="Y6" s="32">
        <f t="shared" ref="Y6:Y12" si="6">IFERROR(W6/S6,0)</f>
        <v>0.79011019283746553</v>
      </c>
      <c r="Z6" s="33">
        <f t="shared" ref="Z6:Z11" si="7">IF(F6=0,"휴무",T6/S6*$Z$3)</f>
        <v>40.771349862258951</v>
      </c>
      <c r="AA6" s="34">
        <f t="shared" ref="AA6:AA11" si="8">IF(F6=0,"휴무",W6/S6*$AA$3)</f>
        <v>43.021500000000003</v>
      </c>
      <c r="AB6" s="138">
        <f t="shared" ref="AB6:AB12" si="9">IF(F6=0,"휴무",Z6+AA6)</f>
        <v>83.792849862258947</v>
      </c>
      <c r="AC6" s="35" t="str">
        <f t="shared" ref="AC6:AC12" si="10">IF(F6=0,"휴무",IF(AB6&gt;=100,"좋아요",IF(AB6&gt;=90,"90~99",IF(AB6&gt;=80,"80~89"," 사유?→"))))</f>
        <v>80~89</v>
      </c>
      <c r="AD6" s="36"/>
      <c r="AE6" s="37">
        <f>AF6-F6</f>
        <v>-11</v>
      </c>
      <c r="AF6" s="38">
        <f>AM6</f>
        <v>0</v>
      </c>
      <c r="AG6" s="169" t="s">
        <v>29</v>
      </c>
      <c r="AH6" s="39"/>
      <c r="AI6" s="40">
        <f>IFERROR(Y6/V6*1000,"")</f>
        <v>968.9527027027026</v>
      </c>
      <c r="AJ6" s="39"/>
      <c r="AK6" s="41"/>
      <c r="AL6" s="41"/>
      <c r="AM6" s="41"/>
      <c r="AO6" s="169">
        <f t="shared" ref="AO6:AO11" si="11">AN6-F6</f>
        <v>-11</v>
      </c>
      <c r="AP6" s="42"/>
    </row>
    <row r="7" spans="2:51" s="169" customFormat="1" ht="99.75" customHeight="1" x14ac:dyDescent="0.3">
      <c r="B7" s="421"/>
      <c r="C7" s="24">
        <f>+C6+1</f>
        <v>13</v>
      </c>
      <c r="D7" s="43" t="s">
        <v>30</v>
      </c>
      <c r="E7" s="26" t="s">
        <v>28</v>
      </c>
      <c r="F7" s="25">
        <v>10.25</v>
      </c>
      <c r="G7" s="125">
        <v>523</v>
      </c>
      <c r="H7" s="125">
        <f t="shared" si="0"/>
        <v>99.61904761904762</v>
      </c>
      <c r="I7" s="123" t="s">
        <v>85</v>
      </c>
      <c r="J7" s="123" t="s">
        <v>86</v>
      </c>
      <c r="K7" s="123" t="s">
        <v>73</v>
      </c>
      <c r="L7" s="123" t="s">
        <v>87</v>
      </c>
      <c r="M7" s="123"/>
      <c r="N7" s="129" t="s">
        <v>90</v>
      </c>
      <c r="O7" s="123" t="s">
        <v>74</v>
      </c>
      <c r="P7" s="123" t="s">
        <v>91</v>
      </c>
      <c r="Q7" s="123" t="s">
        <v>89</v>
      </c>
      <c r="R7" s="125">
        <f t="shared" si="1"/>
        <v>6</v>
      </c>
      <c r="S7" s="27">
        <f t="shared" si="2"/>
        <v>676.5</v>
      </c>
      <c r="T7" s="28">
        <f>+H40</f>
        <v>525</v>
      </c>
      <c r="U7" s="44">
        <f t="shared" si="3"/>
        <v>51.219512195121951</v>
      </c>
      <c r="V7" s="45">
        <f t="shared" si="4"/>
        <v>0.77605321507760527</v>
      </c>
      <c r="W7" s="46">
        <f>+K40</f>
        <v>510.56</v>
      </c>
      <c r="X7" s="29">
        <f t="shared" si="5"/>
        <v>49.810731707317075</v>
      </c>
      <c r="Y7" s="47">
        <f t="shared" si="6"/>
        <v>0.75470805617147085</v>
      </c>
      <c r="Z7" s="48">
        <f t="shared" si="7"/>
        <v>38.802660753880261</v>
      </c>
      <c r="AA7" s="49">
        <f t="shared" si="8"/>
        <v>41.093853658536588</v>
      </c>
      <c r="AB7" s="139">
        <f t="shared" si="9"/>
        <v>79.896514412416849</v>
      </c>
      <c r="AC7" s="161" t="str">
        <f t="shared" si="10"/>
        <v xml:space="preserve"> 사유?→</v>
      </c>
      <c r="AD7" s="160" t="s">
        <v>106</v>
      </c>
      <c r="AE7" s="37">
        <f>AF7-F7</f>
        <v>-10.25</v>
      </c>
      <c r="AF7" s="38">
        <f>AM7</f>
        <v>0</v>
      </c>
      <c r="AG7" s="169" t="s">
        <v>31</v>
      </c>
      <c r="AH7" s="39"/>
      <c r="AI7" s="40">
        <f>IFERROR(Y7/V7*1000,"")</f>
        <v>972.49523809523816</v>
      </c>
      <c r="AJ7" s="39"/>
      <c r="AK7" s="41"/>
      <c r="AL7" s="41"/>
      <c r="AM7" s="41"/>
      <c r="AO7" s="169">
        <f t="shared" si="11"/>
        <v>-10.25</v>
      </c>
      <c r="AP7" s="42"/>
    </row>
    <row r="8" spans="2:51" s="169" customFormat="1" ht="97.5" customHeight="1" x14ac:dyDescent="0.3">
      <c r="B8" s="421"/>
      <c r="C8" s="24">
        <f>+C7+1</f>
        <v>14</v>
      </c>
      <c r="D8" s="43" t="s">
        <v>32</v>
      </c>
      <c r="E8" s="26" t="s">
        <v>29</v>
      </c>
      <c r="F8" s="25">
        <v>8.5</v>
      </c>
      <c r="G8" s="125">
        <v>551</v>
      </c>
      <c r="H8" s="125">
        <f t="shared" si="0"/>
        <v>99.818840579710141</v>
      </c>
      <c r="I8" s="123" t="s">
        <v>85</v>
      </c>
      <c r="J8" s="123" t="s">
        <v>86</v>
      </c>
      <c r="K8" s="123" t="s">
        <v>73</v>
      </c>
      <c r="L8" s="123" t="s">
        <v>87</v>
      </c>
      <c r="M8" s="123" t="s">
        <v>107</v>
      </c>
      <c r="N8" s="129" t="s">
        <v>90</v>
      </c>
      <c r="O8" s="123" t="s">
        <v>74</v>
      </c>
      <c r="P8" s="123" t="s">
        <v>91</v>
      </c>
      <c r="Q8" s="123" t="s">
        <v>89</v>
      </c>
      <c r="R8" s="125">
        <f t="shared" si="1"/>
        <v>7</v>
      </c>
      <c r="S8" s="27">
        <f t="shared" si="2"/>
        <v>561</v>
      </c>
      <c r="T8" s="51">
        <f>+H43</f>
        <v>552</v>
      </c>
      <c r="U8" s="44">
        <f t="shared" si="3"/>
        <v>64.941176470588232</v>
      </c>
      <c r="V8" s="45">
        <f t="shared" si="4"/>
        <v>0.98395721925133695</v>
      </c>
      <c r="W8" s="46">
        <f>+K43</f>
        <v>376.08</v>
      </c>
      <c r="X8" s="44">
        <f t="shared" si="5"/>
        <v>44.244705882352939</v>
      </c>
      <c r="Y8" s="47">
        <f t="shared" si="6"/>
        <v>0.67037433155080206</v>
      </c>
      <c r="Z8" s="48">
        <f t="shared" si="7"/>
        <v>49.19786096256685</v>
      </c>
      <c r="AA8" s="49">
        <f t="shared" si="8"/>
        <v>36.501882352941173</v>
      </c>
      <c r="AB8" s="139">
        <f t="shared" si="9"/>
        <v>85.699743315508016</v>
      </c>
      <c r="AC8" s="50" t="str">
        <f t="shared" si="10"/>
        <v>80~89</v>
      </c>
      <c r="AD8" s="36"/>
      <c r="AE8" s="37">
        <f>AF8-F8</f>
        <v>-8.5</v>
      </c>
      <c r="AF8" s="38">
        <f>AM8</f>
        <v>0</v>
      </c>
      <c r="AG8" s="169" t="s">
        <v>34</v>
      </c>
      <c r="AH8" s="39"/>
      <c r="AI8" s="40">
        <f>IFERROR(Y8/V8*1000,"")</f>
        <v>681.30434782608688</v>
      </c>
      <c r="AJ8" s="39"/>
      <c r="AK8" s="41"/>
      <c r="AL8" s="41"/>
      <c r="AM8" s="41"/>
      <c r="AO8" s="169">
        <f t="shared" si="11"/>
        <v>-8.5</v>
      </c>
      <c r="AP8" s="42"/>
    </row>
    <row r="9" spans="2:51" s="169" customFormat="1" ht="95.25" customHeight="1" x14ac:dyDescent="0.3">
      <c r="B9" s="421"/>
      <c r="C9" s="24">
        <f>+C8+1</f>
        <v>15</v>
      </c>
      <c r="D9" s="43" t="s">
        <v>35</v>
      </c>
      <c r="E9" s="26" t="s">
        <v>28</v>
      </c>
      <c r="F9" s="25">
        <v>11</v>
      </c>
      <c r="G9" s="125">
        <v>599</v>
      </c>
      <c r="H9" s="125">
        <f t="shared" si="0"/>
        <v>98.844884488448841</v>
      </c>
      <c r="I9" s="123" t="s">
        <v>85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91</v>
      </c>
      <c r="Q9" s="123" t="s">
        <v>89</v>
      </c>
      <c r="R9" s="125">
        <f t="shared" si="1"/>
        <v>6</v>
      </c>
      <c r="S9" s="27">
        <f t="shared" si="2"/>
        <v>726</v>
      </c>
      <c r="T9" s="28">
        <f>+H46</f>
        <v>606</v>
      </c>
      <c r="U9" s="44">
        <f t="shared" si="3"/>
        <v>55.090909090909093</v>
      </c>
      <c r="V9" s="45">
        <f t="shared" si="4"/>
        <v>0.83471074380165289</v>
      </c>
      <c r="W9" s="46">
        <f>+K46</f>
        <v>637.87</v>
      </c>
      <c r="X9" s="29">
        <f t="shared" si="5"/>
        <v>57.988181818181822</v>
      </c>
      <c r="Y9" s="47">
        <f t="shared" si="6"/>
        <v>0.8786088154269972</v>
      </c>
      <c r="Z9" s="48">
        <f t="shared" si="7"/>
        <v>41.735537190082646</v>
      </c>
      <c r="AA9" s="49">
        <f t="shared" si="8"/>
        <v>47.840249999999997</v>
      </c>
      <c r="AB9" s="139">
        <f t="shared" si="9"/>
        <v>89.57578719008265</v>
      </c>
      <c r="AC9" s="50" t="str">
        <f t="shared" si="10"/>
        <v>80~89</v>
      </c>
      <c r="AD9" s="36"/>
      <c r="AE9" s="37">
        <f>AF9-F9</f>
        <v>-11</v>
      </c>
      <c r="AF9" s="38">
        <f>AM9</f>
        <v>0</v>
      </c>
      <c r="AG9" s="169" t="s">
        <v>36</v>
      </c>
      <c r="AH9" s="39"/>
      <c r="AI9" s="40">
        <f>IFERROR(Y9/V9*1000,"")</f>
        <v>1052.5907590759075</v>
      </c>
      <c r="AJ9" s="39"/>
      <c r="AK9" s="41"/>
      <c r="AL9" s="41"/>
      <c r="AM9" s="41"/>
      <c r="AO9" s="169">
        <f t="shared" si="11"/>
        <v>-11</v>
      </c>
      <c r="AP9" s="42"/>
    </row>
    <row r="10" spans="2:51" s="169" customFormat="1" ht="102.75" customHeight="1" x14ac:dyDescent="0.3">
      <c r="B10" s="421"/>
      <c r="C10" s="24">
        <f>+C9+1</f>
        <v>16</v>
      </c>
      <c r="D10" s="43" t="s">
        <v>37</v>
      </c>
      <c r="E10" s="26" t="s">
        <v>28</v>
      </c>
      <c r="F10" s="25">
        <v>11</v>
      </c>
      <c r="G10" s="125">
        <v>738</v>
      </c>
      <c r="H10" s="125">
        <f t="shared" si="0"/>
        <v>99.729729729729726</v>
      </c>
      <c r="I10" s="123" t="s">
        <v>85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74</v>
      </c>
      <c r="P10" s="123" t="s">
        <v>91</v>
      </c>
      <c r="Q10" s="123" t="s">
        <v>89</v>
      </c>
      <c r="R10" s="125">
        <f t="shared" si="1"/>
        <v>6</v>
      </c>
      <c r="S10" s="27">
        <f t="shared" si="2"/>
        <v>726</v>
      </c>
      <c r="T10" s="28">
        <f>+H49</f>
        <v>740</v>
      </c>
      <c r="U10" s="44">
        <f t="shared" si="3"/>
        <v>67.272727272727266</v>
      </c>
      <c r="V10" s="45">
        <f t="shared" si="4"/>
        <v>1.0192837465564739</v>
      </c>
      <c r="W10" s="46">
        <f>+K49</f>
        <v>661</v>
      </c>
      <c r="X10" s="44">
        <f t="shared" si="5"/>
        <v>60.090909090909093</v>
      </c>
      <c r="Y10" s="47">
        <f t="shared" si="6"/>
        <v>0.91046831955922869</v>
      </c>
      <c r="Z10" s="48">
        <f t="shared" si="7"/>
        <v>50.964187327823694</v>
      </c>
      <c r="AA10" s="49">
        <f t="shared" si="8"/>
        <v>49.575000000000003</v>
      </c>
      <c r="AB10" s="139">
        <f t="shared" si="9"/>
        <v>100.5391873278237</v>
      </c>
      <c r="AC10" s="50" t="str">
        <f t="shared" si="10"/>
        <v>좋아요</v>
      </c>
      <c r="AD10" s="36"/>
      <c r="AE10" s="37">
        <f>AF10-F10</f>
        <v>-11</v>
      </c>
      <c r="AF10" s="38">
        <f>AM10</f>
        <v>0</v>
      </c>
      <c r="AG10" s="169" t="s">
        <v>33</v>
      </c>
      <c r="AH10" s="39"/>
      <c r="AI10" s="40">
        <f>IFERROR(Y10/V10*1000,"")</f>
        <v>893.24324324324323</v>
      </c>
      <c r="AK10" s="41"/>
      <c r="AL10" s="41"/>
      <c r="AM10" s="41"/>
      <c r="AO10" s="169">
        <f t="shared" si="11"/>
        <v>-11</v>
      </c>
      <c r="AP10" s="42"/>
    </row>
    <row r="11" spans="2:51" s="169" customFormat="1" ht="102.75" customHeight="1" x14ac:dyDescent="0.3">
      <c r="B11" s="421"/>
      <c r="C11" s="24">
        <f>+C10+1</f>
        <v>17</v>
      </c>
      <c r="D11" s="43" t="s">
        <v>38</v>
      </c>
      <c r="E11" s="26" t="s">
        <v>36</v>
      </c>
      <c r="F11" s="25">
        <v>8</v>
      </c>
      <c r="G11" s="125">
        <v>433</v>
      </c>
      <c r="H11" s="125">
        <f t="shared" si="0"/>
        <v>97.742663656884872</v>
      </c>
      <c r="I11" s="123" t="s">
        <v>85</v>
      </c>
      <c r="J11" s="123" t="s">
        <v>86</v>
      </c>
      <c r="K11" s="123" t="s">
        <v>73</v>
      </c>
      <c r="L11" s="123" t="s">
        <v>87</v>
      </c>
      <c r="M11" s="123"/>
      <c r="N11" s="129" t="s">
        <v>90</v>
      </c>
      <c r="O11" s="123" t="s">
        <v>74</v>
      </c>
      <c r="P11" s="123" t="s">
        <v>91</v>
      </c>
      <c r="Q11" s="123" t="s">
        <v>89</v>
      </c>
      <c r="R11" s="125">
        <f t="shared" si="1"/>
        <v>6</v>
      </c>
      <c r="S11" s="164">
        <f t="shared" si="2"/>
        <v>528</v>
      </c>
      <c r="T11" s="28">
        <f>+H52</f>
        <v>443</v>
      </c>
      <c r="U11" s="29">
        <f t="shared" si="3"/>
        <v>55.375</v>
      </c>
      <c r="V11" s="30">
        <f t="shared" si="4"/>
        <v>0.83901515151515149</v>
      </c>
      <c r="W11" s="31">
        <f>+K52</f>
        <v>364.1</v>
      </c>
      <c r="X11" s="44">
        <f t="shared" si="5"/>
        <v>45.512500000000003</v>
      </c>
      <c r="Y11" s="47">
        <f t="shared" si="6"/>
        <v>0.68958333333333333</v>
      </c>
      <c r="Z11" s="48">
        <f t="shared" si="7"/>
        <v>41.950757575757578</v>
      </c>
      <c r="AA11" s="49">
        <f t="shared" si="8"/>
        <v>37.547812499999999</v>
      </c>
      <c r="AB11" s="139">
        <f t="shared" si="9"/>
        <v>79.498570075757584</v>
      </c>
      <c r="AC11" s="161" t="str">
        <f t="shared" si="10"/>
        <v xml:space="preserve"> 사유?→</v>
      </c>
      <c r="AD11" s="160" t="s">
        <v>108</v>
      </c>
      <c r="AE11" s="37"/>
      <c r="AF11" s="38"/>
      <c r="AH11" s="39"/>
      <c r="AI11" s="40"/>
      <c r="AK11" s="41"/>
      <c r="AL11" s="41"/>
      <c r="AM11" s="41"/>
      <c r="AO11" s="169">
        <f t="shared" si="11"/>
        <v>-8</v>
      </c>
      <c r="AP11" s="42"/>
    </row>
    <row r="12" spans="2:51" s="169" customFormat="1" ht="36" customHeight="1" x14ac:dyDescent="0.3">
      <c r="B12" s="422" t="s">
        <v>39</v>
      </c>
      <c r="C12" s="423"/>
      <c r="D12" s="423"/>
      <c r="E12" s="424"/>
      <c r="F12" s="43">
        <f>SUM(F6:F11)</f>
        <v>59.75</v>
      </c>
      <c r="G12" s="125"/>
      <c r="H12" s="125"/>
      <c r="I12" s="122"/>
      <c r="J12" s="122"/>
      <c r="K12" s="122"/>
      <c r="L12" s="122"/>
      <c r="M12" s="122"/>
      <c r="N12" s="122"/>
      <c r="O12" s="122"/>
      <c r="P12" s="122"/>
      <c r="Q12" s="122"/>
      <c r="R12" s="125">
        <f t="shared" si="1"/>
        <v>0</v>
      </c>
      <c r="S12" s="52">
        <f>SUM(S6:S11)</f>
        <v>3943.5</v>
      </c>
      <c r="T12" s="53">
        <f>SUM(T6:T11)</f>
        <v>3458</v>
      </c>
      <c r="U12" s="54">
        <f>T12/F12</f>
        <v>57.8744769874477</v>
      </c>
      <c r="V12" s="45">
        <f t="shared" si="4"/>
        <v>0.87688601496132879</v>
      </c>
      <c r="W12" s="55">
        <f>SUM(W6:W11)</f>
        <v>3123.23</v>
      </c>
      <c r="X12" s="44">
        <f>W12/F12</f>
        <v>52.271631799163181</v>
      </c>
      <c r="Y12" s="47">
        <f t="shared" si="6"/>
        <v>0.79199442119944208</v>
      </c>
      <c r="Z12" s="56">
        <f>T12/S12*Z3</f>
        <v>43.844300748066438</v>
      </c>
      <c r="AA12" s="57">
        <f>W12/S12*AA3</f>
        <v>43.124096234309626</v>
      </c>
      <c r="AB12" s="140">
        <f t="shared" si="9"/>
        <v>86.968396982376063</v>
      </c>
      <c r="AC12" s="58" t="str">
        <f t="shared" si="10"/>
        <v>80~89</v>
      </c>
      <c r="AD12" s="43"/>
      <c r="AE12" s="37">
        <f>AF12-F12</f>
        <v>-59.75</v>
      </c>
      <c r="AF12" s="38">
        <f>SUM(AF6:AF11)</f>
        <v>0</v>
      </c>
      <c r="AI12" s="40"/>
      <c r="AK12" s="59"/>
      <c r="AL12" s="59"/>
      <c r="AM12" s="59"/>
    </row>
    <row r="13" spans="2:51" s="69" customFormat="1" ht="36" hidden="1" customHeight="1" x14ac:dyDescent="0.3">
      <c r="B13" s="443" t="s">
        <v>40</v>
      </c>
      <c r="C13" s="444"/>
      <c r="D13" s="444"/>
      <c r="E13" s="445"/>
      <c r="F13" s="60">
        <f>AVERAGE(F6:F11)</f>
        <v>9.9583333333333339</v>
      </c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61">
        <f>U13*F13</f>
        <v>576.33333333333337</v>
      </c>
      <c r="U13" s="62">
        <f>T12/F12</f>
        <v>57.8744769874477</v>
      </c>
      <c r="V13" s="63">
        <f>IFERROR(T13/#REF!,0)</f>
        <v>0</v>
      </c>
      <c r="W13" s="64">
        <f>W12/F12*F13</f>
        <v>520.53833333333341</v>
      </c>
      <c r="X13" s="62">
        <f>IF(F13=0,"휴무",W13/F13)</f>
        <v>52.271631799163188</v>
      </c>
      <c r="Y13" s="65">
        <f>IFERROR(W13/#REF!,0)</f>
        <v>0</v>
      </c>
      <c r="Z13" s="60">
        <f>AVERAGE(Z6:Z11)</f>
        <v>43.903725612061663</v>
      </c>
      <c r="AA13" s="60">
        <f>AVERAGE(AA6:AA11)</f>
        <v>42.596716418579625</v>
      </c>
      <c r="AB13" s="141">
        <f>Z13+AA13</f>
        <v>86.500442030641295</v>
      </c>
      <c r="AC13" s="67"/>
      <c r="AD13" s="68"/>
      <c r="AI13" s="40" t="str">
        <f>IFERROR(Y13/V13*1000,"")</f>
        <v/>
      </c>
      <c r="AK13" s="10"/>
      <c r="AL13" s="10"/>
      <c r="AM13" s="10"/>
    </row>
    <row r="14" spans="2:51" s="169" customFormat="1" x14ac:dyDescent="0.3">
      <c r="B14" s="70" t="s">
        <v>41</v>
      </c>
      <c r="C14" s="71"/>
      <c r="D14" s="71"/>
      <c r="E14" s="72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22"/>
      <c r="U14" s="10"/>
      <c r="V14" s="73">
        <f>V13*60</f>
        <v>0</v>
      </c>
      <c r="W14" s="74"/>
      <c r="X14" s="73"/>
      <c r="Y14" s="74">
        <f>Y13*40</f>
        <v>0</v>
      </c>
      <c r="AB14" s="142">
        <f>V14+Y14</f>
        <v>0</v>
      </c>
      <c r="AK14" s="59"/>
      <c r="AL14" s="59"/>
      <c r="AM14" s="59"/>
    </row>
    <row r="15" spans="2:51" ht="17.25" thickBot="1" x14ac:dyDescent="0.35">
      <c r="B15" s="70"/>
    </row>
    <row r="16" spans="2:51" ht="17.25" thickBot="1" x14ac:dyDescent="0.35">
      <c r="B16" s="76" t="s">
        <v>42</v>
      </c>
      <c r="C16" s="77"/>
      <c r="D16" s="78" t="s">
        <v>43</v>
      </c>
      <c r="E16" s="78"/>
      <c r="F16" s="79"/>
    </row>
    <row r="18" spans="2:42" ht="45" customHeight="1" x14ac:dyDescent="0.3">
      <c r="B18" s="463" t="s">
        <v>44</v>
      </c>
      <c r="C18" s="464"/>
      <c r="D18" s="464"/>
      <c r="E18" s="464"/>
      <c r="F18" s="464"/>
      <c r="G18" s="464"/>
      <c r="H18" s="464"/>
      <c r="I18" s="464"/>
      <c r="J18" s="464"/>
      <c r="K18" s="464"/>
      <c r="L18" s="464"/>
      <c r="M18" s="464"/>
      <c r="N18" s="464"/>
      <c r="O18" s="464"/>
      <c r="P18" s="464"/>
      <c r="Q18" s="464"/>
      <c r="R18" s="464"/>
      <c r="S18" s="464"/>
      <c r="T18" s="464"/>
      <c r="U18" s="464"/>
      <c r="V18" s="464"/>
      <c r="W18" s="464"/>
      <c r="X18" s="464"/>
      <c r="Y18" s="464"/>
      <c r="Z18" s="464"/>
      <c r="AA18" s="464"/>
      <c r="AB18" s="464"/>
      <c r="AC18" s="464"/>
      <c r="AD18" s="464"/>
    </row>
    <row r="19" spans="2:42" x14ac:dyDescent="0.3">
      <c r="B19" t="s">
        <v>5</v>
      </c>
      <c r="D19" s="7">
        <v>55</v>
      </c>
      <c r="F19" s="8" t="s">
        <v>6</v>
      </c>
      <c r="T19" s="9">
        <v>1.2</v>
      </c>
      <c r="Z19" s="12">
        <f>Z3</f>
        <v>50</v>
      </c>
      <c r="AA19" s="11">
        <f>AA3</f>
        <v>54.45</v>
      </c>
      <c r="AB19" s="12"/>
      <c r="AD19" s="8"/>
    </row>
    <row r="20" spans="2:42" ht="19.149999999999999" customHeight="1" x14ac:dyDescent="0.3">
      <c r="B20" s="430" t="s">
        <v>7</v>
      </c>
      <c r="C20" s="430" t="s">
        <v>45</v>
      </c>
      <c r="D20" s="430" t="s">
        <v>8</v>
      </c>
      <c r="E20" s="432" t="s">
        <v>9</v>
      </c>
      <c r="F20" s="432" t="s">
        <v>10</v>
      </c>
      <c r="G20" s="434" t="s">
        <v>83</v>
      </c>
      <c r="H20" s="434" t="s">
        <v>82</v>
      </c>
      <c r="I20" s="436" t="s">
        <v>79</v>
      </c>
      <c r="J20" s="437"/>
      <c r="K20" s="437"/>
      <c r="L20" s="437"/>
      <c r="M20" s="437"/>
      <c r="N20" s="437"/>
      <c r="O20" s="437"/>
      <c r="P20" s="437"/>
      <c r="Q20" s="437"/>
      <c r="R20" s="438"/>
      <c r="S20" s="439" t="s">
        <v>11</v>
      </c>
      <c r="T20" s="441" t="s">
        <v>12</v>
      </c>
      <c r="U20" s="418"/>
      <c r="V20" s="442"/>
      <c r="W20" s="446" t="s">
        <v>13</v>
      </c>
      <c r="X20" s="418"/>
      <c r="Y20" s="418"/>
      <c r="Z20" s="451" t="s">
        <v>20</v>
      </c>
      <c r="AA20" s="453" t="s">
        <v>21</v>
      </c>
      <c r="AB20" s="447" t="s">
        <v>14</v>
      </c>
      <c r="AC20" s="449" t="s">
        <v>15</v>
      </c>
      <c r="AD20" s="418" t="s">
        <v>16</v>
      </c>
    </row>
    <row r="21" spans="2:42" s="22" customFormat="1" ht="48" customHeight="1" thickBot="1" x14ac:dyDescent="0.35">
      <c r="B21" s="431"/>
      <c r="C21" s="431"/>
      <c r="D21" s="431"/>
      <c r="E21" s="433"/>
      <c r="F21" s="433"/>
      <c r="G21" s="435"/>
      <c r="H21" s="435"/>
      <c r="I21" s="18" t="s">
        <v>68</v>
      </c>
      <c r="J21" s="18" t="s">
        <v>69</v>
      </c>
      <c r="K21" s="18" t="s">
        <v>70</v>
      </c>
      <c r="L21" s="18" t="s">
        <v>71</v>
      </c>
      <c r="M21" s="18" t="s">
        <v>72</v>
      </c>
      <c r="N21" s="18" t="s">
        <v>75</v>
      </c>
      <c r="O21" s="18" t="s">
        <v>75</v>
      </c>
      <c r="P21" s="18" t="s">
        <v>76</v>
      </c>
      <c r="Q21" s="18" t="s">
        <v>77</v>
      </c>
      <c r="R21" s="127" t="s">
        <v>80</v>
      </c>
      <c r="S21" s="440"/>
      <c r="T21" s="15" t="s">
        <v>12</v>
      </c>
      <c r="U21" s="16" t="s">
        <v>17</v>
      </c>
      <c r="V21" s="17" t="s">
        <v>18</v>
      </c>
      <c r="W21" s="18" t="s">
        <v>13</v>
      </c>
      <c r="X21" s="16" t="s">
        <v>19</v>
      </c>
      <c r="Y21" s="19" t="s">
        <v>18</v>
      </c>
      <c r="Z21" s="452"/>
      <c r="AA21" s="454"/>
      <c r="AB21" s="448"/>
      <c r="AC21" s="450"/>
      <c r="AD21" s="419"/>
      <c r="AE21" s="21" t="s">
        <v>22</v>
      </c>
      <c r="AF21" s="21" t="s">
        <v>23</v>
      </c>
      <c r="AI21" s="22" t="s">
        <v>24</v>
      </c>
      <c r="AK21" s="23" t="s">
        <v>25</v>
      </c>
      <c r="AL21" s="23" t="s">
        <v>26</v>
      </c>
      <c r="AM21" s="23" t="s">
        <v>27</v>
      </c>
      <c r="AO21" s="22">
        <f>SUM(AO22:AO27)</f>
        <v>-59.2</v>
      </c>
    </row>
    <row r="22" spans="2:42" s="169" customFormat="1" ht="99" customHeight="1" thickTop="1" x14ac:dyDescent="0.3">
      <c r="B22" s="420">
        <f>+B6</f>
        <v>1</v>
      </c>
      <c r="C22" s="24">
        <f t="shared" ref="C22:C27" si="12">+C6</f>
        <v>12</v>
      </c>
      <c r="D22" s="25" t="s">
        <v>7</v>
      </c>
      <c r="E22" s="26" t="s">
        <v>28</v>
      </c>
      <c r="F22" s="25">
        <v>11</v>
      </c>
      <c r="G22" s="128">
        <f>598+10</f>
        <v>608</v>
      </c>
      <c r="H22" s="128">
        <f t="shared" ref="H22:H27" si="13">(G22/T22)*100</f>
        <v>95.148669796557115</v>
      </c>
      <c r="I22" s="123" t="s">
        <v>78</v>
      </c>
      <c r="J22" s="123" t="s">
        <v>88</v>
      </c>
      <c r="K22" s="123" t="s">
        <v>92</v>
      </c>
      <c r="L22" s="123" t="s">
        <v>84</v>
      </c>
      <c r="M22" s="123"/>
      <c r="N22" s="129" t="s">
        <v>90</v>
      </c>
      <c r="O22" s="123" t="s">
        <v>74</v>
      </c>
      <c r="P22" s="123" t="s">
        <v>91</v>
      </c>
      <c r="Q22" s="123" t="s">
        <v>89</v>
      </c>
      <c r="R22" s="124">
        <f t="shared" ref="R22:R27" si="14">COUNTA(I22:M22)+COUNTA(N22:Q22)/2</f>
        <v>6</v>
      </c>
      <c r="S22" s="27">
        <f t="shared" ref="S22:S27" si="15">F22*$D$3*$T$3</f>
        <v>726</v>
      </c>
      <c r="T22" s="28">
        <f>+H57</f>
        <v>639</v>
      </c>
      <c r="U22" s="29">
        <f t="shared" ref="U22:U27" si="16">IF(F22=0,"휴무",T22/F22)</f>
        <v>58.090909090909093</v>
      </c>
      <c r="V22" s="30">
        <f t="shared" ref="V22:V28" si="17">IFERROR(T22/S22,0)</f>
        <v>0.8801652892561983</v>
      </c>
      <c r="W22" s="31">
        <f>+K57</f>
        <v>493.65</v>
      </c>
      <c r="X22" s="29">
        <f t="shared" ref="X22:X27" si="18">IF(F22=0,"휴무",W22/F22)</f>
        <v>44.877272727272725</v>
      </c>
      <c r="Y22" s="32">
        <f t="shared" ref="Y22:Y28" si="19">IFERROR(W22/S22,0)</f>
        <v>0.67995867768595042</v>
      </c>
      <c r="Z22" s="33">
        <f t="shared" ref="Z22:Z27" si="20">IF(F22=0,"휴무",T22/S22*$Z$3)</f>
        <v>44.008264462809912</v>
      </c>
      <c r="AA22" s="34">
        <f t="shared" ref="AA22:AA27" si="21">IF(F22=0,"휴무",W22/S22*$AA$3)</f>
        <v>37.02375</v>
      </c>
      <c r="AB22" s="138">
        <f t="shared" ref="AB22:AB28" si="22">IF(F22=0,"휴무",Z22+AA22)</f>
        <v>81.032014462809911</v>
      </c>
      <c r="AC22" s="35" t="str">
        <f t="shared" ref="AC22:AC28" si="23">IF(F22=0,"휴무",IF(AB22&gt;=100,"좋아요",IF(AB22&gt;=90,"90~99",IF(AB22&gt;=80,"80~89"," 사유?→"))))</f>
        <v>80~89</v>
      </c>
      <c r="AD22" s="36"/>
      <c r="AE22" s="37">
        <f>AF22-F22</f>
        <v>-11</v>
      </c>
      <c r="AF22" s="38">
        <f>AM22</f>
        <v>0</v>
      </c>
      <c r="AG22" s="169" t="s">
        <v>29</v>
      </c>
      <c r="AH22" s="39"/>
      <c r="AI22" s="40">
        <f>IFERROR(Y22/V22*1000,"")</f>
        <v>772.53521126760575</v>
      </c>
      <c r="AJ22" s="39"/>
      <c r="AK22" s="41"/>
      <c r="AL22" s="41"/>
      <c r="AM22" s="41"/>
      <c r="AO22" s="169">
        <f t="shared" ref="AO22:AO27" si="24">AN22-F22</f>
        <v>-11</v>
      </c>
      <c r="AP22" s="42"/>
    </row>
    <row r="23" spans="2:42" s="169" customFormat="1" ht="99.75" customHeight="1" x14ac:dyDescent="0.3">
      <c r="B23" s="421"/>
      <c r="C23" s="24">
        <f t="shared" si="12"/>
        <v>13</v>
      </c>
      <c r="D23" s="43" t="s">
        <v>30</v>
      </c>
      <c r="E23" s="26" t="s">
        <v>28</v>
      </c>
      <c r="F23" s="25">
        <v>11</v>
      </c>
      <c r="G23" s="125">
        <v>748</v>
      </c>
      <c r="H23" s="125">
        <f t="shared" si="13"/>
        <v>99.733333333333334</v>
      </c>
      <c r="I23" s="123" t="s">
        <v>78</v>
      </c>
      <c r="J23" s="123" t="s">
        <v>88</v>
      </c>
      <c r="K23" s="123" t="s">
        <v>92</v>
      </c>
      <c r="L23" s="123" t="s">
        <v>84</v>
      </c>
      <c r="M23" s="123"/>
      <c r="N23" s="129" t="s">
        <v>90</v>
      </c>
      <c r="O23" s="123" t="s">
        <v>74</v>
      </c>
      <c r="P23" s="123" t="s">
        <v>91</v>
      </c>
      <c r="Q23" s="123" t="s">
        <v>89</v>
      </c>
      <c r="R23" s="124">
        <f t="shared" si="14"/>
        <v>6</v>
      </c>
      <c r="S23" s="27">
        <f t="shared" si="15"/>
        <v>726</v>
      </c>
      <c r="T23" s="28">
        <f>+H60</f>
        <v>750</v>
      </c>
      <c r="U23" s="44">
        <f t="shared" si="16"/>
        <v>68.181818181818187</v>
      </c>
      <c r="V23" s="45">
        <f t="shared" si="17"/>
        <v>1.0330578512396693</v>
      </c>
      <c r="W23" s="46">
        <f>+K60</f>
        <v>580.71</v>
      </c>
      <c r="X23" s="29">
        <f t="shared" si="18"/>
        <v>52.791818181818186</v>
      </c>
      <c r="Y23" s="47">
        <f t="shared" si="19"/>
        <v>0.79987603305785127</v>
      </c>
      <c r="Z23" s="48">
        <f t="shared" si="20"/>
        <v>51.652892561983464</v>
      </c>
      <c r="AA23" s="49">
        <f t="shared" si="21"/>
        <v>43.553250000000006</v>
      </c>
      <c r="AB23" s="139">
        <f t="shared" si="22"/>
        <v>95.206142561983469</v>
      </c>
      <c r="AC23" s="80" t="str">
        <f t="shared" si="23"/>
        <v>90~99</v>
      </c>
      <c r="AD23" s="36"/>
      <c r="AE23" s="37">
        <f>AF23-F23</f>
        <v>-11</v>
      </c>
      <c r="AF23" s="38">
        <f>AM23</f>
        <v>0</v>
      </c>
      <c r="AG23" s="169" t="s">
        <v>34</v>
      </c>
      <c r="AH23" s="39"/>
      <c r="AI23" s="40">
        <f>IFERROR(Y23/V23*1000,"")</f>
        <v>774.28000000000009</v>
      </c>
      <c r="AJ23" s="39"/>
      <c r="AK23" s="41"/>
      <c r="AL23" s="41"/>
      <c r="AM23" s="41"/>
      <c r="AO23" s="169">
        <f t="shared" si="24"/>
        <v>-11</v>
      </c>
      <c r="AP23" s="42"/>
    </row>
    <row r="24" spans="2:42" s="169" customFormat="1" ht="97.5" customHeight="1" x14ac:dyDescent="0.3">
      <c r="B24" s="421"/>
      <c r="C24" s="24">
        <f t="shared" si="12"/>
        <v>14</v>
      </c>
      <c r="D24" s="43" t="s">
        <v>32</v>
      </c>
      <c r="E24" s="26" t="s">
        <v>29</v>
      </c>
      <c r="F24" s="25">
        <v>8.5</v>
      </c>
      <c r="G24" s="124">
        <v>518</v>
      </c>
      <c r="H24" s="124">
        <f t="shared" si="13"/>
        <v>100</v>
      </c>
      <c r="I24" s="123" t="s">
        <v>78</v>
      </c>
      <c r="J24" s="123" t="s">
        <v>88</v>
      </c>
      <c r="K24" s="123" t="s">
        <v>92</v>
      </c>
      <c r="L24" s="123" t="s">
        <v>84</v>
      </c>
      <c r="M24" s="123"/>
      <c r="N24" s="129" t="s">
        <v>90</v>
      </c>
      <c r="O24" s="123" t="s">
        <v>74</v>
      </c>
      <c r="P24" s="123" t="s">
        <v>91</v>
      </c>
      <c r="Q24" s="123" t="s">
        <v>89</v>
      </c>
      <c r="R24" s="124">
        <f t="shared" si="14"/>
        <v>6</v>
      </c>
      <c r="S24" s="27">
        <f t="shared" si="15"/>
        <v>561</v>
      </c>
      <c r="T24" s="28">
        <f>+H63</f>
        <v>518</v>
      </c>
      <c r="U24" s="44">
        <f t="shared" si="16"/>
        <v>60.941176470588232</v>
      </c>
      <c r="V24" s="45">
        <f t="shared" si="17"/>
        <v>0.92335115864527628</v>
      </c>
      <c r="W24" s="46">
        <f>+K63</f>
        <v>419.2</v>
      </c>
      <c r="X24" s="29">
        <f t="shared" si="18"/>
        <v>49.317647058823525</v>
      </c>
      <c r="Y24" s="47">
        <f t="shared" si="19"/>
        <v>0.74723707664884131</v>
      </c>
      <c r="Z24" s="48">
        <f t="shared" si="20"/>
        <v>46.167557932263811</v>
      </c>
      <c r="AA24" s="49">
        <f t="shared" si="21"/>
        <v>40.687058823529412</v>
      </c>
      <c r="AB24" s="139">
        <f t="shared" si="22"/>
        <v>86.854616755793216</v>
      </c>
      <c r="AC24" s="50" t="str">
        <f t="shared" si="23"/>
        <v>80~89</v>
      </c>
      <c r="AD24" s="36"/>
      <c r="AE24" s="37">
        <f>AF24-F24</f>
        <v>-8.5</v>
      </c>
      <c r="AF24" s="38">
        <f>AM24</f>
        <v>0</v>
      </c>
      <c r="AG24" s="169" t="s">
        <v>36</v>
      </c>
      <c r="AH24" s="39"/>
      <c r="AI24" s="40">
        <f>IFERROR(Y24/V24*1000,"")</f>
        <v>809.26640926640925</v>
      </c>
      <c r="AJ24" s="39"/>
      <c r="AK24" s="41"/>
      <c r="AL24" s="41"/>
      <c r="AM24" s="41"/>
      <c r="AO24" s="169">
        <f t="shared" si="24"/>
        <v>-8.5</v>
      </c>
      <c r="AP24" s="42"/>
    </row>
    <row r="25" spans="2:42" s="169" customFormat="1" ht="115.5" customHeight="1" x14ac:dyDescent="0.3">
      <c r="B25" s="421"/>
      <c r="C25" s="24">
        <f t="shared" si="12"/>
        <v>15</v>
      </c>
      <c r="D25" s="43" t="s">
        <v>35</v>
      </c>
      <c r="E25" s="26" t="s">
        <v>28</v>
      </c>
      <c r="F25" s="25">
        <f>11-1.3</f>
        <v>9.6999999999999993</v>
      </c>
      <c r="G25" s="124">
        <v>556</v>
      </c>
      <c r="H25" s="124">
        <f t="shared" si="13"/>
        <v>97.033158813263526</v>
      </c>
      <c r="I25" s="123" t="s">
        <v>78</v>
      </c>
      <c r="J25" s="123" t="s">
        <v>88</v>
      </c>
      <c r="K25" s="123" t="s">
        <v>92</v>
      </c>
      <c r="L25" s="123" t="s">
        <v>84</v>
      </c>
      <c r="M25" s="123"/>
      <c r="N25" s="129" t="s">
        <v>90</v>
      </c>
      <c r="O25" s="123" t="s">
        <v>74</v>
      </c>
      <c r="P25" s="123" t="s">
        <v>91</v>
      </c>
      <c r="Q25" s="123" t="s">
        <v>89</v>
      </c>
      <c r="R25" s="124">
        <f t="shared" si="14"/>
        <v>6</v>
      </c>
      <c r="S25" s="27">
        <f t="shared" si="15"/>
        <v>640.19999999999993</v>
      </c>
      <c r="T25" s="28">
        <f>+H66</f>
        <v>573</v>
      </c>
      <c r="U25" s="44">
        <f t="shared" si="16"/>
        <v>59.072164948453612</v>
      </c>
      <c r="V25" s="45">
        <f t="shared" si="17"/>
        <v>0.89503280224929715</v>
      </c>
      <c r="W25" s="46">
        <f>+K66</f>
        <v>443.98</v>
      </c>
      <c r="X25" s="44">
        <f t="shared" si="18"/>
        <v>45.771134020618561</v>
      </c>
      <c r="Y25" s="47">
        <f t="shared" si="19"/>
        <v>0.69350203061543281</v>
      </c>
      <c r="Z25" s="48">
        <f t="shared" si="20"/>
        <v>44.751640112464855</v>
      </c>
      <c r="AA25" s="49">
        <f t="shared" si="21"/>
        <v>37.761185567010315</v>
      </c>
      <c r="AB25" s="139">
        <f t="shared" si="22"/>
        <v>82.512825679475171</v>
      </c>
      <c r="AC25" s="50" t="str">
        <f t="shared" si="23"/>
        <v>80~89</v>
      </c>
      <c r="AD25" s="36"/>
      <c r="AE25" s="37">
        <f>AF25-F25</f>
        <v>-9.6999999999999993</v>
      </c>
      <c r="AF25" s="38">
        <f>AM25</f>
        <v>0</v>
      </c>
      <c r="AG25" s="169" t="s">
        <v>33</v>
      </c>
      <c r="AH25" s="39"/>
      <c r="AI25" s="40">
        <f>IFERROR(Y25/V25*1000,"")</f>
        <v>774.83420593368248</v>
      </c>
      <c r="AJ25" s="39"/>
      <c r="AK25" s="41"/>
      <c r="AL25" s="41"/>
      <c r="AM25" s="41"/>
      <c r="AO25" s="169">
        <f t="shared" si="24"/>
        <v>-9.6999999999999993</v>
      </c>
      <c r="AP25" s="42"/>
    </row>
    <row r="26" spans="2:42" s="169" customFormat="1" ht="104.25" customHeight="1" x14ac:dyDescent="0.3">
      <c r="B26" s="421"/>
      <c r="C26" s="24">
        <f t="shared" si="12"/>
        <v>16</v>
      </c>
      <c r="D26" s="43" t="s">
        <v>37</v>
      </c>
      <c r="E26" s="26" t="s">
        <v>28</v>
      </c>
      <c r="F26" s="25">
        <v>11</v>
      </c>
      <c r="G26" s="125">
        <f>60+696</f>
        <v>756</v>
      </c>
      <c r="H26" s="130">
        <f t="shared" si="13"/>
        <v>100</v>
      </c>
      <c r="I26" s="123" t="s">
        <v>78</v>
      </c>
      <c r="J26" s="123" t="s">
        <v>88</v>
      </c>
      <c r="K26" s="123" t="s">
        <v>92</v>
      </c>
      <c r="L26" s="123" t="s">
        <v>84</v>
      </c>
      <c r="M26" s="123"/>
      <c r="N26" s="129" t="s">
        <v>90</v>
      </c>
      <c r="O26" s="123" t="s">
        <v>74</v>
      </c>
      <c r="P26" s="123" t="s">
        <v>91</v>
      </c>
      <c r="Q26" s="123" t="s">
        <v>89</v>
      </c>
      <c r="R26" s="125">
        <f t="shared" si="14"/>
        <v>6</v>
      </c>
      <c r="S26" s="27">
        <f t="shared" si="15"/>
        <v>726</v>
      </c>
      <c r="T26" s="28">
        <f>+H69</f>
        <v>756</v>
      </c>
      <c r="U26" s="44">
        <f t="shared" si="16"/>
        <v>68.727272727272734</v>
      </c>
      <c r="V26" s="45">
        <f t="shared" si="17"/>
        <v>1.0413223140495869</v>
      </c>
      <c r="W26" s="46">
        <f>+K69</f>
        <v>621.26</v>
      </c>
      <c r="X26" s="44">
        <f t="shared" si="18"/>
        <v>56.478181818181817</v>
      </c>
      <c r="Y26" s="47">
        <f t="shared" si="19"/>
        <v>0.85573002754820937</v>
      </c>
      <c r="Z26" s="48">
        <f t="shared" si="20"/>
        <v>52.066115702479344</v>
      </c>
      <c r="AA26" s="49">
        <f t="shared" si="21"/>
        <v>46.594500000000004</v>
      </c>
      <c r="AB26" s="139">
        <f t="shared" si="22"/>
        <v>98.660615702479348</v>
      </c>
      <c r="AC26" s="50" t="str">
        <f t="shared" si="23"/>
        <v>90~99</v>
      </c>
      <c r="AD26" s="36"/>
      <c r="AE26" s="37">
        <f>AF26-F26</f>
        <v>-11</v>
      </c>
      <c r="AF26" s="38">
        <f>AM26</f>
        <v>0</v>
      </c>
      <c r="AG26" s="169" t="s">
        <v>46</v>
      </c>
      <c r="AH26" s="39"/>
      <c r="AI26" s="40">
        <f>IFERROR(Y26/V26*1000,"")</f>
        <v>821.77248677248667</v>
      </c>
      <c r="AK26" s="41"/>
      <c r="AL26" s="41"/>
      <c r="AM26" s="41"/>
      <c r="AO26" s="169">
        <f t="shared" si="24"/>
        <v>-11</v>
      </c>
      <c r="AP26" s="42"/>
    </row>
    <row r="27" spans="2:42" s="169" customFormat="1" ht="104.25" customHeight="1" x14ac:dyDescent="0.3">
      <c r="B27" s="421"/>
      <c r="C27" s="24">
        <f t="shared" si="12"/>
        <v>17</v>
      </c>
      <c r="D27" s="43" t="s">
        <v>47</v>
      </c>
      <c r="E27" s="26" t="s">
        <v>36</v>
      </c>
      <c r="F27" s="25">
        <v>8</v>
      </c>
      <c r="G27" s="124">
        <v>449</v>
      </c>
      <c r="H27" s="124">
        <f t="shared" si="13"/>
        <v>98.681318681318686</v>
      </c>
      <c r="I27" s="123" t="s">
        <v>78</v>
      </c>
      <c r="J27" s="123" t="s">
        <v>88</v>
      </c>
      <c r="K27" s="123" t="s">
        <v>92</v>
      </c>
      <c r="L27" s="123" t="s">
        <v>84</v>
      </c>
      <c r="M27" s="123"/>
      <c r="N27" s="129" t="s">
        <v>90</v>
      </c>
      <c r="O27" s="123" t="s">
        <v>74</v>
      </c>
      <c r="P27" s="123" t="s">
        <v>91</v>
      </c>
      <c r="Q27" s="123" t="s">
        <v>89</v>
      </c>
      <c r="R27" s="124">
        <f t="shared" si="14"/>
        <v>6</v>
      </c>
      <c r="S27" s="164">
        <f t="shared" si="15"/>
        <v>528</v>
      </c>
      <c r="T27" s="28">
        <f>+H72</f>
        <v>455</v>
      </c>
      <c r="U27" s="29">
        <f t="shared" si="16"/>
        <v>56.875</v>
      </c>
      <c r="V27" s="30">
        <f t="shared" si="17"/>
        <v>0.8617424242424242</v>
      </c>
      <c r="W27" s="31">
        <f>+K72</f>
        <v>449.81</v>
      </c>
      <c r="X27" s="44">
        <f t="shared" si="18"/>
        <v>56.22625</v>
      </c>
      <c r="Y27" s="47">
        <f t="shared" si="19"/>
        <v>0.8519128787878788</v>
      </c>
      <c r="Z27" s="48">
        <f t="shared" si="20"/>
        <v>43.087121212121211</v>
      </c>
      <c r="AA27" s="49">
        <f t="shared" si="21"/>
        <v>46.386656250000001</v>
      </c>
      <c r="AB27" s="139">
        <f t="shared" si="22"/>
        <v>89.473777462121205</v>
      </c>
      <c r="AC27" s="50" t="str">
        <f t="shared" si="23"/>
        <v>80~89</v>
      </c>
      <c r="AD27" s="36"/>
      <c r="AE27" s="37"/>
      <c r="AF27" s="38"/>
      <c r="AH27" s="39"/>
      <c r="AI27" s="40"/>
      <c r="AK27" s="41"/>
      <c r="AL27" s="41"/>
      <c r="AM27" s="41"/>
      <c r="AO27" s="169">
        <f t="shared" si="24"/>
        <v>-8</v>
      </c>
      <c r="AP27" s="42"/>
    </row>
    <row r="28" spans="2:42" s="169" customFormat="1" ht="36" customHeight="1" x14ac:dyDescent="0.3">
      <c r="B28" s="422" t="s">
        <v>39</v>
      </c>
      <c r="C28" s="423"/>
      <c r="D28" s="423"/>
      <c r="E28" s="424"/>
      <c r="F28" s="43">
        <f>SUM(F22:F27)</f>
        <v>59.2</v>
      </c>
      <c r="G28" s="126"/>
      <c r="H28" s="126"/>
      <c r="I28" s="122"/>
      <c r="J28" s="122"/>
      <c r="K28" s="122"/>
      <c r="L28" s="122"/>
      <c r="M28" s="122"/>
      <c r="N28" s="122"/>
      <c r="O28" s="122"/>
      <c r="P28" s="122"/>
      <c r="Q28" s="122"/>
      <c r="R28" s="126"/>
      <c r="S28" s="52">
        <f>SUM(S22:S27)</f>
        <v>3907.2</v>
      </c>
      <c r="T28" s="53">
        <f>SUM(T22:T27)</f>
        <v>3691</v>
      </c>
      <c r="U28" s="54">
        <f>T28/F28</f>
        <v>62.347972972972968</v>
      </c>
      <c r="V28" s="45">
        <f t="shared" si="17"/>
        <v>0.94466625716625718</v>
      </c>
      <c r="W28" s="55">
        <f>SUM(W22:W27)</f>
        <v>3008.61</v>
      </c>
      <c r="X28" s="44">
        <f>W28/F28</f>
        <v>50.821114864864867</v>
      </c>
      <c r="Y28" s="47">
        <f t="shared" si="19"/>
        <v>0.77001689189189193</v>
      </c>
      <c r="Z28" s="56">
        <f>T28/S28*Z19</f>
        <v>47.233312858312857</v>
      </c>
      <c r="AA28" s="57">
        <f>W28/S28*AA19</f>
        <v>41.92741976351352</v>
      </c>
      <c r="AB28" s="140">
        <f t="shared" si="22"/>
        <v>89.160732621826384</v>
      </c>
      <c r="AC28" s="58" t="str">
        <f t="shared" si="23"/>
        <v>80~89</v>
      </c>
      <c r="AD28" s="43"/>
      <c r="AE28" s="37">
        <f>AF28-F28</f>
        <v>-59.2</v>
      </c>
      <c r="AF28" s="38">
        <f>SUM(AF22:AF27)</f>
        <v>0</v>
      </c>
      <c r="AI28" s="40"/>
      <c r="AK28" s="59"/>
      <c r="AL28" s="59"/>
      <c r="AM28" s="59"/>
    </row>
    <row r="29" spans="2:42" s="69" customFormat="1" ht="36" hidden="1" customHeight="1" x14ac:dyDescent="0.3">
      <c r="B29" s="443" t="s">
        <v>40</v>
      </c>
      <c r="C29" s="444"/>
      <c r="D29" s="444"/>
      <c r="E29" s="445"/>
      <c r="F29" s="60">
        <f>AVERAGE(F22:F27)</f>
        <v>9.8666666666666671</v>
      </c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61">
        <f>U29*F29</f>
        <v>615.16666666666663</v>
      </c>
      <c r="U29" s="62">
        <f>T28/F28</f>
        <v>62.347972972972968</v>
      </c>
      <c r="V29" s="63">
        <f>IFERROR(T29/#REF!,0)</f>
        <v>0</v>
      </c>
      <c r="W29" s="64">
        <f>W28/F28*F29</f>
        <v>501.43500000000006</v>
      </c>
      <c r="X29" s="62">
        <f>IF(F29=0,"휴무",W29/F29)</f>
        <v>50.821114864864867</v>
      </c>
      <c r="Y29" s="65">
        <f>IFERROR(W29/#REF!,0)</f>
        <v>0</v>
      </c>
      <c r="Z29" s="60">
        <f>AVERAGE(Z22:Z27)</f>
        <v>46.955598664020435</v>
      </c>
      <c r="AA29" s="60">
        <f>AVERAGE(AA22:AA27)</f>
        <v>42.001066773423297</v>
      </c>
      <c r="AB29" s="141">
        <f>Z29+AA29</f>
        <v>88.956665437443732</v>
      </c>
      <c r="AC29" s="67"/>
      <c r="AD29" s="68"/>
      <c r="AI29" s="40" t="str">
        <f>IFERROR(Y29/V29*1000,"")</f>
        <v/>
      </c>
      <c r="AK29" s="10"/>
      <c r="AL29" s="10"/>
      <c r="AM29" s="10"/>
    </row>
    <row r="30" spans="2:42" s="169" customFormat="1" x14ac:dyDescent="0.3">
      <c r="B30" s="70" t="s">
        <v>41</v>
      </c>
      <c r="C30" s="71"/>
      <c r="D30" s="71"/>
      <c r="E30" s="72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22"/>
      <c r="U30" s="10"/>
      <c r="V30" s="73">
        <f>V29*60</f>
        <v>0</v>
      </c>
      <c r="W30" s="74"/>
      <c r="X30" s="73"/>
      <c r="Y30" s="74">
        <f>Y29*40</f>
        <v>0</v>
      </c>
      <c r="Z30" s="81"/>
      <c r="AA30" s="81"/>
      <c r="AB30" s="142">
        <f>V30+Y30</f>
        <v>0</v>
      </c>
      <c r="AK30" s="59"/>
      <c r="AL30" s="59"/>
      <c r="AM30" s="59"/>
    </row>
    <row r="31" spans="2:42" x14ac:dyDescent="0.3">
      <c r="B31" s="120" t="s">
        <v>67</v>
      </c>
      <c r="U31" s="10">
        <v>8.8000000000000007</v>
      </c>
    </row>
    <row r="32" spans="2:42" ht="17.25" thickBot="1" x14ac:dyDescent="0.35">
      <c r="B32" s="70"/>
    </row>
    <row r="33" spans="2:42" ht="17.25" thickBot="1" x14ac:dyDescent="0.35">
      <c r="B33" s="76" t="s">
        <v>42</v>
      </c>
      <c r="C33" s="77"/>
      <c r="D33" s="78" t="s">
        <v>43</v>
      </c>
      <c r="E33" s="78"/>
      <c r="F33" s="79"/>
      <c r="X33" s="10">
        <v>50</v>
      </c>
    </row>
    <row r="35" spans="2:42" s="10" customFormat="1" x14ac:dyDescent="0.3">
      <c r="B35"/>
      <c r="C35"/>
      <c r="D35"/>
      <c r="E35" s="455">
        <f>+C6</f>
        <v>12</v>
      </c>
      <c r="F35" s="455" t="s">
        <v>7</v>
      </c>
      <c r="G35" s="82" t="s">
        <v>48</v>
      </c>
      <c r="H35" s="83">
        <v>592</v>
      </c>
      <c r="I35" s="84"/>
      <c r="J35" s="85"/>
      <c r="K35" s="86">
        <v>573.62</v>
      </c>
      <c r="L35" s="135"/>
      <c r="N35" s="136"/>
      <c r="O35" s="136"/>
      <c r="P35" s="136"/>
      <c r="Q35" s="136"/>
      <c r="R35" s="136"/>
      <c r="S35" s="136"/>
      <c r="Y35"/>
      <c r="Z35"/>
      <c r="AA35"/>
      <c r="AB35"/>
      <c r="AC35"/>
      <c r="AD35"/>
      <c r="AE35"/>
      <c r="AF35"/>
      <c r="AG35"/>
      <c r="AH35"/>
      <c r="AI35"/>
      <c r="AJ35"/>
      <c r="AK35" s="1"/>
      <c r="AL35" s="1"/>
      <c r="AM35" s="1"/>
      <c r="AN35"/>
      <c r="AO35"/>
      <c r="AP35"/>
    </row>
    <row r="36" spans="2:42" s="10" customFormat="1" x14ac:dyDescent="0.3">
      <c r="B36"/>
      <c r="C36" t="s">
        <v>49</v>
      </c>
      <c r="D36"/>
      <c r="E36" s="456"/>
      <c r="F36" s="456"/>
      <c r="G36" s="82" t="s">
        <v>50</v>
      </c>
      <c r="H36" s="83"/>
      <c r="I36" s="84"/>
      <c r="J36" s="85"/>
      <c r="K36" s="86"/>
      <c r="L36" s="135"/>
      <c r="N36" s="136"/>
      <c r="O36" s="136"/>
      <c r="P36" s="136"/>
      <c r="Q36" s="136"/>
      <c r="R36" s="136"/>
      <c r="S36" s="136"/>
      <c r="Y36"/>
      <c r="Z36"/>
      <c r="AA36"/>
      <c r="AB36"/>
      <c r="AC36"/>
      <c r="AD36"/>
      <c r="AE36"/>
      <c r="AF36"/>
      <c r="AG36"/>
      <c r="AH36"/>
      <c r="AI36"/>
      <c r="AJ36"/>
      <c r="AK36" s="1"/>
      <c r="AL36" s="1"/>
      <c r="AM36" s="1"/>
      <c r="AN36"/>
      <c r="AO36"/>
      <c r="AP36"/>
    </row>
    <row r="37" spans="2:42" s="10" customFormat="1" x14ac:dyDescent="0.3">
      <c r="B37"/>
      <c r="C37"/>
      <c r="D37"/>
      <c r="E37" s="457"/>
      <c r="F37" s="457"/>
      <c r="G37" s="82" t="s">
        <v>51</v>
      </c>
      <c r="H37" s="87">
        <f>+H35+H36*2</f>
        <v>592</v>
      </c>
      <c r="I37" s="88"/>
      <c r="J37" s="89"/>
      <c r="K37" s="90">
        <f>+K35+K36*2</f>
        <v>573.62</v>
      </c>
      <c r="L37" s="135"/>
      <c r="N37" s="136"/>
      <c r="O37" s="136"/>
      <c r="P37" s="136"/>
      <c r="Q37" s="136"/>
      <c r="R37" s="136"/>
      <c r="S37" s="136"/>
      <c r="Y37"/>
      <c r="Z37"/>
      <c r="AA37"/>
      <c r="AB37"/>
      <c r="AC37"/>
      <c r="AD37"/>
      <c r="AE37"/>
      <c r="AF37"/>
      <c r="AG37"/>
      <c r="AH37"/>
      <c r="AI37"/>
      <c r="AJ37"/>
      <c r="AK37" s="1"/>
      <c r="AL37" s="1"/>
      <c r="AM37" s="1"/>
      <c r="AN37"/>
      <c r="AO37"/>
      <c r="AP37"/>
    </row>
    <row r="38" spans="2:42" s="10" customFormat="1" x14ac:dyDescent="0.3">
      <c r="B38"/>
      <c r="C38"/>
      <c r="D38"/>
      <c r="E38" s="455">
        <f>+C7</f>
        <v>13</v>
      </c>
      <c r="F38" s="455" t="s">
        <v>52</v>
      </c>
      <c r="G38" s="82" t="s">
        <v>48</v>
      </c>
      <c r="H38" s="83">
        <v>525</v>
      </c>
      <c r="I38" s="84"/>
      <c r="J38" s="85"/>
      <c r="K38" s="86">
        <v>510.56</v>
      </c>
      <c r="L38" s="135"/>
      <c r="N38" s="136"/>
      <c r="O38" s="136"/>
      <c r="P38" s="136"/>
      <c r="Q38" s="136"/>
      <c r="R38" s="136"/>
      <c r="S38" s="136"/>
      <c r="Y38"/>
      <c r="Z38"/>
      <c r="AA38"/>
      <c r="AB38"/>
      <c r="AC38"/>
      <c r="AD38"/>
      <c r="AE38"/>
      <c r="AF38"/>
      <c r="AG38"/>
      <c r="AH38"/>
      <c r="AI38"/>
      <c r="AJ38"/>
      <c r="AK38" s="1"/>
      <c r="AL38" s="1"/>
      <c r="AM38" s="1"/>
      <c r="AN38"/>
      <c r="AO38"/>
      <c r="AP38"/>
    </row>
    <row r="39" spans="2:42" s="10" customFormat="1" x14ac:dyDescent="0.3">
      <c r="B39"/>
      <c r="C39"/>
      <c r="D39"/>
      <c r="E39" s="456"/>
      <c r="F39" s="456"/>
      <c r="G39" s="82" t="s">
        <v>50</v>
      </c>
      <c r="H39" s="83"/>
      <c r="I39" s="84"/>
      <c r="J39" s="85"/>
      <c r="K39" s="86"/>
      <c r="L39" s="135"/>
      <c r="N39" s="136"/>
      <c r="O39" s="136"/>
      <c r="P39" s="136"/>
      <c r="Q39" s="136"/>
      <c r="R39" s="136"/>
      <c r="S39" s="136"/>
      <c r="Y39"/>
      <c r="Z39"/>
      <c r="AA39"/>
      <c r="AB39"/>
      <c r="AC39"/>
      <c r="AD39"/>
      <c r="AE39"/>
      <c r="AF39"/>
      <c r="AG39"/>
      <c r="AH39"/>
      <c r="AI39"/>
      <c r="AJ39"/>
      <c r="AK39" s="1"/>
      <c r="AL39" s="1"/>
      <c r="AM39" s="1"/>
      <c r="AN39"/>
      <c r="AO39"/>
      <c r="AP39"/>
    </row>
    <row r="40" spans="2:42" s="10" customFormat="1" x14ac:dyDescent="0.3">
      <c r="B40"/>
      <c r="C40"/>
      <c r="D40"/>
      <c r="E40" s="457"/>
      <c r="F40" s="457"/>
      <c r="G40" s="82" t="s">
        <v>51</v>
      </c>
      <c r="H40" s="91">
        <f>+H38+H39*2</f>
        <v>525</v>
      </c>
      <c r="I40" s="88"/>
      <c r="J40" s="89"/>
      <c r="K40" s="90">
        <f>+K38+K39*2</f>
        <v>510.56</v>
      </c>
      <c r="L40" s="135"/>
      <c r="N40" s="136"/>
      <c r="O40" s="136"/>
      <c r="P40" s="136"/>
      <c r="Q40" s="136"/>
      <c r="R40" s="136"/>
      <c r="S40" s="136"/>
      <c r="Y40"/>
      <c r="Z40"/>
      <c r="AA40"/>
      <c r="AB40"/>
      <c r="AC40"/>
      <c r="AD40"/>
      <c r="AE40"/>
      <c r="AF40"/>
      <c r="AG40"/>
      <c r="AH40"/>
      <c r="AI40"/>
      <c r="AJ40"/>
      <c r="AK40" s="1"/>
      <c r="AL40" s="1"/>
      <c r="AM40" s="1"/>
      <c r="AN40"/>
      <c r="AO40"/>
      <c r="AP40"/>
    </row>
    <row r="41" spans="2:42" s="10" customFormat="1" x14ac:dyDescent="0.3">
      <c r="B41"/>
      <c r="C41"/>
      <c r="D41"/>
      <c r="E41" s="455">
        <f>+C8</f>
        <v>14</v>
      </c>
      <c r="F41" s="455" t="s">
        <v>53</v>
      </c>
      <c r="G41" s="82" t="s">
        <v>48</v>
      </c>
      <c r="H41" s="83">
        <v>552</v>
      </c>
      <c r="I41" s="84"/>
      <c r="J41" s="85"/>
      <c r="K41" s="86">
        <v>376.08</v>
      </c>
      <c r="L41" s="135"/>
      <c r="N41" s="136"/>
      <c r="O41" s="136"/>
      <c r="P41" s="136"/>
      <c r="Q41" s="136"/>
      <c r="R41" s="136"/>
      <c r="S41" s="136"/>
      <c r="Y41"/>
      <c r="Z41"/>
      <c r="AA41"/>
      <c r="AB41"/>
      <c r="AC41"/>
      <c r="AD41"/>
      <c r="AE41"/>
      <c r="AF41"/>
      <c r="AG41"/>
      <c r="AH41"/>
      <c r="AI41"/>
      <c r="AJ41"/>
      <c r="AK41" s="1"/>
      <c r="AL41" s="1"/>
      <c r="AM41" s="1"/>
      <c r="AN41"/>
      <c r="AO41"/>
      <c r="AP41"/>
    </row>
    <row r="42" spans="2:42" s="10" customFormat="1" x14ac:dyDescent="0.3">
      <c r="B42"/>
      <c r="C42"/>
      <c r="D42"/>
      <c r="E42" s="456"/>
      <c r="F42" s="456"/>
      <c r="G42" s="82" t="s">
        <v>50</v>
      </c>
      <c r="H42" s="83"/>
      <c r="I42" s="84"/>
      <c r="J42" s="85"/>
      <c r="K42" s="86"/>
      <c r="L42" s="135"/>
      <c r="N42" s="136"/>
      <c r="O42" s="136"/>
      <c r="P42" s="136"/>
      <c r="Q42" s="136"/>
      <c r="R42" s="136"/>
      <c r="S42" s="136"/>
      <c r="Y42"/>
      <c r="Z42"/>
      <c r="AA42"/>
      <c r="AB42"/>
      <c r="AC42"/>
      <c r="AD42"/>
      <c r="AE42"/>
      <c r="AF42"/>
      <c r="AG42"/>
      <c r="AH42"/>
      <c r="AI42"/>
      <c r="AJ42"/>
      <c r="AK42" s="1"/>
      <c r="AL42" s="1"/>
      <c r="AM42" s="1"/>
      <c r="AN42"/>
      <c r="AO42"/>
      <c r="AP42"/>
    </row>
    <row r="43" spans="2:42" s="10" customFormat="1" x14ac:dyDescent="0.3">
      <c r="B43"/>
      <c r="C43"/>
      <c r="D43"/>
      <c r="E43" s="457"/>
      <c r="F43" s="457"/>
      <c r="G43" s="82" t="s">
        <v>51</v>
      </c>
      <c r="H43" s="87">
        <f>+H41+H42*2</f>
        <v>552</v>
      </c>
      <c r="I43" s="88"/>
      <c r="J43" s="89"/>
      <c r="K43" s="90">
        <f>+K41+K42*2</f>
        <v>376.08</v>
      </c>
      <c r="L43" s="137" t="s">
        <v>54</v>
      </c>
      <c r="N43" s="136"/>
      <c r="O43" s="136"/>
      <c r="P43" s="136"/>
      <c r="Q43" s="136"/>
      <c r="R43" s="136"/>
      <c r="S43" s="136"/>
      <c r="Y43"/>
      <c r="Z43"/>
      <c r="AA43"/>
      <c r="AB43"/>
      <c r="AC43"/>
      <c r="AE43"/>
      <c r="AF43"/>
      <c r="AG43"/>
      <c r="AH43"/>
      <c r="AI43"/>
      <c r="AJ43"/>
      <c r="AK43" s="1"/>
      <c r="AL43" s="1"/>
      <c r="AM43" s="1"/>
      <c r="AN43"/>
      <c r="AO43"/>
      <c r="AP43"/>
    </row>
    <row r="44" spans="2:42" s="10" customFormat="1" x14ac:dyDescent="0.3">
      <c r="B44"/>
      <c r="C44"/>
      <c r="D44"/>
      <c r="E44" s="455">
        <f>+C9</f>
        <v>15</v>
      </c>
      <c r="F44" s="455" t="s">
        <v>55</v>
      </c>
      <c r="G44" s="82" t="s">
        <v>48</v>
      </c>
      <c r="H44" s="83">
        <v>606</v>
      </c>
      <c r="I44" s="84"/>
      <c r="J44" s="85"/>
      <c r="K44" s="86">
        <v>637.87</v>
      </c>
      <c r="L44" s="135"/>
      <c r="N44" s="136"/>
      <c r="O44" s="136"/>
      <c r="P44" s="136"/>
      <c r="Q44" s="136"/>
      <c r="R44" s="136"/>
      <c r="S44" s="136"/>
      <c r="Y44"/>
      <c r="Z44"/>
      <c r="AA44"/>
      <c r="AB44"/>
      <c r="AC44"/>
      <c r="AD44"/>
      <c r="AE44"/>
      <c r="AF44"/>
      <c r="AG44"/>
      <c r="AH44"/>
      <c r="AI44"/>
      <c r="AJ44"/>
      <c r="AK44" s="1"/>
      <c r="AL44" s="1"/>
      <c r="AM44" s="1"/>
      <c r="AN44"/>
      <c r="AO44"/>
      <c r="AP44"/>
    </row>
    <row r="45" spans="2:42" s="10" customFormat="1" x14ac:dyDescent="0.3">
      <c r="B45"/>
      <c r="C45"/>
      <c r="D45"/>
      <c r="E45" s="456"/>
      <c r="F45" s="456"/>
      <c r="G45" s="82" t="s">
        <v>50</v>
      </c>
      <c r="H45" s="83"/>
      <c r="I45" s="84"/>
      <c r="J45" s="85"/>
      <c r="K45" s="86"/>
      <c r="L45" s="135"/>
      <c r="N45" s="136"/>
      <c r="O45" s="136"/>
      <c r="P45" s="136"/>
      <c r="Q45" s="136"/>
      <c r="R45" s="136"/>
      <c r="S45" s="136"/>
      <c r="Y45"/>
      <c r="Z45"/>
      <c r="AA45"/>
      <c r="AB45"/>
      <c r="AC45"/>
      <c r="AD45"/>
      <c r="AE45"/>
      <c r="AF45"/>
      <c r="AG45"/>
      <c r="AH45"/>
      <c r="AI45"/>
      <c r="AJ45"/>
      <c r="AK45" s="1"/>
      <c r="AL45" s="1"/>
      <c r="AM45" s="1"/>
      <c r="AN45"/>
      <c r="AO45"/>
      <c r="AP45"/>
    </row>
    <row r="46" spans="2:42" s="10" customFormat="1" x14ac:dyDescent="0.3">
      <c r="B46"/>
      <c r="C46"/>
      <c r="D46"/>
      <c r="E46" s="457"/>
      <c r="F46" s="457"/>
      <c r="G46" s="82" t="s">
        <v>51</v>
      </c>
      <c r="H46" s="87">
        <f>+H44+H45*2</f>
        <v>606</v>
      </c>
      <c r="I46" s="88"/>
      <c r="J46" s="89"/>
      <c r="K46" s="90">
        <f>+K44+K45*2</f>
        <v>637.87</v>
      </c>
      <c r="L46" s="135"/>
      <c r="N46" s="136"/>
      <c r="O46" s="136"/>
      <c r="P46" s="136"/>
      <c r="Q46" s="136"/>
      <c r="R46" s="136"/>
      <c r="S46" s="136"/>
      <c r="Y46"/>
      <c r="Z46"/>
      <c r="AA46"/>
      <c r="AB46"/>
      <c r="AC46"/>
      <c r="AD46"/>
      <c r="AE46"/>
      <c r="AF46"/>
      <c r="AG46"/>
      <c r="AH46"/>
      <c r="AI46"/>
      <c r="AJ46"/>
      <c r="AK46" s="1"/>
      <c r="AL46" s="1"/>
      <c r="AM46" s="1"/>
      <c r="AN46"/>
      <c r="AO46"/>
      <c r="AP46"/>
    </row>
    <row r="47" spans="2:42" s="10" customFormat="1" x14ac:dyDescent="0.3">
      <c r="B47"/>
      <c r="C47"/>
      <c r="D47"/>
      <c r="E47" s="455">
        <f>+C10</f>
        <v>16</v>
      </c>
      <c r="F47" s="455" t="s">
        <v>56</v>
      </c>
      <c r="G47" s="82" t="s">
        <v>48</v>
      </c>
      <c r="H47" s="83">
        <v>740</v>
      </c>
      <c r="I47" s="84"/>
      <c r="J47" s="85"/>
      <c r="K47" s="86">
        <v>661</v>
      </c>
      <c r="L47" s="135"/>
      <c r="N47" s="136"/>
      <c r="O47" s="136"/>
      <c r="P47" s="136"/>
      <c r="Q47" s="136"/>
      <c r="R47" s="136"/>
      <c r="S47" s="136"/>
      <c r="Y47"/>
      <c r="Z47"/>
      <c r="AA47"/>
      <c r="AB47"/>
      <c r="AC47"/>
      <c r="AD47"/>
      <c r="AE47"/>
      <c r="AF47"/>
      <c r="AG47"/>
      <c r="AH47"/>
      <c r="AI47"/>
      <c r="AJ47"/>
      <c r="AK47" s="1"/>
      <c r="AL47" s="1"/>
      <c r="AM47" s="1"/>
      <c r="AN47"/>
      <c r="AO47"/>
      <c r="AP47"/>
    </row>
    <row r="48" spans="2:42" s="10" customFormat="1" x14ac:dyDescent="0.3">
      <c r="B48"/>
      <c r="C48"/>
      <c r="D48"/>
      <c r="E48" s="456"/>
      <c r="F48" s="456"/>
      <c r="G48" s="82" t="s">
        <v>50</v>
      </c>
      <c r="H48" s="83"/>
      <c r="I48" s="84"/>
      <c r="J48" s="85"/>
      <c r="K48" s="86"/>
      <c r="L48" s="135"/>
      <c r="N48" s="136"/>
      <c r="O48" s="136"/>
      <c r="P48" s="136"/>
      <c r="Q48" s="136"/>
      <c r="R48" s="136"/>
      <c r="S48" s="136"/>
      <c r="Y48"/>
      <c r="Z48"/>
      <c r="AA48"/>
      <c r="AB48"/>
      <c r="AC48"/>
      <c r="AD48"/>
      <c r="AE48"/>
      <c r="AF48"/>
      <c r="AG48"/>
      <c r="AH48"/>
      <c r="AI48"/>
      <c r="AJ48"/>
      <c r="AK48" s="1"/>
      <c r="AL48" s="1"/>
      <c r="AM48" s="1"/>
      <c r="AN48"/>
      <c r="AO48"/>
      <c r="AP48"/>
    </row>
    <row r="49" spans="2:42" s="10" customFormat="1" x14ac:dyDescent="0.3">
      <c r="B49"/>
      <c r="C49"/>
      <c r="D49"/>
      <c r="E49" s="457"/>
      <c r="F49" s="457"/>
      <c r="G49" s="82" t="s">
        <v>51</v>
      </c>
      <c r="H49" s="91">
        <f>H47+H48*2</f>
        <v>740</v>
      </c>
      <c r="I49" s="88"/>
      <c r="J49" s="89"/>
      <c r="K49" s="90">
        <f>+K47+K48*2</f>
        <v>661</v>
      </c>
      <c r="L49" s="135"/>
      <c r="N49" s="136"/>
      <c r="O49" s="136"/>
      <c r="P49" s="136"/>
      <c r="Q49" s="136"/>
      <c r="R49" s="136"/>
      <c r="S49" s="136"/>
      <c r="Y49"/>
      <c r="Z49"/>
      <c r="AA49"/>
      <c r="AB49"/>
      <c r="AC49"/>
      <c r="AD49"/>
      <c r="AE49"/>
      <c r="AF49"/>
      <c r="AG49"/>
      <c r="AH49"/>
      <c r="AI49"/>
      <c r="AJ49"/>
      <c r="AK49" s="1"/>
      <c r="AL49" s="1"/>
      <c r="AM49" s="1"/>
      <c r="AN49"/>
      <c r="AO49"/>
      <c r="AP49"/>
    </row>
    <row r="50" spans="2:42" s="10" customFormat="1" x14ac:dyDescent="0.3">
      <c r="B50"/>
      <c r="C50"/>
      <c r="D50"/>
      <c r="E50" s="455">
        <f>+C11</f>
        <v>17</v>
      </c>
      <c r="F50" s="455" t="s">
        <v>38</v>
      </c>
      <c r="G50" s="82" t="s">
        <v>48</v>
      </c>
      <c r="H50" s="83">
        <v>443</v>
      </c>
      <c r="I50" s="84"/>
      <c r="J50" s="85"/>
      <c r="K50" s="86">
        <v>364.1</v>
      </c>
      <c r="L50" s="135"/>
      <c r="N50" s="136"/>
      <c r="O50" s="136"/>
      <c r="P50" s="136"/>
      <c r="Q50" s="136"/>
      <c r="R50" s="136"/>
      <c r="S50" s="136"/>
      <c r="Y50"/>
      <c r="Z50"/>
      <c r="AA50"/>
      <c r="AB50"/>
      <c r="AC50"/>
      <c r="AD50"/>
      <c r="AE50"/>
      <c r="AF50"/>
      <c r="AG50"/>
      <c r="AH50"/>
      <c r="AI50"/>
      <c r="AJ50"/>
      <c r="AK50" s="1"/>
      <c r="AL50" s="1"/>
      <c r="AM50" s="1"/>
      <c r="AN50"/>
      <c r="AO50"/>
      <c r="AP50"/>
    </row>
    <row r="51" spans="2:42" s="10" customFormat="1" x14ac:dyDescent="0.3">
      <c r="B51"/>
      <c r="C51"/>
      <c r="D51"/>
      <c r="E51" s="456"/>
      <c r="F51" s="456"/>
      <c r="G51" s="82" t="s">
        <v>50</v>
      </c>
      <c r="H51" s="83"/>
      <c r="I51" s="84"/>
      <c r="J51" s="85"/>
      <c r="K51" s="86"/>
      <c r="L51" s="135"/>
      <c r="N51" s="136"/>
      <c r="O51" s="136"/>
      <c r="P51" s="136"/>
      <c r="Q51" s="136"/>
      <c r="R51" s="136"/>
      <c r="S51" s="136"/>
      <c r="Y51"/>
      <c r="Z51"/>
      <c r="AA51"/>
      <c r="AB51"/>
      <c r="AC51"/>
      <c r="AD51"/>
      <c r="AE51"/>
      <c r="AF51"/>
      <c r="AG51"/>
      <c r="AH51"/>
      <c r="AI51"/>
      <c r="AJ51"/>
      <c r="AK51" s="1"/>
      <c r="AL51" s="1"/>
      <c r="AM51" s="1"/>
      <c r="AN51"/>
      <c r="AO51"/>
      <c r="AP51"/>
    </row>
    <row r="52" spans="2:42" s="10" customFormat="1" x14ac:dyDescent="0.3">
      <c r="B52"/>
      <c r="C52"/>
      <c r="D52"/>
      <c r="E52" s="457"/>
      <c r="F52" s="457"/>
      <c r="G52" s="82" t="s">
        <v>51</v>
      </c>
      <c r="H52" s="87">
        <f>+H50+H51*2</f>
        <v>443</v>
      </c>
      <c r="I52" s="88"/>
      <c r="J52" s="89"/>
      <c r="K52" s="90">
        <f>+K50+K51*2</f>
        <v>364.1</v>
      </c>
      <c r="L52" s="135"/>
      <c r="N52" s="136"/>
      <c r="O52" s="136"/>
      <c r="P52" s="136"/>
      <c r="Q52" s="136"/>
      <c r="R52" s="136"/>
      <c r="S52" s="136"/>
      <c r="Y52"/>
      <c r="Z52"/>
      <c r="AA52"/>
      <c r="AB52"/>
      <c r="AC52"/>
      <c r="AD52"/>
      <c r="AE52"/>
      <c r="AF52"/>
      <c r="AG52"/>
      <c r="AH52"/>
      <c r="AI52"/>
      <c r="AJ52"/>
      <c r="AK52" s="1"/>
      <c r="AL52" s="1"/>
      <c r="AM52" s="1"/>
      <c r="AN52"/>
      <c r="AO52"/>
      <c r="AP52"/>
    </row>
    <row r="53" spans="2:42" x14ac:dyDescent="0.3">
      <c r="H53" s="75"/>
      <c r="I53" s="10"/>
      <c r="J53" s="11"/>
      <c r="K53"/>
    </row>
    <row r="54" spans="2:42" x14ac:dyDescent="0.3">
      <c r="H54" s="75"/>
      <c r="I54" s="10"/>
      <c r="J54" s="11"/>
      <c r="K54"/>
    </row>
    <row r="55" spans="2:42" s="10" customFormat="1" x14ac:dyDescent="0.3">
      <c r="B55"/>
      <c r="C55"/>
      <c r="D55"/>
      <c r="E55" s="455">
        <f>+E35</f>
        <v>12</v>
      </c>
      <c r="F55" s="455" t="s">
        <v>7</v>
      </c>
      <c r="G55" s="82" t="s">
        <v>48</v>
      </c>
      <c r="H55" s="83">
        <f>614-25</f>
        <v>589</v>
      </c>
      <c r="I55" s="84"/>
      <c r="J55" s="85"/>
      <c r="K55" s="86">
        <f>482.9-10.75</f>
        <v>472.15</v>
      </c>
      <c r="L55" s="135"/>
      <c r="N55" s="136"/>
      <c r="O55" s="136"/>
      <c r="P55" s="136"/>
      <c r="Q55" s="136"/>
      <c r="R55" s="136"/>
      <c r="S55" s="136"/>
      <c r="Y55"/>
      <c r="Z55"/>
      <c r="AA55"/>
      <c r="AB55"/>
      <c r="AC55"/>
      <c r="AD55"/>
      <c r="AE55"/>
      <c r="AF55"/>
      <c r="AG55"/>
      <c r="AH55"/>
      <c r="AI55"/>
      <c r="AJ55"/>
      <c r="AK55" s="1"/>
      <c r="AL55" s="1"/>
      <c r="AM55" s="1"/>
      <c r="AN55"/>
      <c r="AO55"/>
      <c r="AP55"/>
    </row>
    <row r="56" spans="2:42" s="10" customFormat="1" x14ac:dyDescent="0.3">
      <c r="B56"/>
      <c r="C56" t="s">
        <v>57</v>
      </c>
      <c r="D56"/>
      <c r="E56" s="456"/>
      <c r="F56" s="456"/>
      <c r="G56" s="82" t="s">
        <v>50</v>
      </c>
      <c r="H56" s="83">
        <v>25</v>
      </c>
      <c r="I56" s="84"/>
      <c r="J56" s="85"/>
      <c r="K56" s="86">
        <v>10.75</v>
      </c>
      <c r="L56" s="135"/>
      <c r="N56" s="136"/>
      <c r="O56" s="136"/>
      <c r="P56" s="136"/>
      <c r="Q56" s="136"/>
      <c r="R56" s="136"/>
      <c r="S56" s="136"/>
      <c r="Y56"/>
      <c r="Z56"/>
      <c r="AA56"/>
      <c r="AB56"/>
      <c r="AC56"/>
      <c r="AD56"/>
      <c r="AE56"/>
      <c r="AF56"/>
      <c r="AG56"/>
      <c r="AH56"/>
      <c r="AI56"/>
      <c r="AJ56"/>
      <c r="AK56" s="1"/>
      <c r="AL56" s="1"/>
      <c r="AM56" s="1"/>
      <c r="AN56"/>
      <c r="AO56"/>
      <c r="AP56"/>
    </row>
    <row r="57" spans="2:42" s="10" customFormat="1" x14ac:dyDescent="0.3">
      <c r="B57"/>
      <c r="C57"/>
      <c r="D57"/>
      <c r="E57" s="457"/>
      <c r="F57" s="457"/>
      <c r="G57" s="82" t="s">
        <v>51</v>
      </c>
      <c r="H57" s="87">
        <f>+H55+H56*2</f>
        <v>639</v>
      </c>
      <c r="I57" s="88"/>
      <c r="J57" s="89"/>
      <c r="K57" s="90">
        <f>+K55+K56*2</f>
        <v>493.65</v>
      </c>
      <c r="L57" s="135"/>
      <c r="N57" s="136"/>
      <c r="O57" s="136"/>
      <c r="P57" s="136"/>
      <c r="Q57" s="136"/>
      <c r="R57" s="136"/>
      <c r="S57" s="136"/>
      <c r="Y57"/>
      <c r="Z57"/>
      <c r="AA57"/>
      <c r="AB57"/>
      <c r="AC57"/>
      <c r="AD57"/>
      <c r="AE57"/>
      <c r="AF57"/>
      <c r="AG57"/>
      <c r="AH57"/>
      <c r="AI57"/>
      <c r="AJ57"/>
      <c r="AK57" s="1"/>
      <c r="AL57" s="1"/>
      <c r="AM57" s="1"/>
      <c r="AN57"/>
      <c r="AO57"/>
      <c r="AP57"/>
    </row>
    <row r="58" spans="2:42" s="10" customFormat="1" x14ac:dyDescent="0.3">
      <c r="B58"/>
      <c r="C58"/>
      <c r="D58"/>
      <c r="E58" s="455">
        <f>+E38</f>
        <v>13</v>
      </c>
      <c r="F58" s="455" t="s">
        <v>52</v>
      </c>
      <c r="G58" s="82" t="s">
        <v>48</v>
      </c>
      <c r="H58" s="83">
        <v>750</v>
      </c>
      <c r="I58" s="84"/>
      <c r="J58" s="85"/>
      <c r="K58" s="86">
        <v>580.71</v>
      </c>
      <c r="L58" s="135"/>
      <c r="N58" s="136"/>
      <c r="O58" s="136"/>
      <c r="P58" s="136"/>
      <c r="Q58" s="136"/>
      <c r="R58" s="136"/>
      <c r="S58" s="136"/>
      <c r="Y58"/>
      <c r="Z58"/>
      <c r="AA58"/>
      <c r="AB58"/>
      <c r="AC58"/>
      <c r="AD58"/>
      <c r="AE58"/>
      <c r="AF58"/>
      <c r="AG58"/>
      <c r="AH58"/>
      <c r="AI58"/>
      <c r="AJ58"/>
      <c r="AK58" s="1"/>
      <c r="AL58" s="1"/>
      <c r="AM58" s="1"/>
      <c r="AN58"/>
      <c r="AO58"/>
      <c r="AP58"/>
    </row>
    <row r="59" spans="2:42" s="10" customFormat="1" x14ac:dyDescent="0.3">
      <c r="B59"/>
      <c r="C59"/>
      <c r="D59"/>
      <c r="E59" s="456"/>
      <c r="F59" s="456"/>
      <c r="G59" s="82" t="s">
        <v>50</v>
      </c>
      <c r="H59" s="83"/>
      <c r="I59" s="84"/>
      <c r="J59" s="85"/>
      <c r="K59" s="86"/>
      <c r="L59" s="135"/>
      <c r="N59" s="136"/>
      <c r="O59" s="136"/>
      <c r="P59" s="136"/>
      <c r="Q59" s="136"/>
      <c r="R59" s="136"/>
      <c r="S59" s="136"/>
      <c r="Y59"/>
      <c r="Z59"/>
      <c r="AA59"/>
      <c r="AB59"/>
      <c r="AC59"/>
      <c r="AD59"/>
      <c r="AE59"/>
      <c r="AF59"/>
      <c r="AG59"/>
      <c r="AH59"/>
      <c r="AI59"/>
      <c r="AJ59"/>
      <c r="AK59" s="1"/>
      <c r="AL59" s="1"/>
      <c r="AM59" s="1"/>
      <c r="AN59"/>
      <c r="AO59"/>
      <c r="AP59"/>
    </row>
    <row r="60" spans="2:42" s="10" customFormat="1" x14ac:dyDescent="0.3">
      <c r="B60"/>
      <c r="C60"/>
      <c r="D60"/>
      <c r="E60" s="457"/>
      <c r="F60" s="457"/>
      <c r="G60" s="82" t="s">
        <v>51</v>
      </c>
      <c r="H60" s="91">
        <f>+H58+H59*2</f>
        <v>750</v>
      </c>
      <c r="I60" s="88"/>
      <c r="J60" s="89"/>
      <c r="K60" s="90">
        <f>+K58+K59*2</f>
        <v>580.71</v>
      </c>
      <c r="L60" s="135"/>
      <c r="N60" s="136"/>
      <c r="O60" s="136"/>
      <c r="P60" s="136"/>
      <c r="Q60" s="136"/>
      <c r="R60" s="136"/>
      <c r="S60" s="136"/>
      <c r="Y60"/>
      <c r="Z60"/>
      <c r="AA60"/>
      <c r="AB60"/>
      <c r="AC60"/>
      <c r="AD60"/>
      <c r="AE60"/>
      <c r="AF60"/>
      <c r="AG60"/>
      <c r="AH60"/>
      <c r="AI60"/>
      <c r="AJ60"/>
      <c r="AK60" s="1"/>
      <c r="AL60" s="1"/>
      <c r="AM60" s="1"/>
      <c r="AN60"/>
      <c r="AO60"/>
      <c r="AP60"/>
    </row>
    <row r="61" spans="2:42" s="10" customFormat="1" x14ac:dyDescent="0.3">
      <c r="B61"/>
      <c r="C61"/>
      <c r="D61"/>
      <c r="E61" s="455">
        <f>+E41</f>
        <v>14</v>
      </c>
      <c r="F61" s="455" t="s">
        <v>53</v>
      </c>
      <c r="G61" s="82" t="s">
        <v>48</v>
      </c>
      <c r="H61" s="83">
        <v>518</v>
      </c>
      <c r="I61" s="84"/>
      <c r="J61" s="85"/>
      <c r="K61" s="86">
        <v>419.2</v>
      </c>
      <c r="L61" s="135"/>
      <c r="N61" s="136"/>
      <c r="O61" s="136"/>
      <c r="P61" s="136"/>
      <c r="Q61" s="136"/>
      <c r="R61" s="136"/>
      <c r="S61" s="136"/>
      <c r="Y61"/>
      <c r="Z61"/>
      <c r="AA61"/>
      <c r="AB61"/>
      <c r="AC61"/>
      <c r="AD61"/>
      <c r="AE61"/>
      <c r="AF61"/>
      <c r="AG61"/>
      <c r="AH61"/>
      <c r="AI61"/>
      <c r="AJ61"/>
      <c r="AK61" s="1"/>
      <c r="AL61" s="1"/>
      <c r="AM61" s="1"/>
      <c r="AN61"/>
      <c r="AO61"/>
      <c r="AP61"/>
    </row>
    <row r="62" spans="2:42" s="10" customFormat="1" x14ac:dyDescent="0.3">
      <c r="B62"/>
      <c r="C62"/>
      <c r="D62"/>
      <c r="E62" s="456"/>
      <c r="F62" s="456"/>
      <c r="G62" s="82" t="s">
        <v>50</v>
      </c>
      <c r="H62" s="83"/>
      <c r="I62" s="84"/>
      <c r="J62" s="85"/>
      <c r="K62" s="86"/>
      <c r="L62" s="135"/>
      <c r="N62" s="136"/>
      <c r="O62" s="136"/>
      <c r="P62" s="136"/>
      <c r="Q62" s="136"/>
      <c r="R62" s="136"/>
      <c r="S62" s="136"/>
      <c r="Y62"/>
      <c r="Z62"/>
      <c r="AA62"/>
      <c r="AB62"/>
      <c r="AC62"/>
      <c r="AD62"/>
      <c r="AE62"/>
      <c r="AF62"/>
      <c r="AG62"/>
      <c r="AH62"/>
      <c r="AI62"/>
      <c r="AJ62"/>
      <c r="AK62" s="1"/>
      <c r="AL62" s="1"/>
      <c r="AM62" s="1"/>
      <c r="AN62"/>
      <c r="AO62"/>
      <c r="AP62"/>
    </row>
    <row r="63" spans="2:42" s="10" customFormat="1" x14ac:dyDescent="0.3">
      <c r="B63"/>
      <c r="C63"/>
      <c r="D63"/>
      <c r="E63" s="457"/>
      <c r="F63" s="457"/>
      <c r="G63" s="82" t="s">
        <v>51</v>
      </c>
      <c r="H63" s="87">
        <f>+H61+H62*2</f>
        <v>518</v>
      </c>
      <c r="I63" s="88"/>
      <c r="J63" s="89"/>
      <c r="K63" s="90">
        <f>+K61+K62*2</f>
        <v>419.2</v>
      </c>
      <c r="L63" s="137" t="s">
        <v>54</v>
      </c>
      <c r="N63" s="136"/>
      <c r="O63" s="136"/>
      <c r="P63" s="136"/>
      <c r="Q63" s="136"/>
      <c r="R63" s="136"/>
      <c r="S63" s="136"/>
      <c r="Y63"/>
      <c r="Z63"/>
      <c r="AA63"/>
      <c r="AB63"/>
      <c r="AC63"/>
      <c r="AE63"/>
      <c r="AF63"/>
      <c r="AG63"/>
      <c r="AH63"/>
      <c r="AI63"/>
      <c r="AJ63"/>
      <c r="AK63" s="1"/>
      <c r="AL63" s="1"/>
      <c r="AM63" s="1"/>
      <c r="AN63"/>
      <c r="AO63"/>
      <c r="AP63"/>
    </row>
    <row r="64" spans="2:42" s="10" customFormat="1" x14ac:dyDescent="0.3">
      <c r="B64"/>
      <c r="C64"/>
      <c r="D64"/>
      <c r="E64" s="455">
        <f>+E44</f>
        <v>15</v>
      </c>
      <c r="F64" s="455" t="s">
        <v>55</v>
      </c>
      <c r="G64" s="82" t="s">
        <v>48</v>
      </c>
      <c r="H64" s="83">
        <f>559-14</f>
        <v>545</v>
      </c>
      <c r="I64" s="84"/>
      <c r="J64" s="85"/>
      <c r="K64" s="86">
        <f>431.59-12.39</f>
        <v>419.2</v>
      </c>
      <c r="L64" s="135"/>
      <c r="N64" s="136"/>
      <c r="O64" s="136"/>
      <c r="P64" s="136"/>
      <c r="Q64" s="136"/>
      <c r="R64" s="136"/>
      <c r="S64" s="136"/>
      <c r="Y64"/>
      <c r="Z64"/>
      <c r="AA64"/>
      <c r="AB64"/>
      <c r="AC64"/>
      <c r="AD64"/>
      <c r="AE64"/>
      <c r="AF64"/>
      <c r="AG64"/>
      <c r="AH64"/>
      <c r="AI64"/>
      <c r="AJ64"/>
      <c r="AK64" s="1"/>
      <c r="AL64" s="1"/>
      <c r="AM64" s="1"/>
      <c r="AN64"/>
      <c r="AO64"/>
      <c r="AP64"/>
    </row>
    <row r="65" spans="2:42" s="10" customFormat="1" x14ac:dyDescent="0.3">
      <c r="B65"/>
      <c r="C65"/>
      <c r="D65"/>
      <c r="E65" s="456"/>
      <c r="F65" s="456"/>
      <c r="G65" s="82" t="s">
        <v>50</v>
      </c>
      <c r="H65" s="83">
        <v>14</v>
      </c>
      <c r="I65" s="84"/>
      <c r="J65" s="85"/>
      <c r="K65" s="86">
        <v>12.39</v>
      </c>
      <c r="L65" s="135"/>
      <c r="N65" s="136"/>
      <c r="O65" s="136"/>
      <c r="P65" s="136"/>
      <c r="Q65" s="136"/>
      <c r="R65" s="136"/>
      <c r="S65" s="136"/>
      <c r="Y65"/>
      <c r="Z65"/>
      <c r="AA65"/>
      <c r="AB65"/>
      <c r="AC65"/>
      <c r="AD65"/>
      <c r="AE65"/>
      <c r="AF65"/>
      <c r="AG65"/>
      <c r="AH65"/>
      <c r="AI65"/>
      <c r="AJ65"/>
      <c r="AK65" s="1"/>
      <c r="AL65" s="1"/>
      <c r="AM65" s="1"/>
      <c r="AN65"/>
      <c r="AO65"/>
      <c r="AP65"/>
    </row>
    <row r="66" spans="2:42" s="10" customFormat="1" x14ac:dyDescent="0.3">
      <c r="B66"/>
      <c r="C66"/>
      <c r="D66"/>
      <c r="E66" s="457"/>
      <c r="F66" s="457"/>
      <c r="G66" s="82" t="s">
        <v>51</v>
      </c>
      <c r="H66" s="87">
        <f>+H64+H65*2</f>
        <v>573</v>
      </c>
      <c r="I66" s="88"/>
      <c r="J66" s="89"/>
      <c r="K66" s="90">
        <f>+K64+K65*2</f>
        <v>443.98</v>
      </c>
      <c r="L66" s="135"/>
      <c r="N66" s="136"/>
      <c r="O66" s="136"/>
      <c r="P66" s="136"/>
      <c r="Q66" s="136"/>
      <c r="R66" s="136"/>
      <c r="S66" s="136"/>
      <c r="Y66"/>
      <c r="Z66"/>
      <c r="AA66"/>
      <c r="AB66"/>
      <c r="AC66"/>
      <c r="AD66"/>
      <c r="AE66"/>
      <c r="AF66"/>
      <c r="AG66"/>
      <c r="AH66"/>
      <c r="AI66"/>
      <c r="AJ66"/>
      <c r="AK66" s="1"/>
      <c r="AL66" s="1"/>
      <c r="AM66" s="1"/>
      <c r="AN66"/>
      <c r="AO66"/>
      <c r="AP66"/>
    </row>
    <row r="67" spans="2:42" s="10" customFormat="1" x14ac:dyDescent="0.3">
      <c r="B67"/>
      <c r="C67"/>
      <c r="D67"/>
      <c r="E67" s="455">
        <f>+E47</f>
        <v>16</v>
      </c>
      <c r="F67" s="455" t="s">
        <v>56</v>
      </c>
      <c r="G67" s="82" t="s">
        <v>48</v>
      </c>
      <c r="H67" s="83">
        <v>756</v>
      </c>
      <c r="I67" s="84"/>
      <c r="J67" s="85"/>
      <c r="K67" s="86">
        <v>621.26</v>
      </c>
      <c r="L67" s="135"/>
      <c r="N67" s="136"/>
      <c r="O67" s="136"/>
      <c r="P67" s="136"/>
      <c r="Q67" s="136"/>
      <c r="R67" s="136"/>
      <c r="S67" s="136"/>
      <c r="Y67"/>
      <c r="Z67"/>
      <c r="AA67"/>
      <c r="AB67"/>
      <c r="AC67"/>
      <c r="AD67"/>
      <c r="AE67"/>
      <c r="AF67"/>
      <c r="AG67"/>
      <c r="AH67"/>
      <c r="AI67"/>
      <c r="AJ67"/>
      <c r="AK67" s="1"/>
      <c r="AL67" s="1"/>
      <c r="AM67" s="1"/>
      <c r="AN67"/>
      <c r="AO67"/>
      <c r="AP67"/>
    </row>
    <row r="68" spans="2:42" s="10" customFormat="1" x14ac:dyDescent="0.3">
      <c r="B68"/>
      <c r="C68"/>
      <c r="D68"/>
      <c r="E68" s="456"/>
      <c r="F68" s="456"/>
      <c r="G68" s="82" t="s">
        <v>50</v>
      </c>
      <c r="H68" s="83"/>
      <c r="I68" s="84"/>
      <c r="J68" s="85"/>
      <c r="K68" s="86"/>
      <c r="L68" s="135"/>
      <c r="N68" s="136"/>
      <c r="O68" s="136"/>
      <c r="P68" s="136"/>
      <c r="Q68" s="136"/>
      <c r="R68" s="136"/>
      <c r="S68" s="136"/>
      <c r="Y68"/>
      <c r="Z68"/>
      <c r="AA68"/>
      <c r="AB68"/>
      <c r="AC68"/>
      <c r="AD68"/>
      <c r="AE68"/>
      <c r="AF68"/>
      <c r="AG68"/>
      <c r="AH68"/>
      <c r="AI68"/>
      <c r="AJ68"/>
      <c r="AK68" s="1"/>
      <c r="AL68" s="1"/>
      <c r="AM68" s="1"/>
      <c r="AN68"/>
      <c r="AO68"/>
      <c r="AP68"/>
    </row>
    <row r="69" spans="2:42" s="10" customFormat="1" x14ac:dyDescent="0.3">
      <c r="B69"/>
      <c r="C69"/>
      <c r="D69"/>
      <c r="E69" s="457"/>
      <c r="F69" s="457"/>
      <c r="G69" s="82" t="s">
        <v>51</v>
      </c>
      <c r="H69" s="91">
        <f>H67+H68*2</f>
        <v>756</v>
      </c>
      <c r="I69" s="88"/>
      <c r="J69" s="89"/>
      <c r="K69" s="90">
        <f>+K67+K68*2</f>
        <v>621.26</v>
      </c>
      <c r="L69" s="135"/>
      <c r="N69" s="136"/>
      <c r="O69" s="136"/>
      <c r="P69" s="136"/>
      <c r="Q69" s="136"/>
      <c r="R69" s="136"/>
      <c r="S69" s="136"/>
      <c r="Y69"/>
      <c r="Z69"/>
      <c r="AA69"/>
      <c r="AB69"/>
      <c r="AC69"/>
      <c r="AD69"/>
      <c r="AE69"/>
      <c r="AF69"/>
      <c r="AG69"/>
      <c r="AH69"/>
      <c r="AI69"/>
      <c r="AJ69"/>
      <c r="AK69" s="1"/>
      <c r="AL69" s="1"/>
      <c r="AM69" s="1"/>
      <c r="AN69"/>
      <c r="AO69"/>
      <c r="AP69"/>
    </row>
    <row r="70" spans="2:42" s="10" customFormat="1" x14ac:dyDescent="0.3">
      <c r="B70"/>
      <c r="C70"/>
      <c r="D70"/>
      <c r="E70" s="455">
        <f>+E50</f>
        <v>17</v>
      </c>
      <c r="F70" s="455" t="s">
        <v>38</v>
      </c>
      <c r="G70" s="82" t="s">
        <v>48</v>
      </c>
      <c r="H70" s="83">
        <f>451-4</f>
        <v>447</v>
      </c>
      <c r="I70" s="84"/>
      <c r="J70" s="85"/>
      <c r="K70" s="86">
        <f>440.56-9.25</f>
        <v>431.31</v>
      </c>
      <c r="L70" s="135"/>
      <c r="N70" s="136"/>
      <c r="O70" s="136"/>
      <c r="P70" s="136"/>
      <c r="Q70" s="136"/>
      <c r="R70" s="136"/>
      <c r="S70" s="136"/>
      <c r="Y70"/>
      <c r="Z70"/>
      <c r="AA70"/>
      <c r="AB70"/>
      <c r="AC70"/>
      <c r="AD70"/>
      <c r="AE70"/>
      <c r="AF70"/>
      <c r="AG70"/>
      <c r="AH70"/>
      <c r="AI70"/>
      <c r="AJ70"/>
      <c r="AK70" s="1"/>
      <c r="AL70" s="1"/>
      <c r="AM70" s="1"/>
      <c r="AN70"/>
      <c r="AO70"/>
      <c r="AP70"/>
    </row>
    <row r="71" spans="2:42" s="10" customFormat="1" x14ac:dyDescent="0.3">
      <c r="B71"/>
      <c r="C71"/>
      <c r="D71"/>
      <c r="E71" s="456"/>
      <c r="F71" s="456"/>
      <c r="G71" s="82" t="s">
        <v>50</v>
      </c>
      <c r="H71" s="83">
        <v>4</v>
      </c>
      <c r="I71" s="84"/>
      <c r="J71" s="85"/>
      <c r="K71" s="86">
        <v>9.25</v>
      </c>
      <c r="L71" s="135"/>
      <c r="N71" s="136"/>
      <c r="O71" s="136"/>
      <c r="P71" s="136"/>
      <c r="Q71" s="136"/>
      <c r="R71" s="136"/>
      <c r="S71" s="136"/>
      <c r="Y71"/>
      <c r="Z71"/>
      <c r="AA71"/>
      <c r="AB71"/>
      <c r="AC71"/>
      <c r="AD71"/>
      <c r="AE71"/>
      <c r="AF71"/>
      <c r="AG71"/>
      <c r="AH71"/>
      <c r="AI71"/>
      <c r="AJ71"/>
      <c r="AK71" s="1"/>
      <c r="AL71" s="1"/>
      <c r="AM71" s="1"/>
      <c r="AN71"/>
      <c r="AO71"/>
      <c r="AP71"/>
    </row>
    <row r="72" spans="2:42" s="10" customFormat="1" x14ac:dyDescent="0.3">
      <c r="B72"/>
      <c r="C72"/>
      <c r="D72"/>
      <c r="E72" s="457"/>
      <c r="F72" s="457"/>
      <c r="G72" s="82" t="s">
        <v>51</v>
      </c>
      <c r="H72" s="87">
        <f>+H70+H71*2</f>
        <v>455</v>
      </c>
      <c r="I72" s="88"/>
      <c r="J72" s="89"/>
      <c r="K72" s="90">
        <f>+K70+K71*2</f>
        <v>449.81</v>
      </c>
      <c r="L72" s="135"/>
      <c r="N72" s="136"/>
      <c r="O72" s="136"/>
      <c r="P72" s="136"/>
      <c r="Q72" s="136"/>
      <c r="R72" s="136"/>
      <c r="S72" s="136"/>
      <c r="Y72"/>
      <c r="Z72"/>
      <c r="AA72"/>
      <c r="AB72"/>
      <c r="AC72"/>
      <c r="AD72"/>
      <c r="AE72"/>
      <c r="AF72"/>
      <c r="AG72"/>
      <c r="AH72"/>
      <c r="AI72"/>
      <c r="AJ72"/>
      <c r="AK72" s="1"/>
      <c r="AL72" s="1"/>
      <c r="AM72" s="1"/>
      <c r="AN72"/>
      <c r="AO72"/>
      <c r="AP72"/>
    </row>
    <row r="75" spans="2:42" ht="45" customHeight="1" x14ac:dyDescent="0.3">
      <c r="B75" s="463" t="s">
        <v>58</v>
      </c>
      <c r="C75" s="464"/>
      <c r="D75" s="464"/>
      <c r="E75" s="464"/>
      <c r="F75" s="464"/>
      <c r="G75" s="464"/>
      <c r="H75" s="464"/>
      <c r="I75" s="464"/>
      <c r="J75" s="464"/>
      <c r="K75" s="464"/>
      <c r="L75" s="464"/>
      <c r="M75" s="464"/>
      <c r="N75" s="464"/>
      <c r="O75" s="464"/>
      <c r="P75" s="464"/>
      <c r="Q75" s="464"/>
      <c r="R75" s="464"/>
      <c r="S75" s="464"/>
      <c r="T75" s="464"/>
      <c r="U75" s="464"/>
      <c r="V75" s="464"/>
      <c r="W75" s="464"/>
      <c r="X75" s="464"/>
      <c r="Y75" s="464"/>
      <c r="Z75" s="464"/>
      <c r="AA75" s="464"/>
      <c r="AB75" s="464"/>
      <c r="AC75" s="464"/>
      <c r="AD75" s="464"/>
    </row>
    <row r="76" spans="2:42" ht="18" customHeight="1" x14ac:dyDescent="0.3">
      <c r="B76" t="s">
        <v>5</v>
      </c>
      <c r="D76" s="7">
        <v>55</v>
      </c>
      <c r="F76" s="8" t="s">
        <v>6</v>
      </c>
      <c r="T76" s="9">
        <v>1.2</v>
      </c>
      <c r="Z76" s="12">
        <f>Z60</f>
        <v>0</v>
      </c>
      <c r="AA76" s="11">
        <f>AA60</f>
        <v>0</v>
      </c>
      <c r="AB76" s="12"/>
      <c r="AD76" s="8"/>
    </row>
    <row r="77" spans="2:42" ht="21" customHeight="1" x14ac:dyDescent="0.3">
      <c r="B77" s="430" t="s">
        <v>7</v>
      </c>
      <c r="C77" s="430" t="s">
        <v>45</v>
      </c>
      <c r="D77" s="430" t="s">
        <v>8</v>
      </c>
      <c r="E77" s="432" t="s">
        <v>9</v>
      </c>
      <c r="F77" s="432" t="s">
        <v>10</v>
      </c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441" t="s">
        <v>12</v>
      </c>
      <c r="U77" s="418"/>
      <c r="V77" s="442"/>
      <c r="W77" s="446" t="s">
        <v>13</v>
      </c>
      <c r="X77" s="418"/>
      <c r="Y77" s="418"/>
      <c r="Z77" s="13"/>
      <c r="AA77" s="14"/>
      <c r="AB77" s="447" t="s">
        <v>14</v>
      </c>
      <c r="AC77" s="449" t="s">
        <v>15</v>
      </c>
      <c r="AD77" s="418" t="s">
        <v>16</v>
      </c>
    </row>
    <row r="78" spans="2:42" ht="33.75" thickBot="1" x14ac:dyDescent="0.35">
      <c r="B78" s="431"/>
      <c r="C78" s="431"/>
      <c r="D78" s="431"/>
      <c r="E78" s="433"/>
      <c r="F78" s="433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5" t="s">
        <v>12</v>
      </c>
      <c r="U78" s="16" t="s">
        <v>17</v>
      </c>
      <c r="V78" s="17" t="s">
        <v>18</v>
      </c>
      <c r="W78" s="18" t="s">
        <v>13</v>
      </c>
      <c r="X78" s="16" t="s">
        <v>19</v>
      </c>
      <c r="Y78" s="19" t="s">
        <v>18</v>
      </c>
      <c r="Z78" s="163" t="s">
        <v>20</v>
      </c>
      <c r="AA78" s="20" t="s">
        <v>21</v>
      </c>
      <c r="AB78" s="448"/>
      <c r="AC78" s="450"/>
      <c r="AD78" s="419"/>
      <c r="AE78" s="21" t="s">
        <v>22</v>
      </c>
      <c r="AF78" s="21" t="s">
        <v>23</v>
      </c>
      <c r="AG78" s="22"/>
      <c r="AH78" s="22"/>
      <c r="AI78" s="22" t="s">
        <v>24</v>
      </c>
      <c r="AJ78" s="22"/>
      <c r="AK78" s="23" t="s">
        <v>25</v>
      </c>
      <c r="AL78" s="23" t="s">
        <v>26</v>
      </c>
      <c r="AM78" s="23" t="s">
        <v>27</v>
      </c>
      <c r="AN78" s="22"/>
      <c r="AO78" s="22">
        <f>SUM(AO79:AO84)</f>
        <v>-50</v>
      </c>
    </row>
    <row r="79" spans="2:42" ht="98.25" customHeight="1" thickTop="1" x14ac:dyDescent="0.3">
      <c r="B79" s="458">
        <v>6</v>
      </c>
      <c r="C79" s="92">
        <v>19</v>
      </c>
      <c r="D79" s="93" t="s">
        <v>7</v>
      </c>
      <c r="E79" s="94" t="s">
        <v>59</v>
      </c>
      <c r="F79" s="93">
        <v>10</v>
      </c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95">
        <f>+T93</f>
        <v>0</v>
      </c>
      <c r="U79" s="96">
        <f>IF(F79=0,"휴무",T79/F79)</f>
        <v>0</v>
      </c>
      <c r="V79" s="97">
        <f>IFERROR(T79/#REF!,0)</f>
        <v>0</v>
      </c>
      <c r="W79" s="98">
        <f>+W93</f>
        <v>0</v>
      </c>
      <c r="X79" s="96">
        <f t="shared" ref="X79:X84" si="25">IF(F79=0,"휴무",W79/F79)</f>
        <v>0</v>
      </c>
      <c r="Y79" s="99">
        <f>IFERROR(W79/#REF!,0)</f>
        <v>0</v>
      </c>
      <c r="Z79" s="100" t="e">
        <f>IF(F79=0,"휴무",T79/#REF!*$Z$3)</f>
        <v>#REF!</v>
      </c>
      <c r="AA79" s="101" t="e">
        <f>IF(F79=0,"휴무",W79/#REF!*$AA$3)</f>
        <v>#REF!</v>
      </c>
      <c r="AB79" s="102" t="e">
        <f t="shared" ref="AB79:AB84" si="26">IF(F79=0,"휴무",Z79+AA79)</f>
        <v>#REF!</v>
      </c>
      <c r="AC79" s="103" t="e">
        <f t="shared" ref="AC79:AC84" si="27">IF(F79=0,"휴무",IF(AB79&gt;=100,"좋아요",IF(AB79&gt;=90,"90~99",IF(AB79&gt;=80,"80~89"," 사유?→"))))</f>
        <v>#REF!</v>
      </c>
      <c r="AD79" s="104"/>
      <c r="AE79" s="37">
        <f>AF79-F79</f>
        <v>-10</v>
      </c>
      <c r="AF79" s="38">
        <f>AM79</f>
        <v>0</v>
      </c>
      <c r="AG79" s="169" t="s">
        <v>29</v>
      </c>
      <c r="AH79" s="39"/>
      <c r="AI79" s="40" t="str">
        <f>IFERROR(Y79/V79*1000,"")</f>
        <v/>
      </c>
      <c r="AJ79" s="39"/>
      <c r="AK79" s="41"/>
      <c r="AL79" s="41"/>
      <c r="AM79" s="41"/>
      <c r="AN79" s="169"/>
      <c r="AO79" s="169">
        <f>AN79-F79</f>
        <v>-10</v>
      </c>
    </row>
    <row r="80" spans="2:42" ht="98.25" customHeight="1" x14ac:dyDescent="0.3">
      <c r="B80" s="459"/>
      <c r="C80" s="92">
        <v>20</v>
      </c>
      <c r="D80" s="170" t="s">
        <v>30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95">
        <f>+T96</f>
        <v>0</v>
      </c>
      <c r="U80" s="62">
        <f>IF(F80=0,"휴무",T80/F80)</f>
        <v>0</v>
      </c>
      <c r="V80" s="63">
        <f>IFERROR(T80/#REF!,0)</f>
        <v>0</v>
      </c>
      <c r="W80" s="105">
        <f>+W96</f>
        <v>0</v>
      </c>
      <c r="X80" s="96">
        <f t="shared" si="25"/>
        <v>0</v>
      </c>
      <c r="Y80" s="65">
        <f>IFERROR(W80/#REF!,0)</f>
        <v>0</v>
      </c>
      <c r="Z80" s="106" t="e">
        <f>IF(F80=0,"휴무",T80/#REF!*$Z$3)</f>
        <v>#REF!</v>
      </c>
      <c r="AA80" s="107" t="e">
        <f>IF(F80=0,"휴무",W80/#REF!*$AA$3)</f>
        <v>#REF!</v>
      </c>
      <c r="AB80" s="66" t="e">
        <f t="shared" si="26"/>
        <v>#REF!</v>
      </c>
      <c r="AC80" s="108" t="e">
        <f t="shared" si="27"/>
        <v>#REF!</v>
      </c>
      <c r="AD80" s="109"/>
      <c r="AE80" s="37">
        <f>AF80-F80</f>
        <v>-10</v>
      </c>
      <c r="AF80" s="38">
        <f>AM80</f>
        <v>0</v>
      </c>
      <c r="AG80" s="169" t="s">
        <v>34</v>
      </c>
      <c r="AH80" s="39"/>
      <c r="AI80" s="40" t="str">
        <f>IFERROR(Y80/V80*1000,"")</f>
        <v/>
      </c>
      <c r="AJ80" s="39"/>
      <c r="AK80" s="41"/>
      <c r="AL80" s="41"/>
      <c r="AM80" s="41"/>
      <c r="AN80" s="169"/>
      <c r="AO80" s="169">
        <f>AN80-F80</f>
        <v>-10</v>
      </c>
    </row>
    <row r="81" spans="2:41" ht="98.25" customHeight="1" x14ac:dyDescent="0.3">
      <c r="B81" s="459"/>
      <c r="C81" s="92">
        <v>21</v>
      </c>
      <c r="D81" s="170" t="s">
        <v>32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95">
        <f>+T99</f>
        <v>0</v>
      </c>
      <c r="U81" s="62">
        <f>IF(F81=0,"휴무",T81/F81)</f>
        <v>0</v>
      </c>
      <c r="V81" s="63">
        <f>IFERROR(T81/#REF!,0)</f>
        <v>0</v>
      </c>
      <c r="W81" s="105">
        <f>+W99</f>
        <v>0</v>
      </c>
      <c r="X81" s="96">
        <f t="shared" si="25"/>
        <v>0</v>
      </c>
      <c r="Y81" s="65">
        <f>IFERROR(W81/#REF!,0)</f>
        <v>0</v>
      </c>
      <c r="Z81" s="106" t="e">
        <f>IF(F81=0,"휴무",T81/#REF!*$Z$3)</f>
        <v>#REF!</v>
      </c>
      <c r="AA81" s="107" t="e">
        <f>IF(F81=0,"휴무",W81/#REF!*$AA$3)</f>
        <v>#REF!</v>
      </c>
      <c r="AB81" s="66" t="e">
        <f t="shared" si="26"/>
        <v>#REF!</v>
      </c>
      <c r="AC81" s="108" t="e">
        <f t="shared" si="27"/>
        <v>#REF!</v>
      </c>
      <c r="AD81" s="109"/>
      <c r="AE81" s="37">
        <f>AF81-F81</f>
        <v>-10</v>
      </c>
      <c r="AF81" s="38">
        <f>AM81</f>
        <v>0</v>
      </c>
      <c r="AG81" s="169" t="s">
        <v>36</v>
      </c>
      <c r="AH81" s="39"/>
      <c r="AI81" s="40" t="str">
        <f>IFERROR(Y81/V81*1000,"")</f>
        <v/>
      </c>
      <c r="AJ81" s="39"/>
      <c r="AK81" s="41"/>
      <c r="AL81" s="41"/>
      <c r="AM81" s="41"/>
      <c r="AN81" s="169"/>
      <c r="AO81" s="169">
        <f>AN81-F81</f>
        <v>-10</v>
      </c>
    </row>
    <row r="82" spans="2:41" ht="98.25" customHeight="1" x14ac:dyDescent="0.3">
      <c r="B82" s="459"/>
      <c r="C82" s="92">
        <v>22</v>
      </c>
      <c r="D82" s="170" t="s">
        <v>35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95">
        <f>+T102</f>
        <v>0</v>
      </c>
      <c r="U82" s="62">
        <f>IF(F82=0,"휴무",T82/F82)</f>
        <v>0</v>
      </c>
      <c r="V82" s="63">
        <f>IFERROR(T82/#REF!,0)</f>
        <v>0</v>
      </c>
      <c r="W82" s="105">
        <f>+W102</f>
        <v>0</v>
      </c>
      <c r="X82" s="62">
        <f t="shared" si="25"/>
        <v>0</v>
      </c>
      <c r="Y82" s="65">
        <f>IFERROR(W82/#REF!,0)</f>
        <v>0</v>
      </c>
      <c r="Z82" s="106" t="e">
        <f>IF(F82=0,"휴무",T82/#REF!*$Z$3)</f>
        <v>#REF!</v>
      </c>
      <c r="AA82" s="107" t="e">
        <f>IF(F82=0,"휴무",W82/#REF!*$AA$3)</f>
        <v>#REF!</v>
      </c>
      <c r="AB82" s="66" t="e">
        <f t="shared" si="26"/>
        <v>#REF!</v>
      </c>
      <c r="AC82" s="110" t="e">
        <f t="shared" si="27"/>
        <v>#REF!</v>
      </c>
      <c r="AD82" s="104"/>
      <c r="AE82" s="37">
        <f>AF82-F82</f>
        <v>-10</v>
      </c>
      <c r="AF82" s="38">
        <f>AM82</f>
        <v>0</v>
      </c>
      <c r="AG82" s="169" t="s">
        <v>33</v>
      </c>
      <c r="AH82" s="39"/>
      <c r="AI82" s="40" t="str">
        <f>IFERROR(Y82/V82*1000,"")</f>
        <v/>
      </c>
      <c r="AJ82" s="39"/>
      <c r="AK82" s="41"/>
      <c r="AL82" s="41"/>
      <c r="AM82" s="41"/>
      <c r="AN82" s="169"/>
      <c r="AO82" s="169">
        <f>AN82-F82</f>
        <v>-10</v>
      </c>
    </row>
    <row r="83" spans="2:41" ht="98.25" customHeight="1" x14ac:dyDescent="0.3">
      <c r="B83" s="459"/>
      <c r="C83" s="92">
        <v>23</v>
      </c>
      <c r="D83" s="170" t="s">
        <v>37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95">
        <f>+T103</f>
        <v>0</v>
      </c>
      <c r="U83" s="62">
        <f>IF(F83=0,"휴무",T83/F83)</f>
        <v>0</v>
      </c>
      <c r="V83" s="63">
        <f>IFERROR(T83/#REF!,0)</f>
        <v>0</v>
      </c>
      <c r="W83" s="105">
        <f>+W103</f>
        <v>0</v>
      </c>
      <c r="X83" s="62">
        <f t="shared" si="25"/>
        <v>0</v>
      </c>
      <c r="Y83" s="65">
        <f>IFERROR(W83/#REF!,0)</f>
        <v>0</v>
      </c>
      <c r="Z83" s="106" t="e">
        <f>IF(F83=0,"휴무",T83/#REF!*$Z$3)</f>
        <v>#REF!</v>
      </c>
      <c r="AA83" s="107" t="e">
        <f>IF(F83=0,"휴무",W83/#REF!*$AA$3)</f>
        <v>#REF!</v>
      </c>
      <c r="AB83" s="66" t="e">
        <f t="shared" si="26"/>
        <v>#REF!</v>
      </c>
      <c r="AC83" s="110" t="e">
        <f t="shared" si="27"/>
        <v>#REF!</v>
      </c>
      <c r="AD83" s="104"/>
      <c r="AE83" s="37">
        <f>AF83-F83</f>
        <v>-10</v>
      </c>
      <c r="AF83" s="38">
        <f>AM83</f>
        <v>0</v>
      </c>
      <c r="AG83" s="169" t="s">
        <v>46</v>
      </c>
      <c r="AH83" s="39"/>
      <c r="AI83" s="40" t="str">
        <f>IFERROR(Y83/V83*1000,"")</f>
        <v/>
      </c>
      <c r="AJ83" s="169"/>
      <c r="AK83" s="41"/>
      <c r="AL83" s="41"/>
      <c r="AM83" s="41"/>
      <c r="AN83" s="169"/>
      <c r="AO83" s="169">
        <f>AN83-F83</f>
        <v>-10</v>
      </c>
    </row>
    <row r="84" spans="2:41" ht="98.25" customHeight="1" x14ac:dyDescent="0.3">
      <c r="B84" s="459"/>
      <c r="C84" s="92">
        <v>25</v>
      </c>
      <c r="D84" s="170" t="s">
        <v>45</v>
      </c>
      <c r="E84" s="94" t="s">
        <v>60</v>
      </c>
      <c r="F84" s="93">
        <f>IF(E84="평일",8,IF(E84="휴무",0,IF(OR(E84="주말",E84="공휴일"),8,IF(E84="1H",9,IF(E84="야근",3.5,"Check")))))</f>
        <v>0</v>
      </c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95">
        <f>T108</f>
        <v>0</v>
      </c>
      <c r="U84" s="96">
        <v>58.924999999999997</v>
      </c>
      <c r="V84" s="97">
        <v>0.89280303030303021</v>
      </c>
      <c r="W84" s="98">
        <f>W108</f>
        <v>0</v>
      </c>
      <c r="X84" s="62" t="str">
        <f t="shared" si="25"/>
        <v>휴무</v>
      </c>
      <c r="Y84" s="65">
        <f>IFERROR(W84/#REF!,0)</f>
        <v>0</v>
      </c>
      <c r="Z84" s="106" t="str">
        <f>IF(F84=0,"휴무",T84/#REF!*$Z$3)</f>
        <v>휴무</v>
      </c>
      <c r="AA84" s="107" t="str">
        <f>IF(F84=0,"휴무",W84/#REF!*$AA$3)</f>
        <v>휴무</v>
      </c>
      <c r="AB84" s="66" t="str">
        <f t="shared" si="26"/>
        <v>휴무</v>
      </c>
      <c r="AC84" s="110" t="str">
        <f t="shared" si="27"/>
        <v>휴무</v>
      </c>
      <c r="AD84" s="104"/>
      <c r="AE84" s="37"/>
      <c r="AF84" s="38"/>
      <c r="AG84" s="169"/>
      <c r="AH84" s="39"/>
      <c r="AI84" s="40"/>
      <c r="AJ84" s="169"/>
      <c r="AK84" s="41"/>
      <c r="AL84" s="41"/>
      <c r="AM84" s="41"/>
      <c r="AN84" s="169"/>
      <c r="AO84" s="169"/>
    </row>
    <row r="85" spans="2:41" ht="36" customHeight="1" x14ac:dyDescent="0.3">
      <c r="B85" s="460" t="s">
        <v>39</v>
      </c>
      <c r="C85" s="461"/>
      <c r="D85" s="461"/>
      <c r="E85" s="462"/>
      <c r="F85" s="170">
        <f>SUM(F79:F84)</f>
        <v>50</v>
      </c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11">
        <f>SUM(T79:T84)</f>
        <v>0</v>
      </c>
      <c r="U85" s="112"/>
      <c r="V85" s="63">
        <f>IFERROR(T85/#REF!,0)</f>
        <v>0</v>
      </c>
      <c r="W85" s="113">
        <f>SUM(W79:W84)</f>
        <v>0</v>
      </c>
      <c r="X85" s="62"/>
      <c r="Y85" s="65">
        <f>IFERROR(W85/#REF!,0)</f>
        <v>0</v>
      </c>
      <c r="Z85" s="170"/>
      <c r="AA85" s="166"/>
      <c r="AB85" s="114"/>
      <c r="AC85" s="115"/>
      <c r="AD85" s="168"/>
      <c r="AE85" s="37">
        <f>AF85-F85</f>
        <v>-50</v>
      </c>
      <c r="AF85" s="38">
        <f>SUM(AF79:AF84)</f>
        <v>0</v>
      </c>
      <c r="AG85" s="169"/>
      <c r="AH85" s="169"/>
      <c r="AI85" s="40"/>
      <c r="AJ85" s="169"/>
      <c r="AK85" s="59"/>
      <c r="AL85" s="59"/>
      <c r="AM85" s="59"/>
      <c r="AN85" s="169"/>
      <c r="AO85" s="169"/>
    </row>
    <row r="86" spans="2:41" ht="36" customHeight="1" x14ac:dyDescent="0.3">
      <c r="B86" s="443" t="s">
        <v>40</v>
      </c>
      <c r="C86" s="444"/>
      <c r="D86" s="444"/>
      <c r="E86" s="445"/>
      <c r="F86" s="60">
        <f>AVERAGE(F79:F84)</f>
        <v>8.3333333333333339</v>
      </c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61">
        <f>U86*F86</f>
        <v>0</v>
      </c>
      <c r="U86" s="62">
        <f>T85/F85</f>
        <v>0</v>
      </c>
      <c r="V86" s="63">
        <f>IFERROR(T86/#REF!,0)</f>
        <v>0</v>
      </c>
      <c r="W86" s="64">
        <f>W85/F85*F86</f>
        <v>0</v>
      </c>
      <c r="X86" s="62">
        <f>IF(F86=0,"휴무",W86/F86)</f>
        <v>0</v>
      </c>
      <c r="Y86" s="65">
        <f>IFERROR(W86/#REF!,0)</f>
        <v>0</v>
      </c>
      <c r="Z86" s="60" t="e">
        <f>AVERAGE(Z79:Z84)</f>
        <v>#REF!</v>
      </c>
      <c r="AA86" s="60" t="e">
        <f>AVERAGE(AA79:AA84)</f>
        <v>#REF!</v>
      </c>
      <c r="AB86" s="66" t="e">
        <f>Z86+AA86</f>
        <v>#REF!</v>
      </c>
      <c r="AC86" s="115" t="e">
        <f>IF(F86=0,"휴무",IF(AB86&gt;=100,"좋아요",IF(AB86&gt;=90,"90~99",IF(AB86&gt;=80,"80~89"," 사유?→"))))</f>
        <v>#REF!</v>
      </c>
      <c r="AD86" s="68"/>
      <c r="AE86" s="69"/>
      <c r="AF86" s="69"/>
      <c r="AG86" s="69"/>
      <c r="AH86" s="69"/>
      <c r="AI86" s="40" t="str">
        <f>IFERROR(Y86/V86*1000,"")</f>
        <v/>
      </c>
      <c r="AJ86" s="69"/>
      <c r="AK86" s="10"/>
      <c r="AL86" s="10"/>
      <c r="AM86" s="10"/>
      <c r="AN86" s="69"/>
      <c r="AO86" s="69"/>
    </row>
    <row r="87" spans="2:41" x14ac:dyDescent="0.3">
      <c r="B87" s="70" t="s">
        <v>41</v>
      </c>
      <c r="C87" s="71"/>
      <c r="D87" s="71"/>
      <c r="E87" s="72"/>
      <c r="T87" s="22"/>
      <c r="V87" s="73">
        <f>V86*60</f>
        <v>0</v>
      </c>
      <c r="W87" s="74"/>
      <c r="X87" s="73"/>
      <c r="Y87" s="74">
        <f>Y86*40</f>
        <v>0</v>
      </c>
      <c r="Z87" s="81"/>
      <c r="AA87" s="81"/>
      <c r="AB87" s="74">
        <f>V87+Y87</f>
        <v>0</v>
      </c>
      <c r="AC87" s="169"/>
      <c r="AD87" s="169"/>
      <c r="AE87" s="169"/>
      <c r="AF87" s="169"/>
      <c r="AG87" s="169"/>
      <c r="AH87" s="169"/>
      <c r="AI87" s="169"/>
      <c r="AJ87" s="169"/>
      <c r="AK87" s="59"/>
      <c r="AL87" s="59"/>
      <c r="AM87" s="59"/>
      <c r="AN87" s="169"/>
      <c r="AO87" s="169"/>
    </row>
    <row r="88" spans="2:41" ht="17.25" thickBot="1" x14ac:dyDescent="0.35">
      <c r="B88" s="70" t="s">
        <v>61</v>
      </c>
      <c r="U88" s="10">
        <v>8.8000000000000007</v>
      </c>
    </row>
    <row r="89" spans="2:41" ht="17.25" thickBot="1" x14ac:dyDescent="0.35">
      <c r="B89" s="76" t="s">
        <v>42</v>
      </c>
      <c r="C89" s="77"/>
      <c r="D89" s="78" t="s">
        <v>43</v>
      </c>
      <c r="E89" s="78"/>
      <c r="F89" s="79"/>
      <c r="X89" s="10">
        <v>50</v>
      </c>
    </row>
    <row r="91" spans="2:41" x14ac:dyDescent="0.3">
      <c r="E91" s="465">
        <v>19</v>
      </c>
      <c r="F91" s="465" t="s">
        <v>7</v>
      </c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3"/>
      <c r="U91" s="84"/>
      <c r="V91" s="85"/>
      <c r="W91" s="86"/>
    </row>
    <row r="92" spans="2:41" x14ac:dyDescent="0.3">
      <c r="C92" t="s">
        <v>57</v>
      </c>
      <c r="E92" s="465"/>
      <c r="F92" s="465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3"/>
      <c r="U92" s="84"/>
      <c r="V92" s="85"/>
      <c r="W92" s="86"/>
    </row>
    <row r="93" spans="2:41" x14ac:dyDescent="0.3"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7">
        <f>+T91+T92*1.6</f>
        <v>0</v>
      </c>
      <c r="U93" s="88"/>
      <c r="V93" s="89"/>
      <c r="W93" s="90">
        <f>+W91+W92*1.6</f>
        <v>0</v>
      </c>
    </row>
    <row r="94" spans="2:41" x14ac:dyDescent="0.3">
      <c r="E94" s="465">
        <v>20</v>
      </c>
      <c r="F94" s="465" t="s">
        <v>52</v>
      </c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3"/>
      <c r="U94" s="84"/>
      <c r="V94" s="85"/>
      <c r="W94" s="86"/>
    </row>
    <row r="95" spans="2:41" x14ac:dyDescent="0.3">
      <c r="E95" s="465"/>
      <c r="F95" s="465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3"/>
      <c r="U95" s="84"/>
      <c r="V95" s="85"/>
      <c r="W95" s="86"/>
    </row>
    <row r="96" spans="2:41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91">
        <f>+T94+T95*1.6</f>
        <v>0</v>
      </c>
      <c r="U96" s="88"/>
      <c r="V96" s="89"/>
      <c r="W96" s="90">
        <f>+W94+W95*1.6</f>
        <v>0</v>
      </c>
    </row>
    <row r="97" spans="5:30" x14ac:dyDescent="0.3">
      <c r="E97" s="465">
        <v>21</v>
      </c>
      <c r="F97" s="465" t="s">
        <v>53</v>
      </c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3"/>
      <c r="U97" s="84"/>
      <c r="V97" s="85"/>
      <c r="W97" s="86"/>
    </row>
    <row r="98" spans="5:30" x14ac:dyDescent="0.3">
      <c r="E98" s="465"/>
      <c r="F98" s="465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84"/>
      <c r="V98" s="85"/>
      <c r="W98" s="86"/>
    </row>
    <row r="99" spans="5:30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7">
        <f>+T97+T98*1.6</f>
        <v>0</v>
      </c>
      <c r="U99" s="88"/>
      <c r="V99" s="89"/>
      <c r="W99" s="90">
        <f>+W97+W98*1.6</f>
        <v>0</v>
      </c>
    </row>
    <row r="100" spans="5:30" x14ac:dyDescent="0.3">
      <c r="E100" s="465">
        <v>22</v>
      </c>
      <c r="F100" s="465" t="s">
        <v>55</v>
      </c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3"/>
      <c r="U100" s="84"/>
      <c r="V100" s="85"/>
      <c r="W100" s="86"/>
    </row>
    <row r="101" spans="5:30" x14ac:dyDescent="0.3">
      <c r="E101" s="465"/>
      <c r="F101" s="465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3"/>
      <c r="U101" s="84"/>
      <c r="V101" s="85"/>
      <c r="W101" s="86"/>
    </row>
    <row r="102" spans="5:30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7">
        <f>+T100+T101*1.6</f>
        <v>0</v>
      </c>
      <c r="U102" s="88"/>
      <c r="V102" s="89"/>
      <c r="W102" s="90">
        <f>+W100+W101*1.6</f>
        <v>0</v>
      </c>
    </row>
    <row r="103" spans="5:30" x14ac:dyDescent="0.3">
      <c r="E103" s="465">
        <v>23</v>
      </c>
      <c r="F103" s="465" t="s">
        <v>56</v>
      </c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3"/>
      <c r="U103" s="84"/>
      <c r="V103" s="85"/>
      <c r="W103" s="86"/>
    </row>
    <row r="104" spans="5:30" x14ac:dyDescent="0.3">
      <c r="E104" s="465"/>
      <c r="F104" s="465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3"/>
      <c r="U104" s="84"/>
      <c r="V104" s="85"/>
      <c r="W104" s="86"/>
    </row>
    <row r="105" spans="5:30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7">
        <f>+T103+T104*1.6</f>
        <v>0</v>
      </c>
      <c r="U105" s="88"/>
      <c r="V105" s="89"/>
      <c r="W105" s="90">
        <f>+W103+W104*1.6</f>
        <v>0</v>
      </c>
    </row>
    <row r="106" spans="5:30" x14ac:dyDescent="0.3">
      <c r="E106" s="455">
        <v>24</v>
      </c>
      <c r="F106" s="465" t="s">
        <v>45</v>
      </c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3"/>
      <c r="U106" s="84"/>
      <c r="V106" s="85"/>
      <c r="W106" s="86"/>
      <c r="AD106" s="116"/>
    </row>
    <row r="107" spans="5:30" x14ac:dyDescent="0.3">
      <c r="E107" s="456"/>
      <c r="F107" s="465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3"/>
      <c r="U107" s="84"/>
      <c r="V107" s="85"/>
      <c r="W107" s="86"/>
    </row>
    <row r="108" spans="5:30" x14ac:dyDescent="0.3">
      <c r="E108" s="457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7">
        <f>+T106+T107*1.6</f>
        <v>0</v>
      </c>
      <c r="U108" s="88"/>
      <c r="V108" s="89"/>
      <c r="W108" s="90">
        <f>+W106+W107*1.6</f>
        <v>0</v>
      </c>
    </row>
    <row r="113" spans="3:26" x14ac:dyDescent="0.3">
      <c r="C113" s="467" t="s">
        <v>62</v>
      </c>
      <c r="D113" s="467"/>
      <c r="E113" s="467"/>
      <c r="F113" s="467"/>
      <c r="G113" s="467"/>
      <c r="H113" s="467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</row>
    <row r="115" spans="3:26" x14ac:dyDescent="0.3">
      <c r="C115" s="170" t="s">
        <v>49</v>
      </c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117"/>
      <c r="V115" s="118"/>
      <c r="W115" s="116"/>
      <c r="X115" s="117"/>
      <c r="Y115" s="116"/>
      <c r="Z115" s="116"/>
    </row>
    <row r="116" spans="3:26" x14ac:dyDescent="0.3">
      <c r="C116" s="170" t="s">
        <v>63</v>
      </c>
      <c r="D116" s="466" t="s">
        <v>12</v>
      </c>
      <c r="E116" s="466"/>
      <c r="F116" s="170" t="s">
        <v>64</v>
      </c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170"/>
      <c r="S116" s="170"/>
      <c r="T116" s="170" t="s">
        <v>15</v>
      </c>
      <c r="U116" s="117"/>
      <c r="V116" s="118"/>
      <c r="W116" s="116"/>
      <c r="X116" s="117"/>
      <c r="Y116" s="116"/>
      <c r="Z116" s="116"/>
    </row>
    <row r="117" spans="3:26" x14ac:dyDescent="0.3">
      <c r="C117" s="119">
        <v>45075</v>
      </c>
      <c r="D117" s="466"/>
      <c r="E117" s="466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17"/>
      <c r="V117" s="118"/>
      <c r="W117" s="116"/>
      <c r="X117" s="117"/>
      <c r="Y117" s="116"/>
      <c r="Z117" s="116"/>
    </row>
    <row r="118" spans="3:26" x14ac:dyDescent="0.3">
      <c r="C118" s="119">
        <v>45076</v>
      </c>
      <c r="D118" s="466"/>
      <c r="E118" s="466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17"/>
      <c r="V118" s="118"/>
      <c r="W118" s="116"/>
      <c r="X118" s="117"/>
      <c r="Y118" s="116"/>
      <c r="Z118" s="116"/>
    </row>
    <row r="119" spans="3:26" x14ac:dyDescent="0.3">
      <c r="C119" s="119">
        <v>45077</v>
      </c>
      <c r="D119" s="466"/>
      <c r="E119" s="466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17"/>
      <c r="V119" s="118"/>
      <c r="W119" s="116"/>
      <c r="X119" s="117"/>
      <c r="Y119" s="116"/>
      <c r="Z119" s="116"/>
    </row>
    <row r="120" spans="3:26" x14ac:dyDescent="0.3">
      <c r="C120" s="119">
        <v>45078</v>
      </c>
      <c r="D120" s="466"/>
      <c r="E120" s="466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17"/>
      <c r="V120" s="118"/>
      <c r="W120" s="116"/>
      <c r="X120" s="117"/>
      <c r="Y120" s="116"/>
      <c r="Z120" s="116"/>
    </row>
    <row r="121" spans="3:26" x14ac:dyDescent="0.3">
      <c r="C121" s="119">
        <v>45079</v>
      </c>
      <c r="D121" s="466"/>
      <c r="E121" s="466"/>
      <c r="F121" s="170"/>
      <c r="G121" s="170"/>
      <c r="H121" s="170"/>
      <c r="I121" s="170"/>
      <c r="J121" s="170"/>
      <c r="K121" s="170"/>
      <c r="L121" s="170"/>
      <c r="M121" s="170"/>
      <c r="N121" s="170"/>
      <c r="O121" s="170"/>
      <c r="P121" s="170"/>
      <c r="Q121" s="170"/>
      <c r="R121" s="170"/>
      <c r="S121" s="170"/>
      <c r="T121" s="170"/>
      <c r="U121" s="117"/>
      <c r="V121" s="118"/>
      <c r="W121" s="116"/>
      <c r="X121" s="117"/>
      <c r="Y121" s="116"/>
      <c r="Z121" s="116"/>
    </row>
    <row r="122" spans="3:26" x14ac:dyDescent="0.3">
      <c r="C122" s="119">
        <v>45080</v>
      </c>
      <c r="D122" s="466"/>
      <c r="E122" s="466"/>
      <c r="F122" s="170"/>
      <c r="G122" s="170"/>
      <c r="H122" s="170"/>
      <c r="I122" s="170"/>
      <c r="J122" s="170"/>
      <c r="K122" s="170"/>
      <c r="L122" s="170"/>
      <c r="M122" s="170"/>
      <c r="N122" s="170"/>
      <c r="O122" s="170"/>
      <c r="P122" s="170"/>
      <c r="Q122" s="170"/>
      <c r="R122" s="170"/>
      <c r="S122" s="170"/>
      <c r="T122" s="170"/>
      <c r="U122" s="117"/>
      <c r="V122" s="118"/>
      <c r="W122" s="116"/>
      <c r="X122" s="117"/>
      <c r="Y122" s="116"/>
      <c r="Z122" s="116"/>
    </row>
    <row r="123" spans="3:26" x14ac:dyDescent="0.3">
      <c r="C123" s="170"/>
      <c r="D123" s="460"/>
      <c r="E123" s="462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0"/>
      <c r="Q123" s="170"/>
      <c r="R123" s="170"/>
      <c r="S123" s="170"/>
      <c r="T123" s="170"/>
      <c r="U123" s="117"/>
      <c r="V123" s="118"/>
      <c r="W123" s="116"/>
      <c r="X123" s="117"/>
      <c r="Y123" s="116"/>
      <c r="Z123" s="116"/>
    </row>
    <row r="124" spans="3:26" x14ac:dyDescent="0.3"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117"/>
      <c r="V124" s="118"/>
      <c r="W124" s="116"/>
      <c r="X124" s="117"/>
      <c r="Y124" s="116"/>
      <c r="Z124" s="116"/>
    </row>
    <row r="125" spans="3:26" x14ac:dyDescent="0.3">
      <c r="C125" s="170" t="s">
        <v>65</v>
      </c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117"/>
      <c r="V125" s="118"/>
      <c r="W125" s="116"/>
      <c r="X125" s="117"/>
      <c r="Y125" s="116"/>
      <c r="Z125" s="116"/>
    </row>
    <row r="126" spans="3:26" x14ac:dyDescent="0.3">
      <c r="C126" s="170" t="s">
        <v>63</v>
      </c>
      <c r="D126" s="466" t="s">
        <v>12</v>
      </c>
      <c r="E126" s="466"/>
      <c r="F126" s="170" t="s">
        <v>64</v>
      </c>
      <c r="G126" s="170"/>
      <c r="H126" s="170"/>
      <c r="I126" s="170"/>
      <c r="J126" s="170"/>
      <c r="K126" s="170"/>
      <c r="L126" s="170"/>
      <c r="M126" s="170"/>
      <c r="N126" s="170"/>
      <c r="O126" s="170"/>
      <c r="P126" s="170"/>
      <c r="Q126" s="170"/>
      <c r="R126" s="170"/>
      <c r="S126" s="170"/>
      <c r="T126" s="170" t="s">
        <v>15</v>
      </c>
      <c r="U126" s="117"/>
      <c r="V126" s="118"/>
      <c r="W126" s="116"/>
      <c r="X126" s="117"/>
      <c r="Y126" s="116"/>
      <c r="Z126" s="116"/>
    </row>
    <row r="127" spans="3:26" x14ac:dyDescent="0.3">
      <c r="C127" s="119">
        <v>45075</v>
      </c>
      <c r="D127" s="466"/>
      <c r="E127" s="466"/>
      <c r="F127" s="170"/>
      <c r="G127" s="170"/>
      <c r="H127" s="170"/>
      <c r="I127" s="170"/>
      <c r="J127" s="170"/>
      <c r="K127" s="170"/>
      <c r="L127" s="170"/>
      <c r="M127" s="170"/>
      <c r="N127" s="170"/>
      <c r="O127" s="170"/>
      <c r="P127" s="170"/>
      <c r="Q127" s="170"/>
      <c r="R127" s="170"/>
      <c r="S127" s="170"/>
      <c r="T127" s="170"/>
      <c r="U127" s="117"/>
      <c r="V127" s="118"/>
      <c r="W127" s="116"/>
      <c r="X127" s="117"/>
      <c r="Y127" s="116"/>
      <c r="Z127" s="116"/>
    </row>
    <row r="128" spans="3:26" x14ac:dyDescent="0.3">
      <c r="C128" s="119">
        <v>45076</v>
      </c>
      <c r="D128" s="466"/>
      <c r="E128" s="466"/>
      <c r="F128" s="170"/>
      <c r="G128" s="170"/>
      <c r="H128" s="170"/>
      <c r="I128" s="170"/>
      <c r="J128" s="170"/>
      <c r="K128" s="170"/>
      <c r="L128" s="170"/>
      <c r="M128" s="170"/>
      <c r="N128" s="170"/>
      <c r="O128" s="170"/>
      <c r="P128" s="170"/>
      <c r="Q128" s="170"/>
      <c r="R128" s="170"/>
      <c r="S128" s="170"/>
      <c r="T128" s="170"/>
      <c r="U128" s="117"/>
      <c r="V128" s="118"/>
      <c r="W128" s="116"/>
      <c r="X128" s="117"/>
      <c r="Y128" s="116"/>
      <c r="Z128" s="116"/>
    </row>
    <row r="129" spans="3:26" x14ac:dyDescent="0.3">
      <c r="C129" s="119">
        <v>45077</v>
      </c>
      <c r="D129" s="466"/>
      <c r="E129" s="466"/>
      <c r="F129" s="170"/>
      <c r="G129" s="170"/>
      <c r="H129" s="170"/>
      <c r="I129" s="170"/>
      <c r="J129" s="170"/>
      <c r="K129" s="170"/>
      <c r="L129" s="170"/>
      <c r="M129" s="170"/>
      <c r="N129" s="170"/>
      <c r="O129" s="170"/>
      <c r="P129" s="170"/>
      <c r="Q129" s="170"/>
      <c r="R129" s="170"/>
      <c r="S129" s="170"/>
      <c r="T129" s="170"/>
      <c r="U129" s="117"/>
      <c r="V129" s="118"/>
      <c r="W129" s="116"/>
      <c r="X129" s="117"/>
      <c r="Y129" s="116"/>
      <c r="Z129" s="116"/>
    </row>
    <row r="130" spans="3:26" x14ac:dyDescent="0.3">
      <c r="C130" s="119">
        <v>45078</v>
      </c>
      <c r="D130" s="466"/>
      <c r="E130" s="466"/>
      <c r="F130" s="170"/>
      <c r="G130" s="170"/>
      <c r="H130" s="170"/>
      <c r="I130" s="170"/>
      <c r="J130" s="170"/>
      <c r="K130" s="170"/>
      <c r="L130" s="170"/>
      <c r="M130" s="170"/>
      <c r="N130" s="170"/>
      <c r="O130" s="170"/>
      <c r="P130" s="170"/>
      <c r="Q130" s="170"/>
      <c r="R130" s="170"/>
      <c r="S130" s="170"/>
      <c r="T130" s="170"/>
      <c r="U130" s="117"/>
      <c r="V130" s="118"/>
      <c r="W130" s="116"/>
      <c r="X130" s="117"/>
      <c r="Y130" s="116"/>
      <c r="Z130" s="116"/>
    </row>
    <row r="131" spans="3:26" x14ac:dyDescent="0.3">
      <c r="C131" s="119">
        <v>45079</v>
      </c>
      <c r="D131" s="466"/>
      <c r="E131" s="466"/>
      <c r="F131" s="170"/>
      <c r="G131" s="170"/>
      <c r="H131" s="170"/>
      <c r="I131" s="170"/>
      <c r="J131" s="170"/>
      <c r="K131" s="170"/>
      <c r="L131" s="170"/>
      <c r="M131" s="170"/>
      <c r="N131" s="170"/>
      <c r="O131" s="170"/>
      <c r="P131" s="170"/>
      <c r="Q131" s="170"/>
      <c r="R131" s="170"/>
      <c r="S131" s="170"/>
      <c r="T131" s="170"/>
      <c r="U131" s="117"/>
      <c r="V131" s="118"/>
      <c r="W131" s="116"/>
      <c r="X131" s="117"/>
      <c r="Y131" s="116"/>
      <c r="Z131" s="116"/>
    </row>
    <row r="132" spans="3:26" x14ac:dyDescent="0.3">
      <c r="C132" s="119">
        <v>45080</v>
      </c>
      <c r="D132" s="466"/>
      <c r="E132" s="466"/>
      <c r="F132" s="170"/>
      <c r="G132" s="170"/>
      <c r="H132" s="170"/>
      <c r="I132" s="170"/>
      <c r="J132" s="170"/>
      <c r="K132" s="170"/>
      <c r="L132" s="170"/>
      <c r="M132" s="170"/>
      <c r="N132" s="170"/>
      <c r="O132" s="170"/>
      <c r="P132" s="170"/>
      <c r="Q132" s="170"/>
      <c r="R132" s="170"/>
      <c r="S132" s="170"/>
      <c r="T132" s="170"/>
      <c r="U132" s="117"/>
      <c r="V132" s="118"/>
      <c r="W132" s="116"/>
      <c r="X132" s="117"/>
      <c r="Y132" s="116"/>
      <c r="Z132" s="116"/>
    </row>
    <row r="133" spans="3:26" x14ac:dyDescent="0.3">
      <c r="C133" s="170"/>
      <c r="D133" s="460"/>
      <c r="E133" s="462"/>
      <c r="F133" s="170"/>
      <c r="G133" s="170"/>
      <c r="H133" s="170"/>
      <c r="I133" s="170"/>
      <c r="J133" s="170"/>
      <c r="K133" s="170"/>
      <c r="L133" s="170"/>
      <c r="M133" s="170"/>
      <c r="N133" s="170"/>
      <c r="O133" s="170"/>
      <c r="P133" s="170"/>
      <c r="Q133" s="170"/>
      <c r="R133" s="170"/>
      <c r="S133" s="170"/>
      <c r="T133" s="170"/>
      <c r="U133" s="117"/>
      <c r="V133" s="118"/>
      <c r="W133" s="116"/>
      <c r="X133" s="117"/>
      <c r="Y133" s="116"/>
      <c r="Z133" s="116"/>
    </row>
    <row r="134" spans="3:26" x14ac:dyDescent="0.3"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117"/>
      <c r="V134" s="118"/>
      <c r="W134" s="116"/>
      <c r="X134" s="117"/>
      <c r="Y134" s="116"/>
      <c r="Z134" s="116"/>
    </row>
    <row r="135" spans="3:26" x14ac:dyDescent="0.3">
      <c r="C135" s="170" t="s">
        <v>66</v>
      </c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117"/>
      <c r="V135" s="118"/>
      <c r="W135" s="116"/>
      <c r="X135" s="117"/>
      <c r="Y135" s="116"/>
      <c r="Z135" s="116"/>
    </row>
    <row r="136" spans="3:26" x14ac:dyDescent="0.3">
      <c r="C136" s="170" t="s">
        <v>63</v>
      </c>
      <c r="D136" s="466" t="s">
        <v>12</v>
      </c>
      <c r="E136" s="466"/>
      <c r="F136" s="170" t="s">
        <v>64</v>
      </c>
      <c r="G136" s="170"/>
      <c r="H136" s="170"/>
      <c r="I136" s="170"/>
      <c r="J136" s="170"/>
      <c r="K136" s="170"/>
      <c r="L136" s="170"/>
      <c r="M136" s="170"/>
      <c r="N136" s="170"/>
      <c r="O136" s="170"/>
      <c r="P136" s="170"/>
      <c r="Q136" s="170"/>
      <c r="R136" s="170"/>
      <c r="S136" s="170"/>
      <c r="T136" s="170" t="s">
        <v>15</v>
      </c>
      <c r="U136" s="117"/>
      <c r="V136" s="118"/>
      <c r="W136" s="116"/>
      <c r="X136" s="117"/>
      <c r="Y136" s="116"/>
      <c r="Z136" s="116"/>
    </row>
    <row r="137" spans="3:26" x14ac:dyDescent="0.3">
      <c r="C137" s="119">
        <v>45075</v>
      </c>
      <c r="D137" s="466"/>
      <c r="E137" s="466"/>
      <c r="F137" s="170"/>
      <c r="G137" s="170"/>
      <c r="H137" s="170"/>
      <c r="I137" s="170"/>
      <c r="J137" s="170"/>
      <c r="K137" s="170"/>
      <c r="L137" s="170"/>
      <c r="M137" s="170"/>
      <c r="N137" s="170"/>
      <c r="O137" s="170"/>
      <c r="P137" s="170"/>
      <c r="Q137" s="170"/>
      <c r="R137" s="170"/>
      <c r="S137" s="170"/>
      <c r="T137" s="170"/>
      <c r="U137" s="117"/>
      <c r="V137" s="118"/>
      <c r="W137" s="116"/>
      <c r="X137" s="117"/>
      <c r="Y137" s="116"/>
      <c r="Z137" s="116"/>
    </row>
    <row r="138" spans="3:26" x14ac:dyDescent="0.3">
      <c r="C138" s="119">
        <v>45076</v>
      </c>
      <c r="D138" s="466"/>
      <c r="E138" s="466"/>
      <c r="F138" s="170"/>
      <c r="G138" s="170"/>
      <c r="H138" s="170"/>
      <c r="I138" s="170"/>
      <c r="J138" s="170"/>
      <c r="K138" s="170"/>
      <c r="L138" s="170"/>
      <c r="M138" s="170"/>
      <c r="N138" s="170"/>
      <c r="O138" s="170"/>
      <c r="P138" s="170"/>
      <c r="Q138" s="170"/>
      <c r="R138" s="170"/>
      <c r="S138" s="170"/>
      <c r="T138" s="170"/>
      <c r="U138" s="117"/>
      <c r="V138" s="118"/>
      <c r="W138" s="116"/>
      <c r="X138" s="117"/>
      <c r="Y138" s="116"/>
      <c r="Z138" s="116"/>
    </row>
    <row r="139" spans="3:26" x14ac:dyDescent="0.3">
      <c r="C139" s="119">
        <v>45077</v>
      </c>
      <c r="D139" s="466"/>
      <c r="E139" s="466"/>
      <c r="F139" s="170"/>
      <c r="G139" s="170"/>
      <c r="H139" s="170"/>
      <c r="I139" s="170"/>
      <c r="J139" s="170"/>
      <c r="K139" s="170"/>
      <c r="L139" s="170"/>
      <c r="M139" s="170"/>
      <c r="N139" s="170"/>
      <c r="O139" s="170"/>
      <c r="P139" s="170"/>
      <c r="Q139" s="170"/>
      <c r="R139" s="170"/>
      <c r="S139" s="170"/>
      <c r="T139" s="170"/>
    </row>
    <row r="140" spans="3:26" x14ac:dyDescent="0.3">
      <c r="C140" s="119">
        <v>45078</v>
      </c>
      <c r="D140" s="466"/>
      <c r="E140" s="466"/>
      <c r="F140" s="170"/>
      <c r="G140" s="170"/>
      <c r="H140" s="170"/>
      <c r="I140" s="170"/>
      <c r="J140" s="170"/>
      <c r="K140" s="170"/>
      <c r="L140" s="170"/>
      <c r="M140" s="170"/>
      <c r="N140" s="170"/>
      <c r="O140" s="170"/>
      <c r="P140" s="170"/>
      <c r="Q140" s="170"/>
      <c r="R140" s="170"/>
      <c r="S140" s="170"/>
      <c r="T140" s="170"/>
    </row>
    <row r="141" spans="3:26" x14ac:dyDescent="0.3">
      <c r="C141" s="119">
        <v>45079</v>
      </c>
      <c r="D141" s="466"/>
      <c r="E141" s="466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170"/>
      <c r="S141" s="170"/>
      <c r="T141" s="170"/>
    </row>
    <row r="142" spans="3:26" x14ac:dyDescent="0.3">
      <c r="C142" s="119">
        <v>45080</v>
      </c>
      <c r="D142" s="466"/>
      <c r="E142" s="466"/>
      <c r="F142" s="170"/>
      <c r="G142" s="170"/>
      <c r="H142" s="170"/>
      <c r="I142" s="170"/>
      <c r="J142" s="170"/>
      <c r="K142" s="170"/>
      <c r="L142" s="170"/>
      <c r="M142" s="170"/>
      <c r="N142" s="170"/>
      <c r="O142" s="170"/>
      <c r="P142" s="170"/>
      <c r="Q142" s="170"/>
      <c r="R142" s="170"/>
      <c r="S142" s="170"/>
      <c r="T142" s="170"/>
    </row>
    <row r="143" spans="3:26" x14ac:dyDescent="0.3">
      <c r="C143" s="170"/>
      <c r="D143" s="460"/>
      <c r="E143" s="462"/>
      <c r="F143" s="170"/>
      <c r="G143" s="170"/>
      <c r="H143" s="170"/>
      <c r="I143" s="170"/>
      <c r="J143" s="170"/>
      <c r="K143" s="170"/>
      <c r="L143" s="170"/>
      <c r="M143" s="170"/>
      <c r="N143" s="170"/>
      <c r="O143" s="170"/>
      <c r="P143" s="170"/>
      <c r="Q143" s="170"/>
      <c r="R143" s="170"/>
      <c r="S143" s="170"/>
      <c r="T143" s="170"/>
    </row>
  </sheetData>
  <mergeCells count="113">
    <mergeCell ref="D139:E139"/>
    <mergeCell ref="D140:E140"/>
    <mergeCell ref="D141:E141"/>
    <mergeCell ref="D142:E142"/>
    <mergeCell ref="D143:E143"/>
    <mergeCell ref="D131:E131"/>
    <mergeCell ref="D132:E132"/>
    <mergeCell ref="D133:E133"/>
    <mergeCell ref="D136:E136"/>
    <mergeCell ref="D137:E137"/>
    <mergeCell ref="D138:E138"/>
    <mergeCell ref="D123:E123"/>
    <mergeCell ref="D126:E126"/>
    <mergeCell ref="D127:E127"/>
    <mergeCell ref="D128:E128"/>
    <mergeCell ref="D129:E129"/>
    <mergeCell ref="D130:E130"/>
    <mergeCell ref="D117:E117"/>
    <mergeCell ref="D118:E118"/>
    <mergeCell ref="D119:E119"/>
    <mergeCell ref="D120:E120"/>
    <mergeCell ref="D121:E121"/>
    <mergeCell ref="D122:E122"/>
    <mergeCell ref="E103:E105"/>
    <mergeCell ref="F103:F105"/>
    <mergeCell ref="E106:E108"/>
    <mergeCell ref="F106:F108"/>
    <mergeCell ref="C113:T113"/>
    <mergeCell ref="D116:E116"/>
    <mergeCell ref="E94:E96"/>
    <mergeCell ref="F94:F96"/>
    <mergeCell ref="E97:E99"/>
    <mergeCell ref="F97:F99"/>
    <mergeCell ref="E100:E102"/>
    <mergeCell ref="F100:F102"/>
    <mergeCell ref="AD77:AD78"/>
    <mergeCell ref="B79:B84"/>
    <mergeCell ref="B85:E85"/>
    <mergeCell ref="B86:E86"/>
    <mergeCell ref="E91:E93"/>
    <mergeCell ref="F91:F93"/>
    <mergeCell ref="B75:AD75"/>
    <mergeCell ref="B77:B78"/>
    <mergeCell ref="C77:C78"/>
    <mergeCell ref="D77:D78"/>
    <mergeCell ref="E77:E78"/>
    <mergeCell ref="F77:F78"/>
    <mergeCell ref="T77:V77"/>
    <mergeCell ref="W77:Y77"/>
    <mergeCell ref="AB77:AB78"/>
    <mergeCell ref="AC77:AC78"/>
    <mergeCell ref="E64:E66"/>
    <mergeCell ref="F64:F66"/>
    <mergeCell ref="E67:E69"/>
    <mergeCell ref="F67:F69"/>
    <mergeCell ref="E70:E72"/>
    <mergeCell ref="F70:F72"/>
    <mergeCell ref="E55:E57"/>
    <mergeCell ref="F55:F57"/>
    <mergeCell ref="E58:E60"/>
    <mergeCell ref="F58:F60"/>
    <mergeCell ref="E61:E63"/>
    <mergeCell ref="F61:F63"/>
    <mergeCell ref="E44:E46"/>
    <mergeCell ref="F44:F46"/>
    <mergeCell ref="E47:E49"/>
    <mergeCell ref="F47:F49"/>
    <mergeCell ref="E50:E52"/>
    <mergeCell ref="F50:F52"/>
    <mergeCell ref="E35:E37"/>
    <mergeCell ref="F35:F37"/>
    <mergeCell ref="E38:E40"/>
    <mergeCell ref="F38:F40"/>
    <mergeCell ref="E41:E43"/>
    <mergeCell ref="F41:F43"/>
    <mergeCell ref="B22:B27"/>
    <mergeCell ref="B28:E28"/>
    <mergeCell ref="B29:E29"/>
    <mergeCell ref="I20:R20"/>
    <mergeCell ref="S20:S21"/>
    <mergeCell ref="T20:V20"/>
    <mergeCell ref="W20:Y20"/>
    <mergeCell ref="Z20:Z21"/>
    <mergeCell ref="AA20:AA21"/>
    <mergeCell ref="B12:E12"/>
    <mergeCell ref="B13:E13"/>
    <mergeCell ref="B18:AD18"/>
    <mergeCell ref="B20:B21"/>
    <mergeCell ref="C20:C21"/>
    <mergeCell ref="D20:D21"/>
    <mergeCell ref="E20:E21"/>
    <mergeCell ref="F20:F21"/>
    <mergeCell ref="G20:G21"/>
    <mergeCell ref="H20:H21"/>
    <mergeCell ref="AB20:AB21"/>
    <mergeCell ref="AC20:AC21"/>
    <mergeCell ref="AD20:AD21"/>
    <mergeCell ref="T4:V4"/>
    <mergeCell ref="W4:Y4"/>
    <mergeCell ref="AB4:AB5"/>
    <mergeCell ref="AC4:AC5"/>
    <mergeCell ref="AD4:AD5"/>
    <mergeCell ref="B6:B11"/>
    <mergeCell ref="B1:AD1"/>
    <mergeCell ref="B2:AD2"/>
    <mergeCell ref="B4:C5"/>
    <mergeCell ref="D4:D5"/>
    <mergeCell ref="E4:E5"/>
    <mergeCell ref="F4:F5"/>
    <mergeCell ref="G4:G5"/>
    <mergeCell ref="H4:H5"/>
    <mergeCell ref="I4:R4"/>
    <mergeCell ref="S4:S5"/>
  </mergeCells>
  <phoneticPr fontId="4" type="noConversion"/>
  <dataValidations count="3">
    <dataValidation type="list" allowBlank="1" showInputMessage="1" showErrorMessage="1" sqref="E6:E7 E22:E23 E9:E11 E25:E27">
      <formula1>$T$6:$T$11</formula1>
    </dataValidation>
    <dataValidation type="list" allowBlank="1" showInputMessage="1" showErrorMessage="1" sqref="AG22:AG24 AG79:AG81 AG9 AG6">
      <formula1>$AD$5:$AD$7</formula1>
    </dataValidation>
    <dataValidation type="list" allowBlank="1" showInputMessage="1" showErrorMessage="1" sqref="E79:E84 E24 E8">
      <formula1>$AG$6:$AG$11</formula1>
    </dataValidation>
  </dataValidations>
  <pageMargins left="0.62992125984251968" right="0.62992125984251968" top="0.94488188976377963" bottom="0.55118110236220474" header="0.31496062992125984" footer="0.31496062992125984"/>
  <pageSetup paperSize="9" scale="26" orientation="landscape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AY144"/>
  <sheetViews>
    <sheetView zoomScale="80" zoomScaleNormal="80" workbookViewId="0">
      <pane xSplit="4" ySplit="6" topLeftCell="E25" activePane="bottomRight" state="frozen"/>
      <selection pane="topRight" activeCell="D1" sqref="D1"/>
      <selection pane="bottomLeft" activeCell="A6" sqref="A6"/>
      <selection pane="bottomRight" activeCell="O41" sqref="O41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19" width="8.625" style="8" customWidth="1"/>
    <col min="20" max="20" width="10.75" style="75" customWidth="1"/>
    <col min="21" max="21" width="10.875" style="10" customWidth="1"/>
    <col min="22" max="22" width="7.375" style="11" customWidth="1"/>
    <col min="23" max="23" width="12.25" customWidth="1"/>
    <col min="24" max="24" width="7.75" style="10" customWidth="1"/>
    <col min="25" max="25" width="10.375" customWidth="1"/>
    <col min="26" max="26" width="9.5" customWidth="1"/>
    <col min="27" max="27" width="10" customWidth="1"/>
    <col min="28" max="28" width="7.125" customWidth="1"/>
    <col min="29" max="29" width="8.375" customWidth="1"/>
    <col min="30" max="30" width="56.375" customWidth="1"/>
    <col min="31" max="32" width="9.125" hidden="1" customWidth="1"/>
    <col min="33" max="33" width="8.75" hidden="1" customWidth="1"/>
    <col min="34" max="34" width="2.75" hidden="1" customWidth="1"/>
    <col min="35" max="35" width="9.125" hidden="1" customWidth="1"/>
    <col min="36" max="36" width="0" hidden="1" customWidth="1"/>
    <col min="37" max="39" width="9.125" style="1" hidden="1" customWidth="1"/>
    <col min="40" max="41" width="0" hidden="1" customWidth="1"/>
    <col min="42" max="42" width="11.75" hidden="1" customWidth="1"/>
    <col min="43" max="43" width="3.25" customWidth="1"/>
  </cols>
  <sheetData>
    <row r="2" spans="2:51" ht="20.25" x14ac:dyDescent="0.3">
      <c r="B2" s="425" t="s">
        <v>94</v>
      </c>
      <c r="C2" s="425"/>
      <c r="D2" s="425"/>
      <c r="E2" s="425"/>
      <c r="F2" s="425"/>
      <c r="G2" s="425"/>
      <c r="H2" s="425"/>
      <c r="I2" s="425"/>
      <c r="J2" s="425"/>
      <c r="K2" s="425"/>
      <c r="L2" s="425"/>
      <c r="M2" s="425"/>
      <c r="N2" s="425"/>
      <c r="O2" s="425"/>
      <c r="P2" s="425"/>
      <c r="Q2" s="425"/>
      <c r="R2" s="425"/>
      <c r="S2" s="425"/>
      <c r="T2" s="425"/>
      <c r="U2" s="425"/>
      <c r="V2" s="425"/>
      <c r="W2" s="425"/>
      <c r="X2" s="425"/>
      <c r="Y2" s="425"/>
      <c r="Z2" s="425"/>
      <c r="AA2" s="425"/>
      <c r="AB2" s="425"/>
      <c r="AC2" s="425"/>
      <c r="AD2" s="425"/>
      <c r="AV2" s="2" t="s">
        <v>0</v>
      </c>
      <c r="AW2" s="145" t="s">
        <v>1</v>
      </c>
      <c r="AX2" s="145" t="s">
        <v>2</v>
      </c>
      <c r="AY2" s="3" t="s">
        <v>3</v>
      </c>
    </row>
    <row r="3" spans="2:51" ht="45" customHeight="1" x14ac:dyDescent="0.3">
      <c r="B3" s="463" t="s">
        <v>4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  <c r="T3" s="464"/>
      <c r="U3" s="464"/>
      <c r="V3" s="464"/>
      <c r="W3" s="464"/>
      <c r="X3" s="464"/>
      <c r="Y3" s="464"/>
      <c r="Z3" s="464"/>
      <c r="AA3" s="464"/>
      <c r="AB3" s="464"/>
      <c r="AC3" s="464"/>
      <c r="AD3" s="464"/>
      <c r="AV3" s="4"/>
      <c r="AW3" s="5"/>
      <c r="AX3" s="5"/>
      <c r="AY3" s="6"/>
    </row>
    <row r="4" spans="2:51" x14ac:dyDescent="0.3">
      <c r="B4" t="s">
        <v>5</v>
      </c>
      <c r="D4" s="7">
        <v>55</v>
      </c>
      <c r="F4" s="8" t="s">
        <v>6</v>
      </c>
      <c r="T4" s="9">
        <v>1.2</v>
      </c>
      <c r="Z4" s="12">
        <v>50</v>
      </c>
      <c r="AA4" s="11">
        <f>50*10.89/10</f>
        <v>54.45</v>
      </c>
      <c r="AB4" s="12"/>
      <c r="AD4" s="8"/>
    </row>
    <row r="5" spans="2:51" ht="19.149999999999999" customHeight="1" x14ac:dyDescent="0.3">
      <c r="B5" s="426" t="s">
        <v>93</v>
      </c>
      <c r="C5" s="427"/>
      <c r="D5" s="430" t="s">
        <v>8</v>
      </c>
      <c r="E5" s="432" t="s">
        <v>9</v>
      </c>
      <c r="F5" s="432" t="s">
        <v>10</v>
      </c>
      <c r="G5" s="434" t="s">
        <v>83</v>
      </c>
      <c r="H5" s="434" t="s">
        <v>82</v>
      </c>
      <c r="I5" s="436" t="s">
        <v>81</v>
      </c>
      <c r="J5" s="437"/>
      <c r="K5" s="437"/>
      <c r="L5" s="437"/>
      <c r="M5" s="437"/>
      <c r="N5" s="437"/>
      <c r="O5" s="437"/>
      <c r="P5" s="437"/>
      <c r="Q5" s="437"/>
      <c r="R5" s="438"/>
      <c r="S5" s="439" t="s">
        <v>11</v>
      </c>
      <c r="T5" s="441" t="s">
        <v>12</v>
      </c>
      <c r="U5" s="418"/>
      <c r="V5" s="442"/>
      <c r="W5" s="446" t="s">
        <v>13</v>
      </c>
      <c r="X5" s="418"/>
      <c r="Y5" s="418"/>
      <c r="Z5" s="13"/>
      <c r="AA5" s="14"/>
      <c r="AB5" s="447" t="s">
        <v>14</v>
      </c>
      <c r="AC5" s="449" t="s">
        <v>15</v>
      </c>
      <c r="AD5" s="418" t="s">
        <v>16</v>
      </c>
    </row>
    <row r="6" spans="2:51" s="22" customFormat="1" ht="48" customHeight="1" thickBot="1" x14ac:dyDescent="0.35">
      <c r="B6" s="428"/>
      <c r="C6" s="429"/>
      <c r="D6" s="431"/>
      <c r="E6" s="433"/>
      <c r="F6" s="433"/>
      <c r="G6" s="435"/>
      <c r="H6" s="435"/>
      <c r="I6" s="143" t="s">
        <v>68</v>
      </c>
      <c r="J6" s="18" t="s">
        <v>69</v>
      </c>
      <c r="K6" s="18" t="s">
        <v>70</v>
      </c>
      <c r="L6" s="18" t="s">
        <v>71</v>
      </c>
      <c r="M6" s="18" t="s">
        <v>72</v>
      </c>
      <c r="N6" s="18" t="s">
        <v>75</v>
      </c>
      <c r="O6" s="18" t="s">
        <v>75</v>
      </c>
      <c r="P6" s="18" t="s">
        <v>76</v>
      </c>
      <c r="Q6" s="18" t="s">
        <v>77</v>
      </c>
      <c r="R6" s="127" t="s">
        <v>80</v>
      </c>
      <c r="S6" s="440"/>
      <c r="T6" s="15" t="s">
        <v>12</v>
      </c>
      <c r="U6" s="16" t="s">
        <v>17</v>
      </c>
      <c r="V6" s="17" t="s">
        <v>18</v>
      </c>
      <c r="W6" s="18" t="s">
        <v>13</v>
      </c>
      <c r="X6" s="16" t="s">
        <v>19</v>
      </c>
      <c r="Y6" s="19" t="s">
        <v>18</v>
      </c>
      <c r="Z6" s="143" t="s">
        <v>20</v>
      </c>
      <c r="AA6" s="20" t="s">
        <v>21</v>
      </c>
      <c r="AB6" s="448"/>
      <c r="AC6" s="450"/>
      <c r="AD6" s="419"/>
      <c r="AE6" s="21" t="s">
        <v>22</v>
      </c>
      <c r="AF6" s="21" t="s">
        <v>23</v>
      </c>
      <c r="AI6" s="22" t="s">
        <v>24</v>
      </c>
      <c r="AK6" s="23" t="s">
        <v>25</v>
      </c>
      <c r="AL6" s="23" t="s">
        <v>26</v>
      </c>
      <c r="AM6" s="23" t="s">
        <v>27</v>
      </c>
      <c r="AO6" s="22">
        <f>SUM(AO7:AO12)</f>
        <v>-50</v>
      </c>
    </row>
    <row r="7" spans="2:51" s="149" customFormat="1" ht="99" customHeight="1" thickTop="1" x14ac:dyDescent="0.3">
      <c r="B7" s="420">
        <v>1</v>
      </c>
      <c r="C7" s="24">
        <v>5</v>
      </c>
      <c r="D7" s="25" t="s">
        <v>7</v>
      </c>
      <c r="E7" s="26" t="s">
        <v>29</v>
      </c>
      <c r="F7" s="25">
        <v>8.5</v>
      </c>
      <c r="G7" s="128">
        <v>474</v>
      </c>
      <c r="H7" s="128">
        <f t="shared" ref="H7:H12" si="0">(G7/T7)*100</f>
        <v>99.579831932773118</v>
      </c>
      <c r="I7" s="123" t="s">
        <v>85</v>
      </c>
      <c r="J7" s="123" t="s">
        <v>86</v>
      </c>
      <c r="K7" s="123" t="s">
        <v>73</v>
      </c>
      <c r="L7" s="123" t="s">
        <v>87</v>
      </c>
      <c r="M7" s="123"/>
      <c r="N7" s="129" t="s">
        <v>90</v>
      </c>
      <c r="O7" s="123" t="s">
        <v>74</v>
      </c>
      <c r="P7" s="123" t="s">
        <v>91</v>
      </c>
      <c r="Q7" s="123" t="s">
        <v>89</v>
      </c>
      <c r="R7" s="125">
        <f t="shared" ref="R7:R13" si="1">COUNTA(I7:M7)+COUNTA(N7:Q7)/2</f>
        <v>6</v>
      </c>
      <c r="S7" s="27">
        <f t="shared" ref="S7:S12" si="2">F7*$D$4*$T$4</f>
        <v>561</v>
      </c>
      <c r="T7" s="28">
        <f>+H38</f>
        <v>476</v>
      </c>
      <c r="U7" s="29">
        <f t="shared" ref="U7:U12" si="3">IF(F7=0,"휴무",T7/F7)</f>
        <v>56</v>
      </c>
      <c r="V7" s="30">
        <f t="shared" ref="V7:V13" si="4">IFERROR(T7/S7,0)</f>
        <v>0.84848484848484851</v>
      </c>
      <c r="W7" s="31">
        <f>+K38</f>
        <v>405.66</v>
      </c>
      <c r="X7" s="29">
        <f t="shared" ref="X7:X12" si="5">IF(F7=0,"휴무",W7/F7)</f>
        <v>47.724705882352943</v>
      </c>
      <c r="Y7" s="32">
        <f t="shared" ref="Y7:Y13" si="6">IFERROR(W7/S7,0)</f>
        <v>0.72310160427807491</v>
      </c>
      <c r="Z7" s="33">
        <f t="shared" ref="Z7:Z12" si="7">IF(F7=0,"휴무",T7/S7*$Z$4)</f>
        <v>42.424242424242422</v>
      </c>
      <c r="AA7" s="34">
        <f t="shared" ref="AA7:AA12" si="8">IF(F7=0,"휴무",W7/S7*$AA$4)</f>
        <v>39.372882352941183</v>
      </c>
      <c r="AB7" s="138">
        <f t="shared" ref="AB7:AB13" si="9">IF(F7=0,"휴무",Z7+AA7)</f>
        <v>81.797124777183598</v>
      </c>
      <c r="AC7" s="35" t="str">
        <f t="shared" ref="AC7:AC13" si="10">IF(F7=0,"휴무",IF(AB7&gt;=100,"좋아요",IF(AB7&gt;=90,"90~99",IF(AB7&gt;=80,"80~89"," 사유?→"))))</f>
        <v>80~89</v>
      </c>
      <c r="AD7" s="36"/>
      <c r="AE7" s="37">
        <f>AF7-F7</f>
        <v>-8.5</v>
      </c>
      <c r="AF7" s="38">
        <f>AM7</f>
        <v>0</v>
      </c>
      <c r="AG7" s="149" t="s">
        <v>29</v>
      </c>
      <c r="AH7" s="39"/>
      <c r="AI7" s="40">
        <f>IFERROR(Y7/V7*1000,"")</f>
        <v>852.22689075630251</v>
      </c>
      <c r="AJ7" s="39"/>
      <c r="AK7" s="41"/>
      <c r="AL7" s="41"/>
      <c r="AM7" s="41"/>
      <c r="AO7" s="149">
        <f t="shared" ref="AO7:AO12" si="11">AN7-F7</f>
        <v>-8.5</v>
      </c>
      <c r="AP7" s="42"/>
    </row>
    <row r="8" spans="2:51" s="149" customFormat="1" ht="99.75" customHeight="1" x14ac:dyDescent="0.3">
      <c r="B8" s="421"/>
      <c r="C8" s="24">
        <f>+C7+1</f>
        <v>6</v>
      </c>
      <c r="D8" s="43" t="s">
        <v>30</v>
      </c>
      <c r="E8" s="26" t="s">
        <v>28</v>
      </c>
      <c r="F8" s="25">
        <v>11</v>
      </c>
      <c r="G8" s="125">
        <v>481</v>
      </c>
      <c r="H8" s="125">
        <f t="shared" si="0"/>
        <v>99.175257731958766</v>
      </c>
      <c r="I8" s="123" t="s">
        <v>85</v>
      </c>
      <c r="J8" s="123" t="s">
        <v>86</v>
      </c>
      <c r="K8" s="123" t="s">
        <v>73</v>
      </c>
      <c r="L8" s="123" t="s">
        <v>87</v>
      </c>
      <c r="M8" s="123"/>
      <c r="N8" s="129" t="s">
        <v>90</v>
      </c>
      <c r="O8" s="123" t="s">
        <v>74</v>
      </c>
      <c r="P8" s="123" t="s">
        <v>91</v>
      </c>
      <c r="Q8" s="123" t="s">
        <v>89</v>
      </c>
      <c r="R8" s="125">
        <f t="shared" si="1"/>
        <v>6</v>
      </c>
      <c r="S8" s="27">
        <f t="shared" si="2"/>
        <v>726</v>
      </c>
      <c r="T8" s="28">
        <f>+H41</f>
        <v>485</v>
      </c>
      <c r="U8" s="44">
        <f t="shared" si="3"/>
        <v>44.090909090909093</v>
      </c>
      <c r="V8" s="45">
        <f t="shared" si="4"/>
        <v>0.66804407713498626</v>
      </c>
      <c r="W8" s="46">
        <f>+K41</f>
        <v>814.42</v>
      </c>
      <c r="X8" s="29">
        <f t="shared" si="5"/>
        <v>74.038181818181812</v>
      </c>
      <c r="Y8" s="47">
        <f t="shared" si="6"/>
        <v>1.1217906336088155</v>
      </c>
      <c r="Z8" s="48">
        <f t="shared" si="7"/>
        <v>33.40220385674931</v>
      </c>
      <c r="AA8" s="49">
        <f t="shared" si="8"/>
        <v>61.081500000000005</v>
      </c>
      <c r="AB8" s="139">
        <f t="shared" si="9"/>
        <v>94.483703856749315</v>
      </c>
      <c r="AC8" s="50" t="str">
        <f t="shared" si="10"/>
        <v>90~99</v>
      </c>
      <c r="AD8" s="36"/>
      <c r="AE8" s="37">
        <f>AF8-F8</f>
        <v>-11</v>
      </c>
      <c r="AF8" s="38">
        <f>AM8</f>
        <v>0</v>
      </c>
      <c r="AG8" s="149" t="s">
        <v>31</v>
      </c>
      <c r="AH8" s="39"/>
      <c r="AI8" s="40">
        <f>IFERROR(Y8/V8*1000,"")</f>
        <v>1679.2164948453608</v>
      </c>
      <c r="AJ8" s="39"/>
      <c r="AK8" s="41"/>
      <c r="AL8" s="41"/>
      <c r="AM8" s="41"/>
      <c r="AO8" s="149">
        <f t="shared" si="11"/>
        <v>-11</v>
      </c>
      <c r="AP8" s="42"/>
    </row>
    <row r="9" spans="2:51" s="149" customFormat="1" ht="97.5" customHeight="1" x14ac:dyDescent="0.3">
      <c r="B9" s="421"/>
      <c r="C9" s="24">
        <f>+C8+1</f>
        <v>7</v>
      </c>
      <c r="D9" s="43" t="s">
        <v>32</v>
      </c>
      <c r="E9" s="26" t="s">
        <v>29</v>
      </c>
      <c r="F9" s="25">
        <v>8.5</v>
      </c>
      <c r="G9" s="125">
        <v>326</v>
      </c>
      <c r="H9" s="125">
        <f t="shared" si="0"/>
        <v>97.897897897897906</v>
      </c>
      <c r="I9" s="123" t="s">
        <v>85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91</v>
      </c>
      <c r="Q9" s="123" t="s">
        <v>89</v>
      </c>
      <c r="R9" s="125">
        <f t="shared" si="1"/>
        <v>6</v>
      </c>
      <c r="S9" s="27">
        <f t="shared" si="2"/>
        <v>561</v>
      </c>
      <c r="T9" s="51">
        <f>+H44</f>
        <v>333</v>
      </c>
      <c r="U9" s="44">
        <f t="shared" si="3"/>
        <v>39.176470588235297</v>
      </c>
      <c r="V9" s="45">
        <f t="shared" si="4"/>
        <v>0.5935828877005348</v>
      </c>
      <c r="W9" s="46">
        <f>+K44</f>
        <v>417.52</v>
      </c>
      <c r="X9" s="44">
        <f t="shared" si="5"/>
        <v>49.12</v>
      </c>
      <c r="Y9" s="47">
        <f t="shared" si="6"/>
        <v>0.74424242424242426</v>
      </c>
      <c r="Z9" s="48">
        <f t="shared" si="7"/>
        <v>29.679144385026738</v>
      </c>
      <c r="AA9" s="49">
        <f t="shared" si="8"/>
        <v>40.524000000000001</v>
      </c>
      <c r="AB9" s="139">
        <f t="shared" si="9"/>
        <v>70.203144385026746</v>
      </c>
      <c r="AC9" s="161" t="str">
        <f t="shared" si="10"/>
        <v xml:space="preserve"> 사유?→</v>
      </c>
      <c r="AD9" s="160" t="s">
        <v>96</v>
      </c>
      <c r="AE9" s="37">
        <f>AF9-F9</f>
        <v>-8.5</v>
      </c>
      <c r="AF9" s="38">
        <f>AM9</f>
        <v>0</v>
      </c>
      <c r="AG9" s="149" t="s">
        <v>34</v>
      </c>
      <c r="AH9" s="39"/>
      <c r="AI9" s="40">
        <f>IFERROR(Y9/V9*1000,"")</f>
        <v>1253.8138138138138</v>
      </c>
      <c r="AJ9" s="39"/>
      <c r="AK9" s="41"/>
      <c r="AL9" s="41"/>
      <c r="AM9" s="41"/>
      <c r="AO9" s="149">
        <f t="shared" si="11"/>
        <v>-8.5</v>
      </c>
      <c r="AP9" s="42"/>
    </row>
    <row r="10" spans="2:51" s="149" customFormat="1" ht="95.25" customHeight="1" x14ac:dyDescent="0.3">
      <c r="B10" s="421"/>
      <c r="C10" s="24">
        <f>+C9+1</f>
        <v>8</v>
      </c>
      <c r="D10" s="43" t="s">
        <v>35</v>
      </c>
      <c r="E10" s="26" t="s">
        <v>28</v>
      </c>
      <c r="F10" s="25">
        <v>5.5</v>
      </c>
      <c r="G10" s="125">
        <v>227</v>
      </c>
      <c r="H10" s="125">
        <f t="shared" si="0"/>
        <v>97.008547008547012</v>
      </c>
      <c r="I10" s="123" t="s">
        <v>85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74</v>
      </c>
      <c r="P10" s="123" t="s">
        <v>91</v>
      </c>
      <c r="Q10" s="123" t="s">
        <v>89</v>
      </c>
      <c r="R10" s="125">
        <f t="shared" si="1"/>
        <v>6</v>
      </c>
      <c r="S10" s="27">
        <f t="shared" si="2"/>
        <v>363</v>
      </c>
      <c r="T10" s="28">
        <f>+H47</f>
        <v>234</v>
      </c>
      <c r="U10" s="44">
        <f t="shared" si="3"/>
        <v>42.545454545454547</v>
      </c>
      <c r="V10" s="45">
        <f t="shared" si="4"/>
        <v>0.64462809917355368</v>
      </c>
      <c r="W10" s="46">
        <f>+K47</f>
        <v>296.37</v>
      </c>
      <c r="X10" s="29">
        <f t="shared" si="5"/>
        <v>53.885454545454543</v>
      </c>
      <c r="Y10" s="47">
        <f t="shared" si="6"/>
        <v>0.81644628099173555</v>
      </c>
      <c r="Z10" s="48">
        <f t="shared" si="7"/>
        <v>32.231404958677686</v>
      </c>
      <c r="AA10" s="49">
        <f t="shared" si="8"/>
        <v>44.455500000000001</v>
      </c>
      <c r="AB10" s="139">
        <f t="shared" si="9"/>
        <v>76.686904958677687</v>
      </c>
      <c r="AC10" s="161" t="str">
        <f t="shared" si="10"/>
        <v xml:space="preserve"> 사유?→</v>
      </c>
      <c r="AD10" s="160" t="s">
        <v>97</v>
      </c>
      <c r="AE10" s="37">
        <f>AF10-F10</f>
        <v>-5.5</v>
      </c>
      <c r="AF10" s="38">
        <f>AM10</f>
        <v>0</v>
      </c>
      <c r="AG10" s="149" t="s">
        <v>36</v>
      </c>
      <c r="AH10" s="39"/>
      <c r="AI10" s="40">
        <f>IFERROR(Y10/V10*1000,"")</f>
        <v>1266.5384615384617</v>
      </c>
      <c r="AJ10" s="39"/>
      <c r="AK10" s="41"/>
      <c r="AL10" s="41"/>
      <c r="AM10" s="41"/>
      <c r="AO10" s="149">
        <f t="shared" si="11"/>
        <v>-5.5</v>
      </c>
      <c r="AP10" s="42"/>
    </row>
    <row r="11" spans="2:51" s="149" customFormat="1" ht="102.75" customHeight="1" x14ac:dyDescent="0.3">
      <c r="B11" s="421"/>
      <c r="C11" s="24">
        <f>+C10+1</f>
        <v>9</v>
      </c>
      <c r="D11" s="43" t="s">
        <v>37</v>
      </c>
      <c r="E11" s="26" t="s">
        <v>29</v>
      </c>
      <c r="F11" s="25">
        <v>8.5</v>
      </c>
      <c r="G11" s="125">
        <v>376</v>
      </c>
      <c r="H11" s="125">
        <f t="shared" si="0"/>
        <v>98.687664041994751</v>
      </c>
      <c r="I11" s="123" t="s">
        <v>85</v>
      </c>
      <c r="J11" s="123" t="s">
        <v>86</v>
      </c>
      <c r="K11" s="123" t="s">
        <v>73</v>
      </c>
      <c r="L11" s="123" t="s">
        <v>87</v>
      </c>
      <c r="M11" s="123"/>
      <c r="N11" s="129" t="s">
        <v>90</v>
      </c>
      <c r="O11" s="123" t="s">
        <v>74</v>
      </c>
      <c r="P11" s="123" t="s">
        <v>91</v>
      </c>
      <c r="Q11" s="123" t="s">
        <v>89</v>
      </c>
      <c r="R11" s="125">
        <f t="shared" si="1"/>
        <v>6</v>
      </c>
      <c r="S11" s="27">
        <f t="shared" si="2"/>
        <v>561</v>
      </c>
      <c r="T11" s="28">
        <f>+H50</f>
        <v>381</v>
      </c>
      <c r="U11" s="44">
        <f t="shared" si="3"/>
        <v>44.823529411764703</v>
      </c>
      <c r="V11" s="45">
        <f t="shared" si="4"/>
        <v>0.67914438502673802</v>
      </c>
      <c r="W11" s="46">
        <f>+K50</f>
        <v>475.53</v>
      </c>
      <c r="X11" s="44">
        <f t="shared" si="5"/>
        <v>55.944705882352935</v>
      </c>
      <c r="Y11" s="47">
        <f t="shared" si="6"/>
        <v>0.84764705882352931</v>
      </c>
      <c r="Z11" s="48">
        <f t="shared" si="7"/>
        <v>33.957219251336902</v>
      </c>
      <c r="AA11" s="49">
        <f t="shared" si="8"/>
        <v>46.154382352941177</v>
      </c>
      <c r="AB11" s="139">
        <f t="shared" si="9"/>
        <v>80.111601604278079</v>
      </c>
      <c r="AC11" s="50" t="str">
        <f t="shared" si="10"/>
        <v>80~89</v>
      </c>
      <c r="AD11" s="36"/>
      <c r="AE11" s="37">
        <f>AF11-F11</f>
        <v>-8.5</v>
      </c>
      <c r="AF11" s="38">
        <f>AM11</f>
        <v>0</v>
      </c>
      <c r="AG11" s="149" t="s">
        <v>33</v>
      </c>
      <c r="AH11" s="39"/>
      <c r="AI11" s="40">
        <f>IFERROR(Y11/V11*1000,"")</f>
        <v>1248.1102362204722</v>
      </c>
      <c r="AK11" s="41"/>
      <c r="AL11" s="41"/>
      <c r="AM11" s="41"/>
      <c r="AO11" s="149">
        <f t="shared" si="11"/>
        <v>-8.5</v>
      </c>
      <c r="AP11" s="42"/>
    </row>
    <row r="12" spans="2:51" s="149" customFormat="1" ht="102.75" customHeight="1" x14ac:dyDescent="0.3">
      <c r="B12" s="421"/>
      <c r="C12" s="24">
        <f>+C11+1</f>
        <v>10</v>
      </c>
      <c r="D12" s="43" t="s">
        <v>38</v>
      </c>
      <c r="E12" s="26" t="s">
        <v>36</v>
      </c>
      <c r="F12" s="25">
        <v>8</v>
      </c>
      <c r="G12" s="125">
        <v>381</v>
      </c>
      <c r="H12" s="125">
        <f t="shared" si="0"/>
        <v>99.21875</v>
      </c>
      <c r="I12" s="123" t="s">
        <v>85</v>
      </c>
      <c r="J12" s="123" t="s">
        <v>86</v>
      </c>
      <c r="K12" s="123" t="s">
        <v>73</v>
      </c>
      <c r="L12" s="123" t="s">
        <v>87</v>
      </c>
      <c r="M12" s="123"/>
      <c r="N12" s="129" t="s">
        <v>90</v>
      </c>
      <c r="O12" s="123" t="s">
        <v>74</v>
      </c>
      <c r="P12" s="123" t="s">
        <v>91</v>
      </c>
      <c r="Q12" s="123" t="s">
        <v>89</v>
      </c>
      <c r="R12" s="125">
        <f t="shared" si="1"/>
        <v>6</v>
      </c>
      <c r="S12" s="144">
        <f t="shared" si="2"/>
        <v>528</v>
      </c>
      <c r="T12" s="28">
        <f>+H53</f>
        <v>384</v>
      </c>
      <c r="U12" s="29">
        <f t="shared" si="3"/>
        <v>48</v>
      </c>
      <c r="V12" s="30">
        <f t="shared" si="4"/>
        <v>0.72727272727272729</v>
      </c>
      <c r="W12" s="31">
        <f>+K53</f>
        <v>480.67</v>
      </c>
      <c r="X12" s="44">
        <f t="shared" si="5"/>
        <v>60.083750000000002</v>
      </c>
      <c r="Y12" s="47">
        <f t="shared" si="6"/>
        <v>0.91035984848484852</v>
      </c>
      <c r="Z12" s="48">
        <f t="shared" si="7"/>
        <v>36.363636363636367</v>
      </c>
      <c r="AA12" s="49">
        <f t="shared" si="8"/>
        <v>49.569093750000008</v>
      </c>
      <c r="AB12" s="139">
        <f t="shared" si="9"/>
        <v>85.932730113636381</v>
      </c>
      <c r="AC12" s="50" t="str">
        <f t="shared" si="10"/>
        <v>80~89</v>
      </c>
      <c r="AD12" s="36"/>
      <c r="AE12" s="37"/>
      <c r="AF12" s="38"/>
      <c r="AH12" s="39"/>
      <c r="AI12" s="40"/>
      <c r="AK12" s="41"/>
      <c r="AL12" s="41"/>
      <c r="AM12" s="41"/>
      <c r="AO12" s="149">
        <f t="shared" si="11"/>
        <v>-8</v>
      </c>
      <c r="AP12" s="42"/>
    </row>
    <row r="13" spans="2:51" s="149" customFormat="1" ht="36" customHeight="1" x14ac:dyDescent="0.3">
      <c r="B13" s="422" t="s">
        <v>39</v>
      </c>
      <c r="C13" s="423"/>
      <c r="D13" s="423"/>
      <c r="E13" s="424"/>
      <c r="F13" s="43">
        <f>SUM(F7:F12)</f>
        <v>50</v>
      </c>
      <c r="G13" s="125"/>
      <c r="H13" s="125"/>
      <c r="I13" s="122"/>
      <c r="J13" s="122"/>
      <c r="K13" s="122"/>
      <c r="L13" s="122"/>
      <c r="M13" s="122"/>
      <c r="N13" s="122"/>
      <c r="O13" s="122"/>
      <c r="P13" s="122"/>
      <c r="Q13" s="122"/>
      <c r="R13" s="125">
        <f t="shared" si="1"/>
        <v>0</v>
      </c>
      <c r="S13" s="52">
        <f>SUM(S7:S12)</f>
        <v>3300</v>
      </c>
      <c r="T13" s="53">
        <f>SUM(T7:T12)</f>
        <v>2293</v>
      </c>
      <c r="U13" s="54">
        <f>T13/F13</f>
        <v>45.86</v>
      </c>
      <c r="V13" s="45">
        <f t="shared" si="4"/>
        <v>0.69484848484848483</v>
      </c>
      <c r="W13" s="55">
        <f>SUM(W7:W12)</f>
        <v>2890.17</v>
      </c>
      <c r="X13" s="44">
        <f>W13/F13</f>
        <v>57.803400000000003</v>
      </c>
      <c r="Y13" s="47">
        <f t="shared" si="6"/>
        <v>0.87580909090909098</v>
      </c>
      <c r="Z13" s="56">
        <f>T13/S13*Z4</f>
        <v>34.742424242424242</v>
      </c>
      <c r="AA13" s="57">
        <f>W13/S13*AA4</f>
        <v>47.687805000000004</v>
      </c>
      <c r="AB13" s="140">
        <f t="shared" si="9"/>
        <v>82.430229242424247</v>
      </c>
      <c r="AC13" s="58" t="str">
        <f t="shared" si="10"/>
        <v>80~89</v>
      </c>
      <c r="AD13" s="43"/>
      <c r="AE13" s="37">
        <f>AF13-F13</f>
        <v>-50</v>
      </c>
      <c r="AF13" s="38">
        <f>SUM(AF7:AF12)</f>
        <v>0</v>
      </c>
      <c r="AI13" s="40"/>
      <c r="AK13" s="59"/>
      <c r="AL13" s="59"/>
      <c r="AM13" s="59"/>
    </row>
    <row r="14" spans="2:51" s="69" customFormat="1" ht="36" hidden="1" customHeight="1" x14ac:dyDescent="0.3">
      <c r="B14" s="443" t="s">
        <v>40</v>
      </c>
      <c r="C14" s="444"/>
      <c r="D14" s="444"/>
      <c r="E14" s="445"/>
      <c r="F14" s="60">
        <f>AVERAGE(F7:F12)</f>
        <v>8.3333333333333339</v>
      </c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61">
        <f>U14*F14</f>
        <v>382.16666666666669</v>
      </c>
      <c r="U14" s="62">
        <f>T13/F13</f>
        <v>45.86</v>
      </c>
      <c r="V14" s="63">
        <f>IFERROR(T14/#REF!,0)</f>
        <v>0</v>
      </c>
      <c r="W14" s="64">
        <f>W13/F13*F14</f>
        <v>481.69500000000005</v>
      </c>
      <c r="X14" s="62">
        <f>IF(F14=0,"휴무",W14/F14)</f>
        <v>57.803400000000003</v>
      </c>
      <c r="Y14" s="65">
        <f>IFERROR(W14/#REF!,0)</f>
        <v>0</v>
      </c>
      <c r="Z14" s="60">
        <f>AVERAGE(Z7:Z12)</f>
        <v>34.676308539944905</v>
      </c>
      <c r="AA14" s="60">
        <f>AVERAGE(AA7:AA12)</f>
        <v>46.859559742647065</v>
      </c>
      <c r="AB14" s="141">
        <f>Z14+AA14</f>
        <v>81.535868282591963</v>
      </c>
      <c r="AC14" s="67"/>
      <c r="AD14" s="68"/>
      <c r="AI14" s="40" t="str">
        <f>IFERROR(Y14/V14*1000,"")</f>
        <v/>
      </c>
      <c r="AK14" s="10"/>
      <c r="AL14" s="10"/>
      <c r="AM14" s="10"/>
    </row>
    <row r="15" spans="2:51" s="149" customFormat="1" x14ac:dyDescent="0.3">
      <c r="B15" s="70" t="s">
        <v>41</v>
      </c>
      <c r="C15" s="71"/>
      <c r="D15" s="71"/>
      <c r="E15" s="72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22"/>
      <c r="U15" s="10"/>
      <c r="V15" s="73">
        <f>V14*60</f>
        <v>0</v>
      </c>
      <c r="W15" s="74"/>
      <c r="X15" s="73"/>
      <c r="Y15" s="74">
        <f>Y14*40</f>
        <v>0</v>
      </c>
      <c r="AB15" s="142">
        <f>V15+Y15</f>
        <v>0</v>
      </c>
      <c r="AK15" s="59"/>
      <c r="AL15" s="59"/>
      <c r="AM15" s="59"/>
    </row>
    <row r="16" spans="2:51" ht="17.25" thickBot="1" x14ac:dyDescent="0.35">
      <c r="B16" s="70"/>
    </row>
    <row r="17" spans="2:42" ht="17.25" thickBot="1" x14ac:dyDescent="0.35">
      <c r="B17" s="76" t="s">
        <v>42</v>
      </c>
      <c r="C17" s="77"/>
      <c r="D17" s="78" t="s">
        <v>43</v>
      </c>
      <c r="E17" s="78"/>
      <c r="F17" s="79"/>
    </row>
    <row r="19" spans="2:42" ht="45" customHeight="1" x14ac:dyDescent="0.3">
      <c r="B19" s="463" t="s">
        <v>44</v>
      </c>
      <c r="C19" s="464"/>
      <c r="D19" s="464"/>
      <c r="E19" s="464"/>
      <c r="F19" s="464"/>
      <c r="G19" s="464"/>
      <c r="H19" s="464"/>
      <c r="I19" s="464"/>
      <c r="J19" s="464"/>
      <c r="K19" s="464"/>
      <c r="L19" s="464"/>
      <c r="M19" s="464"/>
      <c r="N19" s="464"/>
      <c r="O19" s="464"/>
      <c r="P19" s="464"/>
      <c r="Q19" s="464"/>
      <c r="R19" s="464"/>
      <c r="S19" s="464"/>
      <c r="T19" s="464"/>
      <c r="U19" s="464"/>
      <c r="V19" s="464"/>
      <c r="W19" s="464"/>
      <c r="X19" s="464"/>
      <c r="Y19" s="464"/>
      <c r="Z19" s="464"/>
      <c r="AA19" s="464"/>
      <c r="AB19" s="464"/>
      <c r="AC19" s="464"/>
      <c r="AD19" s="464"/>
    </row>
    <row r="20" spans="2:42" x14ac:dyDescent="0.3">
      <c r="B20" t="s">
        <v>5</v>
      </c>
      <c r="D20" s="7">
        <v>55</v>
      </c>
      <c r="F20" s="8" t="s">
        <v>6</v>
      </c>
      <c r="T20" s="9">
        <v>1.2</v>
      </c>
      <c r="Z20" s="12">
        <f>Z4</f>
        <v>50</v>
      </c>
      <c r="AA20" s="11">
        <f>AA4</f>
        <v>54.45</v>
      </c>
      <c r="AB20" s="12"/>
      <c r="AD20" s="8"/>
    </row>
    <row r="21" spans="2:42" ht="19.149999999999999" customHeight="1" x14ac:dyDescent="0.3">
      <c r="B21" s="430" t="s">
        <v>7</v>
      </c>
      <c r="C21" s="430" t="s">
        <v>45</v>
      </c>
      <c r="D21" s="430" t="s">
        <v>8</v>
      </c>
      <c r="E21" s="432" t="s">
        <v>9</v>
      </c>
      <c r="F21" s="432" t="s">
        <v>10</v>
      </c>
      <c r="G21" s="434" t="s">
        <v>83</v>
      </c>
      <c r="H21" s="434" t="s">
        <v>82</v>
      </c>
      <c r="I21" s="436" t="s">
        <v>79</v>
      </c>
      <c r="J21" s="437"/>
      <c r="K21" s="437"/>
      <c r="L21" s="437"/>
      <c r="M21" s="437"/>
      <c r="N21" s="437"/>
      <c r="O21" s="437"/>
      <c r="P21" s="437"/>
      <c r="Q21" s="437"/>
      <c r="R21" s="438"/>
      <c r="S21" s="439" t="s">
        <v>11</v>
      </c>
      <c r="T21" s="441" t="s">
        <v>12</v>
      </c>
      <c r="U21" s="418"/>
      <c r="V21" s="442"/>
      <c r="W21" s="446" t="s">
        <v>13</v>
      </c>
      <c r="X21" s="418"/>
      <c r="Y21" s="418"/>
      <c r="Z21" s="451" t="s">
        <v>20</v>
      </c>
      <c r="AA21" s="453" t="s">
        <v>21</v>
      </c>
      <c r="AB21" s="447" t="s">
        <v>14</v>
      </c>
      <c r="AC21" s="449" t="s">
        <v>15</v>
      </c>
      <c r="AD21" s="418" t="s">
        <v>16</v>
      </c>
    </row>
    <row r="22" spans="2:42" s="22" customFormat="1" ht="48" customHeight="1" thickBot="1" x14ac:dyDescent="0.35">
      <c r="B22" s="431"/>
      <c r="C22" s="431"/>
      <c r="D22" s="431"/>
      <c r="E22" s="433"/>
      <c r="F22" s="433"/>
      <c r="G22" s="435"/>
      <c r="H22" s="435"/>
      <c r="I22" s="18" t="s">
        <v>68</v>
      </c>
      <c r="J22" s="18" t="s">
        <v>69</v>
      </c>
      <c r="K22" s="18" t="s">
        <v>70</v>
      </c>
      <c r="L22" s="18" t="s">
        <v>71</v>
      </c>
      <c r="M22" s="18" t="s">
        <v>72</v>
      </c>
      <c r="N22" s="18" t="s">
        <v>75</v>
      </c>
      <c r="O22" s="18" t="s">
        <v>75</v>
      </c>
      <c r="P22" s="18" t="s">
        <v>76</v>
      </c>
      <c r="Q22" s="18" t="s">
        <v>77</v>
      </c>
      <c r="R22" s="127" t="s">
        <v>80</v>
      </c>
      <c r="S22" s="440"/>
      <c r="T22" s="15" t="s">
        <v>12</v>
      </c>
      <c r="U22" s="16" t="s">
        <v>17</v>
      </c>
      <c r="V22" s="17" t="s">
        <v>18</v>
      </c>
      <c r="W22" s="18" t="s">
        <v>13</v>
      </c>
      <c r="X22" s="16" t="s">
        <v>19</v>
      </c>
      <c r="Y22" s="19" t="s">
        <v>18</v>
      </c>
      <c r="Z22" s="452"/>
      <c r="AA22" s="454"/>
      <c r="AB22" s="448"/>
      <c r="AC22" s="450"/>
      <c r="AD22" s="419"/>
      <c r="AE22" s="21" t="s">
        <v>22</v>
      </c>
      <c r="AF22" s="21" t="s">
        <v>23</v>
      </c>
      <c r="AI22" s="22" t="s">
        <v>24</v>
      </c>
      <c r="AK22" s="23" t="s">
        <v>25</v>
      </c>
      <c r="AL22" s="23" t="s">
        <v>26</v>
      </c>
      <c r="AM22" s="23" t="s">
        <v>27</v>
      </c>
      <c r="AO22" s="22">
        <f>SUM(AO23:AO28)</f>
        <v>-55.5</v>
      </c>
    </row>
    <row r="23" spans="2:42" s="149" customFormat="1" ht="99" customHeight="1" thickTop="1" x14ac:dyDescent="0.3">
      <c r="B23" s="420">
        <f>+B7</f>
        <v>1</v>
      </c>
      <c r="C23" s="24">
        <f t="shared" ref="C23:C28" si="12">+C7</f>
        <v>5</v>
      </c>
      <c r="D23" s="25" t="s">
        <v>7</v>
      </c>
      <c r="E23" s="26" t="s">
        <v>29</v>
      </c>
      <c r="F23" s="25">
        <v>8.5</v>
      </c>
      <c r="G23" s="128">
        <v>512</v>
      </c>
      <c r="H23" s="128">
        <f t="shared" ref="H23:H28" si="13">(G23/T23)*100</f>
        <v>99.610894941634243</v>
      </c>
      <c r="I23" s="123" t="s">
        <v>78</v>
      </c>
      <c r="J23" s="123" t="s">
        <v>88</v>
      </c>
      <c r="K23" s="123" t="s">
        <v>92</v>
      </c>
      <c r="L23" s="123" t="s">
        <v>84</v>
      </c>
      <c r="M23" s="123"/>
      <c r="N23" s="129" t="s">
        <v>90</v>
      </c>
      <c r="O23" s="123" t="s">
        <v>74</v>
      </c>
      <c r="P23" s="123" t="s">
        <v>91</v>
      </c>
      <c r="Q23" s="123" t="s">
        <v>89</v>
      </c>
      <c r="R23" s="124">
        <f t="shared" ref="R23:R28" si="14">COUNTA(I23:M23)+COUNTA(N23:Q23)/2</f>
        <v>6</v>
      </c>
      <c r="S23" s="27">
        <f t="shared" ref="S23:S28" si="15">F23*$D$4*$T$4</f>
        <v>561</v>
      </c>
      <c r="T23" s="28">
        <f>+H58</f>
        <v>514</v>
      </c>
      <c r="U23" s="29">
        <f t="shared" ref="U23:U28" si="16">IF(F23=0,"휴무",T23/F23)</f>
        <v>60.470588235294116</v>
      </c>
      <c r="V23" s="30">
        <f t="shared" ref="V23:V29" si="17">IFERROR(T23/S23,0)</f>
        <v>0.91622103386809273</v>
      </c>
      <c r="W23" s="31">
        <f>+K58</f>
        <v>490.13</v>
      </c>
      <c r="X23" s="29">
        <f t="shared" ref="X23:X28" si="18">IF(F23=0,"휴무",W23/F23)</f>
        <v>57.662352941176472</v>
      </c>
      <c r="Y23" s="32">
        <f t="shared" ref="Y23:Y29" si="19">IFERROR(W23/S23,0)</f>
        <v>0.87367201426024954</v>
      </c>
      <c r="Z23" s="33">
        <f t="shared" ref="Z23:Z28" si="20">IF(F23=0,"휴무",T23/S23*$Z$4)</f>
        <v>45.811051693404636</v>
      </c>
      <c r="AA23" s="34">
        <f t="shared" ref="AA23:AA28" si="21">IF(F23=0,"휴무",W23/S23*$AA$4)</f>
        <v>47.571441176470593</v>
      </c>
      <c r="AB23" s="138">
        <f t="shared" ref="AB23:AB29" si="22">IF(F23=0,"휴무",Z23+AA23)</f>
        <v>93.382492869875222</v>
      </c>
      <c r="AC23" s="35" t="str">
        <f t="shared" ref="AC23:AC29" si="23">IF(F23=0,"휴무",IF(AB23&gt;=100,"좋아요",IF(AB23&gt;=90,"90~99",IF(AB23&gt;=80,"80~89"," 사유?→"))))</f>
        <v>90~99</v>
      </c>
      <c r="AD23" s="36"/>
      <c r="AE23" s="37">
        <f>AF23-F23</f>
        <v>-8.5</v>
      </c>
      <c r="AF23" s="38">
        <f>AM23</f>
        <v>0</v>
      </c>
      <c r="AG23" s="149" t="s">
        <v>29</v>
      </c>
      <c r="AH23" s="39"/>
      <c r="AI23" s="40">
        <f>IFERROR(Y23/V23*1000,"")</f>
        <v>953.56031128404663</v>
      </c>
      <c r="AJ23" s="39"/>
      <c r="AK23" s="41"/>
      <c r="AL23" s="41"/>
      <c r="AM23" s="41"/>
      <c r="AO23" s="149">
        <f t="shared" ref="AO23:AO28" si="24">AN23-F23</f>
        <v>-8.5</v>
      </c>
      <c r="AP23" s="42"/>
    </row>
    <row r="24" spans="2:42" s="149" customFormat="1" ht="99.75" customHeight="1" x14ac:dyDescent="0.3">
      <c r="B24" s="421"/>
      <c r="C24" s="24">
        <f t="shared" si="12"/>
        <v>6</v>
      </c>
      <c r="D24" s="43" t="s">
        <v>30</v>
      </c>
      <c r="E24" s="26" t="s">
        <v>28</v>
      </c>
      <c r="F24" s="25">
        <v>11</v>
      </c>
      <c r="G24" s="125">
        <v>694</v>
      </c>
      <c r="H24" s="125">
        <f t="shared" si="13"/>
        <v>96.121883656509695</v>
      </c>
      <c r="I24" s="123" t="s">
        <v>78</v>
      </c>
      <c r="J24" s="123" t="s">
        <v>88</v>
      </c>
      <c r="K24" s="123" t="s">
        <v>92</v>
      </c>
      <c r="L24" s="123" t="s">
        <v>84</v>
      </c>
      <c r="M24" s="123"/>
      <c r="N24" s="129" t="s">
        <v>90</v>
      </c>
      <c r="O24" s="123" t="s">
        <v>74</v>
      </c>
      <c r="P24" s="123" t="s">
        <v>91</v>
      </c>
      <c r="Q24" s="123" t="s">
        <v>89</v>
      </c>
      <c r="R24" s="124">
        <f t="shared" si="14"/>
        <v>6</v>
      </c>
      <c r="S24" s="27">
        <f t="shared" si="15"/>
        <v>726</v>
      </c>
      <c r="T24" s="28">
        <f>+H61</f>
        <v>722</v>
      </c>
      <c r="U24" s="44">
        <f t="shared" si="16"/>
        <v>65.63636363636364</v>
      </c>
      <c r="V24" s="45">
        <f t="shared" si="17"/>
        <v>0.99449035812672182</v>
      </c>
      <c r="W24" s="46">
        <f>+K61</f>
        <v>506.57</v>
      </c>
      <c r="X24" s="29">
        <f t="shared" si="18"/>
        <v>46.051818181818184</v>
      </c>
      <c r="Y24" s="47">
        <f t="shared" si="19"/>
        <v>0.6977548209366391</v>
      </c>
      <c r="Z24" s="48">
        <f t="shared" si="20"/>
        <v>49.724517906336089</v>
      </c>
      <c r="AA24" s="49">
        <f t="shared" si="21"/>
        <v>37.992750000000001</v>
      </c>
      <c r="AB24" s="139">
        <f t="shared" si="22"/>
        <v>87.71726790633609</v>
      </c>
      <c r="AC24" s="80" t="str">
        <f t="shared" si="23"/>
        <v>80~89</v>
      </c>
      <c r="AD24" s="36"/>
      <c r="AE24" s="37">
        <f>AF24-F24</f>
        <v>-11</v>
      </c>
      <c r="AF24" s="38">
        <f>AM24</f>
        <v>0</v>
      </c>
      <c r="AG24" s="149" t="s">
        <v>34</v>
      </c>
      <c r="AH24" s="39"/>
      <c r="AI24" s="40">
        <f>IFERROR(Y24/V24*1000,"")</f>
        <v>701.62049861495836</v>
      </c>
      <c r="AJ24" s="39"/>
      <c r="AK24" s="41"/>
      <c r="AL24" s="41"/>
      <c r="AM24" s="41"/>
      <c r="AO24" s="149">
        <f t="shared" si="24"/>
        <v>-11</v>
      </c>
      <c r="AP24" s="42"/>
    </row>
    <row r="25" spans="2:42" s="149" customFormat="1" ht="97.5" customHeight="1" x14ac:dyDescent="0.3">
      <c r="B25" s="421"/>
      <c r="C25" s="24">
        <f t="shared" si="12"/>
        <v>7</v>
      </c>
      <c r="D25" s="43" t="s">
        <v>32</v>
      </c>
      <c r="E25" s="26" t="s">
        <v>29</v>
      </c>
      <c r="F25" s="25">
        <v>8.5</v>
      </c>
      <c r="G25" s="124">
        <v>531</v>
      </c>
      <c r="H25" s="124">
        <f t="shared" si="13"/>
        <v>97.074954296160882</v>
      </c>
      <c r="I25" s="123" t="s">
        <v>78</v>
      </c>
      <c r="J25" s="123" t="s">
        <v>88</v>
      </c>
      <c r="K25" s="123" t="s">
        <v>92</v>
      </c>
      <c r="L25" s="123" t="s">
        <v>84</v>
      </c>
      <c r="M25" s="123"/>
      <c r="N25" s="129" t="s">
        <v>90</v>
      </c>
      <c r="O25" s="123" t="s">
        <v>74</v>
      </c>
      <c r="P25" s="123" t="s">
        <v>91</v>
      </c>
      <c r="Q25" s="123" t="s">
        <v>89</v>
      </c>
      <c r="R25" s="124">
        <f t="shared" si="14"/>
        <v>6</v>
      </c>
      <c r="S25" s="27">
        <f t="shared" si="15"/>
        <v>561</v>
      </c>
      <c r="T25" s="28">
        <f>+H64</f>
        <v>547</v>
      </c>
      <c r="U25" s="44">
        <f t="shared" si="16"/>
        <v>64.352941176470594</v>
      </c>
      <c r="V25" s="45">
        <f t="shared" si="17"/>
        <v>0.97504456327985745</v>
      </c>
      <c r="W25" s="46">
        <f>+K64</f>
        <v>374.96</v>
      </c>
      <c r="X25" s="29">
        <f t="shared" si="18"/>
        <v>44.112941176470585</v>
      </c>
      <c r="Y25" s="47">
        <f t="shared" si="19"/>
        <v>0.66837789661319069</v>
      </c>
      <c r="Z25" s="48">
        <f t="shared" si="20"/>
        <v>48.752228163992875</v>
      </c>
      <c r="AA25" s="49">
        <f t="shared" si="21"/>
        <v>36.393176470588237</v>
      </c>
      <c r="AB25" s="139">
        <f t="shared" si="22"/>
        <v>85.145404634581112</v>
      </c>
      <c r="AC25" s="50" t="str">
        <f t="shared" si="23"/>
        <v>80~89</v>
      </c>
      <c r="AD25" s="36"/>
      <c r="AE25" s="37">
        <f>AF25-F25</f>
        <v>-8.5</v>
      </c>
      <c r="AF25" s="38">
        <f>AM25</f>
        <v>0</v>
      </c>
      <c r="AG25" s="149" t="s">
        <v>36</v>
      </c>
      <c r="AH25" s="39"/>
      <c r="AI25" s="40">
        <f>IFERROR(Y25/V25*1000,"")</f>
        <v>685.48446069469821</v>
      </c>
      <c r="AJ25" s="39"/>
      <c r="AK25" s="41"/>
      <c r="AL25" s="41"/>
      <c r="AM25" s="41"/>
      <c r="AO25" s="149">
        <f t="shared" si="24"/>
        <v>-8.5</v>
      </c>
      <c r="AP25" s="42"/>
    </row>
    <row r="26" spans="2:42" s="149" customFormat="1" ht="115.5" customHeight="1" x14ac:dyDescent="0.3">
      <c r="B26" s="421"/>
      <c r="C26" s="24">
        <f t="shared" si="12"/>
        <v>8</v>
      </c>
      <c r="D26" s="43" t="s">
        <v>35</v>
      </c>
      <c r="E26" s="26" t="s">
        <v>28</v>
      </c>
      <c r="F26" s="25">
        <v>11</v>
      </c>
      <c r="G26" s="124">
        <v>725</v>
      </c>
      <c r="H26" s="124">
        <f t="shared" si="13"/>
        <v>99.315068493150676</v>
      </c>
      <c r="I26" s="123" t="s">
        <v>78</v>
      </c>
      <c r="J26" s="123" t="s">
        <v>88</v>
      </c>
      <c r="K26" s="123" t="s">
        <v>92</v>
      </c>
      <c r="L26" s="123" t="s">
        <v>84</v>
      </c>
      <c r="M26" s="123"/>
      <c r="N26" s="129" t="s">
        <v>90</v>
      </c>
      <c r="O26" s="123" t="s">
        <v>74</v>
      </c>
      <c r="P26" s="123" t="s">
        <v>91</v>
      </c>
      <c r="Q26" s="123" t="s">
        <v>89</v>
      </c>
      <c r="R26" s="124">
        <f t="shared" si="14"/>
        <v>6</v>
      </c>
      <c r="S26" s="27">
        <f t="shared" si="15"/>
        <v>726</v>
      </c>
      <c r="T26" s="28">
        <f>+H67</f>
        <v>730</v>
      </c>
      <c r="U26" s="44">
        <f t="shared" si="16"/>
        <v>66.36363636363636</v>
      </c>
      <c r="V26" s="45">
        <f t="shared" si="17"/>
        <v>1.0055096418732783</v>
      </c>
      <c r="W26" s="46">
        <f>+K67</f>
        <v>578.42000000000007</v>
      </c>
      <c r="X26" s="44">
        <f t="shared" si="18"/>
        <v>52.583636363636373</v>
      </c>
      <c r="Y26" s="47">
        <f t="shared" si="19"/>
        <v>0.79672176308539955</v>
      </c>
      <c r="Z26" s="48">
        <f t="shared" si="20"/>
        <v>50.275482093663918</v>
      </c>
      <c r="AA26" s="49">
        <f t="shared" si="21"/>
        <v>43.38150000000001</v>
      </c>
      <c r="AB26" s="139">
        <f t="shared" si="22"/>
        <v>93.656982093663927</v>
      </c>
      <c r="AC26" s="50" t="str">
        <f t="shared" si="23"/>
        <v>90~99</v>
      </c>
      <c r="AD26" s="36"/>
      <c r="AE26" s="37">
        <f>AF26-F26</f>
        <v>-11</v>
      </c>
      <c r="AF26" s="38">
        <f>AM26</f>
        <v>0</v>
      </c>
      <c r="AG26" s="149" t="s">
        <v>33</v>
      </c>
      <c r="AH26" s="39"/>
      <c r="AI26" s="40">
        <f>IFERROR(Y26/V26*1000,"")</f>
        <v>792.35616438356169</v>
      </c>
      <c r="AJ26" s="39"/>
      <c r="AK26" s="41"/>
      <c r="AL26" s="41"/>
      <c r="AM26" s="41"/>
      <c r="AO26" s="149">
        <f t="shared" si="24"/>
        <v>-11</v>
      </c>
      <c r="AP26" s="42"/>
    </row>
    <row r="27" spans="2:42" s="149" customFormat="1" ht="104.25" customHeight="1" x14ac:dyDescent="0.3">
      <c r="B27" s="421"/>
      <c r="C27" s="24">
        <f t="shared" si="12"/>
        <v>9</v>
      </c>
      <c r="D27" s="43" t="s">
        <v>37</v>
      </c>
      <c r="E27" s="26" t="s">
        <v>29</v>
      </c>
      <c r="F27" s="25">
        <v>8.5</v>
      </c>
      <c r="G27" s="125">
        <v>511</v>
      </c>
      <c r="H27" s="130">
        <f t="shared" si="13"/>
        <v>99.416342412451371</v>
      </c>
      <c r="I27" s="123" t="s">
        <v>78</v>
      </c>
      <c r="J27" s="123" t="s">
        <v>88</v>
      </c>
      <c r="K27" s="123" t="s">
        <v>92</v>
      </c>
      <c r="L27" s="123" t="s">
        <v>84</v>
      </c>
      <c r="M27" s="123"/>
      <c r="N27" s="129" t="s">
        <v>90</v>
      </c>
      <c r="O27" s="123" t="s">
        <v>74</v>
      </c>
      <c r="P27" s="123" t="s">
        <v>91</v>
      </c>
      <c r="Q27" s="123" t="s">
        <v>89</v>
      </c>
      <c r="R27" s="125">
        <f t="shared" si="14"/>
        <v>6</v>
      </c>
      <c r="S27" s="27">
        <f t="shared" si="15"/>
        <v>561</v>
      </c>
      <c r="T27" s="28">
        <f>+H70</f>
        <v>514</v>
      </c>
      <c r="U27" s="44">
        <f t="shared" si="16"/>
        <v>60.470588235294116</v>
      </c>
      <c r="V27" s="45">
        <f t="shared" si="17"/>
        <v>0.91622103386809273</v>
      </c>
      <c r="W27" s="46">
        <f>+K70</f>
        <v>368.28</v>
      </c>
      <c r="X27" s="44">
        <f t="shared" si="18"/>
        <v>43.327058823529406</v>
      </c>
      <c r="Y27" s="47">
        <f t="shared" si="19"/>
        <v>0.65647058823529403</v>
      </c>
      <c r="Z27" s="48">
        <f t="shared" si="20"/>
        <v>45.811051693404636</v>
      </c>
      <c r="AA27" s="49">
        <f t="shared" si="21"/>
        <v>35.744823529411761</v>
      </c>
      <c r="AB27" s="139">
        <f t="shared" si="22"/>
        <v>81.555875222816397</v>
      </c>
      <c r="AC27" s="50" t="str">
        <f t="shared" si="23"/>
        <v>80~89</v>
      </c>
      <c r="AD27" s="36"/>
      <c r="AE27" s="37">
        <f>AF27-F27</f>
        <v>-8.5</v>
      </c>
      <c r="AF27" s="38">
        <f>AM27</f>
        <v>0</v>
      </c>
      <c r="AG27" s="149" t="s">
        <v>46</v>
      </c>
      <c r="AH27" s="39"/>
      <c r="AI27" s="40">
        <f>IFERROR(Y27/V27*1000,"")</f>
        <v>716.49805447470806</v>
      </c>
      <c r="AK27" s="41"/>
      <c r="AL27" s="41"/>
      <c r="AM27" s="41"/>
      <c r="AO27" s="149">
        <f t="shared" si="24"/>
        <v>-8.5</v>
      </c>
      <c r="AP27" s="42"/>
    </row>
    <row r="28" spans="2:42" s="149" customFormat="1" ht="104.25" customHeight="1" x14ac:dyDescent="0.3">
      <c r="B28" s="421"/>
      <c r="C28" s="24">
        <f t="shared" si="12"/>
        <v>10</v>
      </c>
      <c r="D28" s="43" t="s">
        <v>47</v>
      </c>
      <c r="E28" s="26" t="s">
        <v>36</v>
      </c>
      <c r="F28" s="25">
        <v>8</v>
      </c>
      <c r="G28" s="124">
        <v>507</v>
      </c>
      <c r="H28" s="124">
        <f t="shared" si="13"/>
        <v>99.803149606299215</v>
      </c>
      <c r="I28" s="123" t="s">
        <v>78</v>
      </c>
      <c r="J28" s="123" t="s">
        <v>88</v>
      </c>
      <c r="K28" s="123" t="s">
        <v>92</v>
      </c>
      <c r="L28" s="123" t="s">
        <v>84</v>
      </c>
      <c r="M28" s="123"/>
      <c r="N28" s="129" t="s">
        <v>90</v>
      </c>
      <c r="O28" s="123" t="s">
        <v>74</v>
      </c>
      <c r="P28" s="123" t="s">
        <v>91</v>
      </c>
      <c r="Q28" s="123" t="s">
        <v>89</v>
      </c>
      <c r="R28" s="124">
        <f t="shared" si="14"/>
        <v>6</v>
      </c>
      <c r="S28" s="144">
        <f t="shared" si="15"/>
        <v>528</v>
      </c>
      <c r="T28" s="28">
        <f>+H73</f>
        <v>508</v>
      </c>
      <c r="U28" s="29">
        <f t="shared" si="16"/>
        <v>63.5</v>
      </c>
      <c r="V28" s="30">
        <f t="shared" si="17"/>
        <v>0.96212121212121215</v>
      </c>
      <c r="W28" s="31">
        <f>+K73</f>
        <v>376.63</v>
      </c>
      <c r="X28" s="44">
        <f t="shared" si="18"/>
        <v>47.078749999999999</v>
      </c>
      <c r="Y28" s="47">
        <f t="shared" si="19"/>
        <v>0.71331439393939389</v>
      </c>
      <c r="Z28" s="48">
        <f t="shared" si="20"/>
        <v>48.106060606060609</v>
      </c>
      <c r="AA28" s="49">
        <f t="shared" si="21"/>
        <v>38.839968749999997</v>
      </c>
      <c r="AB28" s="139">
        <f t="shared" si="22"/>
        <v>86.946029356060606</v>
      </c>
      <c r="AC28" s="50" t="str">
        <f t="shared" si="23"/>
        <v>80~89</v>
      </c>
      <c r="AD28" s="36"/>
      <c r="AE28" s="37"/>
      <c r="AF28" s="38"/>
      <c r="AH28" s="39"/>
      <c r="AI28" s="40"/>
      <c r="AK28" s="41"/>
      <c r="AL28" s="41"/>
      <c r="AM28" s="41"/>
      <c r="AO28" s="149">
        <f t="shared" si="24"/>
        <v>-8</v>
      </c>
      <c r="AP28" s="42"/>
    </row>
    <row r="29" spans="2:42" s="149" customFormat="1" ht="36" customHeight="1" x14ac:dyDescent="0.3">
      <c r="B29" s="422" t="s">
        <v>39</v>
      </c>
      <c r="C29" s="423"/>
      <c r="D29" s="423"/>
      <c r="E29" s="424"/>
      <c r="F29" s="43">
        <f>SUM(F23:F28)</f>
        <v>55.5</v>
      </c>
      <c r="G29" s="126"/>
      <c r="H29" s="126"/>
      <c r="I29" s="122"/>
      <c r="J29" s="122"/>
      <c r="K29" s="122"/>
      <c r="L29" s="122"/>
      <c r="M29" s="122"/>
      <c r="N29" s="122"/>
      <c r="O29" s="122"/>
      <c r="P29" s="122"/>
      <c r="Q29" s="122"/>
      <c r="R29" s="126"/>
      <c r="S29" s="52">
        <f>SUM(S23:S28)</f>
        <v>3663</v>
      </c>
      <c r="T29" s="53">
        <f>SUM(T23:T28)</f>
        <v>3535</v>
      </c>
      <c r="U29" s="54">
        <f>T29/F29</f>
        <v>63.693693693693696</v>
      </c>
      <c r="V29" s="45">
        <f t="shared" si="17"/>
        <v>0.96505596505596503</v>
      </c>
      <c r="W29" s="55">
        <f>SUM(W23:W28)</f>
        <v>2694.9900000000002</v>
      </c>
      <c r="X29" s="44">
        <f>W29/F29</f>
        <v>48.558378378378386</v>
      </c>
      <c r="Y29" s="47">
        <f t="shared" si="19"/>
        <v>0.73573300573300582</v>
      </c>
      <c r="Z29" s="56">
        <f>T29/S29*Z20</f>
        <v>48.25279825279825</v>
      </c>
      <c r="AA29" s="57">
        <f>W29/S29*AA20</f>
        <v>40.060662162162167</v>
      </c>
      <c r="AB29" s="140">
        <f t="shared" si="22"/>
        <v>88.313460414960417</v>
      </c>
      <c r="AC29" s="58" t="str">
        <f t="shared" si="23"/>
        <v>80~89</v>
      </c>
      <c r="AD29" s="43"/>
      <c r="AE29" s="37">
        <f>AF29-F29</f>
        <v>-55.5</v>
      </c>
      <c r="AF29" s="38">
        <f>SUM(AF23:AF28)</f>
        <v>0</v>
      </c>
      <c r="AI29" s="40"/>
      <c r="AK29" s="59"/>
      <c r="AL29" s="59"/>
      <c r="AM29" s="59"/>
    </row>
    <row r="30" spans="2:42" s="69" customFormat="1" ht="36" hidden="1" customHeight="1" x14ac:dyDescent="0.3">
      <c r="B30" s="443" t="s">
        <v>40</v>
      </c>
      <c r="C30" s="444"/>
      <c r="D30" s="444"/>
      <c r="E30" s="445"/>
      <c r="F30" s="60">
        <f>AVERAGE(F23:F28)</f>
        <v>9.25</v>
      </c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61">
        <f>U30*F30</f>
        <v>589.16666666666674</v>
      </c>
      <c r="U30" s="62">
        <f>T29/F29</f>
        <v>63.693693693693696</v>
      </c>
      <c r="V30" s="63">
        <f>IFERROR(T30/#REF!,0)</f>
        <v>0</v>
      </c>
      <c r="W30" s="64">
        <f>W29/F29*F30</f>
        <v>449.16500000000008</v>
      </c>
      <c r="X30" s="62">
        <f>IF(F30=0,"휴무",W30/F30)</f>
        <v>48.558378378378386</v>
      </c>
      <c r="Y30" s="65">
        <f>IFERROR(W30/#REF!,0)</f>
        <v>0</v>
      </c>
      <c r="Z30" s="60">
        <f>AVERAGE(Z23:Z28)</f>
        <v>48.080065359477125</v>
      </c>
      <c r="AA30" s="60">
        <f>AVERAGE(AA23:AA28)</f>
        <v>39.987276654411765</v>
      </c>
      <c r="AB30" s="141">
        <f>Z30+AA30</f>
        <v>88.06734201388889</v>
      </c>
      <c r="AC30" s="67"/>
      <c r="AD30" s="68"/>
      <c r="AI30" s="40" t="str">
        <f>IFERROR(Y30/V30*1000,"")</f>
        <v/>
      </c>
      <c r="AK30" s="10"/>
      <c r="AL30" s="10"/>
      <c r="AM30" s="10"/>
    </row>
    <row r="31" spans="2:42" s="149" customFormat="1" x14ac:dyDescent="0.3">
      <c r="B31" s="70" t="s">
        <v>41</v>
      </c>
      <c r="C31" s="71"/>
      <c r="D31" s="71"/>
      <c r="E31" s="72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22"/>
      <c r="U31" s="10"/>
      <c r="V31" s="73">
        <f>V30*60</f>
        <v>0</v>
      </c>
      <c r="W31" s="74"/>
      <c r="X31" s="73"/>
      <c r="Y31" s="74">
        <f>Y30*40</f>
        <v>0</v>
      </c>
      <c r="Z31" s="81"/>
      <c r="AA31" s="81"/>
      <c r="AB31" s="142">
        <f>V31+Y31</f>
        <v>0</v>
      </c>
      <c r="AK31" s="59"/>
      <c r="AL31" s="59"/>
      <c r="AM31" s="59"/>
    </row>
    <row r="32" spans="2:42" x14ac:dyDescent="0.3">
      <c r="B32" s="120" t="s">
        <v>67</v>
      </c>
      <c r="U32" s="10">
        <v>8.8000000000000007</v>
      </c>
    </row>
    <row r="33" spans="2:42" ht="17.25" thickBot="1" x14ac:dyDescent="0.35">
      <c r="B33" s="70"/>
    </row>
    <row r="34" spans="2:42" ht="17.25" thickBot="1" x14ac:dyDescent="0.35">
      <c r="B34" s="76" t="s">
        <v>42</v>
      </c>
      <c r="C34" s="77"/>
      <c r="D34" s="78" t="s">
        <v>43</v>
      </c>
      <c r="E34" s="78"/>
      <c r="F34" s="79"/>
      <c r="X34" s="10">
        <v>50</v>
      </c>
    </row>
    <row r="36" spans="2:42" s="10" customFormat="1" x14ac:dyDescent="0.3">
      <c r="B36"/>
      <c r="C36"/>
      <c r="D36"/>
      <c r="E36" s="455">
        <f>+C7</f>
        <v>5</v>
      </c>
      <c r="F36" s="455" t="s">
        <v>7</v>
      </c>
      <c r="G36" s="82" t="s">
        <v>48</v>
      </c>
      <c r="H36" s="83">
        <v>476</v>
      </c>
      <c r="I36" s="84"/>
      <c r="J36" s="85"/>
      <c r="K36" s="86">
        <v>405.66</v>
      </c>
      <c r="L36" s="135"/>
      <c r="N36" s="136"/>
      <c r="O36" s="136"/>
      <c r="P36" s="136"/>
      <c r="Q36" s="136"/>
      <c r="R36" s="136"/>
      <c r="S36" s="136"/>
      <c r="Y36"/>
      <c r="Z36"/>
      <c r="AA36"/>
      <c r="AB36"/>
      <c r="AC36"/>
      <c r="AD36"/>
      <c r="AE36"/>
      <c r="AF36"/>
      <c r="AG36"/>
      <c r="AH36"/>
      <c r="AI36"/>
      <c r="AJ36"/>
      <c r="AK36" s="1"/>
      <c r="AL36" s="1"/>
      <c r="AM36" s="1"/>
      <c r="AN36"/>
      <c r="AO36"/>
      <c r="AP36"/>
    </row>
    <row r="37" spans="2:42" s="10" customFormat="1" x14ac:dyDescent="0.3">
      <c r="B37"/>
      <c r="C37" t="s">
        <v>49</v>
      </c>
      <c r="D37"/>
      <c r="E37" s="456"/>
      <c r="F37" s="456"/>
      <c r="G37" s="82" t="s">
        <v>50</v>
      </c>
      <c r="H37" s="83"/>
      <c r="I37" s="84"/>
      <c r="J37" s="85"/>
      <c r="K37" s="86"/>
      <c r="L37" s="135"/>
      <c r="N37" s="136"/>
      <c r="O37" s="136"/>
      <c r="P37" s="136"/>
      <c r="Q37" s="136"/>
      <c r="R37" s="136"/>
      <c r="S37" s="136"/>
      <c r="Y37"/>
      <c r="Z37"/>
      <c r="AA37"/>
      <c r="AB37"/>
      <c r="AC37"/>
      <c r="AD37"/>
      <c r="AE37"/>
      <c r="AF37"/>
      <c r="AG37"/>
      <c r="AH37"/>
      <c r="AI37"/>
      <c r="AJ37"/>
      <c r="AK37" s="1"/>
      <c r="AL37" s="1"/>
      <c r="AM37" s="1"/>
      <c r="AN37"/>
      <c r="AO37"/>
      <c r="AP37"/>
    </row>
    <row r="38" spans="2:42" s="10" customFormat="1" x14ac:dyDescent="0.3">
      <c r="B38"/>
      <c r="C38"/>
      <c r="D38"/>
      <c r="E38" s="457"/>
      <c r="F38" s="457"/>
      <c r="G38" s="82" t="s">
        <v>51</v>
      </c>
      <c r="H38" s="87">
        <f>+H36+H37*2</f>
        <v>476</v>
      </c>
      <c r="I38" s="88"/>
      <c r="J38" s="89"/>
      <c r="K38" s="90">
        <f>+K36+K37*2</f>
        <v>405.66</v>
      </c>
      <c r="L38" s="135"/>
      <c r="N38" s="136"/>
      <c r="O38" s="136"/>
      <c r="P38" s="136"/>
      <c r="Q38" s="136"/>
      <c r="R38" s="136"/>
      <c r="S38" s="136"/>
      <c r="Y38"/>
      <c r="Z38"/>
      <c r="AA38"/>
      <c r="AB38"/>
      <c r="AC38"/>
      <c r="AD38"/>
      <c r="AE38"/>
      <c r="AF38"/>
      <c r="AG38"/>
      <c r="AH38"/>
      <c r="AI38"/>
      <c r="AJ38"/>
      <c r="AK38" s="1"/>
      <c r="AL38" s="1"/>
      <c r="AM38" s="1"/>
      <c r="AN38"/>
      <c r="AO38"/>
      <c r="AP38"/>
    </row>
    <row r="39" spans="2:42" s="10" customFormat="1" x14ac:dyDescent="0.3">
      <c r="B39"/>
      <c r="C39"/>
      <c r="D39"/>
      <c r="E39" s="455">
        <f>+C8</f>
        <v>6</v>
      </c>
      <c r="F39" s="455" t="s">
        <v>52</v>
      </c>
      <c r="G39" s="82" t="s">
        <v>48</v>
      </c>
      <c r="H39" s="83">
        <v>485</v>
      </c>
      <c r="I39" s="84"/>
      <c r="J39" s="85"/>
      <c r="K39" s="86">
        <v>814.42</v>
      </c>
      <c r="L39" s="135"/>
      <c r="N39" s="136"/>
      <c r="O39" s="136"/>
      <c r="P39" s="136"/>
      <c r="Q39" s="136"/>
      <c r="R39" s="136"/>
      <c r="S39" s="136"/>
      <c r="Y39"/>
      <c r="Z39"/>
      <c r="AA39"/>
      <c r="AB39"/>
      <c r="AC39"/>
      <c r="AD39"/>
      <c r="AE39"/>
      <c r="AF39"/>
      <c r="AG39"/>
      <c r="AH39"/>
      <c r="AI39"/>
      <c r="AJ39"/>
      <c r="AK39" s="1"/>
      <c r="AL39" s="1"/>
      <c r="AM39" s="1"/>
      <c r="AN39"/>
      <c r="AO39"/>
      <c r="AP39"/>
    </row>
    <row r="40" spans="2:42" s="10" customFormat="1" x14ac:dyDescent="0.3">
      <c r="B40"/>
      <c r="C40"/>
      <c r="D40"/>
      <c r="E40" s="456"/>
      <c r="F40" s="456"/>
      <c r="G40" s="82" t="s">
        <v>50</v>
      </c>
      <c r="H40" s="83"/>
      <c r="I40" s="84"/>
      <c r="J40" s="85"/>
      <c r="K40" s="86"/>
      <c r="L40" s="135"/>
      <c r="N40" s="136"/>
      <c r="O40" s="136"/>
      <c r="P40" s="136"/>
      <c r="Q40" s="136"/>
      <c r="R40" s="136"/>
      <c r="S40" s="136"/>
      <c r="Y40"/>
      <c r="Z40"/>
      <c r="AA40"/>
      <c r="AB40"/>
      <c r="AC40"/>
      <c r="AD40"/>
      <c r="AE40"/>
      <c r="AF40"/>
      <c r="AG40"/>
      <c r="AH40"/>
      <c r="AI40"/>
      <c r="AJ40"/>
      <c r="AK40" s="1"/>
      <c r="AL40" s="1"/>
      <c r="AM40" s="1"/>
      <c r="AN40"/>
      <c r="AO40"/>
      <c r="AP40"/>
    </row>
    <row r="41" spans="2:42" s="10" customFormat="1" x14ac:dyDescent="0.3">
      <c r="B41"/>
      <c r="C41"/>
      <c r="D41"/>
      <c r="E41" s="457"/>
      <c r="F41" s="457"/>
      <c r="G41" s="82" t="s">
        <v>51</v>
      </c>
      <c r="H41" s="91">
        <f>+H39+H40*2</f>
        <v>485</v>
      </c>
      <c r="I41" s="88"/>
      <c r="J41" s="89"/>
      <c r="K41" s="90">
        <f>+K39+K40*2</f>
        <v>814.42</v>
      </c>
      <c r="L41" s="135"/>
      <c r="N41" s="136"/>
      <c r="O41" s="136"/>
      <c r="P41" s="136"/>
      <c r="Q41" s="136"/>
      <c r="R41" s="136"/>
      <c r="S41" s="136"/>
      <c r="Y41"/>
      <c r="Z41"/>
      <c r="AA41"/>
      <c r="AB41"/>
      <c r="AC41"/>
      <c r="AD41"/>
      <c r="AE41"/>
      <c r="AF41"/>
      <c r="AG41"/>
      <c r="AH41"/>
      <c r="AI41"/>
      <c r="AJ41"/>
      <c r="AK41" s="1"/>
      <c r="AL41" s="1"/>
      <c r="AM41" s="1"/>
      <c r="AN41"/>
      <c r="AO41"/>
      <c r="AP41"/>
    </row>
    <row r="42" spans="2:42" s="10" customFormat="1" x14ac:dyDescent="0.3">
      <c r="B42"/>
      <c r="C42"/>
      <c r="D42"/>
      <c r="E42" s="455">
        <f>+C9</f>
        <v>7</v>
      </c>
      <c r="F42" s="455" t="s">
        <v>53</v>
      </c>
      <c r="G42" s="82" t="s">
        <v>48</v>
      </c>
      <c r="H42" s="83">
        <v>333</v>
      </c>
      <c r="I42" s="84"/>
      <c r="J42" s="85"/>
      <c r="K42" s="86">
        <v>417.52</v>
      </c>
      <c r="L42" s="135"/>
      <c r="N42" s="136"/>
      <c r="O42" s="136"/>
      <c r="P42" s="136"/>
      <c r="Q42" s="136"/>
      <c r="R42" s="136"/>
      <c r="S42" s="136"/>
      <c r="Y42"/>
      <c r="Z42"/>
      <c r="AA42"/>
      <c r="AB42"/>
      <c r="AC42"/>
      <c r="AD42"/>
      <c r="AE42"/>
      <c r="AF42"/>
      <c r="AG42"/>
      <c r="AH42"/>
      <c r="AI42"/>
      <c r="AJ42"/>
      <c r="AK42" s="1"/>
      <c r="AL42" s="1"/>
      <c r="AM42" s="1"/>
      <c r="AN42"/>
      <c r="AO42"/>
      <c r="AP42"/>
    </row>
    <row r="43" spans="2:42" s="10" customFormat="1" x14ac:dyDescent="0.3">
      <c r="B43"/>
      <c r="C43"/>
      <c r="D43"/>
      <c r="E43" s="456"/>
      <c r="F43" s="456"/>
      <c r="G43" s="82" t="s">
        <v>50</v>
      </c>
      <c r="H43" s="83"/>
      <c r="I43" s="84"/>
      <c r="J43" s="85"/>
      <c r="K43" s="86"/>
      <c r="L43" s="135"/>
      <c r="N43" s="136"/>
      <c r="O43" s="136"/>
      <c r="P43" s="136"/>
      <c r="Q43" s="136"/>
      <c r="R43" s="136"/>
      <c r="S43" s="136"/>
      <c r="Y43"/>
      <c r="Z43"/>
      <c r="AA43"/>
      <c r="AB43"/>
      <c r="AC43"/>
      <c r="AD43"/>
      <c r="AE43"/>
      <c r="AF43"/>
      <c r="AG43"/>
      <c r="AH43"/>
      <c r="AI43"/>
      <c r="AJ43"/>
      <c r="AK43" s="1"/>
      <c r="AL43" s="1"/>
      <c r="AM43" s="1"/>
      <c r="AN43"/>
      <c r="AO43"/>
      <c r="AP43"/>
    </row>
    <row r="44" spans="2:42" s="10" customFormat="1" x14ac:dyDescent="0.3">
      <c r="B44"/>
      <c r="C44"/>
      <c r="D44"/>
      <c r="E44" s="457"/>
      <c r="F44" s="457"/>
      <c r="G44" s="82" t="s">
        <v>51</v>
      </c>
      <c r="H44" s="87">
        <f>+H42+H43*2</f>
        <v>333</v>
      </c>
      <c r="I44" s="88"/>
      <c r="J44" s="89"/>
      <c r="K44" s="90">
        <f>+K42+K43*2</f>
        <v>417.52</v>
      </c>
      <c r="L44" s="137" t="s">
        <v>54</v>
      </c>
      <c r="N44" s="136"/>
      <c r="O44" s="136"/>
      <c r="P44" s="136"/>
      <c r="Q44" s="136"/>
      <c r="R44" s="136"/>
      <c r="S44" s="136"/>
      <c r="Y44"/>
      <c r="Z44"/>
      <c r="AA44"/>
      <c r="AB44"/>
      <c r="AC44"/>
      <c r="AE44"/>
      <c r="AF44"/>
      <c r="AG44"/>
      <c r="AH44"/>
      <c r="AI44"/>
      <c r="AJ44"/>
      <c r="AK44" s="1"/>
      <c r="AL44" s="1"/>
      <c r="AM44" s="1"/>
      <c r="AN44"/>
      <c r="AO44"/>
      <c r="AP44"/>
    </row>
    <row r="45" spans="2:42" s="10" customFormat="1" x14ac:dyDescent="0.3">
      <c r="B45"/>
      <c r="C45"/>
      <c r="D45"/>
      <c r="E45" s="455">
        <f>+C10</f>
        <v>8</v>
      </c>
      <c r="F45" s="455" t="s">
        <v>55</v>
      </c>
      <c r="G45" s="82" t="s">
        <v>48</v>
      </c>
      <c r="H45" s="83">
        <v>234</v>
      </c>
      <c r="I45" s="84"/>
      <c r="J45" s="85"/>
      <c r="K45" s="86">
        <v>296.37</v>
      </c>
      <c r="L45" s="135"/>
      <c r="N45" s="136"/>
      <c r="O45" s="136"/>
      <c r="P45" s="136"/>
      <c r="Q45" s="136"/>
      <c r="R45" s="136"/>
      <c r="S45" s="136"/>
      <c r="Y45"/>
      <c r="Z45"/>
      <c r="AA45"/>
      <c r="AB45"/>
      <c r="AC45"/>
      <c r="AD45"/>
      <c r="AE45"/>
      <c r="AF45"/>
      <c r="AG45"/>
      <c r="AH45"/>
      <c r="AI45"/>
      <c r="AJ45"/>
      <c r="AK45" s="1"/>
      <c r="AL45" s="1"/>
      <c r="AM45" s="1"/>
      <c r="AN45"/>
      <c r="AO45"/>
      <c r="AP45"/>
    </row>
    <row r="46" spans="2:42" s="10" customFormat="1" x14ac:dyDescent="0.3">
      <c r="B46"/>
      <c r="C46"/>
      <c r="D46"/>
      <c r="E46" s="456"/>
      <c r="F46" s="456"/>
      <c r="G46" s="82" t="s">
        <v>50</v>
      </c>
      <c r="H46" s="83"/>
      <c r="I46" s="84"/>
      <c r="J46" s="85"/>
      <c r="K46" s="86"/>
      <c r="L46" s="135"/>
      <c r="N46" s="136"/>
      <c r="O46" s="136"/>
      <c r="P46" s="136"/>
      <c r="Q46" s="136"/>
      <c r="R46" s="136"/>
      <c r="S46" s="136"/>
      <c r="Y46"/>
      <c r="Z46"/>
      <c r="AA46"/>
      <c r="AB46"/>
      <c r="AC46"/>
      <c r="AD46"/>
      <c r="AE46"/>
      <c r="AF46"/>
      <c r="AG46"/>
      <c r="AH46"/>
      <c r="AI46"/>
      <c r="AJ46"/>
      <c r="AK46" s="1"/>
      <c r="AL46" s="1"/>
      <c r="AM46" s="1"/>
      <c r="AN46"/>
      <c r="AO46"/>
      <c r="AP46"/>
    </row>
    <row r="47" spans="2:42" s="10" customFormat="1" x14ac:dyDescent="0.3">
      <c r="B47"/>
      <c r="C47"/>
      <c r="D47"/>
      <c r="E47" s="457"/>
      <c r="F47" s="457"/>
      <c r="G47" s="82" t="s">
        <v>51</v>
      </c>
      <c r="H47" s="87">
        <f>+H45+H46*2</f>
        <v>234</v>
      </c>
      <c r="I47" s="88"/>
      <c r="J47" s="89"/>
      <c r="K47" s="90">
        <f>+K45+K46*2</f>
        <v>296.37</v>
      </c>
      <c r="L47" s="135"/>
      <c r="N47" s="136"/>
      <c r="O47" s="136"/>
      <c r="P47" s="136"/>
      <c r="Q47" s="136"/>
      <c r="R47" s="136"/>
      <c r="S47" s="136"/>
      <c r="Y47"/>
      <c r="Z47"/>
      <c r="AA47"/>
      <c r="AB47"/>
      <c r="AC47"/>
      <c r="AD47"/>
      <c r="AE47"/>
      <c r="AF47"/>
      <c r="AG47"/>
      <c r="AH47"/>
      <c r="AI47"/>
      <c r="AJ47"/>
      <c r="AK47" s="1"/>
      <c r="AL47" s="1"/>
      <c r="AM47" s="1"/>
      <c r="AN47"/>
      <c r="AO47"/>
      <c r="AP47"/>
    </row>
    <row r="48" spans="2:42" s="10" customFormat="1" x14ac:dyDescent="0.3">
      <c r="B48"/>
      <c r="C48"/>
      <c r="D48"/>
      <c r="E48" s="455">
        <f>+C11</f>
        <v>9</v>
      </c>
      <c r="F48" s="455" t="s">
        <v>56</v>
      </c>
      <c r="G48" s="82" t="s">
        <v>48</v>
      </c>
      <c r="H48" s="83">
        <v>381</v>
      </c>
      <c r="I48" s="84"/>
      <c r="J48" s="85"/>
      <c r="K48" s="86">
        <v>475.53</v>
      </c>
      <c r="L48" s="135"/>
      <c r="N48" s="136"/>
      <c r="O48" s="136"/>
      <c r="P48" s="136"/>
      <c r="Q48" s="136"/>
      <c r="R48" s="136"/>
      <c r="S48" s="136"/>
      <c r="Y48"/>
      <c r="Z48"/>
      <c r="AA48"/>
      <c r="AB48"/>
      <c r="AC48"/>
      <c r="AD48"/>
      <c r="AE48"/>
      <c r="AF48"/>
      <c r="AG48"/>
      <c r="AH48"/>
      <c r="AI48"/>
      <c r="AJ48"/>
      <c r="AK48" s="1"/>
      <c r="AL48" s="1"/>
      <c r="AM48" s="1"/>
      <c r="AN48"/>
      <c r="AO48"/>
      <c r="AP48"/>
    </row>
    <row r="49" spans="2:42" s="10" customFormat="1" x14ac:dyDescent="0.3">
      <c r="B49"/>
      <c r="C49"/>
      <c r="D49"/>
      <c r="E49" s="456"/>
      <c r="F49" s="456"/>
      <c r="G49" s="82" t="s">
        <v>50</v>
      </c>
      <c r="H49" s="83"/>
      <c r="I49" s="84"/>
      <c r="J49" s="85"/>
      <c r="K49" s="86"/>
      <c r="L49" s="135"/>
      <c r="N49" s="136"/>
      <c r="O49" s="136"/>
      <c r="P49" s="136"/>
      <c r="Q49" s="136"/>
      <c r="R49" s="136"/>
      <c r="S49" s="136"/>
      <c r="Y49"/>
      <c r="Z49"/>
      <c r="AA49"/>
      <c r="AB49"/>
      <c r="AC49"/>
      <c r="AD49"/>
      <c r="AE49"/>
      <c r="AF49"/>
      <c r="AG49"/>
      <c r="AH49"/>
      <c r="AI49"/>
      <c r="AJ49"/>
      <c r="AK49" s="1"/>
      <c r="AL49" s="1"/>
      <c r="AM49" s="1"/>
      <c r="AN49"/>
      <c r="AO49"/>
      <c r="AP49"/>
    </row>
    <row r="50" spans="2:42" s="10" customFormat="1" x14ac:dyDescent="0.3">
      <c r="B50"/>
      <c r="C50"/>
      <c r="D50"/>
      <c r="E50" s="457"/>
      <c r="F50" s="457"/>
      <c r="G50" s="82" t="s">
        <v>51</v>
      </c>
      <c r="H50" s="91">
        <f>H48+H49*2</f>
        <v>381</v>
      </c>
      <c r="I50" s="88"/>
      <c r="J50" s="89"/>
      <c r="K50" s="90">
        <f>+K48+K49*2</f>
        <v>475.53</v>
      </c>
      <c r="L50" s="135"/>
      <c r="N50" s="136"/>
      <c r="O50" s="136"/>
      <c r="P50" s="136"/>
      <c r="Q50" s="136"/>
      <c r="R50" s="136"/>
      <c r="S50" s="136"/>
      <c r="Y50"/>
      <c r="Z50"/>
      <c r="AA50"/>
      <c r="AB50"/>
      <c r="AC50"/>
      <c r="AD50"/>
      <c r="AE50"/>
      <c r="AF50"/>
      <c r="AG50"/>
      <c r="AH50"/>
      <c r="AI50"/>
      <c r="AJ50"/>
      <c r="AK50" s="1"/>
      <c r="AL50" s="1"/>
      <c r="AM50" s="1"/>
      <c r="AN50"/>
      <c r="AO50"/>
      <c r="AP50"/>
    </row>
    <row r="51" spans="2:42" s="10" customFormat="1" x14ac:dyDescent="0.3">
      <c r="B51"/>
      <c r="C51"/>
      <c r="D51"/>
      <c r="E51" s="455">
        <f>+C12</f>
        <v>10</v>
      </c>
      <c r="F51" s="455" t="s">
        <v>38</v>
      </c>
      <c r="G51" s="82" t="s">
        <v>48</v>
      </c>
      <c r="H51" s="83">
        <v>384</v>
      </c>
      <c r="I51" s="84"/>
      <c r="J51" s="85"/>
      <c r="K51" s="86">
        <v>480.67</v>
      </c>
      <c r="L51" s="135"/>
      <c r="N51" s="136"/>
      <c r="O51" s="136"/>
      <c r="P51" s="136"/>
      <c r="Q51" s="136"/>
      <c r="R51" s="136"/>
      <c r="S51" s="136"/>
      <c r="Y51"/>
      <c r="Z51"/>
      <c r="AA51"/>
      <c r="AB51"/>
      <c r="AC51"/>
      <c r="AD51"/>
      <c r="AE51"/>
      <c r="AF51"/>
      <c r="AG51"/>
      <c r="AH51"/>
      <c r="AI51"/>
      <c r="AJ51"/>
      <c r="AK51" s="1"/>
      <c r="AL51" s="1"/>
      <c r="AM51" s="1"/>
      <c r="AN51"/>
      <c r="AO51"/>
      <c r="AP51"/>
    </row>
    <row r="52" spans="2:42" s="10" customFormat="1" x14ac:dyDescent="0.3">
      <c r="B52"/>
      <c r="C52"/>
      <c r="D52"/>
      <c r="E52" s="456"/>
      <c r="F52" s="456"/>
      <c r="G52" s="82" t="s">
        <v>50</v>
      </c>
      <c r="H52" s="83"/>
      <c r="I52" s="84"/>
      <c r="J52" s="85"/>
      <c r="K52" s="86"/>
      <c r="L52" s="135"/>
      <c r="N52" s="136"/>
      <c r="O52" s="136"/>
      <c r="P52" s="136"/>
      <c r="Q52" s="136"/>
      <c r="R52" s="136"/>
      <c r="S52" s="136"/>
      <c r="Y52"/>
      <c r="Z52"/>
      <c r="AA52"/>
      <c r="AB52"/>
      <c r="AC52"/>
      <c r="AD52"/>
      <c r="AE52"/>
      <c r="AF52"/>
      <c r="AG52"/>
      <c r="AH52"/>
      <c r="AI52"/>
      <c r="AJ52"/>
      <c r="AK52" s="1"/>
      <c r="AL52" s="1"/>
      <c r="AM52" s="1"/>
      <c r="AN52"/>
      <c r="AO52"/>
      <c r="AP52"/>
    </row>
    <row r="53" spans="2:42" s="10" customFormat="1" x14ac:dyDescent="0.3">
      <c r="B53"/>
      <c r="C53"/>
      <c r="D53"/>
      <c r="E53" s="457"/>
      <c r="F53" s="457"/>
      <c r="G53" s="82" t="s">
        <v>51</v>
      </c>
      <c r="H53" s="87">
        <f>+H51+H52*2</f>
        <v>384</v>
      </c>
      <c r="I53" s="88"/>
      <c r="J53" s="89"/>
      <c r="K53" s="90">
        <f>+K51+K52*2</f>
        <v>480.67</v>
      </c>
      <c r="L53" s="135"/>
      <c r="N53" s="136"/>
      <c r="O53" s="136"/>
      <c r="P53" s="136"/>
      <c r="Q53" s="136"/>
      <c r="R53" s="136"/>
      <c r="S53" s="136"/>
      <c r="Y53"/>
      <c r="Z53"/>
      <c r="AA53"/>
      <c r="AB53"/>
      <c r="AC53"/>
      <c r="AD53"/>
      <c r="AE53"/>
      <c r="AF53"/>
      <c r="AG53"/>
      <c r="AH53"/>
      <c r="AI53"/>
      <c r="AJ53"/>
      <c r="AK53" s="1"/>
      <c r="AL53" s="1"/>
      <c r="AM53" s="1"/>
      <c r="AN53"/>
      <c r="AO53"/>
      <c r="AP53"/>
    </row>
    <row r="54" spans="2:42" x14ac:dyDescent="0.3">
      <c r="H54" s="75"/>
      <c r="I54" s="10"/>
      <c r="J54" s="11"/>
      <c r="K54"/>
    </row>
    <row r="55" spans="2:42" x14ac:dyDescent="0.3">
      <c r="H55" s="75"/>
      <c r="I55" s="10"/>
      <c r="J55" s="11"/>
      <c r="K55"/>
    </row>
    <row r="56" spans="2:42" s="10" customFormat="1" x14ac:dyDescent="0.3">
      <c r="B56"/>
      <c r="C56"/>
      <c r="D56"/>
      <c r="E56" s="455">
        <f>+E36</f>
        <v>5</v>
      </c>
      <c r="F56" s="455" t="s">
        <v>7</v>
      </c>
      <c r="G56" s="82" t="s">
        <v>48</v>
      </c>
      <c r="H56" s="83">
        <v>514</v>
      </c>
      <c r="I56" s="84"/>
      <c r="J56" s="85"/>
      <c r="K56" s="86">
        <v>490.13</v>
      </c>
      <c r="L56" s="135"/>
      <c r="N56" s="136"/>
      <c r="O56" s="136"/>
      <c r="P56" s="136"/>
      <c r="Q56" s="136"/>
      <c r="R56" s="136"/>
      <c r="S56" s="136"/>
      <c r="Y56"/>
      <c r="Z56"/>
      <c r="AA56"/>
      <c r="AB56"/>
      <c r="AC56"/>
      <c r="AD56"/>
      <c r="AE56"/>
      <c r="AF56"/>
      <c r="AG56"/>
      <c r="AH56"/>
      <c r="AI56"/>
      <c r="AJ56"/>
      <c r="AK56" s="1"/>
      <c r="AL56" s="1"/>
      <c r="AM56" s="1"/>
      <c r="AN56"/>
      <c r="AO56"/>
      <c r="AP56"/>
    </row>
    <row r="57" spans="2:42" s="10" customFormat="1" x14ac:dyDescent="0.3">
      <c r="B57"/>
      <c r="C57" t="s">
        <v>57</v>
      </c>
      <c r="D57"/>
      <c r="E57" s="456"/>
      <c r="F57" s="456"/>
      <c r="G57" s="82" t="s">
        <v>50</v>
      </c>
      <c r="H57" s="83"/>
      <c r="I57" s="84"/>
      <c r="J57" s="85"/>
      <c r="K57" s="86"/>
      <c r="L57" s="135"/>
      <c r="N57" s="136"/>
      <c r="O57" s="136"/>
      <c r="P57" s="136"/>
      <c r="Q57" s="136"/>
      <c r="R57" s="136"/>
      <c r="S57" s="136"/>
      <c r="Y57"/>
      <c r="Z57"/>
      <c r="AA57"/>
      <c r="AB57"/>
      <c r="AC57"/>
      <c r="AD57"/>
      <c r="AE57"/>
      <c r="AF57"/>
      <c r="AG57"/>
      <c r="AH57"/>
      <c r="AI57"/>
      <c r="AJ57"/>
      <c r="AK57" s="1"/>
      <c r="AL57" s="1"/>
      <c r="AM57" s="1"/>
      <c r="AN57"/>
      <c r="AO57"/>
      <c r="AP57"/>
    </row>
    <row r="58" spans="2:42" s="10" customFormat="1" x14ac:dyDescent="0.3">
      <c r="B58"/>
      <c r="C58"/>
      <c r="D58"/>
      <c r="E58" s="457"/>
      <c r="F58" s="457"/>
      <c r="G58" s="82" t="s">
        <v>51</v>
      </c>
      <c r="H58" s="87">
        <f>+H56+H57*2</f>
        <v>514</v>
      </c>
      <c r="I58" s="88"/>
      <c r="J58" s="89"/>
      <c r="K58" s="90">
        <f>+K56+K57*2</f>
        <v>490.13</v>
      </c>
      <c r="L58" s="135"/>
      <c r="N58" s="136"/>
      <c r="O58" s="136"/>
      <c r="P58" s="136"/>
      <c r="Q58" s="136"/>
      <c r="R58" s="136"/>
      <c r="S58" s="136"/>
      <c r="Y58"/>
      <c r="Z58"/>
      <c r="AA58"/>
      <c r="AB58"/>
      <c r="AC58"/>
      <c r="AD58"/>
      <c r="AE58"/>
      <c r="AF58"/>
      <c r="AG58"/>
      <c r="AH58"/>
      <c r="AI58"/>
      <c r="AJ58"/>
      <c r="AK58" s="1"/>
      <c r="AL58" s="1"/>
      <c r="AM58" s="1"/>
      <c r="AN58"/>
      <c r="AO58"/>
      <c r="AP58"/>
    </row>
    <row r="59" spans="2:42" s="10" customFormat="1" x14ac:dyDescent="0.3">
      <c r="B59"/>
      <c r="C59"/>
      <c r="D59"/>
      <c r="E59" s="455">
        <f>+E39</f>
        <v>6</v>
      </c>
      <c r="F59" s="455" t="s">
        <v>52</v>
      </c>
      <c r="G59" s="82" t="s">
        <v>48</v>
      </c>
      <c r="H59" s="83">
        <f>697-25</f>
        <v>672</v>
      </c>
      <c r="I59" s="84"/>
      <c r="J59" s="85"/>
      <c r="K59" s="86">
        <f>495.82-10.75</f>
        <v>485.07</v>
      </c>
      <c r="L59" s="135"/>
      <c r="N59" s="136"/>
      <c r="O59" s="136"/>
      <c r="P59" s="136"/>
      <c r="Q59" s="136"/>
      <c r="R59" s="136"/>
      <c r="S59" s="136"/>
      <c r="Y59"/>
      <c r="Z59"/>
      <c r="AA59"/>
      <c r="AB59"/>
      <c r="AC59"/>
      <c r="AD59"/>
      <c r="AE59"/>
      <c r="AF59"/>
      <c r="AG59"/>
      <c r="AH59"/>
      <c r="AI59"/>
      <c r="AJ59"/>
      <c r="AK59" s="1"/>
      <c r="AL59" s="1"/>
      <c r="AM59" s="1"/>
      <c r="AN59"/>
      <c r="AO59"/>
      <c r="AP59"/>
    </row>
    <row r="60" spans="2:42" s="10" customFormat="1" x14ac:dyDescent="0.3">
      <c r="B60"/>
      <c r="C60"/>
      <c r="D60"/>
      <c r="E60" s="456"/>
      <c r="F60" s="456"/>
      <c r="G60" s="82" t="s">
        <v>50</v>
      </c>
      <c r="H60" s="83">
        <v>25</v>
      </c>
      <c r="I60" s="84"/>
      <c r="J60" s="85"/>
      <c r="K60" s="86">
        <v>10.75</v>
      </c>
      <c r="L60" s="135"/>
      <c r="N60" s="136"/>
      <c r="O60" s="136"/>
      <c r="P60" s="136"/>
      <c r="Q60" s="136"/>
      <c r="R60" s="136"/>
      <c r="S60" s="136"/>
      <c r="Y60"/>
      <c r="Z60"/>
      <c r="AA60"/>
      <c r="AB60"/>
      <c r="AC60"/>
      <c r="AD60"/>
      <c r="AE60"/>
      <c r="AF60"/>
      <c r="AG60"/>
      <c r="AH60"/>
      <c r="AI60"/>
      <c r="AJ60"/>
      <c r="AK60" s="1"/>
      <c r="AL60" s="1"/>
      <c r="AM60" s="1"/>
      <c r="AN60"/>
      <c r="AO60"/>
      <c r="AP60"/>
    </row>
    <row r="61" spans="2:42" s="10" customFormat="1" x14ac:dyDescent="0.3">
      <c r="B61"/>
      <c r="C61"/>
      <c r="D61"/>
      <c r="E61" s="457"/>
      <c r="F61" s="457"/>
      <c r="G61" s="82" t="s">
        <v>51</v>
      </c>
      <c r="H61" s="91">
        <f>+H59+H60*2</f>
        <v>722</v>
      </c>
      <c r="I61" s="88"/>
      <c r="J61" s="89"/>
      <c r="K61" s="90">
        <f>+K59+K60*2</f>
        <v>506.57</v>
      </c>
      <c r="L61" s="135"/>
      <c r="N61" s="136"/>
      <c r="O61" s="136"/>
      <c r="P61" s="136"/>
      <c r="Q61" s="136"/>
      <c r="R61" s="136"/>
      <c r="S61" s="136"/>
      <c r="Y61"/>
      <c r="Z61"/>
      <c r="AA61"/>
      <c r="AB61"/>
      <c r="AC61"/>
      <c r="AD61"/>
      <c r="AE61"/>
      <c r="AF61"/>
      <c r="AG61"/>
      <c r="AH61"/>
      <c r="AI61"/>
      <c r="AJ61"/>
      <c r="AK61" s="1"/>
      <c r="AL61" s="1"/>
      <c r="AM61" s="1"/>
      <c r="AN61"/>
      <c r="AO61"/>
      <c r="AP61"/>
    </row>
    <row r="62" spans="2:42" s="10" customFormat="1" x14ac:dyDescent="0.3">
      <c r="B62"/>
      <c r="C62"/>
      <c r="D62"/>
      <c r="E62" s="455">
        <f>+E42</f>
        <v>7</v>
      </c>
      <c r="F62" s="455" t="s">
        <v>53</v>
      </c>
      <c r="G62" s="82" t="s">
        <v>48</v>
      </c>
      <c r="H62" s="83">
        <v>547</v>
      </c>
      <c r="I62" s="84"/>
      <c r="J62" s="85"/>
      <c r="K62" s="86">
        <v>374.96</v>
      </c>
      <c r="L62" s="135"/>
      <c r="N62" s="136"/>
      <c r="O62" s="136"/>
      <c r="P62" s="136"/>
      <c r="Q62" s="136"/>
      <c r="R62" s="136"/>
      <c r="S62" s="136"/>
      <c r="Y62"/>
      <c r="Z62"/>
      <c r="AA62"/>
      <c r="AB62"/>
      <c r="AC62"/>
      <c r="AD62"/>
      <c r="AE62"/>
      <c r="AF62"/>
      <c r="AG62"/>
      <c r="AH62"/>
      <c r="AI62"/>
      <c r="AJ62"/>
      <c r="AK62" s="1"/>
      <c r="AL62" s="1"/>
      <c r="AM62" s="1"/>
      <c r="AN62"/>
      <c r="AO62"/>
      <c r="AP62"/>
    </row>
    <row r="63" spans="2:42" s="10" customFormat="1" x14ac:dyDescent="0.3">
      <c r="B63"/>
      <c r="C63"/>
      <c r="D63"/>
      <c r="E63" s="456"/>
      <c r="F63" s="456"/>
      <c r="G63" s="82" t="s">
        <v>50</v>
      </c>
      <c r="H63" s="83"/>
      <c r="I63" s="84"/>
      <c r="J63" s="85"/>
      <c r="K63" s="86"/>
      <c r="L63" s="135"/>
      <c r="N63" s="136"/>
      <c r="O63" s="136"/>
      <c r="P63" s="136"/>
      <c r="Q63" s="136"/>
      <c r="R63" s="136"/>
      <c r="S63" s="136"/>
      <c r="Y63"/>
      <c r="Z63"/>
      <c r="AA63"/>
      <c r="AB63"/>
      <c r="AC63"/>
      <c r="AD63"/>
      <c r="AE63"/>
      <c r="AF63"/>
      <c r="AG63"/>
      <c r="AH63"/>
      <c r="AI63"/>
      <c r="AJ63"/>
      <c r="AK63" s="1"/>
      <c r="AL63" s="1"/>
      <c r="AM63" s="1"/>
      <c r="AN63"/>
      <c r="AO63"/>
      <c r="AP63"/>
    </row>
    <row r="64" spans="2:42" s="10" customFormat="1" x14ac:dyDescent="0.3">
      <c r="B64"/>
      <c r="C64"/>
      <c r="D64"/>
      <c r="E64" s="457"/>
      <c r="F64" s="457"/>
      <c r="G64" s="82" t="s">
        <v>51</v>
      </c>
      <c r="H64" s="87">
        <f>+H62+H63*2</f>
        <v>547</v>
      </c>
      <c r="I64" s="88"/>
      <c r="J64" s="89"/>
      <c r="K64" s="90">
        <f>+K62+K63*2</f>
        <v>374.96</v>
      </c>
      <c r="L64" s="137" t="s">
        <v>54</v>
      </c>
      <c r="N64" s="136"/>
      <c r="O64" s="136"/>
      <c r="P64" s="136"/>
      <c r="Q64" s="136"/>
      <c r="R64" s="136"/>
      <c r="S64" s="136"/>
      <c r="Y64"/>
      <c r="Z64"/>
      <c r="AA64"/>
      <c r="AB64"/>
      <c r="AC64"/>
      <c r="AE64"/>
      <c r="AF64"/>
      <c r="AG64"/>
      <c r="AH64"/>
      <c r="AI64"/>
      <c r="AJ64"/>
      <c r="AK64" s="1"/>
      <c r="AL64" s="1"/>
      <c r="AM64" s="1"/>
      <c r="AN64"/>
      <c r="AO64"/>
      <c r="AP64"/>
    </row>
    <row r="65" spans="2:42" s="10" customFormat="1" x14ac:dyDescent="0.3">
      <c r="B65"/>
      <c r="C65"/>
      <c r="D65"/>
      <c r="E65" s="455">
        <f>+E45</f>
        <v>8</v>
      </c>
      <c r="F65" s="455" t="s">
        <v>55</v>
      </c>
      <c r="G65" s="82" t="s">
        <v>48</v>
      </c>
      <c r="H65" s="83">
        <v>726</v>
      </c>
      <c r="I65" s="84"/>
      <c r="J65" s="85"/>
      <c r="K65" s="86">
        <f>576.94-0.97-0.51</f>
        <v>575.46</v>
      </c>
      <c r="L65" s="135"/>
      <c r="N65" s="136"/>
      <c r="O65" s="136"/>
      <c r="P65" s="136"/>
      <c r="Q65" s="136"/>
      <c r="R65" s="136"/>
      <c r="S65" s="136"/>
      <c r="Y65"/>
      <c r="Z65"/>
      <c r="AA65"/>
      <c r="AB65"/>
      <c r="AC65"/>
      <c r="AD65"/>
      <c r="AE65"/>
      <c r="AF65"/>
      <c r="AG65"/>
      <c r="AH65"/>
      <c r="AI65"/>
      <c r="AJ65"/>
      <c r="AK65" s="1"/>
      <c r="AL65" s="1"/>
      <c r="AM65" s="1"/>
      <c r="AN65"/>
      <c r="AO65"/>
      <c r="AP65"/>
    </row>
    <row r="66" spans="2:42" s="10" customFormat="1" x14ac:dyDescent="0.3">
      <c r="B66"/>
      <c r="C66"/>
      <c r="D66"/>
      <c r="E66" s="456"/>
      <c r="F66" s="456"/>
      <c r="G66" s="82" t="s">
        <v>50</v>
      </c>
      <c r="H66" s="83">
        <v>2</v>
      </c>
      <c r="I66" s="84"/>
      <c r="J66" s="85"/>
      <c r="K66" s="86">
        <f>0.97+0.51</f>
        <v>1.48</v>
      </c>
      <c r="L66" s="135"/>
      <c r="N66" s="136"/>
      <c r="O66" s="136"/>
      <c r="P66" s="136"/>
      <c r="Q66" s="136"/>
      <c r="R66" s="136"/>
      <c r="S66" s="136"/>
      <c r="Y66"/>
      <c r="Z66"/>
      <c r="AA66"/>
      <c r="AB66"/>
      <c r="AC66"/>
      <c r="AD66"/>
      <c r="AE66"/>
      <c r="AF66"/>
      <c r="AG66"/>
      <c r="AH66"/>
      <c r="AI66"/>
      <c r="AJ66"/>
      <c r="AK66" s="1"/>
      <c r="AL66" s="1"/>
      <c r="AM66" s="1"/>
      <c r="AN66"/>
      <c r="AO66"/>
      <c r="AP66"/>
    </row>
    <row r="67" spans="2:42" s="10" customFormat="1" x14ac:dyDescent="0.3">
      <c r="B67"/>
      <c r="C67"/>
      <c r="D67"/>
      <c r="E67" s="457"/>
      <c r="F67" s="457"/>
      <c r="G67" s="82" t="s">
        <v>51</v>
      </c>
      <c r="H67" s="87">
        <f>+H65+H66*2</f>
        <v>730</v>
      </c>
      <c r="I67" s="88"/>
      <c r="J67" s="89"/>
      <c r="K67" s="90">
        <f>+K65+K66*2</f>
        <v>578.42000000000007</v>
      </c>
      <c r="L67" s="135"/>
      <c r="N67" s="136"/>
      <c r="O67" s="136"/>
      <c r="P67" s="136"/>
      <c r="Q67" s="136"/>
      <c r="R67" s="136"/>
      <c r="S67" s="136"/>
      <c r="Y67"/>
      <c r="Z67"/>
      <c r="AA67"/>
      <c r="AB67"/>
      <c r="AC67"/>
      <c r="AD67"/>
      <c r="AE67"/>
      <c r="AF67"/>
      <c r="AG67"/>
      <c r="AH67"/>
      <c r="AI67"/>
      <c r="AJ67"/>
      <c r="AK67" s="1"/>
      <c r="AL67" s="1"/>
      <c r="AM67" s="1"/>
      <c r="AN67"/>
      <c r="AO67"/>
      <c r="AP67"/>
    </row>
    <row r="68" spans="2:42" s="10" customFormat="1" x14ac:dyDescent="0.3">
      <c r="B68"/>
      <c r="C68"/>
      <c r="D68"/>
      <c r="E68" s="455">
        <f>+E48</f>
        <v>9</v>
      </c>
      <c r="F68" s="455" t="s">
        <v>56</v>
      </c>
      <c r="G68" s="82" t="s">
        <v>48</v>
      </c>
      <c r="H68" s="83">
        <v>514</v>
      </c>
      <c r="I68" s="84"/>
      <c r="J68" s="85"/>
      <c r="K68" s="86">
        <v>368.28</v>
      </c>
      <c r="L68" s="135"/>
      <c r="N68" s="136"/>
      <c r="O68" s="136"/>
      <c r="P68" s="136"/>
      <c r="Q68" s="136"/>
      <c r="R68" s="136"/>
      <c r="S68" s="136"/>
      <c r="Y68"/>
      <c r="Z68"/>
      <c r="AA68"/>
      <c r="AB68"/>
      <c r="AC68"/>
      <c r="AD68"/>
      <c r="AE68"/>
      <c r="AF68"/>
      <c r="AG68"/>
      <c r="AH68"/>
      <c r="AI68"/>
      <c r="AJ68"/>
      <c r="AK68" s="1"/>
      <c r="AL68" s="1"/>
      <c r="AM68" s="1"/>
      <c r="AN68"/>
      <c r="AO68"/>
      <c r="AP68"/>
    </row>
    <row r="69" spans="2:42" s="10" customFormat="1" x14ac:dyDescent="0.3">
      <c r="B69"/>
      <c r="C69"/>
      <c r="D69"/>
      <c r="E69" s="456"/>
      <c r="F69" s="456"/>
      <c r="G69" s="82" t="s">
        <v>50</v>
      </c>
      <c r="H69" s="83"/>
      <c r="I69" s="84"/>
      <c r="J69" s="85"/>
      <c r="K69" s="86"/>
      <c r="L69" s="135"/>
      <c r="N69" s="136"/>
      <c r="O69" s="136"/>
      <c r="P69" s="136"/>
      <c r="Q69" s="136"/>
      <c r="R69" s="136"/>
      <c r="S69" s="136"/>
      <c r="Y69"/>
      <c r="Z69"/>
      <c r="AA69"/>
      <c r="AB69"/>
      <c r="AC69"/>
      <c r="AD69"/>
      <c r="AE69"/>
      <c r="AF69"/>
      <c r="AG69"/>
      <c r="AH69"/>
      <c r="AI69"/>
      <c r="AJ69"/>
      <c r="AK69" s="1"/>
      <c r="AL69" s="1"/>
      <c r="AM69" s="1"/>
      <c r="AN69"/>
      <c r="AO69"/>
      <c r="AP69"/>
    </row>
    <row r="70" spans="2:42" s="10" customFormat="1" x14ac:dyDescent="0.3">
      <c r="B70"/>
      <c r="C70"/>
      <c r="D70"/>
      <c r="E70" s="457"/>
      <c r="F70" s="457"/>
      <c r="G70" s="82" t="s">
        <v>51</v>
      </c>
      <c r="H70" s="91">
        <f>H68+H69*2</f>
        <v>514</v>
      </c>
      <c r="I70" s="88"/>
      <c r="J70" s="89"/>
      <c r="K70" s="90">
        <f>+K68+K69*2</f>
        <v>368.28</v>
      </c>
      <c r="L70" s="135"/>
      <c r="N70" s="136"/>
      <c r="O70" s="136"/>
      <c r="P70" s="136"/>
      <c r="Q70" s="136"/>
      <c r="R70" s="136"/>
      <c r="S70" s="136"/>
      <c r="Y70"/>
      <c r="Z70"/>
      <c r="AA70"/>
      <c r="AB70"/>
      <c r="AC70"/>
      <c r="AD70"/>
      <c r="AE70"/>
      <c r="AF70"/>
      <c r="AG70"/>
      <c r="AH70"/>
      <c r="AI70"/>
      <c r="AJ70"/>
      <c r="AK70" s="1"/>
      <c r="AL70" s="1"/>
      <c r="AM70" s="1"/>
      <c r="AN70"/>
      <c r="AO70"/>
      <c r="AP70"/>
    </row>
    <row r="71" spans="2:42" s="10" customFormat="1" x14ac:dyDescent="0.3">
      <c r="B71"/>
      <c r="C71"/>
      <c r="D71"/>
      <c r="E71" s="455">
        <f>+E51</f>
        <v>10</v>
      </c>
      <c r="F71" s="455" t="s">
        <v>38</v>
      </c>
      <c r="G71" s="82" t="s">
        <v>48</v>
      </c>
      <c r="H71" s="83">
        <v>508</v>
      </c>
      <c r="I71" s="84"/>
      <c r="J71" s="85"/>
      <c r="K71" s="86">
        <v>376.63</v>
      </c>
      <c r="L71" s="135"/>
      <c r="N71" s="136"/>
      <c r="O71" s="136"/>
      <c r="P71" s="136"/>
      <c r="Q71" s="136"/>
      <c r="R71" s="136"/>
      <c r="S71" s="136"/>
      <c r="Y71"/>
      <c r="Z71"/>
      <c r="AA71"/>
      <c r="AB71"/>
      <c r="AC71"/>
      <c r="AD71"/>
      <c r="AE71"/>
      <c r="AF71"/>
      <c r="AG71"/>
      <c r="AH71"/>
      <c r="AI71"/>
      <c r="AJ71"/>
      <c r="AK71" s="1"/>
      <c r="AL71" s="1"/>
      <c r="AM71" s="1"/>
      <c r="AN71"/>
      <c r="AO71"/>
      <c r="AP71"/>
    </row>
    <row r="72" spans="2:42" s="10" customFormat="1" x14ac:dyDescent="0.3">
      <c r="B72"/>
      <c r="C72"/>
      <c r="D72"/>
      <c r="E72" s="456"/>
      <c r="F72" s="456"/>
      <c r="G72" s="82" t="s">
        <v>50</v>
      </c>
      <c r="H72" s="83"/>
      <c r="I72" s="84"/>
      <c r="J72" s="85"/>
      <c r="K72" s="86"/>
      <c r="L72" s="135"/>
      <c r="N72" s="136"/>
      <c r="O72" s="136"/>
      <c r="P72" s="136"/>
      <c r="Q72" s="136"/>
      <c r="R72" s="136"/>
      <c r="S72" s="136"/>
      <c r="Y72"/>
      <c r="Z72"/>
      <c r="AA72"/>
      <c r="AB72"/>
      <c r="AC72"/>
      <c r="AD72"/>
      <c r="AE72"/>
      <c r="AF72"/>
      <c r="AG72"/>
      <c r="AH72"/>
      <c r="AI72"/>
      <c r="AJ72"/>
      <c r="AK72" s="1"/>
      <c r="AL72" s="1"/>
      <c r="AM72" s="1"/>
      <c r="AN72"/>
      <c r="AO72"/>
      <c r="AP72"/>
    </row>
    <row r="73" spans="2:42" s="10" customFormat="1" x14ac:dyDescent="0.3">
      <c r="B73"/>
      <c r="C73"/>
      <c r="D73"/>
      <c r="E73" s="457"/>
      <c r="F73" s="457"/>
      <c r="G73" s="82" t="s">
        <v>51</v>
      </c>
      <c r="H73" s="87">
        <f>+H71+H72*2</f>
        <v>508</v>
      </c>
      <c r="I73" s="88"/>
      <c r="J73" s="89"/>
      <c r="K73" s="90">
        <f>+K71+K72*2</f>
        <v>376.63</v>
      </c>
      <c r="L73" s="135"/>
      <c r="N73" s="136"/>
      <c r="O73" s="136"/>
      <c r="P73" s="136"/>
      <c r="Q73" s="136"/>
      <c r="R73" s="136"/>
      <c r="S73" s="136"/>
      <c r="Y73"/>
      <c r="Z73"/>
      <c r="AA73"/>
      <c r="AB73"/>
      <c r="AC73"/>
      <c r="AD73"/>
      <c r="AE73"/>
      <c r="AF73"/>
      <c r="AG73"/>
      <c r="AH73"/>
      <c r="AI73"/>
      <c r="AJ73"/>
      <c r="AK73" s="1"/>
      <c r="AL73" s="1"/>
      <c r="AM73" s="1"/>
      <c r="AN73"/>
      <c r="AO73"/>
      <c r="AP73"/>
    </row>
    <row r="76" spans="2:42" ht="45" customHeight="1" x14ac:dyDescent="0.3">
      <c r="B76" s="463" t="s">
        <v>58</v>
      </c>
      <c r="C76" s="464"/>
      <c r="D76" s="464"/>
      <c r="E76" s="464"/>
      <c r="F76" s="464"/>
      <c r="G76" s="464"/>
      <c r="H76" s="464"/>
      <c r="I76" s="464"/>
      <c r="J76" s="464"/>
      <c r="K76" s="464"/>
      <c r="L76" s="464"/>
      <c r="M76" s="464"/>
      <c r="N76" s="464"/>
      <c r="O76" s="464"/>
      <c r="P76" s="464"/>
      <c r="Q76" s="464"/>
      <c r="R76" s="464"/>
      <c r="S76" s="464"/>
      <c r="T76" s="464"/>
      <c r="U76" s="464"/>
      <c r="V76" s="464"/>
      <c r="W76" s="464"/>
      <c r="X76" s="464"/>
      <c r="Y76" s="464"/>
      <c r="Z76" s="464"/>
      <c r="AA76" s="464"/>
      <c r="AB76" s="464"/>
      <c r="AC76" s="464"/>
      <c r="AD76" s="464"/>
    </row>
    <row r="77" spans="2:42" ht="18" customHeight="1" x14ac:dyDescent="0.3">
      <c r="B77" t="s">
        <v>5</v>
      </c>
      <c r="D77" s="7">
        <v>55</v>
      </c>
      <c r="F77" s="8" t="s">
        <v>6</v>
      </c>
      <c r="T77" s="9">
        <v>1.2</v>
      </c>
      <c r="Z77" s="12">
        <f>Z61</f>
        <v>0</v>
      </c>
      <c r="AA77" s="11">
        <f>AA61</f>
        <v>0</v>
      </c>
      <c r="AB77" s="12"/>
      <c r="AD77" s="8"/>
    </row>
    <row r="78" spans="2:42" ht="21" customHeight="1" x14ac:dyDescent="0.3">
      <c r="B78" s="430" t="s">
        <v>7</v>
      </c>
      <c r="C78" s="430" t="s">
        <v>45</v>
      </c>
      <c r="D78" s="430" t="s">
        <v>8</v>
      </c>
      <c r="E78" s="432" t="s">
        <v>9</v>
      </c>
      <c r="F78" s="432" t="s">
        <v>10</v>
      </c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441" t="s">
        <v>12</v>
      </c>
      <c r="U78" s="418"/>
      <c r="V78" s="442"/>
      <c r="W78" s="446" t="s">
        <v>13</v>
      </c>
      <c r="X78" s="418"/>
      <c r="Y78" s="418"/>
      <c r="Z78" s="13"/>
      <c r="AA78" s="14"/>
      <c r="AB78" s="447" t="s">
        <v>14</v>
      </c>
      <c r="AC78" s="449" t="s">
        <v>15</v>
      </c>
      <c r="AD78" s="418" t="s">
        <v>16</v>
      </c>
    </row>
    <row r="79" spans="2:42" ht="33.75" thickBot="1" x14ac:dyDescent="0.35">
      <c r="B79" s="431"/>
      <c r="C79" s="431"/>
      <c r="D79" s="431"/>
      <c r="E79" s="433"/>
      <c r="F79" s="433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5" t="s">
        <v>12</v>
      </c>
      <c r="U79" s="16" t="s">
        <v>17</v>
      </c>
      <c r="V79" s="17" t="s">
        <v>18</v>
      </c>
      <c r="W79" s="18" t="s">
        <v>13</v>
      </c>
      <c r="X79" s="16" t="s">
        <v>19</v>
      </c>
      <c r="Y79" s="19" t="s">
        <v>18</v>
      </c>
      <c r="Z79" s="143" t="s">
        <v>20</v>
      </c>
      <c r="AA79" s="20" t="s">
        <v>21</v>
      </c>
      <c r="AB79" s="448"/>
      <c r="AC79" s="450"/>
      <c r="AD79" s="419"/>
      <c r="AE79" s="21" t="s">
        <v>22</v>
      </c>
      <c r="AF79" s="21" t="s">
        <v>23</v>
      </c>
      <c r="AG79" s="22"/>
      <c r="AH79" s="22"/>
      <c r="AI79" s="22" t="s">
        <v>24</v>
      </c>
      <c r="AJ79" s="22"/>
      <c r="AK79" s="23" t="s">
        <v>25</v>
      </c>
      <c r="AL79" s="23" t="s">
        <v>26</v>
      </c>
      <c r="AM79" s="23" t="s">
        <v>27</v>
      </c>
      <c r="AN79" s="22"/>
      <c r="AO79" s="22">
        <f>SUM(AO80:AO85)</f>
        <v>-50</v>
      </c>
    </row>
    <row r="80" spans="2:42" ht="98.25" customHeight="1" thickTop="1" x14ac:dyDescent="0.3">
      <c r="B80" s="458">
        <v>6</v>
      </c>
      <c r="C80" s="92">
        <v>19</v>
      </c>
      <c r="D80" s="93" t="s">
        <v>7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95">
        <f>+T94</f>
        <v>0</v>
      </c>
      <c r="U80" s="96">
        <f>IF(F80=0,"휴무",T80/F80)</f>
        <v>0</v>
      </c>
      <c r="V80" s="97">
        <f>IFERROR(T80/#REF!,0)</f>
        <v>0</v>
      </c>
      <c r="W80" s="98">
        <f>+W94</f>
        <v>0</v>
      </c>
      <c r="X80" s="96">
        <f t="shared" ref="X80:X85" si="25">IF(F80=0,"휴무",W80/F80)</f>
        <v>0</v>
      </c>
      <c r="Y80" s="99">
        <f>IFERROR(W80/#REF!,0)</f>
        <v>0</v>
      </c>
      <c r="Z80" s="100" t="e">
        <f>IF(F80=0,"휴무",T80/#REF!*$Z$4)</f>
        <v>#REF!</v>
      </c>
      <c r="AA80" s="101" t="e">
        <f>IF(F80=0,"휴무",W80/#REF!*$AA$4)</f>
        <v>#REF!</v>
      </c>
      <c r="AB80" s="102" t="e">
        <f t="shared" ref="AB80:AB85" si="26">IF(F80=0,"휴무",Z80+AA80)</f>
        <v>#REF!</v>
      </c>
      <c r="AC80" s="103" t="e">
        <f t="shared" ref="AC80:AC85" si="27">IF(F80=0,"휴무",IF(AB80&gt;=100,"좋아요",IF(AB80&gt;=90,"90~99",IF(AB80&gt;=80,"80~89"," 사유?→"))))</f>
        <v>#REF!</v>
      </c>
      <c r="AD80" s="104"/>
      <c r="AE80" s="37">
        <f>AF80-F80</f>
        <v>-10</v>
      </c>
      <c r="AF80" s="38">
        <f>AM80</f>
        <v>0</v>
      </c>
      <c r="AG80" s="149" t="s">
        <v>29</v>
      </c>
      <c r="AH80" s="39"/>
      <c r="AI80" s="40" t="str">
        <f>IFERROR(Y80/V80*1000,"")</f>
        <v/>
      </c>
      <c r="AJ80" s="39"/>
      <c r="AK80" s="41"/>
      <c r="AL80" s="41"/>
      <c r="AM80" s="41"/>
      <c r="AN80" s="149"/>
      <c r="AO80" s="149">
        <f>AN80-F80</f>
        <v>-10</v>
      </c>
    </row>
    <row r="81" spans="2:41" ht="98.25" customHeight="1" x14ac:dyDescent="0.3">
      <c r="B81" s="459"/>
      <c r="C81" s="92">
        <v>20</v>
      </c>
      <c r="D81" s="150" t="s">
        <v>30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95">
        <f>+T97</f>
        <v>0</v>
      </c>
      <c r="U81" s="62">
        <f>IF(F81=0,"휴무",T81/F81)</f>
        <v>0</v>
      </c>
      <c r="V81" s="63">
        <f>IFERROR(T81/#REF!,0)</f>
        <v>0</v>
      </c>
      <c r="W81" s="105">
        <f>+W97</f>
        <v>0</v>
      </c>
      <c r="X81" s="96">
        <f t="shared" si="25"/>
        <v>0</v>
      </c>
      <c r="Y81" s="65">
        <f>IFERROR(W81/#REF!,0)</f>
        <v>0</v>
      </c>
      <c r="Z81" s="106" t="e">
        <f>IF(F81=0,"휴무",T81/#REF!*$Z$4)</f>
        <v>#REF!</v>
      </c>
      <c r="AA81" s="107" t="e">
        <f>IF(F81=0,"휴무",W81/#REF!*$AA$4)</f>
        <v>#REF!</v>
      </c>
      <c r="AB81" s="66" t="e">
        <f t="shared" si="26"/>
        <v>#REF!</v>
      </c>
      <c r="AC81" s="108" t="e">
        <f t="shared" si="27"/>
        <v>#REF!</v>
      </c>
      <c r="AD81" s="109"/>
      <c r="AE81" s="37">
        <f>AF81-F81</f>
        <v>-10</v>
      </c>
      <c r="AF81" s="38">
        <f>AM81</f>
        <v>0</v>
      </c>
      <c r="AG81" s="149" t="s">
        <v>34</v>
      </c>
      <c r="AH81" s="39"/>
      <c r="AI81" s="40" t="str">
        <f>IFERROR(Y81/V81*1000,"")</f>
        <v/>
      </c>
      <c r="AJ81" s="39"/>
      <c r="AK81" s="41"/>
      <c r="AL81" s="41"/>
      <c r="AM81" s="41"/>
      <c r="AN81" s="149"/>
      <c r="AO81" s="149">
        <f>AN81-F81</f>
        <v>-10</v>
      </c>
    </row>
    <row r="82" spans="2:41" ht="98.25" customHeight="1" x14ac:dyDescent="0.3">
      <c r="B82" s="459"/>
      <c r="C82" s="92">
        <v>21</v>
      </c>
      <c r="D82" s="150" t="s">
        <v>32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95">
        <f>+T100</f>
        <v>0</v>
      </c>
      <c r="U82" s="62">
        <f>IF(F82=0,"휴무",T82/F82)</f>
        <v>0</v>
      </c>
      <c r="V82" s="63">
        <f>IFERROR(T82/#REF!,0)</f>
        <v>0</v>
      </c>
      <c r="W82" s="105">
        <f>+W100</f>
        <v>0</v>
      </c>
      <c r="X82" s="96">
        <f t="shared" si="25"/>
        <v>0</v>
      </c>
      <c r="Y82" s="65">
        <f>IFERROR(W82/#REF!,0)</f>
        <v>0</v>
      </c>
      <c r="Z82" s="106" t="e">
        <f>IF(F82=0,"휴무",T82/#REF!*$Z$4)</f>
        <v>#REF!</v>
      </c>
      <c r="AA82" s="107" t="e">
        <f>IF(F82=0,"휴무",W82/#REF!*$AA$4)</f>
        <v>#REF!</v>
      </c>
      <c r="AB82" s="66" t="e">
        <f t="shared" si="26"/>
        <v>#REF!</v>
      </c>
      <c r="AC82" s="108" t="e">
        <f t="shared" si="27"/>
        <v>#REF!</v>
      </c>
      <c r="AD82" s="109"/>
      <c r="AE82" s="37">
        <f>AF82-F82</f>
        <v>-10</v>
      </c>
      <c r="AF82" s="38">
        <f>AM82</f>
        <v>0</v>
      </c>
      <c r="AG82" s="149" t="s">
        <v>36</v>
      </c>
      <c r="AH82" s="39"/>
      <c r="AI82" s="40" t="str">
        <f>IFERROR(Y82/V82*1000,"")</f>
        <v/>
      </c>
      <c r="AJ82" s="39"/>
      <c r="AK82" s="41"/>
      <c r="AL82" s="41"/>
      <c r="AM82" s="41"/>
      <c r="AN82" s="149"/>
      <c r="AO82" s="149">
        <f>AN82-F82</f>
        <v>-10</v>
      </c>
    </row>
    <row r="83" spans="2:41" ht="98.25" customHeight="1" x14ac:dyDescent="0.3">
      <c r="B83" s="459"/>
      <c r="C83" s="92">
        <v>22</v>
      </c>
      <c r="D83" s="150" t="s">
        <v>35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95">
        <f>+T103</f>
        <v>0</v>
      </c>
      <c r="U83" s="62">
        <f>IF(F83=0,"휴무",T83/F83)</f>
        <v>0</v>
      </c>
      <c r="V83" s="63">
        <f>IFERROR(T83/#REF!,0)</f>
        <v>0</v>
      </c>
      <c r="W83" s="105">
        <f>+W103</f>
        <v>0</v>
      </c>
      <c r="X83" s="62">
        <f t="shared" si="25"/>
        <v>0</v>
      </c>
      <c r="Y83" s="65">
        <f>IFERROR(W83/#REF!,0)</f>
        <v>0</v>
      </c>
      <c r="Z83" s="106" t="e">
        <f>IF(F83=0,"휴무",T83/#REF!*$Z$4)</f>
        <v>#REF!</v>
      </c>
      <c r="AA83" s="107" t="e">
        <f>IF(F83=0,"휴무",W83/#REF!*$AA$4)</f>
        <v>#REF!</v>
      </c>
      <c r="AB83" s="66" t="e">
        <f t="shared" si="26"/>
        <v>#REF!</v>
      </c>
      <c r="AC83" s="110" t="e">
        <f t="shared" si="27"/>
        <v>#REF!</v>
      </c>
      <c r="AD83" s="104"/>
      <c r="AE83" s="37">
        <f>AF83-F83</f>
        <v>-10</v>
      </c>
      <c r="AF83" s="38">
        <f>AM83</f>
        <v>0</v>
      </c>
      <c r="AG83" s="149" t="s">
        <v>33</v>
      </c>
      <c r="AH83" s="39"/>
      <c r="AI83" s="40" t="str">
        <f>IFERROR(Y83/V83*1000,"")</f>
        <v/>
      </c>
      <c r="AJ83" s="39"/>
      <c r="AK83" s="41"/>
      <c r="AL83" s="41"/>
      <c r="AM83" s="41"/>
      <c r="AN83" s="149"/>
      <c r="AO83" s="149">
        <f>AN83-F83</f>
        <v>-10</v>
      </c>
    </row>
    <row r="84" spans="2:41" ht="98.25" customHeight="1" x14ac:dyDescent="0.3">
      <c r="B84" s="459"/>
      <c r="C84" s="92">
        <v>23</v>
      </c>
      <c r="D84" s="150" t="s">
        <v>37</v>
      </c>
      <c r="E84" s="94" t="s">
        <v>59</v>
      </c>
      <c r="F84" s="93">
        <v>10</v>
      </c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95">
        <f>+T104</f>
        <v>0</v>
      </c>
      <c r="U84" s="62">
        <f>IF(F84=0,"휴무",T84/F84)</f>
        <v>0</v>
      </c>
      <c r="V84" s="63">
        <f>IFERROR(T84/#REF!,0)</f>
        <v>0</v>
      </c>
      <c r="W84" s="105">
        <f>+W104</f>
        <v>0</v>
      </c>
      <c r="X84" s="62">
        <f t="shared" si="25"/>
        <v>0</v>
      </c>
      <c r="Y84" s="65">
        <f>IFERROR(W84/#REF!,0)</f>
        <v>0</v>
      </c>
      <c r="Z84" s="106" t="e">
        <f>IF(F84=0,"휴무",T84/#REF!*$Z$4)</f>
        <v>#REF!</v>
      </c>
      <c r="AA84" s="107" t="e">
        <f>IF(F84=0,"휴무",W84/#REF!*$AA$4)</f>
        <v>#REF!</v>
      </c>
      <c r="AB84" s="66" t="e">
        <f t="shared" si="26"/>
        <v>#REF!</v>
      </c>
      <c r="AC84" s="110" t="e">
        <f t="shared" si="27"/>
        <v>#REF!</v>
      </c>
      <c r="AD84" s="104"/>
      <c r="AE84" s="37">
        <f>AF84-F84</f>
        <v>-10</v>
      </c>
      <c r="AF84" s="38">
        <f>AM84</f>
        <v>0</v>
      </c>
      <c r="AG84" s="149" t="s">
        <v>46</v>
      </c>
      <c r="AH84" s="39"/>
      <c r="AI84" s="40" t="str">
        <f>IFERROR(Y84/V84*1000,"")</f>
        <v/>
      </c>
      <c r="AJ84" s="149"/>
      <c r="AK84" s="41"/>
      <c r="AL84" s="41"/>
      <c r="AM84" s="41"/>
      <c r="AN84" s="149"/>
      <c r="AO84" s="149">
        <f>AN84-F84</f>
        <v>-10</v>
      </c>
    </row>
    <row r="85" spans="2:41" ht="98.25" customHeight="1" x14ac:dyDescent="0.3">
      <c r="B85" s="459"/>
      <c r="C85" s="92">
        <v>25</v>
      </c>
      <c r="D85" s="150" t="s">
        <v>45</v>
      </c>
      <c r="E85" s="94" t="s">
        <v>60</v>
      </c>
      <c r="F85" s="93">
        <f>IF(E85="평일",8,IF(E85="휴무",0,IF(OR(E85="주말",E85="공휴일"),8,IF(E85="1H",9,IF(E85="야근",3.5,"Check")))))</f>
        <v>0</v>
      </c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95">
        <f>T109</f>
        <v>0</v>
      </c>
      <c r="U85" s="96">
        <v>58.924999999999997</v>
      </c>
      <c r="V85" s="97">
        <v>0.89280303030303021</v>
      </c>
      <c r="W85" s="98">
        <f>W109</f>
        <v>0</v>
      </c>
      <c r="X85" s="62" t="str">
        <f t="shared" si="25"/>
        <v>휴무</v>
      </c>
      <c r="Y85" s="65">
        <f>IFERROR(W85/#REF!,0)</f>
        <v>0</v>
      </c>
      <c r="Z85" s="106" t="str">
        <f>IF(F85=0,"휴무",T85/#REF!*$Z$4)</f>
        <v>휴무</v>
      </c>
      <c r="AA85" s="107" t="str">
        <f>IF(F85=0,"휴무",W85/#REF!*$AA$4)</f>
        <v>휴무</v>
      </c>
      <c r="AB85" s="66" t="str">
        <f t="shared" si="26"/>
        <v>휴무</v>
      </c>
      <c r="AC85" s="110" t="str">
        <f t="shared" si="27"/>
        <v>휴무</v>
      </c>
      <c r="AD85" s="104"/>
      <c r="AE85" s="37"/>
      <c r="AF85" s="38"/>
      <c r="AG85" s="149"/>
      <c r="AH85" s="39"/>
      <c r="AI85" s="40"/>
      <c r="AJ85" s="149"/>
      <c r="AK85" s="41"/>
      <c r="AL85" s="41"/>
      <c r="AM85" s="41"/>
      <c r="AN85" s="149"/>
      <c r="AO85" s="149"/>
    </row>
    <row r="86" spans="2:41" ht="36" customHeight="1" x14ac:dyDescent="0.3">
      <c r="B86" s="460" t="s">
        <v>39</v>
      </c>
      <c r="C86" s="461"/>
      <c r="D86" s="461"/>
      <c r="E86" s="462"/>
      <c r="F86" s="150">
        <f>SUM(F80:F85)</f>
        <v>50</v>
      </c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11">
        <f>SUM(T80:T85)</f>
        <v>0</v>
      </c>
      <c r="U86" s="112"/>
      <c r="V86" s="63">
        <f>IFERROR(T86/#REF!,0)</f>
        <v>0</v>
      </c>
      <c r="W86" s="113">
        <f>SUM(W80:W85)</f>
        <v>0</v>
      </c>
      <c r="X86" s="62"/>
      <c r="Y86" s="65">
        <f>IFERROR(W86/#REF!,0)</f>
        <v>0</v>
      </c>
      <c r="Z86" s="150"/>
      <c r="AA86" s="146"/>
      <c r="AB86" s="114"/>
      <c r="AC86" s="115"/>
      <c r="AD86" s="148"/>
      <c r="AE86" s="37">
        <f>AF86-F86</f>
        <v>-50</v>
      </c>
      <c r="AF86" s="38">
        <f>SUM(AF80:AF85)</f>
        <v>0</v>
      </c>
      <c r="AG86" s="149"/>
      <c r="AH86" s="149"/>
      <c r="AI86" s="40"/>
      <c r="AJ86" s="149"/>
      <c r="AK86" s="59"/>
      <c r="AL86" s="59"/>
      <c r="AM86" s="59"/>
      <c r="AN86" s="149"/>
      <c r="AO86" s="149"/>
    </row>
    <row r="87" spans="2:41" ht="36" customHeight="1" x14ac:dyDescent="0.3">
      <c r="B87" s="443" t="s">
        <v>40</v>
      </c>
      <c r="C87" s="444"/>
      <c r="D87" s="444"/>
      <c r="E87" s="445"/>
      <c r="F87" s="60">
        <f>AVERAGE(F80:F85)</f>
        <v>8.3333333333333339</v>
      </c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147"/>
      <c r="R87" s="147"/>
      <c r="S87" s="147"/>
      <c r="T87" s="61">
        <f>U87*F87</f>
        <v>0</v>
      </c>
      <c r="U87" s="62">
        <f>T86/F86</f>
        <v>0</v>
      </c>
      <c r="V87" s="63">
        <f>IFERROR(T87/#REF!,0)</f>
        <v>0</v>
      </c>
      <c r="W87" s="64">
        <f>W86/F86*F87</f>
        <v>0</v>
      </c>
      <c r="X87" s="62">
        <f>IF(F87=0,"휴무",W87/F87)</f>
        <v>0</v>
      </c>
      <c r="Y87" s="65">
        <f>IFERROR(W87/#REF!,0)</f>
        <v>0</v>
      </c>
      <c r="Z87" s="60" t="e">
        <f>AVERAGE(Z80:Z85)</f>
        <v>#REF!</v>
      </c>
      <c r="AA87" s="60" t="e">
        <f>AVERAGE(AA80:AA85)</f>
        <v>#REF!</v>
      </c>
      <c r="AB87" s="66" t="e">
        <f>Z87+AA87</f>
        <v>#REF!</v>
      </c>
      <c r="AC87" s="115" t="e">
        <f>IF(F87=0,"휴무",IF(AB87&gt;=100,"좋아요",IF(AB87&gt;=90,"90~99",IF(AB87&gt;=80,"80~89"," 사유?→"))))</f>
        <v>#REF!</v>
      </c>
      <c r="AD87" s="68"/>
      <c r="AE87" s="69"/>
      <c r="AF87" s="69"/>
      <c r="AG87" s="69"/>
      <c r="AH87" s="69"/>
      <c r="AI87" s="40" t="str">
        <f>IFERROR(Y87/V87*1000,"")</f>
        <v/>
      </c>
      <c r="AJ87" s="69"/>
      <c r="AK87" s="10"/>
      <c r="AL87" s="10"/>
      <c r="AM87" s="10"/>
      <c r="AN87" s="69"/>
      <c r="AO87" s="69"/>
    </row>
    <row r="88" spans="2:41" x14ac:dyDescent="0.3">
      <c r="B88" s="70" t="s">
        <v>41</v>
      </c>
      <c r="C88" s="71"/>
      <c r="D88" s="71"/>
      <c r="E88" s="72"/>
      <c r="T88" s="22"/>
      <c r="V88" s="73">
        <f>V87*60</f>
        <v>0</v>
      </c>
      <c r="W88" s="74"/>
      <c r="X88" s="73"/>
      <c r="Y88" s="74">
        <f>Y87*40</f>
        <v>0</v>
      </c>
      <c r="Z88" s="81"/>
      <c r="AA88" s="81"/>
      <c r="AB88" s="74">
        <f>V88+Y88</f>
        <v>0</v>
      </c>
      <c r="AC88" s="149"/>
      <c r="AD88" s="149"/>
      <c r="AE88" s="149"/>
      <c r="AF88" s="149"/>
      <c r="AG88" s="149"/>
      <c r="AH88" s="149"/>
      <c r="AI88" s="149"/>
      <c r="AJ88" s="149"/>
      <c r="AK88" s="59"/>
      <c r="AL88" s="59"/>
      <c r="AM88" s="59"/>
      <c r="AN88" s="149"/>
      <c r="AO88" s="149"/>
    </row>
    <row r="89" spans="2:41" ht="17.25" thickBot="1" x14ac:dyDescent="0.35">
      <c r="B89" s="70" t="s">
        <v>61</v>
      </c>
      <c r="U89" s="10">
        <v>8.8000000000000007</v>
      </c>
    </row>
    <row r="90" spans="2:41" ht="17.25" thickBot="1" x14ac:dyDescent="0.35">
      <c r="B90" s="76" t="s">
        <v>42</v>
      </c>
      <c r="C90" s="77"/>
      <c r="D90" s="78" t="s">
        <v>43</v>
      </c>
      <c r="E90" s="78"/>
      <c r="F90" s="79"/>
      <c r="X90" s="10">
        <v>50</v>
      </c>
    </row>
    <row r="92" spans="2:41" x14ac:dyDescent="0.3">
      <c r="E92" s="465">
        <v>19</v>
      </c>
      <c r="F92" s="465" t="s">
        <v>7</v>
      </c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3"/>
      <c r="U92" s="84"/>
      <c r="V92" s="85"/>
      <c r="W92" s="86"/>
    </row>
    <row r="93" spans="2:41" x14ac:dyDescent="0.3">
      <c r="C93" t="s">
        <v>57</v>
      </c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3"/>
      <c r="U93" s="84"/>
      <c r="V93" s="85"/>
      <c r="W93" s="86"/>
    </row>
    <row r="94" spans="2:41" x14ac:dyDescent="0.3">
      <c r="E94" s="465"/>
      <c r="F94" s="465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7">
        <f>+T92+T93*1.6</f>
        <v>0</v>
      </c>
      <c r="U94" s="88"/>
      <c r="V94" s="89"/>
      <c r="W94" s="90">
        <f>+W92+W93*1.6</f>
        <v>0</v>
      </c>
    </row>
    <row r="95" spans="2:41" x14ac:dyDescent="0.3">
      <c r="E95" s="465">
        <v>20</v>
      </c>
      <c r="F95" s="465" t="s">
        <v>52</v>
      </c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3"/>
      <c r="U95" s="84"/>
      <c r="V95" s="85"/>
      <c r="W95" s="86"/>
    </row>
    <row r="96" spans="2:41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3"/>
      <c r="U96" s="84"/>
      <c r="V96" s="85"/>
      <c r="W96" s="86"/>
    </row>
    <row r="97" spans="5:30" x14ac:dyDescent="0.3">
      <c r="E97" s="465"/>
      <c r="F97" s="465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91">
        <f>+T95+T96*1.6</f>
        <v>0</v>
      </c>
      <c r="U97" s="88"/>
      <c r="V97" s="89"/>
      <c r="W97" s="90">
        <f>+W95+W96*1.6</f>
        <v>0</v>
      </c>
    </row>
    <row r="98" spans="5:30" x14ac:dyDescent="0.3">
      <c r="E98" s="465">
        <v>21</v>
      </c>
      <c r="F98" s="465" t="s">
        <v>53</v>
      </c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84"/>
      <c r="V98" s="85"/>
      <c r="W98" s="86"/>
    </row>
    <row r="99" spans="5:30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3"/>
      <c r="U99" s="84"/>
      <c r="V99" s="85"/>
      <c r="W99" s="86"/>
    </row>
    <row r="100" spans="5:30" x14ac:dyDescent="0.3">
      <c r="E100" s="465"/>
      <c r="F100" s="465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7">
        <f>+T98+T99*1.6</f>
        <v>0</v>
      </c>
      <c r="U100" s="88"/>
      <c r="V100" s="89"/>
      <c r="W100" s="90">
        <f>+W98+W99*1.6</f>
        <v>0</v>
      </c>
    </row>
    <row r="101" spans="5:30" x14ac:dyDescent="0.3">
      <c r="E101" s="465">
        <v>22</v>
      </c>
      <c r="F101" s="465" t="s">
        <v>55</v>
      </c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3"/>
      <c r="U101" s="84"/>
      <c r="V101" s="85"/>
      <c r="W101" s="86"/>
    </row>
    <row r="102" spans="5:30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3"/>
      <c r="U102" s="84"/>
      <c r="V102" s="85"/>
      <c r="W102" s="86"/>
    </row>
    <row r="103" spans="5:30" x14ac:dyDescent="0.3">
      <c r="E103" s="465"/>
      <c r="F103" s="465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7">
        <f>+T101+T102*1.6</f>
        <v>0</v>
      </c>
      <c r="U103" s="88"/>
      <c r="V103" s="89"/>
      <c r="W103" s="90">
        <f>+W101+W102*1.6</f>
        <v>0</v>
      </c>
    </row>
    <row r="104" spans="5:30" x14ac:dyDescent="0.3">
      <c r="E104" s="465">
        <v>23</v>
      </c>
      <c r="F104" s="465" t="s">
        <v>56</v>
      </c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3"/>
      <c r="U104" s="84"/>
      <c r="V104" s="85"/>
      <c r="W104" s="86"/>
    </row>
    <row r="105" spans="5:30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3"/>
      <c r="U105" s="84"/>
      <c r="V105" s="85"/>
      <c r="W105" s="86"/>
    </row>
    <row r="106" spans="5:30" x14ac:dyDescent="0.3">
      <c r="E106" s="465"/>
      <c r="F106" s="465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7">
        <f>+T104+T105*1.6</f>
        <v>0</v>
      </c>
      <c r="U106" s="88"/>
      <c r="V106" s="89"/>
      <c r="W106" s="90">
        <f>+W104+W105*1.6</f>
        <v>0</v>
      </c>
    </row>
    <row r="107" spans="5:30" x14ac:dyDescent="0.3">
      <c r="E107" s="455">
        <v>24</v>
      </c>
      <c r="F107" s="465" t="s">
        <v>45</v>
      </c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3"/>
      <c r="U107" s="84"/>
      <c r="V107" s="85"/>
      <c r="W107" s="86"/>
      <c r="AD107" s="116"/>
    </row>
    <row r="108" spans="5:30" x14ac:dyDescent="0.3">
      <c r="E108" s="456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3"/>
      <c r="U108" s="84"/>
      <c r="V108" s="85"/>
      <c r="W108" s="86"/>
    </row>
    <row r="109" spans="5:30" x14ac:dyDescent="0.3">
      <c r="E109" s="457"/>
      <c r="F109" s="465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7">
        <f>+T107+T108*1.6</f>
        <v>0</v>
      </c>
      <c r="U109" s="88"/>
      <c r="V109" s="89"/>
      <c r="W109" s="90">
        <f>+W107+W108*1.6</f>
        <v>0</v>
      </c>
    </row>
    <row r="114" spans="3:26" x14ac:dyDescent="0.3">
      <c r="C114" s="467" t="s">
        <v>62</v>
      </c>
      <c r="D114" s="467"/>
      <c r="E114" s="467"/>
      <c r="F114" s="467"/>
      <c r="G114" s="467"/>
      <c r="H114" s="467"/>
      <c r="I114" s="467"/>
      <c r="J114" s="467"/>
      <c r="K114" s="467"/>
      <c r="L114" s="467"/>
      <c r="M114" s="467"/>
      <c r="N114" s="467"/>
      <c r="O114" s="467"/>
      <c r="P114" s="467"/>
      <c r="Q114" s="467"/>
      <c r="R114" s="467"/>
      <c r="S114" s="467"/>
      <c r="T114" s="467"/>
    </row>
    <row r="116" spans="3:26" x14ac:dyDescent="0.3">
      <c r="C116" s="150" t="s">
        <v>49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117"/>
      <c r="V116" s="118"/>
      <c r="W116" s="116"/>
      <c r="X116" s="117"/>
      <c r="Y116" s="116"/>
      <c r="Z116" s="116"/>
    </row>
    <row r="117" spans="3:26" x14ac:dyDescent="0.3">
      <c r="C117" s="150" t="s">
        <v>63</v>
      </c>
      <c r="D117" s="466" t="s">
        <v>12</v>
      </c>
      <c r="E117" s="466"/>
      <c r="F117" s="150" t="s">
        <v>64</v>
      </c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 t="s">
        <v>15</v>
      </c>
      <c r="U117" s="117"/>
      <c r="V117" s="118"/>
      <c r="W117" s="116"/>
      <c r="X117" s="117"/>
      <c r="Y117" s="116"/>
      <c r="Z117" s="116"/>
    </row>
    <row r="118" spans="3:26" x14ac:dyDescent="0.3">
      <c r="C118" s="119">
        <v>45075</v>
      </c>
      <c r="D118" s="466"/>
      <c r="E118" s="466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17"/>
      <c r="V118" s="118"/>
      <c r="W118" s="116"/>
      <c r="X118" s="117"/>
      <c r="Y118" s="116"/>
      <c r="Z118" s="116"/>
    </row>
    <row r="119" spans="3:26" x14ac:dyDescent="0.3">
      <c r="C119" s="119">
        <v>45076</v>
      </c>
      <c r="D119" s="466"/>
      <c r="E119" s="466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17"/>
      <c r="V119" s="118"/>
      <c r="W119" s="116"/>
      <c r="X119" s="117"/>
      <c r="Y119" s="116"/>
      <c r="Z119" s="116"/>
    </row>
    <row r="120" spans="3:26" x14ac:dyDescent="0.3">
      <c r="C120" s="119">
        <v>45077</v>
      </c>
      <c r="D120" s="466"/>
      <c r="E120" s="466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17"/>
      <c r="V120" s="118"/>
      <c r="W120" s="116"/>
      <c r="X120" s="117"/>
      <c r="Y120" s="116"/>
      <c r="Z120" s="116"/>
    </row>
    <row r="121" spans="3:26" x14ac:dyDescent="0.3">
      <c r="C121" s="119">
        <v>45078</v>
      </c>
      <c r="D121" s="466"/>
      <c r="E121" s="466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17"/>
      <c r="V121" s="118"/>
      <c r="W121" s="116"/>
      <c r="X121" s="117"/>
      <c r="Y121" s="116"/>
      <c r="Z121" s="116"/>
    </row>
    <row r="122" spans="3:26" x14ac:dyDescent="0.3">
      <c r="C122" s="119">
        <v>45079</v>
      </c>
      <c r="D122" s="466"/>
      <c r="E122" s="466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17"/>
      <c r="V122" s="118"/>
      <c r="W122" s="116"/>
      <c r="X122" s="117"/>
      <c r="Y122" s="116"/>
      <c r="Z122" s="116"/>
    </row>
    <row r="123" spans="3:26" x14ac:dyDescent="0.3">
      <c r="C123" s="119">
        <v>45080</v>
      </c>
      <c r="D123" s="466"/>
      <c r="E123" s="466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17"/>
      <c r="V123" s="118"/>
      <c r="W123" s="116"/>
      <c r="X123" s="117"/>
      <c r="Y123" s="116"/>
      <c r="Z123" s="116"/>
    </row>
    <row r="124" spans="3:26" x14ac:dyDescent="0.3">
      <c r="C124" s="150"/>
      <c r="D124" s="460"/>
      <c r="E124" s="462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17"/>
      <c r="V124" s="118"/>
      <c r="W124" s="116"/>
      <c r="X124" s="117"/>
      <c r="Y124" s="116"/>
      <c r="Z124" s="116"/>
    </row>
    <row r="125" spans="3:26" x14ac:dyDescent="0.3"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117"/>
      <c r="V125" s="118"/>
      <c r="W125" s="116"/>
      <c r="X125" s="117"/>
      <c r="Y125" s="116"/>
      <c r="Z125" s="116"/>
    </row>
    <row r="126" spans="3:26" x14ac:dyDescent="0.3">
      <c r="C126" s="150" t="s">
        <v>65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117"/>
      <c r="V126" s="118"/>
      <c r="W126" s="116"/>
      <c r="X126" s="117"/>
      <c r="Y126" s="116"/>
      <c r="Z126" s="116"/>
    </row>
    <row r="127" spans="3:26" x14ac:dyDescent="0.3">
      <c r="C127" s="150" t="s">
        <v>63</v>
      </c>
      <c r="D127" s="466" t="s">
        <v>12</v>
      </c>
      <c r="E127" s="466"/>
      <c r="F127" s="150" t="s">
        <v>64</v>
      </c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 t="s">
        <v>15</v>
      </c>
      <c r="U127" s="117"/>
      <c r="V127" s="118"/>
      <c r="W127" s="116"/>
      <c r="X127" s="117"/>
      <c r="Y127" s="116"/>
      <c r="Z127" s="116"/>
    </row>
    <row r="128" spans="3:26" x14ac:dyDescent="0.3">
      <c r="C128" s="119">
        <v>45075</v>
      </c>
      <c r="D128" s="466"/>
      <c r="E128" s="466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17"/>
      <c r="V128" s="118"/>
      <c r="W128" s="116"/>
      <c r="X128" s="117"/>
      <c r="Y128" s="116"/>
      <c r="Z128" s="116"/>
    </row>
    <row r="129" spans="3:26" x14ac:dyDescent="0.3">
      <c r="C129" s="119">
        <v>45076</v>
      </c>
      <c r="D129" s="466"/>
      <c r="E129" s="466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17"/>
      <c r="V129" s="118"/>
      <c r="W129" s="116"/>
      <c r="X129" s="117"/>
      <c r="Y129" s="116"/>
      <c r="Z129" s="116"/>
    </row>
    <row r="130" spans="3:26" x14ac:dyDescent="0.3">
      <c r="C130" s="119">
        <v>45077</v>
      </c>
      <c r="D130" s="466"/>
      <c r="E130" s="466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17"/>
      <c r="V130" s="118"/>
      <c r="W130" s="116"/>
      <c r="X130" s="117"/>
      <c r="Y130" s="116"/>
      <c r="Z130" s="116"/>
    </row>
    <row r="131" spans="3:26" x14ac:dyDescent="0.3">
      <c r="C131" s="119">
        <v>45078</v>
      </c>
      <c r="D131" s="466"/>
      <c r="E131" s="466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17"/>
      <c r="V131" s="118"/>
      <c r="W131" s="116"/>
      <c r="X131" s="117"/>
      <c r="Y131" s="116"/>
      <c r="Z131" s="116"/>
    </row>
    <row r="132" spans="3:26" x14ac:dyDescent="0.3">
      <c r="C132" s="119">
        <v>45079</v>
      </c>
      <c r="D132" s="466"/>
      <c r="E132" s="466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17"/>
      <c r="V132" s="118"/>
      <c r="W132" s="116"/>
      <c r="X132" s="117"/>
      <c r="Y132" s="116"/>
      <c r="Z132" s="116"/>
    </row>
    <row r="133" spans="3:26" x14ac:dyDescent="0.3">
      <c r="C133" s="119">
        <v>45080</v>
      </c>
      <c r="D133" s="466"/>
      <c r="E133" s="466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17"/>
      <c r="V133" s="118"/>
      <c r="W133" s="116"/>
      <c r="X133" s="117"/>
      <c r="Y133" s="116"/>
      <c r="Z133" s="116"/>
    </row>
    <row r="134" spans="3:26" x14ac:dyDescent="0.3">
      <c r="C134" s="150"/>
      <c r="D134" s="460"/>
      <c r="E134" s="462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17"/>
      <c r="V134" s="118"/>
      <c r="W134" s="116"/>
      <c r="X134" s="117"/>
      <c r="Y134" s="116"/>
      <c r="Z134" s="116"/>
    </row>
    <row r="135" spans="3:26" x14ac:dyDescent="0.3"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117"/>
      <c r="V135" s="118"/>
      <c r="W135" s="116"/>
      <c r="X135" s="117"/>
      <c r="Y135" s="116"/>
      <c r="Z135" s="116"/>
    </row>
    <row r="136" spans="3:26" x14ac:dyDescent="0.3">
      <c r="C136" s="150" t="s">
        <v>66</v>
      </c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117"/>
      <c r="V136" s="118"/>
      <c r="W136" s="116"/>
      <c r="X136" s="117"/>
      <c r="Y136" s="116"/>
      <c r="Z136" s="116"/>
    </row>
    <row r="137" spans="3:26" x14ac:dyDescent="0.3">
      <c r="C137" s="150" t="s">
        <v>63</v>
      </c>
      <c r="D137" s="466" t="s">
        <v>12</v>
      </c>
      <c r="E137" s="466"/>
      <c r="F137" s="150" t="s">
        <v>64</v>
      </c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 t="s">
        <v>15</v>
      </c>
      <c r="U137" s="117"/>
      <c r="V137" s="118"/>
      <c r="W137" s="116"/>
      <c r="X137" s="117"/>
      <c r="Y137" s="116"/>
      <c r="Z137" s="116"/>
    </row>
    <row r="138" spans="3:26" x14ac:dyDescent="0.3">
      <c r="C138" s="119">
        <v>45075</v>
      </c>
      <c r="D138" s="466"/>
      <c r="E138" s="466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17"/>
      <c r="V138" s="118"/>
      <c r="W138" s="116"/>
      <c r="X138" s="117"/>
      <c r="Y138" s="116"/>
      <c r="Z138" s="116"/>
    </row>
    <row r="139" spans="3:26" x14ac:dyDescent="0.3">
      <c r="C139" s="119">
        <v>45076</v>
      </c>
      <c r="D139" s="466"/>
      <c r="E139" s="466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17"/>
      <c r="V139" s="118"/>
      <c r="W139" s="116"/>
      <c r="X139" s="117"/>
      <c r="Y139" s="116"/>
      <c r="Z139" s="116"/>
    </row>
    <row r="140" spans="3:26" x14ac:dyDescent="0.3">
      <c r="C140" s="119">
        <v>45077</v>
      </c>
      <c r="D140" s="466"/>
      <c r="E140" s="466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</row>
    <row r="141" spans="3:26" x14ac:dyDescent="0.3">
      <c r="C141" s="119">
        <v>45078</v>
      </c>
      <c r="D141" s="466"/>
      <c r="E141" s="466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</row>
    <row r="142" spans="3:26" x14ac:dyDescent="0.3">
      <c r="C142" s="119">
        <v>45079</v>
      </c>
      <c r="D142" s="466"/>
      <c r="E142" s="466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</row>
    <row r="143" spans="3:26" x14ac:dyDescent="0.3">
      <c r="C143" s="119">
        <v>45080</v>
      </c>
      <c r="D143" s="466"/>
      <c r="E143" s="466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</row>
    <row r="144" spans="3:26" x14ac:dyDescent="0.3">
      <c r="C144" s="150"/>
      <c r="D144" s="460"/>
      <c r="E144" s="462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</row>
  </sheetData>
  <mergeCells count="113">
    <mergeCell ref="D140:E140"/>
    <mergeCell ref="D141:E141"/>
    <mergeCell ref="D142:E142"/>
    <mergeCell ref="D143:E143"/>
    <mergeCell ref="D144:E144"/>
    <mergeCell ref="D132:E132"/>
    <mergeCell ref="D133:E133"/>
    <mergeCell ref="D134:E134"/>
    <mergeCell ref="D137:E137"/>
    <mergeCell ref="D138:E138"/>
    <mergeCell ref="D139:E139"/>
    <mergeCell ref="D124:E124"/>
    <mergeCell ref="D127:E127"/>
    <mergeCell ref="D128:E128"/>
    <mergeCell ref="D129:E129"/>
    <mergeCell ref="D130:E130"/>
    <mergeCell ref="D131:E131"/>
    <mergeCell ref="D118:E118"/>
    <mergeCell ref="D119:E119"/>
    <mergeCell ref="D120:E120"/>
    <mergeCell ref="D121:E121"/>
    <mergeCell ref="D122:E122"/>
    <mergeCell ref="D123:E123"/>
    <mergeCell ref="E104:E106"/>
    <mergeCell ref="F104:F106"/>
    <mergeCell ref="E107:E109"/>
    <mergeCell ref="F107:F109"/>
    <mergeCell ref="C114:T114"/>
    <mergeCell ref="D117:E117"/>
    <mergeCell ref="E95:E97"/>
    <mergeCell ref="F95:F97"/>
    <mergeCell ref="E98:E100"/>
    <mergeCell ref="F98:F100"/>
    <mergeCell ref="E101:E103"/>
    <mergeCell ref="F101:F103"/>
    <mergeCell ref="AD78:AD79"/>
    <mergeCell ref="B80:B85"/>
    <mergeCell ref="B86:E86"/>
    <mergeCell ref="B87:E87"/>
    <mergeCell ref="E92:E94"/>
    <mergeCell ref="F92:F94"/>
    <mergeCell ref="B76:AD76"/>
    <mergeCell ref="B78:B79"/>
    <mergeCell ref="C78:C79"/>
    <mergeCell ref="D78:D79"/>
    <mergeCell ref="E78:E79"/>
    <mergeCell ref="F78:F79"/>
    <mergeCell ref="T78:V78"/>
    <mergeCell ref="W78:Y78"/>
    <mergeCell ref="AB78:AB79"/>
    <mergeCell ref="AC78:AC79"/>
    <mergeCell ref="E65:E67"/>
    <mergeCell ref="F65:F67"/>
    <mergeCell ref="E68:E70"/>
    <mergeCell ref="F68:F70"/>
    <mergeCell ref="E71:E73"/>
    <mergeCell ref="F71:F73"/>
    <mergeCell ref="E56:E58"/>
    <mergeCell ref="F56:F58"/>
    <mergeCell ref="E59:E61"/>
    <mergeCell ref="F59:F61"/>
    <mergeCell ref="E62:E64"/>
    <mergeCell ref="F62:F64"/>
    <mergeCell ref="E45:E47"/>
    <mergeCell ref="F45:F47"/>
    <mergeCell ref="E48:E50"/>
    <mergeCell ref="F48:F50"/>
    <mergeCell ref="E51:E53"/>
    <mergeCell ref="F51:F53"/>
    <mergeCell ref="E36:E38"/>
    <mergeCell ref="F36:F38"/>
    <mergeCell ref="E39:E41"/>
    <mergeCell ref="F39:F41"/>
    <mergeCell ref="E42:E44"/>
    <mergeCell ref="F42:F44"/>
    <mergeCell ref="B23:B28"/>
    <mergeCell ref="B29:E29"/>
    <mergeCell ref="B30:E30"/>
    <mergeCell ref="I21:R21"/>
    <mergeCell ref="S21:S22"/>
    <mergeCell ref="T21:V21"/>
    <mergeCell ref="W21:Y21"/>
    <mergeCell ref="Z21:Z22"/>
    <mergeCell ref="AA21:AA22"/>
    <mergeCell ref="B13:E13"/>
    <mergeCell ref="B14:E14"/>
    <mergeCell ref="B19:AD19"/>
    <mergeCell ref="B21:B22"/>
    <mergeCell ref="C21:C22"/>
    <mergeCell ref="D21:D22"/>
    <mergeCell ref="E21:E22"/>
    <mergeCell ref="F21:F22"/>
    <mergeCell ref="G21:G22"/>
    <mergeCell ref="H21:H22"/>
    <mergeCell ref="AB21:AB22"/>
    <mergeCell ref="AC21:AC22"/>
    <mergeCell ref="AD21:AD22"/>
    <mergeCell ref="T5:V5"/>
    <mergeCell ref="W5:Y5"/>
    <mergeCell ref="AB5:AB6"/>
    <mergeCell ref="AC5:AC6"/>
    <mergeCell ref="AD5:AD6"/>
    <mergeCell ref="B7:B12"/>
    <mergeCell ref="B2:AD2"/>
    <mergeCell ref="B3:AD3"/>
    <mergeCell ref="B5:C6"/>
    <mergeCell ref="D5:D6"/>
    <mergeCell ref="E5:E6"/>
    <mergeCell ref="F5:F6"/>
    <mergeCell ref="G5:G6"/>
    <mergeCell ref="H5:H6"/>
    <mergeCell ref="I5:R5"/>
    <mergeCell ref="S5:S6"/>
  </mergeCells>
  <phoneticPr fontId="4" type="noConversion"/>
  <dataValidations count="3">
    <dataValidation type="list" allowBlank="1" showInputMessage="1" showErrorMessage="1" sqref="AG23:AG25 AG7 AG10 AG80:AG82">
      <formula1>$AD$6:$AD$8</formula1>
    </dataValidation>
    <dataValidation type="list" allowBlank="1" showInputMessage="1" showErrorMessage="1" sqref="E80:E85 E27 E25 E9 E23 E7 E11">
      <formula1>$AG$7:$AG$12</formula1>
    </dataValidation>
    <dataValidation type="list" allowBlank="1" showInputMessage="1" showErrorMessage="1" sqref="E8 E28 E12 E26 E10 E24">
      <formula1>$T$7:$T$12</formula1>
    </dataValidation>
  </dataValidations>
  <pageMargins left="0.62992125984251968" right="0.62992125984251968" top="0.94488188976377963" bottom="0.55118110236220474" header="0.31496062992125984" footer="0.31496062992125984"/>
  <pageSetup paperSize="9" scale="26" orientation="landscape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AY143"/>
  <sheetViews>
    <sheetView zoomScale="80" zoomScaleNormal="80" workbookViewId="0">
      <pane xSplit="4" ySplit="5" topLeftCell="E24" activePane="bottomRight" state="frozen"/>
      <selection pane="topRight" activeCell="D1" sqref="D1"/>
      <selection pane="bottomLeft" activeCell="A6" sqref="A6"/>
      <selection pane="bottomRight" activeCell="E25" sqref="E25:F25"/>
    </sheetView>
  </sheetViews>
  <sheetFormatPr defaultRowHeight="16.5" x14ac:dyDescent="0.3"/>
  <cols>
    <col min="1" max="1" width="3.375" customWidth="1"/>
    <col min="2" max="2" width="5.875" customWidth="1"/>
    <col min="3" max="3" width="8.25" customWidth="1"/>
    <col min="4" max="4" width="5" bestFit="1" customWidth="1"/>
    <col min="5" max="5" width="7.375" customWidth="1"/>
    <col min="6" max="6" width="7.5" style="8" customWidth="1"/>
    <col min="7" max="19" width="8.625" style="8" customWidth="1"/>
    <col min="20" max="20" width="10.75" style="75" customWidth="1"/>
    <col min="21" max="21" width="10.875" style="10" customWidth="1"/>
    <col min="22" max="22" width="7.375" style="11" customWidth="1"/>
    <col min="23" max="23" width="12.25" customWidth="1"/>
    <col min="24" max="24" width="7.75" style="10" customWidth="1"/>
    <col min="25" max="25" width="10.375" customWidth="1"/>
    <col min="26" max="26" width="9.5" customWidth="1"/>
    <col min="27" max="27" width="10" customWidth="1"/>
    <col min="28" max="28" width="7.125" customWidth="1"/>
    <col min="29" max="29" width="8.375" customWidth="1"/>
    <col min="30" max="30" width="63.125" customWidth="1"/>
    <col min="31" max="32" width="9.125" hidden="1" customWidth="1"/>
    <col min="33" max="33" width="8.75" hidden="1" customWidth="1"/>
    <col min="34" max="34" width="2.75" hidden="1" customWidth="1"/>
    <col min="35" max="35" width="9.125" hidden="1" customWidth="1"/>
    <col min="36" max="36" width="0" hidden="1" customWidth="1"/>
    <col min="37" max="39" width="9.125" style="1" hidden="1" customWidth="1"/>
    <col min="40" max="41" width="0" hidden="1" customWidth="1"/>
    <col min="42" max="42" width="11.75" hidden="1" customWidth="1"/>
    <col min="43" max="43" width="3.25" customWidth="1"/>
  </cols>
  <sheetData>
    <row r="1" spans="2:51" ht="20.25" x14ac:dyDescent="0.3">
      <c r="B1" s="425" t="s">
        <v>98</v>
      </c>
      <c r="C1" s="425"/>
      <c r="D1" s="425"/>
      <c r="E1" s="425"/>
      <c r="F1" s="425"/>
      <c r="G1" s="425"/>
      <c r="H1" s="425"/>
      <c r="I1" s="425"/>
      <c r="J1" s="425"/>
      <c r="K1" s="425"/>
      <c r="L1" s="425"/>
      <c r="M1" s="425"/>
      <c r="N1" s="425"/>
      <c r="O1" s="425"/>
      <c r="P1" s="425"/>
      <c r="Q1" s="425"/>
      <c r="R1" s="425"/>
      <c r="S1" s="425"/>
      <c r="T1" s="425"/>
      <c r="U1" s="425"/>
      <c r="V1" s="425"/>
      <c r="W1" s="425"/>
      <c r="X1" s="425"/>
      <c r="Y1" s="425"/>
      <c r="Z1" s="425"/>
      <c r="AA1" s="425"/>
      <c r="AB1" s="425"/>
      <c r="AC1" s="425"/>
      <c r="AD1" s="425"/>
      <c r="AV1" s="2" t="s">
        <v>0</v>
      </c>
      <c r="AW1" s="153" t="s">
        <v>1</v>
      </c>
      <c r="AX1" s="153" t="s">
        <v>2</v>
      </c>
      <c r="AY1" s="3" t="s">
        <v>3</v>
      </c>
    </row>
    <row r="2" spans="2:51" ht="45" customHeight="1" x14ac:dyDescent="0.3">
      <c r="B2" s="463" t="s">
        <v>4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  <c r="T2" s="464"/>
      <c r="U2" s="464"/>
      <c r="V2" s="464"/>
      <c r="W2" s="464"/>
      <c r="X2" s="464"/>
      <c r="Y2" s="464"/>
      <c r="Z2" s="464"/>
      <c r="AA2" s="464"/>
      <c r="AB2" s="464"/>
      <c r="AC2" s="464"/>
      <c r="AD2" s="464"/>
      <c r="AV2" s="4"/>
      <c r="AW2" s="5"/>
      <c r="AX2" s="5"/>
      <c r="AY2" s="6"/>
    </row>
    <row r="3" spans="2:51" x14ac:dyDescent="0.3">
      <c r="B3" t="s">
        <v>5</v>
      </c>
      <c r="D3" s="7">
        <v>55</v>
      </c>
      <c r="F3" s="8" t="s">
        <v>6</v>
      </c>
      <c r="T3" s="9">
        <v>1.2</v>
      </c>
      <c r="Z3" s="12">
        <v>50</v>
      </c>
      <c r="AA3" s="11">
        <f>50*10.89/10</f>
        <v>54.45</v>
      </c>
      <c r="AB3" s="12"/>
      <c r="AD3" s="8"/>
    </row>
    <row r="4" spans="2:51" ht="19.149999999999999" customHeight="1" x14ac:dyDescent="0.3">
      <c r="B4" s="426" t="s">
        <v>93</v>
      </c>
      <c r="C4" s="427"/>
      <c r="D4" s="430" t="s">
        <v>8</v>
      </c>
      <c r="E4" s="432" t="s">
        <v>9</v>
      </c>
      <c r="F4" s="432" t="s">
        <v>10</v>
      </c>
      <c r="G4" s="434" t="s">
        <v>83</v>
      </c>
      <c r="H4" s="434" t="s">
        <v>82</v>
      </c>
      <c r="I4" s="436" t="s">
        <v>81</v>
      </c>
      <c r="J4" s="437"/>
      <c r="K4" s="437"/>
      <c r="L4" s="437"/>
      <c r="M4" s="437"/>
      <c r="N4" s="437"/>
      <c r="O4" s="437"/>
      <c r="P4" s="437"/>
      <c r="Q4" s="437"/>
      <c r="R4" s="438"/>
      <c r="S4" s="439" t="s">
        <v>11</v>
      </c>
      <c r="T4" s="441" t="s">
        <v>12</v>
      </c>
      <c r="U4" s="418"/>
      <c r="V4" s="442"/>
      <c r="W4" s="446" t="s">
        <v>13</v>
      </c>
      <c r="X4" s="418"/>
      <c r="Y4" s="418"/>
      <c r="Z4" s="13"/>
      <c r="AA4" s="14"/>
      <c r="AB4" s="447" t="s">
        <v>14</v>
      </c>
      <c r="AC4" s="449" t="s">
        <v>15</v>
      </c>
      <c r="AD4" s="418" t="s">
        <v>16</v>
      </c>
    </row>
    <row r="5" spans="2:51" s="22" customFormat="1" ht="48" customHeight="1" thickBot="1" x14ac:dyDescent="0.35">
      <c r="B5" s="428"/>
      <c r="C5" s="429"/>
      <c r="D5" s="431"/>
      <c r="E5" s="433"/>
      <c r="F5" s="433"/>
      <c r="G5" s="435"/>
      <c r="H5" s="435"/>
      <c r="I5" s="151" t="s">
        <v>68</v>
      </c>
      <c r="J5" s="18" t="s">
        <v>69</v>
      </c>
      <c r="K5" s="18" t="s">
        <v>70</v>
      </c>
      <c r="L5" s="18" t="s">
        <v>71</v>
      </c>
      <c r="M5" s="18" t="s">
        <v>72</v>
      </c>
      <c r="N5" s="18" t="s">
        <v>75</v>
      </c>
      <c r="O5" s="18" t="s">
        <v>75</v>
      </c>
      <c r="P5" s="18" t="s">
        <v>76</v>
      </c>
      <c r="Q5" s="18" t="s">
        <v>77</v>
      </c>
      <c r="R5" s="127" t="s">
        <v>80</v>
      </c>
      <c r="S5" s="440"/>
      <c r="T5" s="15" t="s">
        <v>12</v>
      </c>
      <c r="U5" s="16" t="s">
        <v>17</v>
      </c>
      <c r="V5" s="17" t="s">
        <v>18</v>
      </c>
      <c r="W5" s="18" t="s">
        <v>13</v>
      </c>
      <c r="X5" s="16" t="s">
        <v>19</v>
      </c>
      <c r="Y5" s="19" t="s">
        <v>18</v>
      </c>
      <c r="Z5" s="151" t="s">
        <v>20</v>
      </c>
      <c r="AA5" s="20" t="s">
        <v>21</v>
      </c>
      <c r="AB5" s="448"/>
      <c r="AC5" s="450"/>
      <c r="AD5" s="419"/>
      <c r="AE5" s="21" t="s">
        <v>22</v>
      </c>
      <c r="AF5" s="21" t="s">
        <v>23</v>
      </c>
      <c r="AI5" s="22" t="s">
        <v>24</v>
      </c>
      <c r="AK5" s="23" t="s">
        <v>25</v>
      </c>
      <c r="AL5" s="23" t="s">
        <v>26</v>
      </c>
      <c r="AM5" s="23" t="s">
        <v>27</v>
      </c>
      <c r="AO5" s="22">
        <f>SUM(AO6:AO11)</f>
        <v>-44</v>
      </c>
    </row>
    <row r="6" spans="2:51" s="157" customFormat="1" ht="99" customHeight="1" thickTop="1" x14ac:dyDescent="0.3">
      <c r="B6" s="420">
        <v>12</v>
      </c>
      <c r="C6" s="24">
        <v>29</v>
      </c>
      <c r="D6" s="25" t="s">
        <v>7</v>
      </c>
      <c r="E6" s="26" t="s">
        <v>29</v>
      </c>
      <c r="F6" s="25">
        <v>6</v>
      </c>
      <c r="G6" s="128">
        <v>316</v>
      </c>
      <c r="H6" s="128">
        <f t="shared" ref="H6:H11" si="0">(G6/T6)*100</f>
        <v>98.75</v>
      </c>
      <c r="I6" s="123" t="s">
        <v>99</v>
      </c>
      <c r="J6" s="123" t="s">
        <v>86</v>
      </c>
      <c r="K6" s="123" t="s">
        <v>73</v>
      </c>
      <c r="L6" s="123" t="s">
        <v>87</v>
      </c>
      <c r="M6" s="123"/>
      <c r="N6" s="129" t="s">
        <v>90</v>
      </c>
      <c r="O6" s="123" t="s">
        <v>74</v>
      </c>
      <c r="P6" s="123" t="s">
        <v>91</v>
      </c>
      <c r="Q6" s="123" t="s">
        <v>89</v>
      </c>
      <c r="R6" s="125">
        <f t="shared" ref="R6:R12" si="1">COUNTA(I6:M6)+COUNTA(N6:Q6)/2</f>
        <v>6</v>
      </c>
      <c r="S6" s="27">
        <f t="shared" ref="S6:S11" si="2">F6*$D$3*$T$3</f>
        <v>396</v>
      </c>
      <c r="T6" s="28">
        <f>+H37</f>
        <v>320</v>
      </c>
      <c r="U6" s="29">
        <f t="shared" ref="U6:U11" si="3">IF(F6=0,"휴무",T6/F6)</f>
        <v>53.333333333333336</v>
      </c>
      <c r="V6" s="30">
        <f t="shared" ref="V6:V12" si="4">IFERROR(T6/S6,0)</f>
        <v>0.80808080808080807</v>
      </c>
      <c r="W6" s="31">
        <f>+K37</f>
        <v>268.23</v>
      </c>
      <c r="X6" s="29">
        <f t="shared" ref="X6:X11" si="5">IF(F6=0,"휴무",W6/F6)</f>
        <v>44.705000000000005</v>
      </c>
      <c r="Y6" s="32">
        <f t="shared" ref="Y6:Y12" si="6">IFERROR(W6/S6,0)</f>
        <v>0.67734848484848487</v>
      </c>
      <c r="Z6" s="33">
        <f t="shared" ref="Z6:Z11" si="7">IF(F6=0,"휴무",T6/S6*$Z$3)</f>
        <v>40.404040404040401</v>
      </c>
      <c r="AA6" s="34">
        <f t="shared" ref="AA6:AA11" si="8">IF(F6=0,"휴무",W6/S6*$AA$3)</f>
        <v>36.881625</v>
      </c>
      <c r="AB6" s="138">
        <f t="shared" ref="AB6:AB12" si="9">IF(F6=0,"휴무",Z6+AA6)</f>
        <v>77.285665404040401</v>
      </c>
      <c r="AC6" s="159" t="str">
        <f t="shared" ref="AC6:AC12" si="10">IF(F6=0,"휴무",IF(AB6&gt;=100,"좋아요",IF(AB6&gt;=90,"90~99",IF(AB6&gt;=80,"80~89"," 사유?→"))))</f>
        <v xml:space="preserve"> 사유?→</v>
      </c>
      <c r="AD6" s="160" t="s">
        <v>100</v>
      </c>
      <c r="AE6" s="37">
        <f>AF6-F6</f>
        <v>-6</v>
      </c>
      <c r="AF6" s="38">
        <f>AM6</f>
        <v>0</v>
      </c>
      <c r="AG6" s="157" t="s">
        <v>29</v>
      </c>
      <c r="AH6" s="39"/>
      <c r="AI6" s="40">
        <f>IFERROR(Y6/V6*1000,"")</f>
        <v>838.21875</v>
      </c>
      <c r="AJ6" s="39"/>
      <c r="AK6" s="41"/>
      <c r="AL6" s="41"/>
      <c r="AM6" s="41"/>
      <c r="AO6" s="157">
        <f t="shared" ref="AO6:AO11" si="11">AN6-F6</f>
        <v>-6</v>
      </c>
      <c r="AP6" s="42"/>
    </row>
    <row r="7" spans="2:51" s="157" customFormat="1" ht="99.75" customHeight="1" x14ac:dyDescent="0.3">
      <c r="B7" s="421"/>
      <c r="C7" s="24">
        <f>+C6+1</f>
        <v>30</v>
      </c>
      <c r="D7" s="43" t="s">
        <v>30</v>
      </c>
      <c r="E7" s="26" t="s">
        <v>28</v>
      </c>
      <c r="F7" s="25">
        <v>11</v>
      </c>
      <c r="G7" s="125">
        <v>489</v>
      </c>
      <c r="H7" s="125">
        <f t="shared" si="0"/>
        <v>99.188640973630825</v>
      </c>
      <c r="I7" s="123" t="s">
        <v>99</v>
      </c>
      <c r="J7" s="123" t="s">
        <v>86</v>
      </c>
      <c r="K7" s="123" t="s">
        <v>73</v>
      </c>
      <c r="L7" s="123" t="s">
        <v>87</v>
      </c>
      <c r="M7" s="123"/>
      <c r="N7" s="129" t="s">
        <v>90</v>
      </c>
      <c r="O7" s="123" t="s">
        <v>74</v>
      </c>
      <c r="P7" s="123" t="s">
        <v>91</v>
      </c>
      <c r="Q7" s="123" t="s">
        <v>89</v>
      </c>
      <c r="R7" s="125">
        <f t="shared" si="1"/>
        <v>6</v>
      </c>
      <c r="S7" s="27">
        <f t="shared" si="2"/>
        <v>726</v>
      </c>
      <c r="T7" s="28">
        <f>+H40</f>
        <v>493</v>
      </c>
      <c r="U7" s="44">
        <f t="shared" si="3"/>
        <v>44.81818181818182</v>
      </c>
      <c r="V7" s="45">
        <f t="shared" si="4"/>
        <v>0.67906336088154273</v>
      </c>
      <c r="W7" s="46">
        <f>+K40</f>
        <v>459.28</v>
      </c>
      <c r="X7" s="29">
        <f t="shared" si="5"/>
        <v>41.75272727272727</v>
      </c>
      <c r="Y7" s="47">
        <f t="shared" si="6"/>
        <v>0.63261707988980709</v>
      </c>
      <c r="Z7" s="48">
        <f t="shared" si="7"/>
        <v>33.953168044077138</v>
      </c>
      <c r="AA7" s="49">
        <f t="shared" si="8"/>
        <v>34.445999999999998</v>
      </c>
      <c r="AB7" s="139">
        <f t="shared" si="9"/>
        <v>68.399168044077129</v>
      </c>
      <c r="AC7" s="161" t="str">
        <f t="shared" si="10"/>
        <v xml:space="preserve"> 사유?→</v>
      </c>
      <c r="AD7" s="160" t="s">
        <v>101</v>
      </c>
      <c r="AE7" s="37">
        <f>AF7-F7</f>
        <v>-11</v>
      </c>
      <c r="AF7" s="38">
        <f>AM7</f>
        <v>0</v>
      </c>
      <c r="AG7" s="157" t="s">
        <v>31</v>
      </c>
      <c r="AH7" s="39"/>
      <c r="AI7" s="40">
        <f>IFERROR(Y7/V7*1000,"")</f>
        <v>931.60243407707901</v>
      </c>
      <c r="AJ7" s="39"/>
      <c r="AK7" s="41"/>
      <c r="AL7" s="41"/>
      <c r="AM7" s="41"/>
      <c r="AO7" s="157">
        <f t="shared" si="11"/>
        <v>-11</v>
      </c>
      <c r="AP7" s="42"/>
    </row>
    <row r="8" spans="2:51" s="157" customFormat="1" ht="97.5" customHeight="1" x14ac:dyDescent="0.3">
      <c r="B8" s="421"/>
      <c r="C8" s="24">
        <f>+C7+1</f>
        <v>31</v>
      </c>
      <c r="D8" s="43" t="s">
        <v>32</v>
      </c>
      <c r="E8" s="26" t="s">
        <v>29</v>
      </c>
      <c r="F8" s="25">
        <v>8</v>
      </c>
      <c r="G8" s="125">
        <v>426</v>
      </c>
      <c r="H8" s="125">
        <f t="shared" si="0"/>
        <v>99.532710280373834</v>
      </c>
      <c r="I8" s="123" t="s">
        <v>99</v>
      </c>
      <c r="J8" s="123" t="s">
        <v>86</v>
      </c>
      <c r="K8" s="123" t="s">
        <v>73</v>
      </c>
      <c r="L8" s="123" t="s">
        <v>87</v>
      </c>
      <c r="M8" s="123"/>
      <c r="N8" s="129" t="s">
        <v>90</v>
      </c>
      <c r="O8" s="123" t="s">
        <v>74</v>
      </c>
      <c r="P8" s="123" t="s">
        <v>91</v>
      </c>
      <c r="Q8" s="123" t="s">
        <v>89</v>
      </c>
      <c r="R8" s="125">
        <f t="shared" si="1"/>
        <v>6</v>
      </c>
      <c r="S8" s="27">
        <f t="shared" si="2"/>
        <v>528</v>
      </c>
      <c r="T8" s="51">
        <f>+H43</f>
        <v>428</v>
      </c>
      <c r="U8" s="44">
        <f t="shared" si="3"/>
        <v>53.5</v>
      </c>
      <c r="V8" s="45">
        <f t="shared" si="4"/>
        <v>0.81060606060606055</v>
      </c>
      <c r="W8" s="46">
        <f>+K43</f>
        <v>392.92</v>
      </c>
      <c r="X8" s="44">
        <f t="shared" si="5"/>
        <v>49.115000000000002</v>
      </c>
      <c r="Y8" s="47">
        <f t="shared" si="6"/>
        <v>0.74416666666666664</v>
      </c>
      <c r="Z8" s="48">
        <f t="shared" si="7"/>
        <v>40.530303030303031</v>
      </c>
      <c r="AA8" s="49">
        <f t="shared" si="8"/>
        <v>40.519874999999999</v>
      </c>
      <c r="AB8" s="139">
        <f t="shared" si="9"/>
        <v>81.05017803030303</v>
      </c>
      <c r="AC8" s="50" t="str">
        <f t="shared" si="10"/>
        <v>80~89</v>
      </c>
      <c r="AD8" s="36"/>
      <c r="AE8" s="37">
        <f>AF8-F8</f>
        <v>-8</v>
      </c>
      <c r="AF8" s="38">
        <f>AM8</f>
        <v>0</v>
      </c>
      <c r="AG8" s="157" t="s">
        <v>34</v>
      </c>
      <c r="AH8" s="39"/>
      <c r="AI8" s="40">
        <f>IFERROR(Y8/V8*1000,"")</f>
        <v>918.03738317757006</v>
      </c>
      <c r="AJ8" s="39"/>
      <c r="AK8" s="41"/>
      <c r="AL8" s="41"/>
      <c r="AM8" s="41"/>
      <c r="AO8" s="157">
        <f t="shared" si="11"/>
        <v>-8</v>
      </c>
      <c r="AP8" s="42"/>
    </row>
    <row r="9" spans="2:51" s="157" customFormat="1" ht="95.25" customHeight="1" x14ac:dyDescent="0.3">
      <c r="B9" s="421"/>
      <c r="C9" s="24">
        <v>1</v>
      </c>
      <c r="D9" s="43" t="s">
        <v>35</v>
      </c>
      <c r="E9" s="26" t="s">
        <v>33</v>
      </c>
      <c r="F9" s="25">
        <v>0</v>
      </c>
      <c r="G9" s="125"/>
      <c r="H9" s="125"/>
      <c r="I9" s="123" t="s">
        <v>99</v>
      </c>
      <c r="J9" s="123" t="s">
        <v>86</v>
      </c>
      <c r="K9" s="123" t="s">
        <v>73</v>
      </c>
      <c r="L9" s="123" t="s">
        <v>87</v>
      </c>
      <c r="M9" s="123"/>
      <c r="N9" s="129" t="s">
        <v>90</v>
      </c>
      <c r="O9" s="123" t="s">
        <v>74</v>
      </c>
      <c r="P9" s="123" t="s">
        <v>91</v>
      </c>
      <c r="Q9" s="123" t="s">
        <v>89</v>
      </c>
      <c r="R9" s="125">
        <f t="shared" si="1"/>
        <v>6</v>
      </c>
      <c r="S9" s="27">
        <f t="shared" si="2"/>
        <v>0</v>
      </c>
      <c r="T9" s="28">
        <f>+H46</f>
        <v>0</v>
      </c>
      <c r="U9" s="44" t="str">
        <f t="shared" si="3"/>
        <v>휴무</v>
      </c>
      <c r="V9" s="45">
        <f t="shared" si="4"/>
        <v>0</v>
      </c>
      <c r="W9" s="46">
        <f>+K46</f>
        <v>0</v>
      </c>
      <c r="X9" s="29" t="str">
        <f t="shared" si="5"/>
        <v>휴무</v>
      </c>
      <c r="Y9" s="47">
        <f t="shared" si="6"/>
        <v>0</v>
      </c>
      <c r="Z9" s="48" t="str">
        <f t="shared" si="7"/>
        <v>휴무</v>
      </c>
      <c r="AA9" s="49" t="str">
        <f t="shared" si="8"/>
        <v>휴무</v>
      </c>
      <c r="AB9" s="139" t="str">
        <f t="shared" si="9"/>
        <v>휴무</v>
      </c>
      <c r="AC9" s="50" t="str">
        <f t="shared" si="10"/>
        <v>휴무</v>
      </c>
      <c r="AD9" s="36"/>
      <c r="AE9" s="37">
        <f>AF9-F9</f>
        <v>0</v>
      </c>
      <c r="AF9" s="38">
        <f>AM9</f>
        <v>0</v>
      </c>
      <c r="AG9" s="157" t="s">
        <v>36</v>
      </c>
      <c r="AH9" s="39"/>
      <c r="AI9" s="40" t="str">
        <f>IFERROR(Y9/V9*1000,"")</f>
        <v/>
      </c>
      <c r="AJ9" s="39"/>
      <c r="AK9" s="41"/>
      <c r="AL9" s="41"/>
      <c r="AM9" s="41"/>
      <c r="AO9" s="157">
        <f t="shared" si="11"/>
        <v>0</v>
      </c>
      <c r="AP9" s="42"/>
    </row>
    <row r="10" spans="2:51" s="157" customFormat="1" ht="102.75" customHeight="1" x14ac:dyDescent="0.3">
      <c r="B10" s="421"/>
      <c r="C10" s="24">
        <f>+C9+1</f>
        <v>2</v>
      </c>
      <c r="D10" s="43" t="s">
        <v>37</v>
      </c>
      <c r="E10" s="26" t="s">
        <v>28</v>
      </c>
      <c r="F10" s="25">
        <v>11</v>
      </c>
      <c r="G10" s="125">
        <v>585</v>
      </c>
      <c r="H10" s="125">
        <f t="shared" si="0"/>
        <v>99.659284497444631</v>
      </c>
      <c r="I10" s="123" t="s">
        <v>99</v>
      </c>
      <c r="J10" s="123" t="s">
        <v>86</v>
      </c>
      <c r="K10" s="123" t="s">
        <v>73</v>
      </c>
      <c r="L10" s="123" t="s">
        <v>87</v>
      </c>
      <c r="M10" s="123"/>
      <c r="N10" s="129" t="s">
        <v>90</v>
      </c>
      <c r="O10" s="123" t="s">
        <v>74</v>
      </c>
      <c r="P10" s="123" t="s">
        <v>91</v>
      </c>
      <c r="Q10" s="123" t="s">
        <v>89</v>
      </c>
      <c r="R10" s="125">
        <f t="shared" si="1"/>
        <v>6</v>
      </c>
      <c r="S10" s="27">
        <f t="shared" si="2"/>
        <v>726</v>
      </c>
      <c r="T10" s="28">
        <f>+H49</f>
        <v>587</v>
      </c>
      <c r="U10" s="44">
        <f t="shared" si="3"/>
        <v>53.363636363636367</v>
      </c>
      <c r="V10" s="45">
        <f t="shared" si="4"/>
        <v>0.80853994490358128</v>
      </c>
      <c r="W10" s="46">
        <f>+K49</f>
        <v>465.66</v>
      </c>
      <c r="X10" s="44">
        <f t="shared" si="5"/>
        <v>42.332727272727276</v>
      </c>
      <c r="Y10" s="47">
        <f t="shared" si="6"/>
        <v>0.64140495867768599</v>
      </c>
      <c r="Z10" s="48">
        <f t="shared" si="7"/>
        <v>40.426997245179066</v>
      </c>
      <c r="AA10" s="49">
        <f t="shared" si="8"/>
        <v>34.924500000000002</v>
      </c>
      <c r="AB10" s="139">
        <f t="shared" si="9"/>
        <v>75.351497245179075</v>
      </c>
      <c r="AC10" s="161" t="str">
        <f t="shared" si="10"/>
        <v xml:space="preserve"> 사유?→</v>
      </c>
      <c r="AD10" s="160" t="s">
        <v>102</v>
      </c>
      <c r="AE10" s="37">
        <f>AF10-F10</f>
        <v>-11</v>
      </c>
      <c r="AF10" s="38">
        <f>AM10</f>
        <v>0</v>
      </c>
      <c r="AG10" s="157" t="s">
        <v>33</v>
      </c>
      <c r="AH10" s="39"/>
      <c r="AI10" s="40">
        <f>IFERROR(Y10/V10*1000,"")</f>
        <v>793.28790459965933</v>
      </c>
      <c r="AK10" s="41"/>
      <c r="AL10" s="41"/>
      <c r="AM10" s="41"/>
      <c r="AO10" s="157">
        <f t="shared" si="11"/>
        <v>-11</v>
      </c>
      <c r="AP10" s="42"/>
    </row>
    <row r="11" spans="2:51" s="157" customFormat="1" ht="102.75" customHeight="1" x14ac:dyDescent="0.3">
      <c r="B11" s="421"/>
      <c r="C11" s="24">
        <f>+C10+1</f>
        <v>3</v>
      </c>
      <c r="D11" s="43" t="s">
        <v>38</v>
      </c>
      <c r="E11" s="26" t="s">
        <v>36</v>
      </c>
      <c r="F11" s="25">
        <v>8</v>
      </c>
      <c r="G11" s="125">
        <v>452</v>
      </c>
      <c r="H11" s="125">
        <f t="shared" si="0"/>
        <v>97.835497835497833</v>
      </c>
      <c r="I11" s="123" t="s">
        <v>99</v>
      </c>
      <c r="J11" s="123" t="s">
        <v>86</v>
      </c>
      <c r="K11" s="123" t="s">
        <v>73</v>
      </c>
      <c r="L11" s="123" t="s">
        <v>87</v>
      </c>
      <c r="M11" s="123"/>
      <c r="N11" s="129" t="s">
        <v>103</v>
      </c>
      <c r="O11" s="123" t="s">
        <v>104</v>
      </c>
      <c r="P11" s="123" t="s">
        <v>91</v>
      </c>
      <c r="Q11" s="123" t="s">
        <v>89</v>
      </c>
      <c r="R11" s="125">
        <f t="shared" si="1"/>
        <v>6</v>
      </c>
      <c r="S11" s="152">
        <f t="shared" si="2"/>
        <v>528</v>
      </c>
      <c r="T11" s="28">
        <f>+H52</f>
        <v>462</v>
      </c>
      <c r="U11" s="29">
        <f t="shared" si="3"/>
        <v>57.75</v>
      </c>
      <c r="V11" s="30">
        <f t="shared" si="4"/>
        <v>0.875</v>
      </c>
      <c r="W11" s="31">
        <f>+K52</f>
        <v>340.32</v>
      </c>
      <c r="X11" s="44">
        <f t="shared" si="5"/>
        <v>42.54</v>
      </c>
      <c r="Y11" s="47">
        <f t="shared" si="6"/>
        <v>0.64454545454545453</v>
      </c>
      <c r="Z11" s="48">
        <f t="shared" si="7"/>
        <v>43.75</v>
      </c>
      <c r="AA11" s="49">
        <f t="shared" si="8"/>
        <v>35.095500000000001</v>
      </c>
      <c r="AB11" s="139">
        <f t="shared" si="9"/>
        <v>78.845500000000001</v>
      </c>
      <c r="AC11" s="50" t="str">
        <f t="shared" si="10"/>
        <v xml:space="preserve"> 사유?→</v>
      </c>
      <c r="AD11" s="36"/>
      <c r="AE11" s="37"/>
      <c r="AF11" s="38"/>
      <c r="AH11" s="39"/>
      <c r="AI11" s="40"/>
      <c r="AK11" s="41"/>
      <c r="AL11" s="41"/>
      <c r="AM11" s="41"/>
      <c r="AO11" s="157">
        <f t="shared" si="11"/>
        <v>-8</v>
      </c>
      <c r="AP11" s="42"/>
    </row>
    <row r="12" spans="2:51" s="157" customFormat="1" ht="36" customHeight="1" x14ac:dyDescent="0.3">
      <c r="B12" s="422" t="s">
        <v>39</v>
      </c>
      <c r="C12" s="423"/>
      <c r="D12" s="423"/>
      <c r="E12" s="424"/>
      <c r="F12" s="43">
        <f>SUM(F6:F11)</f>
        <v>44</v>
      </c>
      <c r="G12" s="125"/>
      <c r="H12" s="125"/>
      <c r="I12" s="122"/>
      <c r="J12" s="122"/>
      <c r="K12" s="122"/>
      <c r="L12" s="122"/>
      <c r="M12" s="122"/>
      <c r="N12" s="122"/>
      <c r="O12" s="122"/>
      <c r="P12" s="122"/>
      <c r="Q12" s="122"/>
      <c r="R12" s="125">
        <f t="shared" si="1"/>
        <v>0</v>
      </c>
      <c r="S12" s="52">
        <f>SUM(S6:S11)</f>
        <v>2904</v>
      </c>
      <c r="T12" s="53">
        <f>SUM(T6:T11)</f>
        <v>2290</v>
      </c>
      <c r="U12" s="54">
        <f>T12/F12</f>
        <v>52.045454545454547</v>
      </c>
      <c r="V12" s="45">
        <f t="shared" si="4"/>
        <v>0.7885674931129476</v>
      </c>
      <c r="W12" s="55">
        <f>SUM(W6:W11)</f>
        <v>1926.41</v>
      </c>
      <c r="X12" s="44">
        <f>W12/F12</f>
        <v>43.782045454545454</v>
      </c>
      <c r="Y12" s="47">
        <f t="shared" si="6"/>
        <v>0.66336432506887055</v>
      </c>
      <c r="Z12" s="56">
        <f>T12/S12*Z3</f>
        <v>39.428374655647382</v>
      </c>
      <c r="AA12" s="57">
        <f>W12/S12*AA3</f>
        <v>36.1201875</v>
      </c>
      <c r="AB12" s="140">
        <f t="shared" si="9"/>
        <v>75.548562155647375</v>
      </c>
      <c r="AC12" s="162" t="str">
        <f t="shared" si="10"/>
        <v xml:space="preserve"> 사유?→</v>
      </c>
      <c r="AD12" s="43"/>
      <c r="AE12" s="37">
        <f>AF12-F12</f>
        <v>-44</v>
      </c>
      <c r="AF12" s="38">
        <f>SUM(AF6:AF11)</f>
        <v>0</v>
      </c>
      <c r="AI12" s="40"/>
      <c r="AK12" s="59"/>
      <c r="AL12" s="59"/>
      <c r="AM12" s="59"/>
    </row>
    <row r="13" spans="2:51" s="69" customFormat="1" ht="36" hidden="1" customHeight="1" x14ac:dyDescent="0.3">
      <c r="B13" s="443" t="s">
        <v>40</v>
      </c>
      <c r="C13" s="444"/>
      <c r="D13" s="444"/>
      <c r="E13" s="445"/>
      <c r="F13" s="60">
        <f>AVERAGE(F6:F11)</f>
        <v>7.333333333333333</v>
      </c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61">
        <f>U13*F13</f>
        <v>381.66666666666669</v>
      </c>
      <c r="U13" s="62">
        <f>T12/F12</f>
        <v>52.045454545454547</v>
      </c>
      <c r="V13" s="63">
        <f>IFERROR(T13/#REF!,0)</f>
        <v>0</v>
      </c>
      <c r="W13" s="64">
        <f>W12/F12*F13</f>
        <v>321.06833333333333</v>
      </c>
      <c r="X13" s="62">
        <f>IF(F13=0,"휴무",W13/F13)</f>
        <v>43.782045454545454</v>
      </c>
      <c r="Y13" s="65">
        <f>IFERROR(W13/#REF!,0)</f>
        <v>0</v>
      </c>
      <c r="Z13" s="60">
        <f>AVERAGE(Z6:Z11)</f>
        <v>39.81290174471993</v>
      </c>
      <c r="AA13" s="60">
        <f>AVERAGE(AA6:AA11)</f>
        <v>36.3735</v>
      </c>
      <c r="AB13" s="141">
        <f>Z13+AA13</f>
        <v>76.18640174471993</v>
      </c>
      <c r="AC13" s="67"/>
      <c r="AD13" s="68"/>
      <c r="AI13" s="40" t="str">
        <f>IFERROR(Y13/V13*1000,"")</f>
        <v/>
      </c>
      <c r="AK13" s="10"/>
      <c r="AL13" s="10"/>
      <c r="AM13" s="10"/>
    </row>
    <row r="14" spans="2:51" s="157" customFormat="1" x14ac:dyDescent="0.3">
      <c r="B14" s="70" t="s">
        <v>41</v>
      </c>
      <c r="C14" s="71"/>
      <c r="D14" s="71"/>
      <c r="E14" s="72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22"/>
      <c r="U14" s="10"/>
      <c r="V14" s="73">
        <f>V13*60</f>
        <v>0</v>
      </c>
      <c r="W14" s="74"/>
      <c r="X14" s="73"/>
      <c r="Y14" s="74">
        <f>Y13*40</f>
        <v>0</v>
      </c>
      <c r="AB14" s="142">
        <f>V14+Y14</f>
        <v>0</v>
      </c>
      <c r="AK14" s="59"/>
      <c r="AL14" s="59"/>
      <c r="AM14" s="59"/>
    </row>
    <row r="15" spans="2:51" ht="17.25" thickBot="1" x14ac:dyDescent="0.35">
      <c r="B15" s="70"/>
    </row>
    <row r="16" spans="2:51" ht="17.25" thickBot="1" x14ac:dyDescent="0.35">
      <c r="B16" s="76" t="s">
        <v>42</v>
      </c>
      <c r="C16" s="77"/>
      <c r="D16" s="78" t="s">
        <v>43</v>
      </c>
      <c r="E16" s="78"/>
      <c r="F16" s="79"/>
    </row>
    <row r="18" spans="2:42" ht="45" customHeight="1" x14ac:dyDescent="0.3">
      <c r="B18" s="463" t="s">
        <v>44</v>
      </c>
      <c r="C18" s="464"/>
      <c r="D18" s="464"/>
      <c r="E18" s="464"/>
      <c r="F18" s="464"/>
      <c r="G18" s="464"/>
      <c r="H18" s="464"/>
      <c r="I18" s="464"/>
      <c r="J18" s="464"/>
      <c r="K18" s="464"/>
      <c r="L18" s="464"/>
      <c r="M18" s="464"/>
      <c r="N18" s="464"/>
      <c r="O18" s="464"/>
      <c r="P18" s="464"/>
      <c r="Q18" s="464"/>
      <c r="R18" s="464"/>
      <c r="S18" s="464"/>
      <c r="T18" s="464"/>
      <c r="U18" s="464"/>
      <c r="V18" s="464"/>
      <c r="W18" s="464"/>
      <c r="X18" s="464"/>
      <c r="Y18" s="464"/>
      <c r="Z18" s="464"/>
      <c r="AA18" s="464"/>
      <c r="AB18" s="464"/>
      <c r="AC18" s="464"/>
      <c r="AD18" s="464"/>
    </row>
    <row r="19" spans="2:42" x14ac:dyDescent="0.3">
      <c r="B19" t="s">
        <v>5</v>
      </c>
      <c r="D19" s="7">
        <v>55</v>
      </c>
      <c r="F19" s="8" t="s">
        <v>6</v>
      </c>
      <c r="T19" s="9">
        <v>1.2</v>
      </c>
      <c r="Z19" s="12">
        <f>Z3</f>
        <v>50</v>
      </c>
      <c r="AA19" s="11">
        <f>AA3</f>
        <v>54.45</v>
      </c>
      <c r="AB19" s="12"/>
      <c r="AD19" s="8"/>
    </row>
    <row r="20" spans="2:42" ht="19.149999999999999" customHeight="1" x14ac:dyDescent="0.3">
      <c r="B20" s="430" t="s">
        <v>7</v>
      </c>
      <c r="C20" s="430" t="s">
        <v>45</v>
      </c>
      <c r="D20" s="430" t="s">
        <v>8</v>
      </c>
      <c r="E20" s="432" t="s">
        <v>9</v>
      </c>
      <c r="F20" s="432" t="s">
        <v>10</v>
      </c>
      <c r="G20" s="434" t="s">
        <v>83</v>
      </c>
      <c r="H20" s="434" t="s">
        <v>82</v>
      </c>
      <c r="I20" s="436" t="s">
        <v>79</v>
      </c>
      <c r="J20" s="437"/>
      <c r="K20" s="437"/>
      <c r="L20" s="437"/>
      <c r="M20" s="437"/>
      <c r="N20" s="437"/>
      <c r="O20" s="437"/>
      <c r="P20" s="437"/>
      <c r="Q20" s="437"/>
      <c r="R20" s="438"/>
      <c r="S20" s="439" t="s">
        <v>11</v>
      </c>
      <c r="T20" s="441" t="s">
        <v>12</v>
      </c>
      <c r="U20" s="418"/>
      <c r="V20" s="442"/>
      <c r="W20" s="446" t="s">
        <v>13</v>
      </c>
      <c r="X20" s="418"/>
      <c r="Y20" s="418"/>
      <c r="Z20" s="451" t="s">
        <v>20</v>
      </c>
      <c r="AA20" s="453" t="s">
        <v>21</v>
      </c>
      <c r="AB20" s="447" t="s">
        <v>14</v>
      </c>
      <c r="AC20" s="449" t="s">
        <v>15</v>
      </c>
      <c r="AD20" s="418" t="s">
        <v>16</v>
      </c>
    </row>
    <row r="21" spans="2:42" s="22" customFormat="1" ht="48" customHeight="1" thickBot="1" x14ac:dyDescent="0.35">
      <c r="B21" s="431"/>
      <c r="C21" s="431"/>
      <c r="D21" s="431"/>
      <c r="E21" s="433"/>
      <c r="F21" s="433"/>
      <c r="G21" s="435"/>
      <c r="H21" s="435"/>
      <c r="I21" s="18" t="s">
        <v>68</v>
      </c>
      <c r="J21" s="18" t="s">
        <v>69</v>
      </c>
      <c r="K21" s="18" t="s">
        <v>70</v>
      </c>
      <c r="L21" s="18" t="s">
        <v>71</v>
      </c>
      <c r="M21" s="18" t="s">
        <v>72</v>
      </c>
      <c r="N21" s="18" t="s">
        <v>75</v>
      </c>
      <c r="O21" s="18" t="s">
        <v>75</v>
      </c>
      <c r="P21" s="18" t="s">
        <v>76</v>
      </c>
      <c r="Q21" s="18" t="s">
        <v>77</v>
      </c>
      <c r="R21" s="127" t="s">
        <v>80</v>
      </c>
      <c r="S21" s="440"/>
      <c r="T21" s="15" t="s">
        <v>12</v>
      </c>
      <c r="U21" s="16" t="s">
        <v>17</v>
      </c>
      <c r="V21" s="17" t="s">
        <v>18</v>
      </c>
      <c r="W21" s="18" t="s">
        <v>13</v>
      </c>
      <c r="X21" s="16" t="s">
        <v>19</v>
      </c>
      <c r="Y21" s="19" t="s">
        <v>18</v>
      </c>
      <c r="Z21" s="452"/>
      <c r="AA21" s="454"/>
      <c r="AB21" s="448"/>
      <c r="AC21" s="450"/>
      <c r="AD21" s="419"/>
      <c r="AE21" s="21" t="s">
        <v>22</v>
      </c>
      <c r="AF21" s="21" t="s">
        <v>23</v>
      </c>
      <c r="AI21" s="22" t="s">
        <v>24</v>
      </c>
      <c r="AK21" s="23" t="s">
        <v>25</v>
      </c>
      <c r="AL21" s="23" t="s">
        <v>26</v>
      </c>
      <c r="AM21" s="23" t="s">
        <v>27</v>
      </c>
      <c r="AO21" s="22">
        <f>SUM(AO22:AO27)</f>
        <v>-46.5</v>
      </c>
    </row>
    <row r="22" spans="2:42" s="157" customFormat="1" ht="99" customHeight="1" thickTop="1" x14ac:dyDescent="0.3">
      <c r="B22" s="420">
        <f>+B6</f>
        <v>12</v>
      </c>
      <c r="C22" s="24">
        <f t="shared" ref="C22:C27" si="12">+C6</f>
        <v>29</v>
      </c>
      <c r="D22" s="25" t="s">
        <v>7</v>
      </c>
      <c r="E22" s="26" t="s">
        <v>29</v>
      </c>
      <c r="F22" s="25">
        <v>8.5</v>
      </c>
      <c r="G22" s="128">
        <v>437</v>
      </c>
      <c r="H22" s="128">
        <f t="shared" ref="H22:H27" si="13">(G22/T22)*100</f>
        <v>96.895787139689588</v>
      </c>
      <c r="I22" s="123" t="s">
        <v>78</v>
      </c>
      <c r="J22" s="123" t="s">
        <v>88</v>
      </c>
      <c r="K22" s="123" t="s">
        <v>92</v>
      </c>
      <c r="L22" s="123" t="s">
        <v>84</v>
      </c>
      <c r="M22" s="123"/>
      <c r="N22" s="129" t="s">
        <v>90</v>
      </c>
      <c r="O22" s="123" t="s">
        <v>74</v>
      </c>
      <c r="P22" s="123" t="s">
        <v>91</v>
      </c>
      <c r="Q22" s="123" t="s">
        <v>89</v>
      </c>
      <c r="R22" s="124">
        <f t="shared" ref="R22:R27" si="14">COUNTA(I22:M22)+COUNTA(N22:Q22)/2</f>
        <v>6</v>
      </c>
      <c r="S22" s="27">
        <f t="shared" ref="S22:S27" si="15">F22*$D$3*$T$3</f>
        <v>561</v>
      </c>
      <c r="T22" s="28">
        <f>+H57</f>
        <v>451</v>
      </c>
      <c r="U22" s="29">
        <f t="shared" ref="U22:U27" si="16">IF(F22=0,"휴무",T22/F22)</f>
        <v>53.058823529411768</v>
      </c>
      <c r="V22" s="30">
        <f t="shared" ref="V22:V28" si="17">IFERROR(T22/S22,0)</f>
        <v>0.80392156862745101</v>
      </c>
      <c r="W22" s="31">
        <f>+K57</f>
        <v>487.53</v>
      </c>
      <c r="X22" s="29">
        <f t="shared" ref="X22:X27" si="18">IF(F22=0,"휴무",W22/F22)</f>
        <v>57.35647058823529</v>
      </c>
      <c r="Y22" s="32">
        <f t="shared" ref="Y22:Y28" si="19">IFERROR(W22/S22,0)</f>
        <v>0.8690374331550802</v>
      </c>
      <c r="Z22" s="33">
        <f t="shared" ref="Z22:Z27" si="20">IF(F22=0,"휴무",T22/S22*$Z$3)</f>
        <v>40.196078431372548</v>
      </c>
      <c r="AA22" s="34">
        <f t="shared" ref="AA22:AA27" si="21">IF(F22=0,"휴무",W22/S22*$AA$3)</f>
        <v>47.319088235294117</v>
      </c>
      <c r="AB22" s="138">
        <f t="shared" ref="AB22:AB28" si="22">IF(F22=0,"휴무",Z22+AA22)</f>
        <v>87.515166666666659</v>
      </c>
      <c r="AC22" s="35" t="str">
        <f t="shared" ref="AC22:AC28" si="23">IF(F22=0,"휴무",IF(AB22&gt;=100,"좋아요",IF(AB22&gt;=90,"90~99",IF(AB22&gt;=80,"80~89"," 사유?→"))))</f>
        <v>80~89</v>
      </c>
      <c r="AD22" s="36"/>
      <c r="AE22" s="37">
        <f>AF22-F22</f>
        <v>-8.5</v>
      </c>
      <c r="AF22" s="38">
        <f>AM22</f>
        <v>0</v>
      </c>
      <c r="AG22" s="157" t="s">
        <v>29</v>
      </c>
      <c r="AH22" s="39"/>
      <c r="AI22" s="40">
        <f>IFERROR(Y22/V22*1000,"")</f>
        <v>1080.9977827050996</v>
      </c>
      <c r="AJ22" s="39"/>
      <c r="AK22" s="41"/>
      <c r="AL22" s="41"/>
      <c r="AM22" s="41"/>
      <c r="AO22" s="157">
        <f t="shared" ref="AO22:AO27" si="24">AN22-F22</f>
        <v>-8.5</v>
      </c>
      <c r="AP22" s="42"/>
    </row>
    <row r="23" spans="2:42" s="157" customFormat="1" ht="99.75" customHeight="1" x14ac:dyDescent="0.3">
      <c r="B23" s="421"/>
      <c r="C23" s="24">
        <f t="shared" si="12"/>
        <v>30</v>
      </c>
      <c r="D23" s="43" t="s">
        <v>30</v>
      </c>
      <c r="E23" s="26" t="s">
        <v>28</v>
      </c>
      <c r="F23" s="25">
        <v>11</v>
      </c>
      <c r="G23" s="125">
        <v>681</v>
      </c>
      <c r="H23" s="125">
        <f t="shared" si="13"/>
        <v>99.416058394160586</v>
      </c>
      <c r="I23" s="123" t="s">
        <v>78</v>
      </c>
      <c r="J23" s="123" t="s">
        <v>88</v>
      </c>
      <c r="K23" s="123" t="s">
        <v>92</v>
      </c>
      <c r="L23" s="123" t="s">
        <v>84</v>
      </c>
      <c r="M23" s="123"/>
      <c r="N23" s="129" t="s">
        <v>90</v>
      </c>
      <c r="O23" s="123" t="s">
        <v>74</v>
      </c>
      <c r="P23" s="123" t="s">
        <v>91</v>
      </c>
      <c r="Q23" s="123" t="s">
        <v>89</v>
      </c>
      <c r="R23" s="124">
        <f t="shared" si="14"/>
        <v>6</v>
      </c>
      <c r="S23" s="27">
        <f t="shared" si="15"/>
        <v>726</v>
      </c>
      <c r="T23" s="28">
        <f>+H60</f>
        <v>685</v>
      </c>
      <c r="U23" s="44">
        <f t="shared" si="16"/>
        <v>62.272727272727273</v>
      </c>
      <c r="V23" s="45">
        <f t="shared" si="17"/>
        <v>0.94352617079889811</v>
      </c>
      <c r="W23" s="46">
        <f>+K60</f>
        <v>555.9</v>
      </c>
      <c r="X23" s="29">
        <f t="shared" si="18"/>
        <v>50.536363636363632</v>
      </c>
      <c r="Y23" s="47">
        <f t="shared" si="19"/>
        <v>0.76570247933884295</v>
      </c>
      <c r="Z23" s="48">
        <f t="shared" si="20"/>
        <v>47.176308539944905</v>
      </c>
      <c r="AA23" s="49">
        <f t="shared" si="21"/>
        <v>41.692500000000003</v>
      </c>
      <c r="AB23" s="139">
        <f t="shared" si="22"/>
        <v>88.868808539944908</v>
      </c>
      <c r="AC23" s="80" t="str">
        <f t="shared" si="23"/>
        <v>80~89</v>
      </c>
      <c r="AD23" s="36"/>
      <c r="AE23" s="37">
        <f>AF23-F23</f>
        <v>-11</v>
      </c>
      <c r="AF23" s="38">
        <f>AM23</f>
        <v>0</v>
      </c>
      <c r="AG23" s="157" t="s">
        <v>34</v>
      </c>
      <c r="AH23" s="39"/>
      <c r="AI23" s="40">
        <f>IFERROR(Y23/V23*1000,"")</f>
        <v>811.53284671532845</v>
      </c>
      <c r="AJ23" s="39"/>
      <c r="AK23" s="41"/>
      <c r="AL23" s="41"/>
      <c r="AM23" s="41"/>
      <c r="AO23" s="157">
        <f t="shared" si="24"/>
        <v>-11</v>
      </c>
      <c r="AP23" s="42"/>
    </row>
    <row r="24" spans="2:42" s="157" customFormat="1" ht="97.5" customHeight="1" x14ac:dyDescent="0.3">
      <c r="B24" s="421"/>
      <c r="C24" s="24">
        <f t="shared" si="12"/>
        <v>31</v>
      </c>
      <c r="D24" s="43" t="s">
        <v>32</v>
      </c>
      <c r="E24" s="26" t="s">
        <v>29</v>
      </c>
      <c r="F24" s="25">
        <v>8</v>
      </c>
      <c r="G24" s="124">
        <v>571</v>
      </c>
      <c r="H24" s="124">
        <f t="shared" si="13"/>
        <v>99.650959860383949</v>
      </c>
      <c r="I24" s="123" t="s">
        <v>78</v>
      </c>
      <c r="J24" s="123" t="s">
        <v>88</v>
      </c>
      <c r="K24" s="123" t="s">
        <v>92</v>
      </c>
      <c r="L24" s="123" t="s">
        <v>84</v>
      </c>
      <c r="M24" s="123"/>
      <c r="N24" s="129" t="s">
        <v>90</v>
      </c>
      <c r="O24" s="123" t="s">
        <v>74</v>
      </c>
      <c r="P24" s="123" t="s">
        <v>91</v>
      </c>
      <c r="Q24" s="123" t="s">
        <v>89</v>
      </c>
      <c r="R24" s="124">
        <f t="shared" si="14"/>
        <v>6</v>
      </c>
      <c r="S24" s="27">
        <f t="shared" si="15"/>
        <v>528</v>
      </c>
      <c r="T24" s="28">
        <f>+H63</f>
        <v>573</v>
      </c>
      <c r="U24" s="44">
        <f t="shared" si="16"/>
        <v>71.625</v>
      </c>
      <c r="V24" s="45">
        <f t="shared" si="17"/>
        <v>1.0852272727272727</v>
      </c>
      <c r="W24" s="46">
        <f>+K63</f>
        <v>441.03</v>
      </c>
      <c r="X24" s="29">
        <f t="shared" si="18"/>
        <v>55.128749999999997</v>
      </c>
      <c r="Y24" s="47">
        <f t="shared" si="19"/>
        <v>0.83528409090909084</v>
      </c>
      <c r="Z24" s="48">
        <f t="shared" si="20"/>
        <v>54.261363636363633</v>
      </c>
      <c r="AA24" s="49">
        <f t="shared" si="21"/>
        <v>45.481218749999996</v>
      </c>
      <c r="AB24" s="139">
        <f t="shared" si="22"/>
        <v>99.742582386363637</v>
      </c>
      <c r="AC24" s="50" t="str">
        <f t="shared" si="23"/>
        <v>90~99</v>
      </c>
      <c r="AD24" s="36"/>
      <c r="AE24" s="37">
        <f>AF24-F24</f>
        <v>-8</v>
      </c>
      <c r="AF24" s="38">
        <f>AM24</f>
        <v>0</v>
      </c>
      <c r="AG24" s="157" t="s">
        <v>36</v>
      </c>
      <c r="AH24" s="39"/>
      <c r="AI24" s="40">
        <f>IFERROR(Y24/V24*1000,"")</f>
        <v>769.6858638743455</v>
      </c>
      <c r="AJ24" s="39"/>
      <c r="AK24" s="41"/>
      <c r="AL24" s="41"/>
      <c r="AM24" s="41"/>
      <c r="AO24" s="157">
        <f t="shared" si="24"/>
        <v>-8</v>
      </c>
      <c r="AP24" s="42"/>
    </row>
    <row r="25" spans="2:42" s="157" customFormat="1" ht="115.5" customHeight="1" x14ac:dyDescent="0.3">
      <c r="B25" s="421"/>
      <c r="C25" s="24">
        <f t="shared" si="12"/>
        <v>1</v>
      </c>
      <c r="D25" s="43" t="s">
        <v>35</v>
      </c>
      <c r="E25" s="26" t="s">
        <v>33</v>
      </c>
      <c r="F25" s="25">
        <v>0</v>
      </c>
      <c r="G25" s="124"/>
      <c r="H25" s="124"/>
      <c r="I25" s="123"/>
      <c r="J25" s="123"/>
      <c r="K25" s="123"/>
      <c r="L25" s="123"/>
      <c r="M25" s="123"/>
      <c r="N25" s="129"/>
      <c r="O25" s="123"/>
      <c r="P25" s="123"/>
      <c r="Q25" s="123"/>
      <c r="R25" s="124">
        <f t="shared" si="14"/>
        <v>0</v>
      </c>
      <c r="S25" s="27">
        <f t="shared" si="15"/>
        <v>0</v>
      </c>
      <c r="T25" s="28">
        <f>+H66</f>
        <v>0</v>
      </c>
      <c r="U25" s="44" t="str">
        <f t="shared" si="16"/>
        <v>휴무</v>
      </c>
      <c r="V25" s="45">
        <f t="shared" si="17"/>
        <v>0</v>
      </c>
      <c r="W25" s="46">
        <f>+K66</f>
        <v>0</v>
      </c>
      <c r="X25" s="44" t="str">
        <f t="shared" si="18"/>
        <v>휴무</v>
      </c>
      <c r="Y25" s="47">
        <f t="shared" si="19"/>
        <v>0</v>
      </c>
      <c r="Z25" s="48" t="str">
        <f t="shared" si="20"/>
        <v>휴무</v>
      </c>
      <c r="AA25" s="49" t="str">
        <f t="shared" si="21"/>
        <v>휴무</v>
      </c>
      <c r="AB25" s="139" t="str">
        <f t="shared" si="22"/>
        <v>휴무</v>
      </c>
      <c r="AC25" s="50" t="str">
        <f t="shared" si="23"/>
        <v>휴무</v>
      </c>
      <c r="AD25" s="36"/>
      <c r="AE25" s="37">
        <f>AF25-F25</f>
        <v>0</v>
      </c>
      <c r="AF25" s="38">
        <f>AM25</f>
        <v>0</v>
      </c>
      <c r="AG25" s="157" t="s">
        <v>33</v>
      </c>
      <c r="AH25" s="39"/>
      <c r="AI25" s="40" t="str">
        <f>IFERROR(Y25/V25*1000,"")</f>
        <v/>
      </c>
      <c r="AJ25" s="39"/>
      <c r="AK25" s="41"/>
      <c r="AL25" s="41"/>
      <c r="AM25" s="41"/>
      <c r="AO25" s="157">
        <f t="shared" si="24"/>
        <v>0</v>
      </c>
      <c r="AP25" s="42"/>
    </row>
    <row r="26" spans="2:42" s="157" customFormat="1" ht="104.25" customHeight="1" x14ac:dyDescent="0.3">
      <c r="B26" s="421"/>
      <c r="C26" s="24">
        <f t="shared" si="12"/>
        <v>2</v>
      </c>
      <c r="D26" s="43" t="s">
        <v>37</v>
      </c>
      <c r="E26" s="26" t="s">
        <v>28</v>
      </c>
      <c r="F26" s="25">
        <v>11</v>
      </c>
      <c r="G26" s="125">
        <v>649</v>
      </c>
      <c r="H26" s="130">
        <f t="shared" si="13"/>
        <v>99.539877300613497</v>
      </c>
      <c r="I26" s="123" t="s">
        <v>78</v>
      </c>
      <c r="J26" s="123" t="s">
        <v>88</v>
      </c>
      <c r="K26" s="123" t="s">
        <v>92</v>
      </c>
      <c r="L26" s="123" t="s">
        <v>84</v>
      </c>
      <c r="M26" s="123"/>
      <c r="N26" s="129" t="s">
        <v>90</v>
      </c>
      <c r="O26" s="123" t="s">
        <v>74</v>
      </c>
      <c r="P26" s="123" t="s">
        <v>91</v>
      </c>
      <c r="Q26" s="123" t="s">
        <v>89</v>
      </c>
      <c r="R26" s="125">
        <f t="shared" si="14"/>
        <v>6</v>
      </c>
      <c r="S26" s="27">
        <f t="shared" si="15"/>
        <v>726</v>
      </c>
      <c r="T26" s="28">
        <f>+H69</f>
        <v>652</v>
      </c>
      <c r="U26" s="44">
        <f t="shared" si="16"/>
        <v>59.272727272727273</v>
      </c>
      <c r="V26" s="45">
        <f t="shared" si="17"/>
        <v>0.89807162534435259</v>
      </c>
      <c r="W26" s="46">
        <f>+K69</f>
        <v>488.7</v>
      </c>
      <c r="X26" s="44">
        <f t="shared" si="18"/>
        <v>44.427272727272729</v>
      </c>
      <c r="Y26" s="47">
        <f t="shared" si="19"/>
        <v>0.67314049586776858</v>
      </c>
      <c r="Z26" s="48">
        <f t="shared" si="20"/>
        <v>44.903581267217632</v>
      </c>
      <c r="AA26" s="49">
        <f t="shared" si="21"/>
        <v>36.652500000000003</v>
      </c>
      <c r="AB26" s="139">
        <f t="shared" si="22"/>
        <v>81.556081267217635</v>
      </c>
      <c r="AC26" s="50" t="str">
        <f t="shared" si="23"/>
        <v>80~89</v>
      </c>
      <c r="AD26" s="36"/>
      <c r="AE26" s="37">
        <f>AF26-F26</f>
        <v>-11</v>
      </c>
      <c r="AF26" s="38">
        <f>AM26</f>
        <v>0</v>
      </c>
      <c r="AG26" s="157" t="s">
        <v>46</v>
      </c>
      <c r="AH26" s="39"/>
      <c r="AI26" s="40">
        <f>IFERROR(Y26/V26*1000,"")</f>
        <v>749.53987730061351</v>
      </c>
      <c r="AK26" s="41"/>
      <c r="AL26" s="41"/>
      <c r="AM26" s="41"/>
      <c r="AO26" s="157">
        <f t="shared" si="24"/>
        <v>-11</v>
      </c>
      <c r="AP26" s="42"/>
    </row>
    <row r="27" spans="2:42" s="157" customFormat="1" ht="104.25" customHeight="1" x14ac:dyDescent="0.3">
      <c r="B27" s="421"/>
      <c r="C27" s="24">
        <f t="shared" si="12"/>
        <v>3</v>
      </c>
      <c r="D27" s="43" t="s">
        <v>47</v>
      </c>
      <c r="E27" s="26" t="s">
        <v>36</v>
      </c>
      <c r="F27" s="25">
        <v>8</v>
      </c>
      <c r="G27" s="124">
        <v>546</v>
      </c>
      <c r="H27" s="124">
        <f t="shared" si="13"/>
        <v>99.81718464351006</v>
      </c>
      <c r="I27" s="123" t="s">
        <v>78</v>
      </c>
      <c r="J27" s="123" t="s">
        <v>88</v>
      </c>
      <c r="K27" s="123" t="s">
        <v>92</v>
      </c>
      <c r="L27" s="123" t="s">
        <v>84</v>
      </c>
      <c r="M27" s="123"/>
      <c r="N27" s="129" t="s">
        <v>103</v>
      </c>
      <c r="O27" s="123" t="s">
        <v>104</v>
      </c>
      <c r="P27" s="123" t="s">
        <v>91</v>
      </c>
      <c r="Q27" s="123" t="s">
        <v>89</v>
      </c>
      <c r="R27" s="124">
        <f t="shared" si="14"/>
        <v>6</v>
      </c>
      <c r="S27" s="152">
        <f t="shared" si="15"/>
        <v>528</v>
      </c>
      <c r="T27" s="28">
        <f>+H72</f>
        <v>547</v>
      </c>
      <c r="U27" s="29">
        <f t="shared" si="16"/>
        <v>68.375</v>
      </c>
      <c r="V27" s="30">
        <f t="shared" si="17"/>
        <v>1.0359848484848484</v>
      </c>
      <c r="W27" s="31">
        <f>+K72</f>
        <v>345.54</v>
      </c>
      <c r="X27" s="44">
        <f t="shared" si="18"/>
        <v>43.192500000000003</v>
      </c>
      <c r="Y27" s="47">
        <f t="shared" si="19"/>
        <v>0.65443181818181817</v>
      </c>
      <c r="Z27" s="48">
        <f t="shared" si="20"/>
        <v>51.799242424242422</v>
      </c>
      <c r="AA27" s="49">
        <f t="shared" si="21"/>
        <v>35.633812500000005</v>
      </c>
      <c r="AB27" s="139">
        <f t="shared" si="22"/>
        <v>87.433054924242427</v>
      </c>
      <c r="AC27" s="50" t="str">
        <f t="shared" si="23"/>
        <v>80~89</v>
      </c>
      <c r="AD27" s="36"/>
      <c r="AE27" s="37"/>
      <c r="AF27" s="38"/>
      <c r="AH27" s="39"/>
      <c r="AI27" s="40"/>
      <c r="AK27" s="41"/>
      <c r="AL27" s="41"/>
      <c r="AM27" s="41"/>
      <c r="AO27" s="157">
        <f t="shared" si="24"/>
        <v>-8</v>
      </c>
      <c r="AP27" s="42"/>
    </row>
    <row r="28" spans="2:42" s="157" customFormat="1" ht="36" customHeight="1" x14ac:dyDescent="0.3">
      <c r="B28" s="422" t="s">
        <v>39</v>
      </c>
      <c r="C28" s="423"/>
      <c r="D28" s="423"/>
      <c r="E28" s="424"/>
      <c r="F28" s="43">
        <f>SUM(F22:F27)</f>
        <v>46.5</v>
      </c>
      <c r="G28" s="126"/>
      <c r="H28" s="126"/>
      <c r="I28" s="122"/>
      <c r="J28" s="122"/>
      <c r="K28" s="122"/>
      <c r="L28" s="122"/>
      <c r="M28" s="122"/>
      <c r="N28" s="122"/>
      <c r="O28" s="122"/>
      <c r="P28" s="122"/>
      <c r="Q28" s="122"/>
      <c r="R28" s="126"/>
      <c r="S28" s="52">
        <f>SUM(S22:S27)</f>
        <v>3069</v>
      </c>
      <c r="T28" s="53">
        <f>SUM(T22:T27)</f>
        <v>2908</v>
      </c>
      <c r="U28" s="54">
        <f>T28/F28</f>
        <v>62.537634408602152</v>
      </c>
      <c r="V28" s="45">
        <f t="shared" si="17"/>
        <v>0.94753991528185078</v>
      </c>
      <c r="W28" s="55">
        <f>SUM(W22:W27)</f>
        <v>2318.6999999999998</v>
      </c>
      <c r="X28" s="44">
        <f>W28/F28</f>
        <v>49.864516129032253</v>
      </c>
      <c r="Y28" s="47">
        <f t="shared" si="19"/>
        <v>0.75552297165200388</v>
      </c>
      <c r="Z28" s="56">
        <f>T28/S28*Z19</f>
        <v>47.376995764092541</v>
      </c>
      <c r="AA28" s="57">
        <f>W28/S28*AA19</f>
        <v>41.138225806451615</v>
      </c>
      <c r="AB28" s="140">
        <f t="shared" si="22"/>
        <v>88.515221570544156</v>
      </c>
      <c r="AC28" s="58" t="str">
        <f t="shared" si="23"/>
        <v>80~89</v>
      </c>
      <c r="AD28" s="43"/>
      <c r="AE28" s="37">
        <f>AF28-F28</f>
        <v>-46.5</v>
      </c>
      <c r="AF28" s="38">
        <f>SUM(AF22:AF27)</f>
        <v>0</v>
      </c>
      <c r="AI28" s="40"/>
      <c r="AK28" s="59"/>
      <c r="AL28" s="59"/>
      <c r="AM28" s="59"/>
    </row>
    <row r="29" spans="2:42" s="69" customFormat="1" ht="36" hidden="1" customHeight="1" x14ac:dyDescent="0.3">
      <c r="B29" s="443" t="s">
        <v>40</v>
      </c>
      <c r="C29" s="444"/>
      <c r="D29" s="444"/>
      <c r="E29" s="445"/>
      <c r="F29" s="60">
        <f>AVERAGE(F22:F27)</f>
        <v>7.75</v>
      </c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61">
        <f>U29*F29</f>
        <v>484.66666666666669</v>
      </c>
      <c r="U29" s="62">
        <f>T28/F28</f>
        <v>62.537634408602152</v>
      </c>
      <c r="V29" s="63">
        <f>IFERROR(T29/#REF!,0)</f>
        <v>0</v>
      </c>
      <c r="W29" s="64">
        <f>W28/F28*F29</f>
        <v>386.45</v>
      </c>
      <c r="X29" s="62">
        <f>IF(F29=0,"휴무",W29/F29)</f>
        <v>49.864516129032253</v>
      </c>
      <c r="Y29" s="65">
        <f>IFERROR(W29/#REF!,0)</f>
        <v>0</v>
      </c>
      <c r="Z29" s="60">
        <f>AVERAGE(Z22:Z27)</f>
        <v>47.667314859828231</v>
      </c>
      <c r="AA29" s="60">
        <f>AVERAGE(AA22:AA27)</f>
        <v>41.355823897058826</v>
      </c>
      <c r="AB29" s="141">
        <f>Z29+AA29</f>
        <v>89.02313875688705</v>
      </c>
      <c r="AC29" s="67"/>
      <c r="AD29" s="68"/>
      <c r="AI29" s="40" t="str">
        <f>IFERROR(Y29/V29*1000,"")</f>
        <v/>
      </c>
      <c r="AK29" s="10"/>
      <c r="AL29" s="10"/>
      <c r="AM29" s="10"/>
    </row>
    <row r="30" spans="2:42" s="157" customFormat="1" x14ac:dyDescent="0.3">
      <c r="B30" s="70" t="s">
        <v>41</v>
      </c>
      <c r="C30" s="71"/>
      <c r="D30" s="71"/>
      <c r="E30" s="72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22"/>
      <c r="U30" s="10"/>
      <c r="V30" s="73">
        <f>V29*60</f>
        <v>0</v>
      </c>
      <c r="W30" s="74"/>
      <c r="X30" s="73"/>
      <c r="Y30" s="74">
        <f>Y29*40</f>
        <v>0</v>
      </c>
      <c r="Z30" s="81"/>
      <c r="AA30" s="81"/>
      <c r="AB30" s="142">
        <f>V30+Y30</f>
        <v>0</v>
      </c>
      <c r="AK30" s="59"/>
      <c r="AL30" s="59"/>
      <c r="AM30" s="59"/>
    </row>
    <row r="31" spans="2:42" x14ac:dyDescent="0.3">
      <c r="B31" s="120" t="s">
        <v>67</v>
      </c>
      <c r="U31" s="10">
        <v>8.8000000000000007</v>
      </c>
    </row>
    <row r="32" spans="2:42" ht="17.25" thickBot="1" x14ac:dyDescent="0.35">
      <c r="B32" s="70"/>
    </row>
    <row r="33" spans="2:42" ht="17.25" thickBot="1" x14ac:dyDescent="0.35">
      <c r="B33" s="76" t="s">
        <v>42</v>
      </c>
      <c r="C33" s="77"/>
      <c r="D33" s="78" t="s">
        <v>43</v>
      </c>
      <c r="E33" s="78"/>
      <c r="F33" s="79"/>
      <c r="X33" s="10">
        <v>50</v>
      </c>
    </row>
    <row r="35" spans="2:42" s="10" customFormat="1" x14ac:dyDescent="0.3">
      <c r="B35"/>
      <c r="C35"/>
      <c r="D35"/>
      <c r="E35" s="455">
        <f>+C6</f>
        <v>29</v>
      </c>
      <c r="F35" s="455" t="s">
        <v>7</v>
      </c>
      <c r="G35" s="82" t="s">
        <v>48</v>
      </c>
      <c r="H35" s="83">
        <v>320</v>
      </c>
      <c r="I35" s="84"/>
      <c r="J35" s="85"/>
      <c r="K35" s="86">
        <v>268.23</v>
      </c>
      <c r="L35" s="135"/>
      <c r="N35" s="136"/>
      <c r="O35" s="136"/>
      <c r="P35" s="136"/>
      <c r="Q35" s="136"/>
      <c r="R35" s="136"/>
      <c r="S35" s="136"/>
      <c r="Y35"/>
      <c r="Z35"/>
      <c r="AA35"/>
      <c r="AB35"/>
      <c r="AC35"/>
      <c r="AD35"/>
      <c r="AE35"/>
      <c r="AF35"/>
      <c r="AG35"/>
      <c r="AH35"/>
      <c r="AI35"/>
      <c r="AJ35"/>
      <c r="AK35" s="1"/>
      <c r="AL35" s="1"/>
      <c r="AM35" s="1"/>
      <c r="AN35"/>
      <c r="AO35"/>
      <c r="AP35"/>
    </row>
    <row r="36" spans="2:42" s="10" customFormat="1" x14ac:dyDescent="0.3">
      <c r="B36"/>
      <c r="C36" t="s">
        <v>49</v>
      </c>
      <c r="D36"/>
      <c r="E36" s="456"/>
      <c r="F36" s="456"/>
      <c r="G36" s="82" t="s">
        <v>50</v>
      </c>
      <c r="H36" s="83"/>
      <c r="I36" s="84"/>
      <c r="J36" s="85"/>
      <c r="K36" s="86"/>
      <c r="L36" s="135"/>
      <c r="N36" s="136"/>
      <c r="O36" s="136"/>
      <c r="P36" s="136"/>
      <c r="Q36" s="136"/>
      <c r="R36" s="136"/>
      <c r="S36" s="136"/>
      <c r="Y36"/>
      <c r="Z36"/>
      <c r="AA36"/>
      <c r="AB36"/>
      <c r="AC36"/>
      <c r="AD36"/>
      <c r="AE36"/>
      <c r="AF36"/>
      <c r="AG36"/>
      <c r="AH36"/>
      <c r="AI36"/>
      <c r="AJ36"/>
      <c r="AK36" s="1"/>
      <c r="AL36" s="1"/>
      <c r="AM36" s="1"/>
      <c r="AN36"/>
      <c r="AO36"/>
      <c r="AP36"/>
    </row>
    <row r="37" spans="2:42" s="10" customFormat="1" x14ac:dyDescent="0.3">
      <c r="B37"/>
      <c r="C37"/>
      <c r="D37"/>
      <c r="E37" s="457"/>
      <c r="F37" s="457"/>
      <c r="G37" s="82" t="s">
        <v>51</v>
      </c>
      <c r="H37" s="87">
        <f>+H35+H36*2</f>
        <v>320</v>
      </c>
      <c r="I37" s="88"/>
      <c r="J37" s="89"/>
      <c r="K37" s="90">
        <f>+K35+K36*2</f>
        <v>268.23</v>
      </c>
      <c r="L37" s="135"/>
      <c r="N37" s="136"/>
      <c r="O37" s="136"/>
      <c r="P37" s="136"/>
      <c r="Q37" s="136"/>
      <c r="R37" s="136"/>
      <c r="S37" s="136"/>
      <c r="Y37"/>
      <c r="Z37"/>
      <c r="AA37"/>
      <c r="AB37"/>
      <c r="AC37"/>
      <c r="AD37"/>
      <c r="AE37"/>
      <c r="AF37"/>
      <c r="AG37"/>
      <c r="AH37"/>
      <c r="AI37"/>
      <c r="AJ37"/>
      <c r="AK37" s="1"/>
      <c r="AL37" s="1"/>
      <c r="AM37" s="1"/>
      <c r="AN37"/>
      <c r="AO37"/>
      <c r="AP37"/>
    </row>
    <row r="38" spans="2:42" s="10" customFormat="1" x14ac:dyDescent="0.3">
      <c r="B38"/>
      <c r="C38"/>
      <c r="D38"/>
      <c r="E38" s="455">
        <f>+C7</f>
        <v>30</v>
      </c>
      <c r="F38" s="455" t="s">
        <v>52</v>
      </c>
      <c r="G38" s="82" t="s">
        <v>48</v>
      </c>
      <c r="H38" s="83">
        <v>493</v>
      </c>
      <c r="I38" s="84"/>
      <c r="J38" s="85"/>
      <c r="K38" s="86">
        <v>459.28</v>
      </c>
      <c r="L38" s="135"/>
      <c r="N38" s="136"/>
      <c r="O38" s="136"/>
      <c r="P38" s="136"/>
      <c r="Q38" s="136"/>
      <c r="R38" s="136"/>
      <c r="S38" s="136"/>
      <c r="Y38"/>
      <c r="Z38"/>
      <c r="AA38"/>
      <c r="AB38"/>
      <c r="AC38"/>
      <c r="AD38"/>
      <c r="AE38"/>
      <c r="AF38"/>
      <c r="AG38"/>
      <c r="AH38"/>
      <c r="AI38"/>
      <c r="AJ38"/>
      <c r="AK38" s="1"/>
      <c r="AL38" s="1"/>
      <c r="AM38" s="1"/>
      <c r="AN38"/>
      <c r="AO38"/>
      <c r="AP38"/>
    </row>
    <row r="39" spans="2:42" s="10" customFormat="1" x14ac:dyDescent="0.3">
      <c r="B39"/>
      <c r="C39"/>
      <c r="D39"/>
      <c r="E39" s="456"/>
      <c r="F39" s="456"/>
      <c r="G39" s="82" t="s">
        <v>50</v>
      </c>
      <c r="H39" s="83"/>
      <c r="I39" s="84"/>
      <c r="J39" s="85"/>
      <c r="K39" s="86"/>
      <c r="L39" s="135"/>
      <c r="N39" s="136"/>
      <c r="O39" s="136"/>
      <c r="P39" s="136"/>
      <c r="Q39" s="136"/>
      <c r="R39" s="136"/>
      <c r="S39" s="136"/>
      <c r="Y39"/>
      <c r="Z39"/>
      <c r="AA39"/>
      <c r="AB39"/>
      <c r="AC39"/>
      <c r="AD39"/>
      <c r="AE39"/>
      <c r="AF39"/>
      <c r="AG39"/>
      <c r="AH39"/>
      <c r="AI39"/>
      <c r="AJ39"/>
      <c r="AK39" s="1"/>
      <c r="AL39" s="1"/>
      <c r="AM39" s="1"/>
      <c r="AN39"/>
      <c r="AO39"/>
      <c r="AP39"/>
    </row>
    <row r="40" spans="2:42" s="10" customFormat="1" x14ac:dyDescent="0.3">
      <c r="B40"/>
      <c r="C40"/>
      <c r="D40"/>
      <c r="E40" s="457"/>
      <c r="F40" s="457"/>
      <c r="G40" s="82" t="s">
        <v>51</v>
      </c>
      <c r="H40" s="91">
        <f>+H38+H39*2</f>
        <v>493</v>
      </c>
      <c r="I40" s="88"/>
      <c r="J40" s="89"/>
      <c r="K40" s="90">
        <f>+K38+K39*2</f>
        <v>459.28</v>
      </c>
      <c r="L40" s="135"/>
      <c r="N40" s="136"/>
      <c r="O40" s="136"/>
      <c r="P40" s="136"/>
      <c r="Q40" s="136"/>
      <c r="R40" s="136"/>
      <c r="S40" s="136"/>
      <c r="Y40"/>
      <c r="Z40"/>
      <c r="AA40"/>
      <c r="AB40"/>
      <c r="AC40"/>
      <c r="AD40"/>
      <c r="AE40"/>
      <c r="AF40"/>
      <c r="AG40"/>
      <c r="AH40"/>
      <c r="AI40"/>
      <c r="AJ40"/>
      <c r="AK40" s="1"/>
      <c r="AL40" s="1"/>
      <c r="AM40" s="1"/>
      <c r="AN40"/>
      <c r="AO40"/>
      <c r="AP40"/>
    </row>
    <row r="41" spans="2:42" s="10" customFormat="1" x14ac:dyDescent="0.3">
      <c r="B41"/>
      <c r="C41"/>
      <c r="D41"/>
      <c r="E41" s="455">
        <f>+C8</f>
        <v>31</v>
      </c>
      <c r="F41" s="455" t="s">
        <v>53</v>
      </c>
      <c r="G41" s="82" t="s">
        <v>48</v>
      </c>
      <c r="H41" s="83">
        <v>428</v>
      </c>
      <c r="I41" s="84"/>
      <c r="J41" s="85"/>
      <c r="K41" s="86">
        <v>392.92</v>
      </c>
      <c r="L41" s="135"/>
      <c r="N41" s="136"/>
      <c r="O41" s="136"/>
      <c r="P41" s="136"/>
      <c r="Q41" s="136"/>
      <c r="R41" s="136"/>
      <c r="S41" s="136"/>
      <c r="Y41"/>
      <c r="Z41"/>
      <c r="AA41"/>
      <c r="AB41"/>
      <c r="AC41"/>
      <c r="AD41"/>
      <c r="AE41"/>
      <c r="AF41"/>
      <c r="AG41"/>
      <c r="AH41"/>
      <c r="AI41"/>
      <c r="AJ41"/>
      <c r="AK41" s="1"/>
      <c r="AL41" s="1"/>
      <c r="AM41" s="1"/>
      <c r="AN41"/>
      <c r="AO41"/>
      <c r="AP41"/>
    </row>
    <row r="42" spans="2:42" s="10" customFormat="1" x14ac:dyDescent="0.3">
      <c r="B42"/>
      <c r="C42"/>
      <c r="D42"/>
      <c r="E42" s="456"/>
      <c r="F42" s="456"/>
      <c r="G42" s="82" t="s">
        <v>50</v>
      </c>
      <c r="H42" s="83"/>
      <c r="I42" s="84"/>
      <c r="J42" s="85"/>
      <c r="K42" s="86"/>
      <c r="L42" s="135"/>
      <c r="N42" s="136"/>
      <c r="O42" s="136"/>
      <c r="P42" s="136"/>
      <c r="Q42" s="136"/>
      <c r="R42" s="136"/>
      <c r="S42" s="136"/>
      <c r="Y42"/>
      <c r="Z42"/>
      <c r="AA42"/>
      <c r="AB42"/>
      <c r="AC42"/>
      <c r="AD42"/>
      <c r="AE42"/>
      <c r="AF42"/>
      <c r="AG42"/>
      <c r="AH42"/>
      <c r="AI42"/>
      <c r="AJ42"/>
      <c r="AK42" s="1"/>
      <c r="AL42" s="1"/>
      <c r="AM42" s="1"/>
      <c r="AN42"/>
      <c r="AO42"/>
      <c r="AP42"/>
    </row>
    <row r="43" spans="2:42" s="10" customFormat="1" x14ac:dyDescent="0.3">
      <c r="B43"/>
      <c r="C43"/>
      <c r="D43"/>
      <c r="E43" s="457"/>
      <c r="F43" s="457"/>
      <c r="G43" s="82" t="s">
        <v>51</v>
      </c>
      <c r="H43" s="87">
        <f>+H41+H42*2</f>
        <v>428</v>
      </c>
      <c r="I43" s="88"/>
      <c r="J43" s="89"/>
      <c r="K43" s="90">
        <f>+K41+K42*2</f>
        <v>392.92</v>
      </c>
      <c r="L43" s="137" t="s">
        <v>54</v>
      </c>
      <c r="N43" s="136"/>
      <c r="O43" s="136"/>
      <c r="P43" s="136"/>
      <c r="Q43" s="136"/>
      <c r="R43" s="136"/>
      <c r="S43" s="136"/>
      <c r="Y43"/>
      <c r="Z43"/>
      <c r="AA43"/>
      <c r="AB43"/>
      <c r="AC43"/>
      <c r="AE43"/>
      <c r="AF43"/>
      <c r="AG43"/>
      <c r="AH43"/>
      <c r="AI43"/>
      <c r="AJ43"/>
      <c r="AK43" s="1"/>
      <c r="AL43" s="1"/>
      <c r="AM43" s="1"/>
      <c r="AN43"/>
      <c r="AO43"/>
      <c r="AP43"/>
    </row>
    <row r="44" spans="2:42" s="10" customFormat="1" x14ac:dyDescent="0.3">
      <c r="B44"/>
      <c r="C44"/>
      <c r="D44"/>
      <c r="E44" s="455">
        <f>+C9</f>
        <v>1</v>
      </c>
      <c r="F44" s="455" t="s">
        <v>55</v>
      </c>
      <c r="G44" s="82" t="s">
        <v>48</v>
      </c>
      <c r="H44" s="83"/>
      <c r="I44" s="84"/>
      <c r="J44" s="85"/>
      <c r="K44" s="86"/>
      <c r="L44" s="135"/>
      <c r="N44" s="136"/>
      <c r="O44" s="136"/>
      <c r="P44" s="136"/>
      <c r="Q44" s="136"/>
      <c r="R44" s="136"/>
      <c r="S44" s="136"/>
      <c r="Y44"/>
      <c r="Z44"/>
      <c r="AA44"/>
      <c r="AB44"/>
      <c r="AC44"/>
      <c r="AD44"/>
      <c r="AE44"/>
      <c r="AF44"/>
      <c r="AG44"/>
      <c r="AH44"/>
      <c r="AI44"/>
      <c r="AJ44"/>
      <c r="AK44" s="1"/>
      <c r="AL44" s="1"/>
      <c r="AM44" s="1"/>
      <c r="AN44"/>
      <c r="AO44"/>
      <c r="AP44"/>
    </row>
    <row r="45" spans="2:42" s="10" customFormat="1" x14ac:dyDescent="0.3">
      <c r="B45"/>
      <c r="C45"/>
      <c r="D45"/>
      <c r="E45" s="456"/>
      <c r="F45" s="456"/>
      <c r="G45" s="82" t="s">
        <v>50</v>
      </c>
      <c r="H45" s="83"/>
      <c r="I45" s="84"/>
      <c r="J45" s="85"/>
      <c r="K45" s="86"/>
      <c r="L45" s="135"/>
      <c r="N45" s="136"/>
      <c r="O45" s="136"/>
      <c r="P45" s="136"/>
      <c r="Q45" s="136"/>
      <c r="R45" s="136"/>
      <c r="S45" s="136"/>
      <c r="Y45"/>
      <c r="Z45"/>
      <c r="AA45"/>
      <c r="AB45"/>
      <c r="AC45"/>
      <c r="AD45"/>
      <c r="AE45"/>
      <c r="AF45"/>
      <c r="AG45"/>
      <c r="AH45"/>
      <c r="AI45"/>
      <c r="AJ45"/>
      <c r="AK45" s="1"/>
      <c r="AL45" s="1"/>
      <c r="AM45" s="1"/>
      <c r="AN45"/>
      <c r="AO45"/>
      <c r="AP45"/>
    </row>
    <row r="46" spans="2:42" s="10" customFormat="1" x14ac:dyDescent="0.3">
      <c r="B46"/>
      <c r="C46"/>
      <c r="D46"/>
      <c r="E46" s="457"/>
      <c r="F46" s="457"/>
      <c r="G46" s="82" t="s">
        <v>51</v>
      </c>
      <c r="H46" s="87">
        <f>+H44+H45*2</f>
        <v>0</v>
      </c>
      <c r="I46" s="88"/>
      <c r="J46" s="89"/>
      <c r="K46" s="90">
        <f>+K44+K45*2</f>
        <v>0</v>
      </c>
      <c r="L46" s="135"/>
      <c r="N46" s="136"/>
      <c r="O46" s="136"/>
      <c r="P46" s="136"/>
      <c r="Q46" s="136"/>
      <c r="R46" s="136"/>
      <c r="S46" s="136"/>
      <c r="Y46"/>
      <c r="Z46"/>
      <c r="AA46"/>
      <c r="AB46"/>
      <c r="AC46"/>
      <c r="AD46"/>
      <c r="AE46"/>
      <c r="AF46"/>
      <c r="AG46"/>
      <c r="AH46"/>
      <c r="AI46"/>
      <c r="AJ46"/>
      <c r="AK46" s="1"/>
      <c r="AL46" s="1"/>
      <c r="AM46" s="1"/>
      <c r="AN46"/>
      <c r="AO46"/>
      <c r="AP46"/>
    </row>
    <row r="47" spans="2:42" s="10" customFormat="1" x14ac:dyDescent="0.3">
      <c r="B47"/>
      <c r="C47"/>
      <c r="D47"/>
      <c r="E47" s="455">
        <f>+C10</f>
        <v>2</v>
      </c>
      <c r="F47" s="455" t="s">
        <v>56</v>
      </c>
      <c r="G47" s="82" t="s">
        <v>48</v>
      </c>
      <c r="H47" s="83">
        <v>587</v>
      </c>
      <c r="I47" s="84"/>
      <c r="J47" s="85"/>
      <c r="K47" s="86">
        <v>465.66</v>
      </c>
      <c r="L47" s="135"/>
      <c r="N47" s="136"/>
      <c r="O47" s="136"/>
      <c r="P47" s="136"/>
      <c r="Q47" s="136"/>
      <c r="R47" s="136"/>
      <c r="S47" s="136"/>
      <c r="Y47"/>
      <c r="Z47"/>
      <c r="AA47"/>
      <c r="AB47"/>
      <c r="AC47"/>
      <c r="AD47"/>
      <c r="AE47"/>
      <c r="AF47"/>
      <c r="AG47"/>
      <c r="AH47"/>
      <c r="AI47"/>
      <c r="AJ47"/>
      <c r="AK47" s="1"/>
      <c r="AL47" s="1"/>
      <c r="AM47" s="1"/>
      <c r="AN47"/>
      <c r="AO47"/>
      <c r="AP47"/>
    </row>
    <row r="48" spans="2:42" s="10" customFormat="1" x14ac:dyDescent="0.3">
      <c r="B48"/>
      <c r="C48"/>
      <c r="D48"/>
      <c r="E48" s="456"/>
      <c r="F48" s="456"/>
      <c r="G48" s="82" t="s">
        <v>50</v>
      </c>
      <c r="H48" s="83"/>
      <c r="I48" s="84"/>
      <c r="J48" s="85"/>
      <c r="K48" s="86"/>
      <c r="L48" s="135"/>
      <c r="N48" s="136"/>
      <c r="O48" s="136"/>
      <c r="P48" s="136"/>
      <c r="Q48" s="136"/>
      <c r="R48" s="136"/>
      <c r="S48" s="136"/>
      <c r="Y48"/>
      <c r="Z48"/>
      <c r="AA48"/>
      <c r="AB48"/>
      <c r="AC48"/>
      <c r="AD48"/>
      <c r="AE48"/>
      <c r="AF48"/>
      <c r="AG48"/>
      <c r="AH48"/>
      <c r="AI48"/>
      <c r="AJ48"/>
      <c r="AK48" s="1"/>
      <c r="AL48" s="1"/>
      <c r="AM48" s="1"/>
      <c r="AN48"/>
      <c r="AO48"/>
      <c r="AP48"/>
    </row>
    <row r="49" spans="2:42" s="10" customFormat="1" x14ac:dyDescent="0.3">
      <c r="B49"/>
      <c r="C49"/>
      <c r="D49"/>
      <c r="E49" s="457"/>
      <c r="F49" s="457"/>
      <c r="G49" s="82" t="s">
        <v>51</v>
      </c>
      <c r="H49" s="91">
        <f>H47+H48*2</f>
        <v>587</v>
      </c>
      <c r="I49" s="88"/>
      <c r="J49" s="89"/>
      <c r="K49" s="90">
        <f>+K47+K48*2</f>
        <v>465.66</v>
      </c>
      <c r="L49" s="135"/>
      <c r="N49" s="136"/>
      <c r="O49" s="136"/>
      <c r="P49" s="136"/>
      <c r="Q49" s="136"/>
      <c r="R49" s="136"/>
      <c r="S49" s="136"/>
      <c r="Y49"/>
      <c r="Z49"/>
      <c r="AA49"/>
      <c r="AB49"/>
      <c r="AC49"/>
      <c r="AD49"/>
      <c r="AE49"/>
      <c r="AF49"/>
      <c r="AG49"/>
      <c r="AH49"/>
      <c r="AI49"/>
      <c r="AJ49"/>
      <c r="AK49" s="1"/>
      <c r="AL49" s="1"/>
      <c r="AM49" s="1"/>
      <c r="AN49"/>
      <c r="AO49"/>
      <c r="AP49"/>
    </row>
    <row r="50" spans="2:42" s="10" customFormat="1" x14ac:dyDescent="0.3">
      <c r="B50"/>
      <c r="C50"/>
      <c r="D50"/>
      <c r="E50" s="455">
        <f>+C11</f>
        <v>3</v>
      </c>
      <c r="F50" s="455" t="s">
        <v>38</v>
      </c>
      <c r="G50" s="82" t="s">
        <v>48</v>
      </c>
      <c r="H50" s="83">
        <v>462</v>
      </c>
      <c r="I50" s="84"/>
      <c r="J50" s="85"/>
      <c r="K50" s="86">
        <v>340.32</v>
      </c>
      <c r="L50" s="135"/>
      <c r="N50" s="136"/>
      <c r="O50" s="136"/>
      <c r="P50" s="136"/>
      <c r="Q50" s="136"/>
      <c r="R50" s="136"/>
      <c r="S50" s="136"/>
      <c r="Y50"/>
      <c r="Z50"/>
      <c r="AA50"/>
      <c r="AB50"/>
      <c r="AC50"/>
      <c r="AD50"/>
      <c r="AE50"/>
      <c r="AF50"/>
      <c r="AG50"/>
      <c r="AH50"/>
      <c r="AI50"/>
      <c r="AJ50"/>
      <c r="AK50" s="1"/>
      <c r="AL50" s="1"/>
      <c r="AM50" s="1"/>
      <c r="AN50"/>
      <c r="AO50"/>
      <c r="AP50"/>
    </row>
    <row r="51" spans="2:42" s="10" customFormat="1" x14ac:dyDescent="0.3">
      <c r="B51"/>
      <c r="C51"/>
      <c r="D51"/>
      <c r="E51" s="456"/>
      <c r="F51" s="456"/>
      <c r="G51" s="82" t="s">
        <v>50</v>
      </c>
      <c r="H51" s="83"/>
      <c r="I51" s="84"/>
      <c r="J51" s="85"/>
      <c r="K51" s="86"/>
      <c r="L51" s="135"/>
      <c r="N51" s="136"/>
      <c r="O51" s="136"/>
      <c r="P51" s="136"/>
      <c r="Q51" s="136"/>
      <c r="R51" s="136"/>
      <c r="S51" s="136"/>
      <c r="Y51"/>
      <c r="Z51"/>
      <c r="AA51"/>
      <c r="AB51"/>
      <c r="AC51"/>
      <c r="AD51"/>
      <c r="AE51"/>
      <c r="AF51"/>
      <c r="AG51"/>
      <c r="AH51"/>
      <c r="AI51"/>
      <c r="AJ51"/>
      <c r="AK51" s="1"/>
      <c r="AL51" s="1"/>
      <c r="AM51" s="1"/>
      <c r="AN51"/>
      <c r="AO51"/>
      <c r="AP51"/>
    </row>
    <row r="52" spans="2:42" s="10" customFormat="1" x14ac:dyDescent="0.3">
      <c r="B52"/>
      <c r="C52"/>
      <c r="D52"/>
      <c r="E52" s="457"/>
      <c r="F52" s="457"/>
      <c r="G52" s="82" t="s">
        <v>51</v>
      </c>
      <c r="H52" s="87">
        <f>+H50+H51*2</f>
        <v>462</v>
      </c>
      <c r="I52" s="88"/>
      <c r="J52" s="89"/>
      <c r="K52" s="90">
        <f>+K50+K51*2</f>
        <v>340.32</v>
      </c>
      <c r="L52" s="135"/>
      <c r="N52" s="136"/>
      <c r="O52" s="136"/>
      <c r="P52" s="136"/>
      <c r="Q52" s="136"/>
      <c r="R52" s="136"/>
      <c r="S52" s="136"/>
      <c r="Y52"/>
      <c r="Z52"/>
      <c r="AA52"/>
      <c r="AB52"/>
      <c r="AC52"/>
      <c r="AD52"/>
      <c r="AE52"/>
      <c r="AF52"/>
      <c r="AG52"/>
      <c r="AH52"/>
      <c r="AI52"/>
      <c r="AJ52"/>
      <c r="AK52" s="1"/>
      <c r="AL52" s="1"/>
      <c r="AM52" s="1"/>
      <c r="AN52"/>
      <c r="AO52"/>
      <c r="AP52"/>
    </row>
    <row r="53" spans="2:42" x14ac:dyDescent="0.3">
      <c r="H53" s="75"/>
      <c r="I53" s="10"/>
      <c r="J53" s="11"/>
      <c r="K53"/>
    </row>
    <row r="54" spans="2:42" x14ac:dyDescent="0.3">
      <c r="H54" s="75"/>
      <c r="I54" s="10"/>
      <c r="J54" s="11"/>
      <c r="K54"/>
    </row>
    <row r="55" spans="2:42" s="10" customFormat="1" x14ac:dyDescent="0.3">
      <c r="B55"/>
      <c r="C55"/>
      <c r="D55"/>
      <c r="E55" s="455">
        <f>+E35</f>
        <v>29</v>
      </c>
      <c r="F55" s="455" t="s">
        <v>7</v>
      </c>
      <c r="G55" s="82" t="s">
        <v>48</v>
      </c>
      <c r="H55" s="83">
        <v>451</v>
      </c>
      <c r="I55" s="84"/>
      <c r="J55" s="85"/>
      <c r="K55" s="86">
        <v>487.53</v>
      </c>
      <c r="L55" s="135"/>
      <c r="N55" s="136"/>
      <c r="O55" s="136"/>
      <c r="P55" s="136"/>
      <c r="Q55" s="136"/>
      <c r="R55" s="136"/>
      <c r="S55" s="136"/>
      <c r="Y55"/>
      <c r="Z55"/>
      <c r="AA55"/>
      <c r="AB55"/>
      <c r="AC55"/>
      <c r="AD55"/>
      <c r="AE55"/>
      <c r="AF55"/>
      <c r="AG55"/>
      <c r="AH55"/>
      <c r="AI55"/>
      <c r="AJ55"/>
      <c r="AK55" s="1"/>
      <c r="AL55" s="1"/>
      <c r="AM55" s="1"/>
      <c r="AN55"/>
      <c r="AO55"/>
      <c r="AP55"/>
    </row>
    <row r="56" spans="2:42" s="10" customFormat="1" x14ac:dyDescent="0.3">
      <c r="B56"/>
      <c r="C56" t="s">
        <v>57</v>
      </c>
      <c r="D56"/>
      <c r="E56" s="456"/>
      <c r="F56" s="456"/>
      <c r="G56" s="82" t="s">
        <v>50</v>
      </c>
      <c r="H56" s="83"/>
      <c r="I56" s="84"/>
      <c r="J56" s="85"/>
      <c r="K56" s="86"/>
      <c r="L56" s="135"/>
      <c r="N56" s="136"/>
      <c r="O56" s="136"/>
      <c r="P56" s="136"/>
      <c r="Q56" s="136"/>
      <c r="R56" s="136"/>
      <c r="S56" s="136"/>
      <c r="Y56"/>
      <c r="Z56"/>
      <c r="AA56"/>
      <c r="AB56"/>
      <c r="AC56"/>
      <c r="AD56"/>
      <c r="AE56"/>
      <c r="AF56"/>
      <c r="AG56"/>
      <c r="AH56"/>
      <c r="AI56"/>
      <c r="AJ56"/>
      <c r="AK56" s="1"/>
      <c r="AL56" s="1"/>
      <c r="AM56" s="1"/>
      <c r="AN56"/>
      <c r="AO56"/>
      <c r="AP56"/>
    </row>
    <row r="57" spans="2:42" s="10" customFormat="1" x14ac:dyDescent="0.3">
      <c r="B57"/>
      <c r="C57"/>
      <c r="D57"/>
      <c r="E57" s="457"/>
      <c r="F57" s="457"/>
      <c r="G57" s="82" t="s">
        <v>51</v>
      </c>
      <c r="H57" s="87">
        <f>+H55+H56*2</f>
        <v>451</v>
      </c>
      <c r="I57" s="88"/>
      <c r="J57" s="89"/>
      <c r="K57" s="90">
        <f>+K55+K56*2</f>
        <v>487.53</v>
      </c>
      <c r="L57" s="135"/>
      <c r="N57" s="136"/>
      <c r="O57" s="136"/>
      <c r="P57" s="136"/>
      <c r="Q57" s="136"/>
      <c r="R57" s="136"/>
      <c r="S57" s="136"/>
      <c r="Y57"/>
      <c r="Z57"/>
      <c r="AA57"/>
      <c r="AB57"/>
      <c r="AC57"/>
      <c r="AD57"/>
      <c r="AE57"/>
      <c r="AF57"/>
      <c r="AG57"/>
      <c r="AH57"/>
      <c r="AI57"/>
      <c r="AJ57"/>
      <c r="AK57" s="1"/>
      <c r="AL57" s="1"/>
      <c r="AM57" s="1"/>
      <c r="AN57"/>
      <c r="AO57"/>
      <c r="AP57"/>
    </row>
    <row r="58" spans="2:42" s="10" customFormat="1" x14ac:dyDescent="0.3">
      <c r="B58"/>
      <c r="C58"/>
      <c r="D58"/>
      <c r="E58" s="455">
        <f>+E38</f>
        <v>30</v>
      </c>
      <c r="F58" s="455" t="s">
        <v>52</v>
      </c>
      <c r="G58" s="82" t="s">
        <v>48</v>
      </c>
      <c r="H58" s="83">
        <v>683</v>
      </c>
      <c r="I58" s="84"/>
      <c r="J58" s="85"/>
      <c r="K58" s="86">
        <f>555.25-0.65</f>
        <v>554.6</v>
      </c>
      <c r="L58" s="135"/>
      <c r="N58" s="136"/>
      <c r="O58" s="136"/>
      <c r="P58" s="136"/>
      <c r="Q58" s="136"/>
      <c r="R58" s="136"/>
      <c r="S58" s="136"/>
      <c r="Y58"/>
      <c r="Z58"/>
      <c r="AA58"/>
      <c r="AB58"/>
      <c r="AC58"/>
      <c r="AD58"/>
      <c r="AE58"/>
      <c r="AF58"/>
      <c r="AG58"/>
      <c r="AH58"/>
      <c r="AI58"/>
      <c r="AJ58"/>
      <c r="AK58" s="1"/>
      <c r="AL58" s="1"/>
      <c r="AM58" s="1"/>
      <c r="AN58"/>
      <c r="AO58"/>
      <c r="AP58"/>
    </row>
    <row r="59" spans="2:42" s="10" customFormat="1" x14ac:dyDescent="0.3">
      <c r="B59"/>
      <c r="C59"/>
      <c r="D59"/>
      <c r="E59" s="456"/>
      <c r="F59" s="456"/>
      <c r="G59" s="82" t="s">
        <v>50</v>
      </c>
      <c r="H59" s="83">
        <v>1</v>
      </c>
      <c r="I59" s="84"/>
      <c r="J59" s="85"/>
      <c r="K59" s="86">
        <v>0.65</v>
      </c>
      <c r="L59" s="135"/>
      <c r="N59" s="136"/>
      <c r="O59" s="136"/>
      <c r="P59" s="136"/>
      <c r="Q59" s="136"/>
      <c r="R59" s="136"/>
      <c r="S59" s="136"/>
      <c r="Y59"/>
      <c r="Z59"/>
      <c r="AA59"/>
      <c r="AB59"/>
      <c r="AC59"/>
      <c r="AD59"/>
      <c r="AE59"/>
      <c r="AF59"/>
      <c r="AG59"/>
      <c r="AH59"/>
      <c r="AI59"/>
      <c r="AJ59"/>
      <c r="AK59" s="1"/>
      <c r="AL59" s="1"/>
      <c r="AM59" s="1"/>
      <c r="AN59"/>
      <c r="AO59"/>
      <c r="AP59"/>
    </row>
    <row r="60" spans="2:42" s="10" customFormat="1" x14ac:dyDescent="0.3">
      <c r="B60"/>
      <c r="C60"/>
      <c r="D60"/>
      <c r="E60" s="457"/>
      <c r="F60" s="457"/>
      <c r="G60" s="82" t="s">
        <v>51</v>
      </c>
      <c r="H60" s="91">
        <f>+H58+H59*2</f>
        <v>685</v>
      </c>
      <c r="I60" s="88"/>
      <c r="J60" s="89"/>
      <c r="K60" s="90">
        <f>+K58+K59*2</f>
        <v>555.9</v>
      </c>
      <c r="L60" s="135"/>
      <c r="N60" s="136"/>
      <c r="O60" s="136"/>
      <c r="P60" s="136"/>
      <c r="Q60" s="136"/>
      <c r="R60" s="136"/>
      <c r="S60" s="136"/>
      <c r="Y60"/>
      <c r="Z60"/>
      <c r="AA60"/>
      <c r="AB60"/>
      <c r="AC60"/>
      <c r="AD60"/>
      <c r="AE60"/>
      <c r="AF60"/>
      <c r="AG60"/>
      <c r="AH60"/>
      <c r="AI60"/>
      <c r="AJ60"/>
      <c r="AK60" s="1"/>
      <c r="AL60" s="1"/>
      <c r="AM60" s="1"/>
      <c r="AN60"/>
      <c r="AO60"/>
      <c r="AP60"/>
    </row>
    <row r="61" spans="2:42" s="10" customFormat="1" x14ac:dyDescent="0.3">
      <c r="B61"/>
      <c r="C61"/>
      <c r="D61"/>
      <c r="E61" s="455">
        <f>+E41</f>
        <v>31</v>
      </c>
      <c r="F61" s="455" t="s">
        <v>53</v>
      </c>
      <c r="G61" s="82" t="s">
        <v>48</v>
      </c>
      <c r="H61" s="83">
        <v>573</v>
      </c>
      <c r="I61" s="84"/>
      <c r="J61" s="85"/>
      <c r="K61" s="86">
        <v>441.03</v>
      </c>
      <c r="L61" s="135"/>
      <c r="N61" s="136"/>
      <c r="O61" s="136"/>
      <c r="P61" s="136"/>
      <c r="Q61" s="136"/>
      <c r="R61" s="136"/>
      <c r="S61" s="136"/>
      <c r="Y61"/>
      <c r="Z61"/>
      <c r="AA61"/>
      <c r="AB61"/>
      <c r="AC61"/>
      <c r="AD61"/>
      <c r="AE61"/>
      <c r="AF61"/>
      <c r="AG61"/>
      <c r="AH61"/>
      <c r="AI61"/>
      <c r="AJ61"/>
      <c r="AK61" s="1"/>
      <c r="AL61" s="1"/>
      <c r="AM61" s="1"/>
      <c r="AN61"/>
      <c r="AO61"/>
      <c r="AP61"/>
    </row>
    <row r="62" spans="2:42" s="10" customFormat="1" x14ac:dyDescent="0.3">
      <c r="B62"/>
      <c r="C62"/>
      <c r="D62"/>
      <c r="E62" s="456"/>
      <c r="F62" s="456"/>
      <c r="G62" s="82" t="s">
        <v>50</v>
      </c>
      <c r="H62" s="83"/>
      <c r="I62" s="84"/>
      <c r="J62" s="85"/>
      <c r="K62" s="86"/>
      <c r="L62" s="135"/>
      <c r="N62" s="136"/>
      <c r="O62" s="136"/>
      <c r="P62" s="136"/>
      <c r="Q62" s="136"/>
      <c r="R62" s="136"/>
      <c r="S62" s="136"/>
      <c r="Y62"/>
      <c r="Z62"/>
      <c r="AA62"/>
      <c r="AB62"/>
      <c r="AC62"/>
      <c r="AD62"/>
      <c r="AE62"/>
      <c r="AF62"/>
      <c r="AG62"/>
      <c r="AH62"/>
      <c r="AI62"/>
      <c r="AJ62"/>
      <c r="AK62" s="1"/>
      <c r="AL62" s="1"/>
      <c r="AM62" s="1"/>
      <c r="AN62"/>
      <c r="AO62"/>
      <c r="AP62"/>
    </row>
    <row r="63" spans="2:42" s="10" customFormat="1" x14ac:dyDescent="0.3">
      <c r="B63"/>
      <c r="C63"/>
      <c r="D63"/>
      <c r="E63" s="457"/>
      <c r="F63" s="457"/>
      <c r="G63" s="82" t="s">
        <v>51</v>
      </c>
      <c r="H63" s="87">
        <f>+H61+H62*2</f>
        <v>573</v>
      </c>
      <c r="I63" s="88"/>
      <c r="J63" s="89"/>
      <c r="K63" s="90">
        <f>+K61+K62*2</f>
        <v>441.03</v>
      </c>
      <c r="L63" s="137" t="s">
        <v>54</v>
      </c>
      <c r="N63" s="136"/>
      <c r="O63" s="136"/>
      <c r="P63" s="136"/>
      <c r="Q63" s="136"/>
      <c r="R63" s="136"/>
      <c r="S63" s="136"/>
      <c r="Y63"/>
      <c r="Z63"/>
      <c r="AA63"/>
      <c r="AB63"/>
      <c r="AC63"/>
      <c r="AE63"/>
      <c r="AF63"/>
      <c r="AG63"/>
      <c r="AH63"/>
      <c r="AI63"/>
      <c r="AJ63"/>
      <c r="AK63" s="1"/>
      <c r="AL63" s="1"/>
      <c r="AM63" s="1"/>
      <c r="AN63"/>
      <c r="AO63"/>
      <c r="AP63"/>
    </row>
    <row r="64" spans="2:42" s="10" customFormat="1" x14ac:dyDescent="0.3">
      <c r="B64"/>
      <c r="C64"/>
      <c r="D64"/>
      <c r="E64" s="455">
        <f>+E44</f>
        <v>1</v>
      </c>
      <c r="F64" s="455" t="s">
        <v>55</v>
      </c>
      <c r="G64" s="82" t="s">
        <v>48</v>
      </c>
      <c r="H64" s="83"/>
      <c r="I64" s="84"/>
      <c r="J64" s="85"/>
      <c r="K64" s="86"/>
      <c r="L64" s="135"/>
      <c r="N64" s="136"/>
      <c r="O64" s="136"/>
      <c r="P64" s="136"/>
      <c r="Q64" s="136"/>
      <c r="R64" s="136"/>
      <c r="S64" s="136"/>
      <c r="Y64"/>
      <c r="Z64"/>
      <c r="AA64"/>
      <c r="AB64"/>
      <c r="AC64"/>
      <c r="AD64"/>
      <c r="AE64"/>
      <c r="AF64"/>
      <c r="AG64"/>
      <c r="AH64"/>
      <c r="AI64"/>
      <c r="AJ64"/>
      <c r="AK64" s="1"/>
      <c r="AL64" s="1"/>
      <c r="AM64" s="1"/>
      <c r="AN64"/>
      <c r="AO64"/>
      <c r="AP64"/>
    </row>
    <row r="65" spans="2:42" s="10" customFormat="1" x14ac:dyDescent="0.3">
      <c r="B65"/>
      <c r="C65"/>
      <c r="D65"/>
      <c r="E65" s="456"/>
      <c r="F65" s="456"/>
      <c r="G65" s="82" t="s">
        <v>50</v>
      </c>
      <c r="H65" s="83"/>
      <c r="I65" s="84"/>
      <c r="J65" s="85"/>
      <c r="K65" s="86"/>
      <c r="L65" s="135"/>
      <c r="N65" s="136"/>
      <c r="O65" s="136"/>
      <c r="P65" s="136"/>
      <c r="Q65" s="136"/>
      <c r="R65" s="136"/>
      <c r="S65" s="136"/>
      <c r="Y65"/>
      <c r="Z65"/>
      <c r="AA65"/>
      <c r="AB65"/>
      <c r="AC65"/>
      <c r="AD65"/>
      <c r="AE65"/>
      <c r="AF65"/>
      <c r="AG65"/>
      <c r="AH65"/>
      <c r="AI65"/>
      <c r="AJ65"/>
      <c r="AK65" s="1"/>
      <c r="AL65" s="1"/>
      <c r="AM65" s="1"/>
      <c r="AN65"/>
      <c r="AO65"/>
      <c r="AP65"/>
    </row>
    <row r="66" spans="2:42" s="10" customFormat="1" x14ac:dyDescent="0.3">
      <c r="B66"/>
      <c r="C66"/>
      <c r="D66"/>
      <c r="E66" s="457"/>
      <c r="F66" s="457"/>
      <c r="G66" s="82" t="s">
        <v>51</v>
      </c>
      <c r="H66" s="87">
        <f>+H64+H65*2</f>
        <v>0</v>
      </c>
      <c r="I66" s="88"/>
      <c r="J66" s="89"/>
      <c r="K66" s="90">
        <f>+K64+K65*2</f>
        <v>0</v>
      </c>
      <c r="L66" s="135"/>
      <c r="N66" s="136"/>
      <c r="O66" s="136"/>
      <c r="P66" s="136"/>
      <c r="Q66" s="136"/>
      <c r="R66" s="136"/>
      <c r="S66" s="136"/>
      <c r="Y66"/>
      <c r="Z66"/>
      <c r="AA66"/>
      <c r="AB66"/>
      <c r="AC66"/>
      <c r="AD66"/>
      <c r="AE66"/>
      <c r="AF66"/>
      <c r="AG66"/>
      <c r="AH66"/>
      <c r="AI66"/>
      <c r="AJ66"/>
      <c r="AK66" s="1"/>
      <c r="AL66" s="1"/>
      <c r="AM66" s="1"/>
      <c r="AN66"/>
      <c r="AO66"/>
      <c r="AP66"/>
    </row>
    <row r="67" spans="2:42" s="10" customFormat="1" x14ac:dyDescent="0.3">
      <c r="B67"/>
      <c r="C67"/>
      <c r="D67"/>
      <c r="E67" s="455">
        <f>+E47</f>
        <v>2</v>
      </c>
      <c r="F67" s="455" t="s">
        <v>56</v>
      </c>
      <c r="G67" s="82" t="s">
        <v>48</v>
      </c>
      <c r="H67" s="83">
        <v>652</v>
      </c>
      <c r="I67" s="84"/>
      <c r="J67" s="85"/>
      <c r="K67" s="86">
        <v>488.7</v>
      </c>
      <c r="L67" s="135"/>
      <c r="N67" s="136"/>
      <c r="O67" s="136"/>
      <c r="P67" s="136"/>
      <c r="Q67" s="136"/>
      <c r="R67" s="136"/>
      <c r="S67" s="136"/>
      <c r="Y67"/>
      <c r="Z67"/>
      <c r="AA67"/>
      <c r="AB67"/>
      <c r="AC67"/>
      <c r="AD67"/>
      <c r="AE67"/>
      <c r="AF67"/>
      <c r="AG67"/>
      <c r="AH67"/>
      <c r="AI67"/>
      <c r="AJ67"/>
      <c r="AK67" s="1"/>
      <c r="AL67" s="1"/>
      <c r="AM67" s="1"/>
      <c r="AN67"/>
      <c r="AO67"/>
      <c r="AP67"/>
    </row>
    <row r="68" spans="2:42" s="10" customFormat="1" x14ac:dyDescent="0.3">
      <c r="B68"/>
      <c r="C68"/>
      <c r="D68"/>
      <c r="E68" s="456"/>
      <c r="F68" s="456"/>
      <c r="G68" s="82" t="s">
        <v>50</v>
      </c>
      <c r="H68" s="83"/>
      <c r="I68" s="84"/>
      <c r="J68" s="85"/>
      <c r="K68" s="86"/>
      <c r="L68" s="135"/>
      <c r="N68" s="136"/>
      <c r="O68" s="136"/>
      <c r="P68" s="136"/>
      <c r="Q68" s="136"/>
      <c r="R68" s="136"/>
      <c r="S68" s="136"/>
      <c r="Y68"/>
      <c r="Z68"/>
      <c r="AA68"/>
      <c r="AB68"/>
      <c r="AC68"/>
      <c r="AD68"/>
      <c r="AE68"/>
      <c r="AF68"/>
      <c r="AG68"/>
      <c r="AH68"/>
      <c r="AI68"/>
      <c r="AJ68"/>
      <c r="AK68" s="1"/>
      <c r="AL68" s="1"/>
      <c r="AM68" s="1"/>
      <c r="AN68"/>
      <c r="AO68"/>
      <c r="AP68"/>
    </row>
    <row r="69" spans="2:42" s="10" customFormat="1" x14ac:dyDescent="0.3">
      <c r="B69"/>
      <c r="C69"/>
      <c r="D69"/>
      <c r="E69" s="457"/>
      <c r="F69" s="457"/>
      <c r="G69" s="82" t="s">
        <v>51</v>
      </c>
      <c r="H69" s="91">
        <f>H67+H68*2</f>
        <v>652</v>
      </c>
      <c r="I69" s="88"/>
      <c r="J69" s="89"/>
      <c r="K69" s="90">
        <f>+K67+K68*2</f>
        <v>488.7</v>
      </c>
      <c r="L69" s="135"/>
      <c r="N69" s="136"/>
      <c r="O69" s="136"/>
      <c r="P69" s="136"/>
      <c r="Q69" s="136"/>
      <c r="R69" s="136"/>
      <c r="S69" s="136"/>
      <c r="Y69"/>
      <c r="Z69"/>
      <c r="AA69"/>
      <c r="AB69"/>
      <c r="AC69"/>
      <c r="AD69"/>
      <c r="AE69"/>
      <c r="AF69"/>
      <c r="AG69"/>
      <c r="AH69"/>
      <c r="AI69"/>
      <c r="AJ69"/>
      <c r="AK69" s="1"/>
      <c r="AL69" s="1"/>
      <c r="AM69" s="1"/>
      <c r="AN69"/>
      <c r="AO69"/>
      <c r="AP69"/>
    </row>
    <row r="70" spans="2:42" s="10" customFormat="1" x14ac:dyDescent="0.3">
      <c r="B70"/>
      <c r="C70"/>
      <c r="D70"/>
      <c r="E70" s="455">
        <f>+E50</f>
        <v>3</v>
      </c>
      <c r="F70" s="455" t="s">
        <v>38</v>
      </c>
      <c r="G70" s="82" t="s">
        <v>48</v>
      </c>
      <c r="H70" s="83">
        <v>547</v>
      </c>
      <c r="I70" s="84"/>
      <c r="J70" s="85"/>
      <c r="K70" s="86">
        <v>345.54</v>
      </c>
      <c r="L70" s="135"/>
      <c r="N70" s="136"/>
      <c r="O70" s="136"/>
      <c r="P70" s="136"/>
      <c r="Q70" s="136"/>
      <c r="R70" s="136"/>
      <c r="S70" s="136"/>
      <c r="Y70"/>
      <c r="Z70"/>
      <c r="AA70"/>
      <c r="AB70"/>
      <c r="AC70"/>
      <c r="AD70"/>
      <c r="AE70"/>
      <c r="AF70"/>
      <c r="AG70"/>
      <c r="AH70"/>
      <c r="AI70"/>
      <c r="AJ70"/>
      <c r="AK70" s="1"/>
      <c r="AL70" s="1"/>
      <c r="AM70" s="1"/>
      <c r="AN70"/>
      <c r="AO70"/>
      <c r="AP70"/>
    </row>
    <row r="71" spans="2:42" s="10" customFormat="1" x14ac:dyDescent="0.3">
      <c r="B71"/>
      <c r="C71"/>
      <c r="D71"/>
      <c r="E71" s="456"/>
      <c r="F71" s="456"/>
      <c r="G71" s="82" t="s">
        <v>50</v>
      </c>
      <c r="H71" s="83"/>
      <c r="I71" s="84"/>
      <c r="J71" s="85"/>
      <c r="K71" s="86"/>
      <c r="L71" s="135"/>
      <c r="N71" s="136"/>
      <c r="O71" s="136"/>
      <c r="P71" s="136"/>
      <c r="Q71" s="136"/>
      <c r="R71" s="136"/>
      <c r="S71" s="136"/>
      <c r="Y71"/>
      <c r="Z71"/>
      <c r="AA71"/>
      <c r="AB71"/>
      <c r="AC71"/>
      <c r="AD71"/>
      <c r="AE71"/>
      <c r="AF71"/>
      <c r="AG71"/>
      <c r="AH71"/>
      <c r="AI71"/>
      <c r="AJ71"/>
      <c r="AK71" s="1"/>
      <c r="AL71" s="1"/>
      <c r="AM71" s="1"/>
      <c r="AN71"/>
      <c r="AO71"/>
      <c r="AP71"/>
    </row>
    <row r="72" spans="2:42" s="10" customFormat="1" x14ac:dyDescent="0.3">
      <c r="B72"/>
      <c r="C72"/>
      <c r="D72"/>
      <c r="E72" s="457"/>
      <c r="F72" s="457"/>
      <c r="G72" s="82" t="s">
        <v>51</v>
      </c>
      <c r="H72" s="87">
        <f>+H70+H71*2</f>
        <v>547</v>
      </c>
      <c r="I72" s="88"/>
      <c r="J72" s="89"/>
      <c r="K72" s="90">
        <f>+K70+K71*2</f>
        <v>345.54</v>
      </c>
      <c r="L72" s="135"/>
      <c r="N72" s="136"/>
      <c r="O72" s="136"/>
      <c r="P72" s="136"/>
      <c r="Q72" s="136"/>
      <c r="R72" s="136"/>
      <c r="S72" s="136"/>
      <c r="Y72"/>
      <c r="Z72"/>
      <c r="AA72"/>
      <c r="AB72"/>
      <c r="AC72"/>
      <c r="AD72"/>
      <c r="AE72"/>
      <c r="AF72"/>
      <c r="AG72"/>
      <c r="AH72"/>
      <c r="AI72"/>
      <c r="AJ72"/>
      <c r="AK72" s="1"/>
      <c r="AL72" s="1"/>
      <c r="AM72" s="1"/>
      <c r="AN72"/>
      <c r="AO72"/>
      <c r="AP72"/>
    </row>
    <row r="75" spans="2:42" ht="45" customHeight="1" x14ac:dyDescent="0.3">
      <c r="B75" s="463" t="s">
        <v>58</v>
      </c>
      <c r="C75" s="464"/>
      <c r="D75" s="464"/>
      <c r="E75" s="464"/>
      <c r="F75" s="464"/>
      <c r="G75" s="464"/>
      <c r="H75" s="464"/>
      <c r="I75" s="464"/>
      <c r="J75" s="464"/>
      <c r="K75" s="464"/>
      <c r="L75" s="464"/>
      <c r="M75" s="464"/>
      <c r="N75" s="464"/>
      <c r="O75" s="464"/>
      <c r="P75" s="464"/>
      <c r="Q75" s="464"/>
      <c r="R75" s="464"/>
      <c r="S75" s="464"/>
      <c r="T75" s="464"/>
      <c r="U75" s="464"/>
      <c r="V75" s="464"/>
      <c r="W75" s="464"/>
      <c r="X75" s="464"/>
      <c r="Y75" s="464"/>
      <c r="Z75" s="464"/>
      <c r="AA75" s="464"/>
      <c r="AB75" s="464"/>
      <c r="AC75" s="464"/>
      <c r="AD75" s="464"/>
    </row>
    <row r="76" spans="2:42" ht="18" customHeight="1" x14ac:dyDescent="0.3">
      <c r="B76" t="s">
        <v>5</v>
      </c>
      <c r="D76" s="7">
        <v>55</v>
      </c>
      <c r="F76" s="8" t="s">
        <v>6</v>
      </c>
      <c r="T76" s="9">
        <v>1.2</v>
      </c>
      <c r="Z76" s="12">
        <f>Z60</f>
        <v>0</v>
      </c>
      <c r="AA76" s="11">
        <f>AA60</f>
        <v>0</v>
      </c>
      <c r="AB76" s="12"/>
      <c r="AD76" s="8"/>
    </row>
    <row r="77" spans="2:42" ht="21" customHeight="1" x14ac:dyDescent="0.3">
      <c r="B77" s="430" t="s">
        <v>7</v>
      </c>
      <c r="C77" s="430" t="s">
        <v>45</v>
      </c>
      <c r="D77" s="430" t="s">
        <v>8</v>
      </c>
      <c r="E77" s="432" t="s">
        <v>9</v>
      </c>
      <c r="F77" s="432" t="s">
        <v>10</v>
      </c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441" t="s">
        <v>12</v>
      </c>
      <c r="U77" s="418"/>
      <c r="V77" s="442"/>
      <c r="W77" s="446" t="s">
        <v>13</v>
      </c>
      <c r="X77" s="418"/>
      <c r="Y77" s="418"/>
      <c r="Z77" s="13"/>
      <c r="AA77" s="14"/>
      <c r="AB77" s="447" t="s">
        <v>14</v>
      </c>
      <c r="AC77" s="449" t="s">
        <v>15</v>
      </c>
      <c r="AD77" s="418" t="s">
        <v>16</v>
      </c>
    </row>
    <row r="78" spans="2:42" ht="33.75" thickBot="1" x14ac:dyDescent="0.35">
      <c r="B78" s="431"/>
      <c r="C78" s="431"/>
      <c r="D78" s="431"/>
      <c r="E78" s="433"/>
      <c r="F78" s="433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5" t="s">
        <v>12</v>
      </c>
      <c r="U78" s="16" t="s">
        <v>17</v>
      </c>
      <c r="V78" s="17" t="s">
        <v>18</v>
      </c>
      <c r="W78" s="18" t="s">
        <v>13</v>
      </c>
      <c r="X78" s="16" t="s">
        <v>19</v>
      </c>
      <c r="Y78" s="19" t="s">
        <v>18</v>
      </c>
      <c r="Z78" s="151" t="s">
        <v>20</v>
      </c>
      <c r="AA78" s="20" t="s">
        <v>21</v>
      </c>
      <c r="AB78" s="448"/>
      <c r="AC78" s="450"/>
      <c r="AD78" s="419"/>
      <c r="AE78" s="21" t="s">
        <v>22</v>
      </c>
      <c r="AF78" s="21" t="s">
        <v>23</v>
      </c>
      <c r="AG78" s="22"/>
      <c r="AH78" s="22"/>
      <c r="AI78" s="22" t="s">
        <v>24</v>
      </c>
      <c r="AJ78" s="22"/>
      <c r="AK78" s="23" t="s">
        <v>25</v>
      </c>
      <c r="AL78" s="23" t="s">
        <v>26</v>
      </c>
      <c r="AM78" s="23" t="s">
        <v>27</v>
      </c>
      <c r="AN78" s="22"/>
      <c r="AO78" s="22">
        <f>SUM(AO79:AO84)</f>
        <v>-50</v>
      </c>
    </row>
    <row r="79" spans="2:42" ht="98.25" customHeight="1" thickTop="1" x14ac:dyDescent="0.3">
      <c r="B79" s="458">
        <v>6</v>
      </c>
      <c r="C79" s="92">
        <v>19</v>
      </c>
      <c r="D79" s="93" t="s">
        <v>7</v>
      </c>
      <c r="E79" s="94" t="s">
        <v>59</v>
      </c>
      <c r="F79" s="93">
        <v>10</v>
      </c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95">
        <f>+T93</f>
        <v>0</v>
      </c>
      <c r="U79" s="96">
        <f>IF(F79=0,"휴무",T79/F79)</f>
        <v>0</v>
      </c>
      <c r="V79" s="97">
        <f>IFERROR(T79/#REF!,0)</f>
        <v>0</v>
      </c>
      <c r="W79" s="98">
        <f>+W93</f>
        <v>0</v>
      </c>
      <c r="X79" s="96">
        <f t="shared" ref="X79:X84" si="25">IF(F79=0,"휴무",W79/F79)</f>
        <v>0</v>
      </c>
      <c r="Y79" s="99">
        <f>IFERROR(W79/#REF!,0)</f>
        <v>0</v>
      </c>
      <c r="Z79" s="100" t="e">
        <f>IF(F79=0,"휴무",T79/#REF!*$Z$3)</f>
        <v>#REF!</v>
      </c>
      <c r="AA79" s="101" t="e">
        <f>IF(F79=0,"휴무",W79/#REF!*$AA$3)</f>
        <v>#REF!</v>
      </c>
      <c r="AB79" s="102" t="e">
        <f t="shared" ref="AB79:AB84" si="26">IF(F79=0,"휴무",Z79+AA79)</f>
        <v>#REF!</v>
      </c>
      <c r="AC79" s="103" t="e">
        <f t="shared" ref="AC79:AC84" si="27">IF(F79=0,"휴무",IF(AB79&gt;=100,"좋아요",IF(AB79&gt;=90,"90~99",IF(AB79&gt;=80,"80~89"," 사유?→"))))</f>
        <v>#REF!</v>
      </c>
      <c r="AD79" s="104"/>
      <c r="AE79" s="37">
        <f>AF79-F79</f>
        <v>-10</v>
      </c>
      <c r="AF79" s="38">
        <f>AM79</f>
        <v>0</v>
      </c>
      <c r="AG79" s="157" t="s">
        <v>29</v>
      </c>
      <c r="AH79" s="39"/>
      <c r="AI79" s="40" t="str">
        <f>IFERROR(Y79/V79*1000,"")</f>
        <v/>
      </c>
      <c r="AJ79" s="39"/>
      <c r="AK79" s="41"/>
      <c r="AL79" s="41"/>
      <c r="AM79" s="41"/>
      <c r="AN79" s="157"/>
      <c r="AO79" s="157">
        <f>AN79-F79</f>
        <v>-10</v>
      </c>
    </row>
    <row r="80" spans="2:42" ht="98.25" customHeight="1" x14ac:dyDescent="0.3">
      <c r="B80" s="459"/>
      <c r="C80" s="92">
        <v>20</v>
      </c>
      <c r="D80" s="158" t="s">
        <v>30</v>
      </c>
      <c r="E80" s="94" t="s">
        <v>59</v>
      </c>
      <c r="F80" s="93">
        <v>10</v>
      </c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95">
        <f>+T96</f>
        <v>0</v>
      </c>
      <c r="U80" s="62">
        <f>IF(F80=0,"휴무",T80/F80)</f>
        <v>0</v>
      </c>
      <c r="V80" s="63">
        <f>IFERROR(T80/#REF!,0)</f>
        <v>0</v>
      </c>
      <c r="W80" s="105">
        <f>+W96</f>
        <v>0</v>
      </c>
      <c r="X80" s="96">
        <f t="shared" si="25"/>
        <v>0</v>
      </c>
      <c r="Y80" s="65">
        <f>IFERROR(W80/#REF!,0)</f>
        <v>0</v>
      </c>
      <c r="Z80" s="106" t="e">
        <f>IF(F80=0,"휴무",T80/#REF!*$Z$3)</f>
        <v>#REF!</v>
      </c>
      <c r="AA80" s="107" t="e">
        <f>IF(F80=0,"휴무",W80/#REF!*$AA$3)</f>
        <v>#REF!</v>
      </c>
      <c r="AB80" s="66" t="e">
        <f t="shared" si="26"/>
        <v>#REF!</v>
      </c>
      <c r="AC80" s="108" t="e">
        <f t="shared" si="27"/>
        <v>#REF!</v>
      </c>
      <c r="AD80" s="109"/>
      <c r="AE80" s="37">
        <f>AF80-F80</f>
        <v>-10</v>
      </c>
      <c r="AF80" s="38">
        <f>AM80</f>
        <v>0</v>
      </c>
      <c r="AG80" s="157" t="s">
        <v>34</v>
      </c>
      <c r="AH80" s="39"/>
      <c r="AI80" s="40" t="str">
        <f>IFERROR(Y80/V80*1000,"")</f>
        <v/>
      </c>
      <c r="AJ80" s="39"/>
      <c r="AK80" s="41"/>
      <c r="AL80" s="41"/>
      <c r="AM80" s="41"/>
      <c r="AN80" s="157"/>
      <c r="AO80" s="157">
        <f>AN80-F80</f>
        <v>-10</v>
      </c>
    </row>
    <row r="81" spans="2:41" ht="98.25" customHeight="1" x14ac:dyDescent="0.3">
      <c r="B81" s="459"/>
      <c r="C81" s="92">
        <v>21</v>
      </c>
      <c r="D81" s="158" t="s">
        <v>32</v>
      </c>
      <c r="E81" s="94" t="s">
        <v>59</v>
      </c>
      <c r="F81" s="93">
        <v>10</v>
      </c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95">
        <f>+T99</f>
        <v>0</v>
      </c>
      <c r="U81" s="62">
        <f>IF(F81=0,"휴무",T81/F81)</f>
        <v>0</v>
      </c>
      <c r="V81" s="63">
        <f>IFERROR(T81/#REF!,0)</f>
        <v>0</v>
      </c>
      <c r="W81" s="105">
        <f>+W99</f>
        <v>0</v>
      </c>
      <c r="X81" s="96">
        <f t="shared" si="25"/>
        <v>0</v>
      </c>
      <c r="Y81" s="65">
        <f>IFERROR(W81/#REF!,0)</f>
        <v>0</v>
      </c>
      <c r="Z81" s="106" t="e">
        <f>IF(F81=0,"휴무",T81/#REF!*$Z$3)</f>
        <v>#REF!</v>
      </c>
      <c r="AA81" s="107" t="e">
        <f>IF(F81=0,"휴무",W81/#REF!*$AA$3)</f>
        <v>#REF!</v>
      </c>
      <c r="AB81" s="66" t="e">
        <f t="shared" si="26"/>
        <v>#REF!</v>
      </c>
      <c r="AC81" s="108" t="e">
        <f t="shared" si="27"/>
        <v>#REF!</v>
      </c>
      <c r="AD81" s="109"/>
      <c r="AE81" s="37">
        <f>AF81-F81</f>
        <v>-10</v>
      </c>
      <c r="AF81" s="38">
        <f>AM81</f>
        <v>0</v>
      </c>
      <c r="AG81" s="157" t="s">
        <v>36</v>
      </c>
      <c r="AH81" s="39"/>
      <c r="AI81" s="40" t="str">
        <f>IFERROR(Y81/V81*1000,"")</f>
        <v/>
      </c>
      <c r="AJ81" s="39"/>
      <c r="AK81" s="41"/>
      <c r="AL81" s="41"/>
      <c r="AM81" s="41"/>
      <c r="AN81" s="157"/>
      <c r="AO81" s="157">
        <f>AN81-F81</f>
        <v>-10</v>
      </c>
    </row>
    <row r="82" spans="2:41" ht="98.25" customHeight="1" x14ac:dyDescent="0.3">
      <c r="B82" s="459"/>
      <c r="C82" s="92">
        <v>22</v>
      </c>
      <c r="D82" s="158" t="s">
        <v>35</v>
      </c>
      <c r="E82" s="94" t="s">
        <v>59</v>
      </c>
      <c r="F82" s="93">
        <v>10</v>
      </c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95">
        <f>+T102</f>
        <v>0</v>
      </c>
      <c r="U82" s="62">
        <f>IF(F82=0,"휴무",T82/F82)</f>
        <v>0</v>
      </c>
      <c r="V82" s="63">
        <f>IFERROR(T82/#REF!,0)</f>
        <v>0</v>
      </c>
      <c r="W82" s="105">
        <f>+W102</f>
        <v>0</v>
      </c>
      <c r="X82" s="62">
        <f t="shared" si="25"/>
        <v>0</v>
      </c>
      <c r="Y82" s="65">
        <f>IFERROR(W82/#REF!,0)</f>
        <v>0</v>
      </c>
      <c r="Z82" s="106" t="e">
        <f>IF(F82=0,"휴무",T82/#REF!*$Z$3)</f>
        <v>#REF!</v>
      </c>
      <c r="AA82" s="107" t="e">
        <f>IF(F82=0,"휴무",W82/#REF!*$AA$3)</f>
        <v>#REF!</v>
      </c>
      <c r="AB82" s="66" t="e">
        <f t="shared" si="26"/>
        <v>#REF!</v>
      </c>
      <c r="AC82" s="110" t="e">
        <f t="shared" si="27"/>
        <v>#REF!</v>
      </c>
      <c r="AD82" s="104"/>
      <c r="AE82" s="37">
        <f>AF82-F82</f>
        <v>-10</v>
      </c>
      <c r="AF82" s="38">
        <f>AM82</f>
        <v>0</v>
      </c>
      <c r="AG82" s="157" t="s">
        <v>33</v>
      </c>
      <c r="AH82" s="39"/>
      <c r="AI82" s="40" t="str">
        <f>IFERROR(Y82/V82*1000,"")</f>
        <v/>
      </c>
      <c r="AJ82" s="39"/>
      <c r="AK82" s="41"/>
      <c r="AL82" s="41"/>
      <c r="AM82" s="41"/>
      <c r="AN82" s="157"/>
      <c r="AO82" s="157">
        <f>AN82-F82</f>
        <v>-10</v>
      </c>
    </row>
    <row r="83" spans="2:41" ht="98.25" customHeight="1" x14ac:dyDescent="0.3">
      <c r="B83" s="459"/>
      <c r="C83" s="92">
        <v>23</v>
      </c>
      <c r="D83" s="158" t="s">
        <v>37</v>
      </c>
      <c r="E83" s="94" t="s">
        <v>59</v>
      </c>
      <c r="F83" s="93">
        <v>10</v>
      </c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95">
        <f>+T103</f>
        <v>0</v>
      </c>
      <c r="U83" s="62">
        <f>IF(F83=0,"휴무",T83/F83)</f>
        <v>0</v>
      </c>
      <c r="V83" s="63">
        <f>IFERROR(T83/#REF!,0)</f>
        <v>0</v>
      </c>
      <c r="W83" s="105">
        <f>+W103</f>
        <v>0</v>
      </c>
      <c r="X83" s="62">
        <f t="shared" si="25"/>
        <v>0</v>
      </c>
      <c r="Y83" s="65">
        <f>IFERROR(W83/#REF!,0)</f>
        <v>0</v>
      </c>
      <c r="Z83" s="106" t="e">
        <f>IF(F83=0,"휴무",T83/#REF!*$Z$3)</f>
        <v>#REF!</v>
      </c>
      <c r="AA83" s="107" t="e">
        <f>IF(F83=0,"휴무",W83/#REF!*$AA$3)</f>
        <v>#REF!</v>
      </c>
      <c r="AB83" s="66" t="e">
        <f t="shared" si="26"/>
        <v>#REF!</v>
      </c>
      <c r="AC83" s="110" t="e">
        <f t="shared" si="27"/>
        <v>#REF!</v>
      </c>
      <c r="AD83" s="104"/>
      <c r="AE83" s="37">
        <f>AF83-F83</f>
        <v>-10</v>
      </c>
      <c r="AF83" s="38">
        <f>AM83</f>
        <v>0</v>
      </c>
      <c r="AG83" s="157" t="s">
        <v>46</v>
      </c>
      <c r="AH83" s="39"/>
      <c r="AI83" s="40" t="str">
        <f>IFERROR(Y83/V83*1000,"")</f>
        <v/>
      </c>
      <c r="AJ83" s="157"/>
      <c r="AK83" s="41"/>
      <c r="AL83" s="41"/>
      <c r="AM83" s="41"/>
      <c r="AN83" s="157"/>
      <c r="AO83" s="157">
        <f>AN83-F83</f>
        <v>-10</v>
      </c>
    </row>
    <row r="84" spans="2:41" ht="98.25" customHeight="1" x14ac:dyDescent="0.3">
      <c r="B84" s="459"/>
      <c r="C84" s="92">
        <v>25</v>
      </c>
      <c r="D84" s="158" t="s">
        <v>45</v>
      </c>
      <c r="E84" s="94" t="s">
        <v>60</v>
      </c>
      <c r="F84" s="93">
        <f>IF(E84="평일",8,IF(E84="휴무",0,IF(OR(E84="주말",E84="공휴일"),8,IF(E84="1H",9,IF(E84="야근",3.5,"Check")))))</f>
        <v>0</v>
      </c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95">
        <f>T108</f>
        <v>0</v>
      </c>
      <c r="U84" s="96">
        <v>58.924999999999997</v>
      </c>
      <c r="V84" s="97">
        <v>0.89280303030303021</v>
      </c>
      <c r="W84" s="98">
        <f>W108</f>
        <v>0</v>
      </c>
      <c r="X84" s="62" t="str">
        <f t="shared" si="25"/>
        <v>휴무</v>
      </c>
      <c r="Y84" s="65">
        <f>IFERROR(W84/#REF!,0)</f>
        <v>0</v>
      </c>
      <c r="Z84" s="106" t="str">
        <f>IF(F84=0,"휴무",T84/#REF!*$Z$3)</f>
        <v>휴무</v>
      </c>
      <c r="AA84" s="107" t="str">
        <f>IF(F84=0,"휴무",W84/#REF!*$AA$3)</f>
        <v>휴무</v>
      </c>
      <c r="AB84" s="66" t="str">
        <f t="shared" si="26"/>
        <v>휴무</v>
      </c>
      <c r="AC84" s="110" t="str">
        <f t="shared" si="27"/>
        <v>휴무</v>
      </c>
      <c r="AD84" s="104"/>
      <c r="AE84" s="37"/>
      <c r="AF84" s="38"/>
      <c r="AG84" s="157"/>
      <c r="AH84" s="39"/>
      <c r="AI84" s="40"/>
      <c r="AJ84" s="157"/>
      <c r="AK84" s="41"/>
      <c r="AL84" s="41"/>
      <c r="AM84" s="41"/>
      <c r="AN84" s="157"/>
      <c r="AO84" s="157"/>
    </row>
    <row r="85" spans="2:41" ht="36" customHeight="1" x14ac:dyDescent="0.3">
      <c r="B85" s="460" t="s">
        <v>39</v>
      </c>
      <c r="C85" s="461"/>
      <c r="D85" s="461"/>
      <c r="E85" s="462"/>
      <c r="F85" s="158">
        <f>SUM(F79:F84)</f>
        <v>50</v>
      </c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11">
        <f>SUM(T79:T84)</f>
        <v>0</v>
      </c>
      <c r="U85" s="112"/>
      <c r="V85" s="63">
        <f>IFERROR(T85/#REF!,0)</f>
        <v>0</v>
      </c>
      <c r="W85" s="113">
        <f>SUM(W79:W84)</f>
        <v>0</v>
      </c>
      <c r="X85" s="62"/>
      <c r="Y85" s="65">
        <f>IFERROR(W85/#REF!,0)</f>
        <v>0</v>
      </c>
      <c r="Z85" s="158"/>
      <c r="AA85" s="154"/>
      <c r="AB85" s="114"/>
      <c r="AC85" s="115"/>
      <c r="AD85" s="156"/>
      <c r="AE85" s="37">
        <f>AF85-F85</f>
        <v>-50</v>
      </c>
      <c r="AF85" s="38">
        <f>SUM(AF79:AF84)</f>
        <v>0</v>
      </c>
      <c r="AG85" s="157"/>
      <c r="AH85" s="157"/>
      <c r="AI85" s="40"/>
      <c r="AJ85" s="157"/>
      <c r="AK85" s="59"/>
      <c r="AL85" s="59"/>
      <c r="AM85" s="59"/>
      <c r="AN85" s="157"/>
      <c r="AO85" s="157"/>
    </row>
    <row r="86" spans="2:41" ht="36" customHeight="1" x14ac:dyDescent="0.3">
      <c r="B86" s="443" t="s">
        <v>40</v>
      </c>
      <c r="C86" s="444"/>
      <c r="D86" s="444"/>
      <c r="E86" s="445"/>
      <c r="F86" s="60">
        <f>AVERAGE(F79:F84)</f>
        <v>8.3333333333333339</v>
      </c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61">
        <f>U86*F86</f>
        <v>0</v>
      </c>
      <c r="U86" s="62">
        <f>T85/F85</f>
        <v>0</v>
      </c>
      <c r="V86" s="63">
        <f>IFERROR(T86/#REF!,0)</f>
        <v>0</v>
      </c>
      <c r="W86" s="64">
        <f>W85/F85*F86</f>
        <v>0</v>
      </c>
      <c r="X86" s="62">
        <f>IF(F86=0,"휴무",W86/F86)</f>
        <v>0</v>
      </c>
      <c r="Y86" s="65">
        <f>IFERROR(W86/#REF!,0)</f>
        <v>0</v>
      </c>
      <c r="Z86" s="60" t="e">
        <f>AVERAGE(Z79:Z84)</f>
        <v>#REF!</v>
      </c>
      <c r="AA86" s="60" t="e">
        <f>AVERAGE(AA79:AA84)</f>
        <v>#REF!</v>
      </c>
      <c r="AB86" s="66" t="e">
        <f>Z86+AA86</f>
        <v>#REF!</v>
      </c>
      <c r="AC86" s="115" t="e">
        <f>IF(F86=0,"휴무",IF(AB86&gt;=100,"좋아요",IF(AB86&gt;=90,"90~99",IF(AB86&gt;=80,"80~89"," 사유?→"))))</f>
        <v>#REF!</v>
      </c>
      <c r="AD86" s="68"/>
      <c r="AE86" s="69"/>
      <c r="AF86" s="69"/>
      <c r="AG86" s="69"/>
      <c r="AH86" s="69"/>
      <c r="AI86" s="40" t="str">
        <f>IFERROR(Y86/V86*1000,"")</f>
        <v/>
      </c>
      <c r="AJ86" s="69"/>
      <c r="AK86" s="10"/>
      <c r="AL86" s="10"/>
      <c r="AM86" s="10"/>
      <c r="AN86" s="69"/>
      <c r="AO86" s="69"/>
    </row>
    <row r="87" spans="2:41" x14ac:dyDescent="0.3">
      <c r="B87" s="70" t="s">
        <v>41</v>
      </c>
      <c r="C87" s="71"/>
      <c r="D87" s="71"/>
      <c r="E87" s="72"/>
      <c r="T87" s="22"/>
      <c r="V87" s="73">
        <f>V86*60</f>
        <v>0</v>
      </c>
      <c r="W87" s="74"/>
      <c r="X87" s="73"/>
      <c r="Y87" s="74">
        <f>Y86*40</f>
        <v>0</v>
      </c>
      <c r="Z87" s="81"/>
      <c r="AA87" s="81"/>
      <c r="AB87" s="74">
        <f>V87+Y87</f>
        <v>0</v>
      </c>
      <c r="AC87" s="157"/>
      <c r="AD87" s="157"/>
      <c r="AE87" s="157"/>
      <c r="AF87" s="157"/>
      <c r="AG87" s="157"/>
      <c r="AH87" s="157"/>
      <c r="AI87" s="157"/>
      <c r="AJ87" s="157"/>
      <c r="AK87" s="59"/>
      <c r="AL87" s="59"/>
      <c r="AM87" s="59"/>
      <c r="AN87" s="157"/>
      <c r="AO87" s="157"/>
    </row>
    <row r="88" spans="2:41" ht="17.25" thickBot="1" x14ac:dyDescent="0.35">
      <c r="B88" s="70" t="s">
        <v>61</v>
      </c>
      <c r="U88" s="10">
        <v>8.8000000000000007</v>
      </c>
    </row>
    <row r="89" spans="2:41" ht="17.25" thickBot="1" x14ac:dyDescent="0.35">
      <c r="B89" s="76" t="s">
        <v>42</v>
      </c>
      <c r="C89" s="77"/>
      <c r="D89" s="78" t="s">
        <v>43</v>
      </c>
      <c r="E89" s="78"/>
      <c r="F89" s="79"/>
      <c r="X89" s="10">
        <v>50</v>
      </c>
    </row>
    <row r="91" spans="2:41" x14ac:dyDescent="0.3">
      <c r="E91" s="465">
        <v>19</v>
      </c>
      <c r="F91" s="465" t="s">
        <v>7</v>
      </c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3"/>
      <c r="U91" s="84"/>
      <c r="V91" s="85"/>
      <c r="W91" s="86"/>
    </row>
    <row r="92" spans="2:41" x14ac:dyDescent="0.3">
      <c r="C92" t="s">
        <v>57</v>
      </c>
      <c r="E92" s="465"/>
      <c r="F92" s="465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3"/>
      <c r="U92" s="84"/>
      <c r="V92" s="85"/>
      <c r="W92" s="86"/>
    </row>
    <row r="93" spans="2:41" x14ac:dyDescent="0.3">
      <c r="E93" s="465"/>
      <c r="F93" s="465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7">
        <f>+T91+T92*1.6</f>
        <v>0</v>
      </c>
      <c r="U93" s="88"/>
      <c r="V93" s="89"/>
      <c r="W93" s="90">
        <f>+W91+W92*1.6</f>
        <v>0</v>
      </c>
    </row>
    <row r="94" spans="2:41" x14ac:dyDescent="0.3">
      <c r="E94" s="465">
        <v>20</v>
      </c>
      <c r="F94" s="465" t="s">
        <v>52</v>
      </c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3"/>
      <c r="U94" s="84"/>
      <c r="V94" s="85"/>
      <c r="W94" s="86"/>
    </row>
    <row r="95" spans="2:41" x14ac:dyDescent="0.3">
      <c r="E95" s="465"/>
      <c r="F95" s="465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3"/>
      <c r="U95" s="84"/>
      <c r="V95" s="85"/>
      <c r="W95" s="86"/>
    </row>
    <row r="96" spans="2:41" x14ac:dyDescent="0.3">
      <c r="E96" s="465"/>
      <c r="F96" s="465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91">
        <f>+T94+T95*1.6</f>
        <v>0</v>
      </c>
      <c r="U96" s="88"/>
      <c r="V96" s="89"/>
      <c r="W96" s="90">
        <f>+W94+W95*1.6</f>
        <v>0</v>
      </c>
    </row>
    <row r="97" spans="5:30" x14ac:dyDescent="0.3">
      <c r="E97" s="465">
        <v>21</v>
      </c>
      <c r="F97" s="465" t="s">
        <v>53</v>
      </c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3"/>
      <c r="U97" s="84"/>
      <c r="V97" s="85"/>
      <c r="W97" s="86"/>
    </row>
    <row r="98" spans="5:30" x14ac:dyDescent="0.3">
      <c r="E98" s="465"/>
      <c r="F98" s="465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3"/>
      <c r="U98" s="84"/>
      <c r="V98" s="85"/>
      <c r="W98" s="86"/>
    </row>
    <row r="99" spans="5:30" x14ac:dyDescent="0.3">
      <c r="E99" s="465"/>
      <c r="F99" s="465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7">
        <f>+T97+T98*1.6</f>
        <v>0</v>
      </c>
      <c r="U99" s="88"/>
      <c r="V99" s="89"/>
      <c r="W99" s="90">
        <f>+W97+W98*1.6</f>
        <v>0</v>
      </c>
    </row>
    <row r="100" spans="5:30" x14ac:dyDescent="0.3">
      <c r="E100" s="465">
        <v>22</v>
      </c>
      <c r="F100" s="465" t="s">
        <v>55</v>
      </c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3"/>
      <c r="U100" s="84"/>
      <c r="V100" s="85"/>
      <c r="W100" s="86"/>
    </row>
    <row r="101" spans="5:30" x14ac:dyDescent="0.3">
      <c r="E101" s="465"/>
      <c r="F101" s="465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3"/>
      <c r="U101" s="84"/>
      <c r="V101" s="85"/>
      <c r="W101" s="86"/>
    </row>
    <row r="102" spans="5:30" x14ac:dyDescent="0.3">
      <c r="E102" s="465"/>
      <c r="F102" s="465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7">
        <f>+T100+T101*1.6</f>
        <v>0</v>
      </c>
      <c r="U102" s="88"/>
      <c r="V102" s="89"/>
      <c r="W102" s="90">
        <f>+W100+W101*1.6</f>
        <v>0</v>
      </c>
    </row>
    <row r="103" spans="5:30" x14ac:dyDescent="0.3">
      <c r="E103" s="465">
        <v>23</v>
      </c>
      <c r="F103" s="465" t="s">
        <v>56</v>
      </c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3"/>
      <c r="U103" s="84"/>
      <c r="V103" s="85"/>
      <c r="W103" s="86"/>
    </row>
    <row r="104" spans="5:30" x14ac:dyDescent="0.3">
      <c r="E104" s="465"/>
      <c r="F104" s="465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3"/>
      <c r="U104" s="84"/>
      <c r="V104" s="85"/>
      <c r="W104" s="86"/>
    </row>
    <row r="105" spans="5:30" x14ac:dyDescent="0.3">
      <c r="E105" s="465"/>
      <c r="F105" s="465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7">
        <f>+T103+T104*1.6</f>
        <v>0</v>
      </c>
      <c r="U105" s="88"/>
      <c r="V105" s="89"/>
      <c r="W105" s="90">
        <f>+W103+W104*1.6</f>
        <v>0</v>
      </c>
    </row>
    <row r="106" spans="5:30" x14ac:dyDescent="0.3">
      <c r="E106" s="455">
        <v>24</v>
      </c>
      <c r="F106" s="465" t="s">
        <v>45</v>
      </c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3"/>
      <c r="U106" s="84"/>
      <c r="V106" s="85"/>
      <c r="W106" s="86"/>
      <c r="AD106" s="116"/>
    </row>
    <row r="107" spans="5:30" x14ac:dyDescent="0.3">
      <c r="E107" s="456"/>
      <c r="F107" s="465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3"/>
      <c r="U107" s="84"/>
      <c r="V107" s="85"/>
      <c r="W107" s="86"/>
    </row>
    <row r="108" spans="5:30" x14ac:dyDescent="0.3">
      <c r="E108" s="457"/>
      <c r="F108" s="465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7">
        <f>+T106+T107*1.6</f>
        <v>0</v>
      </c>
      <c r="U108" s="88"/>
      <c r="V108" s="89"/>
      <c r="W108" s="90">
        <f>+W106+W107*1.6</f>
        <v>0</v>
      </c>
    </row>
    <row r="113" spans="3:26" x14ac:dyDescent="0.3">
      <c r="C113" s="467" t="s">
        <v>62</v>
      </c>
      <c r="D113" s="467"/>
      <c r="E113" s="467"/>
      <c r="F113" s="467"/>
      <c r="G113" s="467"/>
      <c r="H113" s="467"/>
      <c r="I113" s="467"/>
      <c r="J113" s="467"/>
      <c r="K113" s="467"/>
      <c r="L113" s="467"/>
      <c r="M113" s="467"/>
      <c r="N113" s="467"/>
      <c r="O113" s="467"/>
      <c r="P113" s="467"/>
      <c r="Q113" s="467"/>
      <c r="R113" s="467"/>
      <c r="S113" s="467"/>
      <c r="T113" s="467"/>
    </row>
    <row r="115" spans="3:26" x14ac:dyDescent="0.3">
      <c r="C115" s="158" t="s">
        <v>49</v>
      </c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117"/>
      <c r="V115" s="118"/>
      <c r="W115" s="116"/>
      <c r="X115" s="117"/>
      <c r="Y115" s="116"/>
      <c r="Z115" s="116"/>
    </row>
    <row r="116" spans="3:26" x14ac:dyDescent="0.3">
      <c r="C116" s="158" t="s">
        <v>63</v>
      </c>
      <c r="D116" s="466" t="s">
        <v>12</v>
      </c>
      <c r="E116" s="466"/>
      <c r="F116" s="158" t="s">
        <v>64</v>
      </c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 t="s">
        <v>15</v>
      </c>
      <c r="U116" s="117"/>
      <c r="V116" s="118"/>
      <c r="W116" s="116"/>
      <c r="X116" s="117"/>
      <c r="Y116" s="116"/>
      <c r="Z116" s="116"/>
    </row>
    <row r="117" spans="3:26" x14ac:dyDescent="0.3">
      <c r="C117" s="119">
        <v>45075</v>
      </c>
      <c r="D117" s="466"/>
      <c r="E117" s="466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17"/>
      <c r="V117" s="118"/>
      <c r="W117" s="116"/>
      <c r="X117" s="117"/>
      <c r="Y117" s="116"/>
      <c r="Z117" s="116"/>
    </row>
    <row r="118" spans="3:26" x14ac:dyDescent="0.3">
      <c r="C118" s="119">
        <v>45076</v>
      </c>
      <c r="D118" s="466"/>
      <c r="E118" s="466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17"/>
      <c r="V118" s="118"/>
      <c r="W118" s="116"/>
      <c r="X118" s="117"/>
      <c r="Y118" s="116"/>
      <c r="Z118" s="116"/>
    </row>
    <row r="119" spans="3:26" x14ac:dyDescent="0.3">
      <c r="C119" s="119">
        <v>45077</v>
      </c>
      <c r="D119" s="466"/>
      <c r="E119" s="466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17"/>
      <c r="V119" s="118"/>
      <c r="W119" s="116"/>
      <c r="X119" s="117"/>
      <c r="Y119" s="116"/>
      <c r="Z119" s="116"/>
    </row>
    <row r="120" spans="3:26" x14ac:dyDescent="0.3">
      <c r="C120" s="119">
        <v>45078</v>
      </c>
      <c r="D120" s="466"/>
      <c r="E120" s="466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17"/>
      <c r="V120" s="118"/>
      <c r="W120" s="116"/>
      <c r="X120" s="117"/>
      <c r="Y120" s="116"/>
      <c r="Z120" s="116"/>
    </row>
    <row r="121" spans="3:26" x14ac:dyDescent="0.3">
      <c r="C121" s="119">
        <v>45079</v>
      </c>
      <c r="D121" s="466"/>
      <c r="E121" s="466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17"/>
      <c r="V121" s="118"/>
      <c r="W121" s="116"/>
      <c r="X121" s="117"/>
      <c r="Y121" s="116"/>
      <c r="Z121" s="116"/>
    </row>
    <row r="122" spans="3:26" x14ac:dyDescent="0.3">
      <c r="C122" s="119">
        <v>45080</v>
      </c>
      <c r="D122" s="466"/>
      <c r="E122" s="466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17"/>
      <c r="V122" s="118"/>
      <c r="W122" s="116"/>
      <c r="X122" s="117"/>
      <c r="Y122" s="116"/>
      <c r="Z122" s="116"/>
    </row>
    <row r="123" spans="3:26" x14ac:dyDescent="0.3">
      <c r="C123" s="158"/>
      <c r="D123" s="460"/>
      <c r="E123" s="462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17"/>
      <c r="V123" s="118"/>
      <c r="W123" s="116"/>
      <c r="X123" s="117"/>
      <c r="Y123" s="116"/>
      <c r="Z123" s="116"/>
    </row>
    <row r="124" spans="3:26" x14ac:dyDescent="0.3"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117"/>
      <c r="V124" s="118"/>
      <c r="W124" s="116"/>
      <c r="X124" s="117"/>
      <c r="Y124" s="116"/>
      <c r="Z124" s="116"/>
    </row>
    <row r="125" spans="3:26" x14ac:dyDescent="0.3">
      <c r="C125" s="158" t="s">
        <v>65</v>
      </c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117"/>
      <c r="V125" s="118"/>
      <c r="W125" s="116"/>
      <c r="X125" s="117"/>
      <c r="Y125" s="116"/>
      <c r="Z125" s="116"/>
    </row>
    <row r="126" spans="3:26" x14ac:dyDescent="0.3">
      <c r="C126" s="158" t="s">
        <v>63</v>
      </c>
      <c r="D126" s="466" t="s">
        <v>12</v>
      </c>
      <c r="E126" s="466"/>
      <c r="F126" s="158" t="s">
        <v>64</v>
      </c>
      <c r="G126" s="158"/>
      <c r="H126" s="158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 t="s">
        <v>15</v>
      </c>
      <c r="U126" s="117"/>
      <c r="V126" s="118"/>
      <c r="W126" s="116"/>
      <c r="X126" s="117"/>
      <c r="Y126" s="116"/>
      <c r="Z126" s="116"/>
    </row>
    <row r="127" spans="3:26" x14ac:dyDescent="0.3">
      <c r="C127" s="119">
        <v>45075</v>
      </c>
      <c r="D127" s="466"/>
      <c r="E127" s="466"/>
      <c r="F127" s="158"/>
      <c r="G127" s="158"/>
      <c r="H127" s="158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17"/>
      <c r="V127" s="118"/>
      <c r="W127" s="116"/>
      <c r="X127" s="117"/>
      <c r="Y127" s="116"/>
      <c r="Z127" s="116"/>
    </row>
    <row r="128" spans="3:26" x14ac:dyDescent="0.3">
      <c r="C128" s="119">
        <v>45076</v>
      </c>
      <c r="D128" s="466"/>
      <c r="E128" s="466"/>
      <c r="F128" s="158"/>
      <c r="G128" s="158"/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17"/>
      <c r="V128" s="118"/>
      <c r="W128" s="116"/>
      <c r="X128" s="117"/>
      <c r="Y128" s="116"/>
      <c r="Z128" s="116"/>
    </row>
    <row r="129" spans="3:26" x14ac:dyDescent="0.3">
      <c r="C129" s="119">
        <v>45077</v>
      </c>
      <c r="D129" s="466"/>
      <c r="E129" s="466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17"/>
      <c r="V129" s="118"/>
      <c r="W129" s="116"/>
      <c r="X129" s="117"/>
      <c r="Y129" s="116"/>
      <c r="Z129" s="116"/>
    </row>
    <row r="130" spans="3:26" x14ac:dyDescent="0.3">
      <c r="C130" s="119">
        <v>45078</v>
      </c>
      <c r="D130" s="466"/>
      <c r="E130" s="466"/>
      <c r="F130" s="158"/>
      <c r="G130" s="158"/>
      <c r="H130" s="158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17"/>
      <c r="V130" s="118"/>
      <c r="W130" s="116"/>
      <c r="X130" s="117"/>
      <c r="Y130" s="116"/>
      <c r="Z130" s="116"/>
    </row>
    <row r="131" spans="3:26" x14ac:dyDescent="0.3">
      <c r="C131" s="119">
        <v>45079</v>
      </c>
      <c r="D131" s="466"/>
      <c r="E131" s="466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17"/>
      <c r="V131" s="118"/>
      <c r="W131" s="116"/>
      <c r="X131" s="117"/>
      <c r="Y131" s="116"/>
      <c r="Z131" s="116"/>
    </row>
    <row r="132" spans="3:26" x14ac:dyDescent="0.3">
      <c r="C132" s="119">
        <v>45080</v>
      </c>
      <c r="D132" s="466"/>
      <c r="E132" s="466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17"/>
      <c r="V132" s="118"/>
      <c r="W132" s="116"/>
      <c r="X132" s="117"/>
      <c r="Y132" s="116"/>
      <c r="Z132" s="116"/>
    </row>
    <row r="133" spans="3:26" x14ac:dyDescent="0.3">
      <c r="C133" s="158"/>
      <c r="D133" s="460"/>
      <c r="E133" s="462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17"/>
      <c r="V133" s="118"/>
      <c r="W133" s="116"/>
      <c r="X133" s="117"/>
      <c r="Y133" s="116"/>
      <c r="Z133" s="116"/>
    </row>
    <row r="134" spans="3:26" x14ac:dyDescent="0.3"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117"/>
      <c r="V134" s="118"/>
      <c r="W134" s="116"/>
      <c r="X134" s="117"/>
      <c r="Y134" s="116"/>
      <c r="Z134" s="116"/>
    </row>
    <row r="135" spans="3:26" x14ac:dyDescent="0.3">
      <c r="C135" s="158" t="s">
        <v>66</v>
      </c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117"/>
      <c r="V135" s="118"/>
      <c r="W135" s="116"/>
      <c r="X135" s="117"/>
      <c r="Y135" s="116"/>
      <c r="Z135" s="116"/>
    </row>
    <row r="136" spans="3:26" x14ac:dyDescent="0.3">
      <c r="C136" s="158" t="s">
        <v>63</v>
      </c>
      <c r="D136" s="466" t="s">
        <v>12</v>
      </c>
      <c r="E136" s="466"/>
      <c r="F136" s="158" t="s">
        <v>64</v>
      </c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 t="s">
        <v>15</v>
      </c>
      <c r="U136" s="117"/>
      <c r="V136" s="118"/>
      <c r="W136" s="116"/>
      <c r="X136" s="117"/>
      <c r="Y136" s="116"/>
      <c r="Z136" s="116"/>
    </row>
    <row r="137" spans="3:26" x14ac:dyDescent="0.3">
      <c r="C137" s="119">
        <v>45075</v>
      </c>
      <c r="D137" s="466"/>
      <c r="E137" s="466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17"/>
      <c r="V137" s="118"/>
      <c r="W137" s="116"/>
      <c r="X137" s="117"/>
      <c r="Y137" s="116"/>
      <c r="Z137" s="116"/>
    </row>
    <row r="138" spans="3:26" x14ac:dyDescent="0.3">
      <c r="C138" s="119">
        <v>45076</v>
      </c>
      <c r="D138" s="466"/>
      <c r="E138" s="466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17"/>
      <c r="V138" s="118"/>
      <c r="W138" s="116"/>
      <c r="X138" s="117"/>
      <c r="Y138" s="116"/>
      <c r="Z138" s="116"/>
    </row>
    <row r="139" spans="3:26" x14ac:dyDescent="0.3">
      <c r="C139" s="119">
        <v>45077</v>
      </c>
      <c r="D139" s="466"/>
      <c r="E139" s="466"/>
      <c r="F139" s="158"/>
      <c r="G139" s="158"/>
      <c r="H139" s="158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</row>
    <row r="140" spans="3:26" x14ac:dyDescent="0.3">
      <c r="C140" s="119">
        <v>45078</v>
      </c>
      <c r="D140" s="466"/>
      <c r="E140" s="466"/>
      <c r="F140" s="158"/>
      <c r="G140" s="158"/>
      <c r="H140" s="158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</row>
    <row r="141" spans="3:26" x14ac:dyDescent="0.3">
      <c r="C141" s="119">
        <v>45079</v>
      </c>
      <c r="D141" s="466"/>
      <c r="E141" s="466"/>
      <c r="F141" s="158"/>
      <c r="G141" s="158"/>
      <c r="H141" s="158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</row>
    <row r="142" spans="3:26" x14ac:dyDescent="0.3">
      <c r="C142" s="119">
        <v>45080</v>
      </c>
      <c r="D142" s="466"/>
      <c r="E142" s="466"/>
      <c r="F142" s="158"/>
      <c r="G142" s="158"/>
      <c r="H142" s="158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</row>
    <row r="143" spans="3:26" x14ac:dyDescent="0.3">
      <c r="C143" s="158"/>
      <c r="D143" s="460"/>
      <c r="E143" s="462"/>
      <c r="F143" s="158"/>
      <c r="G143" s="158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</row>
  </sheetData>
  <mergeCells count="113">
    <mergeCell ref="D139:E139"/>
    <mergeCell ref="D140:E140"/>
    <mergeCell ref="D141:E141"/>
    <mergeCell ref="D142:E142"/>
    <mergeCell ref="D143:E143"/>
    <mergeCell ref="D131:E131"/>
    <mergeCell ref="D132:E132"/>
    <mergeCell ref="D133:E133"/>
    <mergeCell ref="D136:E136"/>
    <mergeCell ref="D137:E137"/>
    <mergeCell ref="D138:E138"/>
    <mergeCell ref="D123:E123"/>
    <mergeCell ref="D126:E126"/>
    <mergeCell ref="D127:E127"/>
    <mergeCell ref="D128:E128"/>
    <mergeCell ref="D129:E129"/>
    <mergeCell ref="D130:E130"/>
    <mergeCell ref="D117:E117"/>
    <mergeCell ref="D118:E118"/>
    <mergeCell ref="D119:E119"/>
    <mergeCell ref="D120:E120"/>
    <mergeCell ref="D121:E121"/>
    <mergeCell ref="D122:E122"/>
    <mergeCell ref="E103:E105"/>
    <mergeCell ref="F103:F105"/>
    <mergeCell ref="E106:E108"/>
    <mergeCell ref="F106:F108"/>
    <mergeCell ref="C113:T113"/>
    <mergeCell ref="D116:E116"/>
    <mergeCell ref="E94:E96"/>
    <mergeCell ref="F94:F96"/>
    <mergeCell ref="E97:E99"/>
    <mergeCell ref="F97:F99"/>
    <mergeCell ref="E100:E102"/>
    <mergeCell ref="F100:F102"/>
    <mergeCell ref="AD77:AD78"/>
    <mergeCell ref="B79:B84"/>
    <mergeCell ref="B85:E85"/>
    <mergeCell ref="B86:E86"/>
    <mergeCell ref="E91:E93"/>
    <mergeCell ref="F91:F93"/>
    <mergeCell ref="B75:AD75"/>
    <mergeCell ref="B77:B78"/>
    <mergeCell ref="C77:C78"/>
    <mergeCell ref="D77:D78"/>
    <mergeCell ref="E77:E78"/>
    <mergeCell ref="F77:F78"/>
    <mergeCell ref="T77:V77"/>
    <mergeCell ref="W77:Y77"/>
    <mergeCell ref="AB77:AB78"/>
    <mergeCell ref="AC77:AC78"/>
    <mergeCell ref="E64:E66"/>
    <mergeCell ref="F64:F66"/>
    <mergeCell ref="E67:E69"/>
    <mergeCell ref="F67:F69"/>
    <mergeCell ref="E70:E72"/>
    <mergeCell ref="F70:F72"/>
    <mergeCell ref="E55:E57"/>
    <mergeCell ref="F55:F57"/>
    <mergeCell ref="E58:E60"/>
    <mergeCell ref="F58:F60"/>
    <mergeCell ref="E61:E63"/>
    <mergeCell ref="F61:F63"/>
    <mergeCell ref="E44:E46"/>
    <mergeCell ref="F44:F46"/>
    <mergeCell ref="E47:E49"/>
    <mergeCell ref="F47:F49"/>
    <mergeCell ref="E50:E52"/>
    <mergeCell ref="F50:F52"/>
    <mergeCell ref="E35:E37"/>
    <mergeCell ref="F35:F37"/>
    <mergeCell ref="E38:E40"/>
    <mergeCell ref="F38:F40"/>
    <mergeCell ref="E41:E43"/>
    <mergeCell ref="F41:F43"/>
    <mergeCell ref="B22:B27"/>
    <mergeCell ref="B28:E28"/>
    <mergeCell ref="B29:E29"/>
    <mergeCell ref="I20:R20"/>
    <mergeCell ref="S20:S21"/>
    <mergeCell ref="T20:V20"/>
    <mergeCell ref="W20:Y20"/>
    <mergeCell ref="Z20:Z21"/>
    <mergeCell ref="AA20:AA21"/>
    <mergeCell ref="B12:E12"/>
    <mergeCell ref="B13:E13"/>
    <mergeCell ref="B18:AD18"/>
    <mergeCell ref="B20:B21"/>
    <mergeCell ref="C20:C21"/>
    <mergeCell ref="D20:D21"/>
    <mergeCell ref="E20:E21"/>
    <mergeCell ref="F20:F21"/>
    <mergeCell ref="G20:G21"/>
    <mergeCell ref="H20:H21"/>
    <mergeCell ref="AB20:AB21"/>
    <mergeCell ref="AC20:AC21"/>
    <mergeCell ref="AD20:AD21"/>
    <mergeCell ref="T4:V4"/>
    <mergeCell ref="W4:Y4"/>
    <mergeCell ref="AB4:AB5"/>
    <mergeCell ref="AC4:AC5"/>
    <mergeCell ref="AD4:AD5"/>
    <mergeCell ref="B6:B11"/>
    <mergeCell ref="B1:AD1"/>
    <mergeCell ref="B2:AD2"/>
    <mergeCell ref="B4:C5"/>
    <mergeCell ref="D4:D5"/>
    <mergeCell ref="E4:E5"/>
    <mergeCell ref="F4:F5"/>
    <mergeCell ref="G4:G5"/>
    <mergeCell ref="H4:H5"/>
    <mergeCell ref="I4:R4"/>
    <mergeCell ref="S4:S5"/>
  </mergeCells>
  <phoneticPr fontId="4" type="noConversion"/>
  <dataValidations count="4">
    <dataValidation type="list" allowBlank="1" showInputMessage="1" showErrorMessage="1" sqref="E7 E23 E26:E27 E10:E11">
      <formula1>$T$6:$T$11</formula1>
    </dataValidation>
    <dataValidation type="list" allowBlank="1" showInputMessage="1" showErrorMessage="1" sqref="E79:E84 E24 E6 E22 E8">
      <formula1>$AG$6:$AG$11</formula1>
    </dataValidation>
    <dataValidation type="list" allowBlank="1" showInputMessage="1" showErrorMessage="1" sqref="AG22:AG24 AG79:AG81 AG9 AG6">
      <formula1>$AD$5:$AD$7</formula1>
    </dataValidation>
    <dataValidation type="list" allowBlank="1" showInputMessage="1" showErrorMessage="1" sqref="E9 E25">
      <formula1>$AF$6:$AF$11</formula1>
    </dataValidation>
  </dataValidations>
  <pageMargins left="0.62992125984251968" right="0.62992125984251968" top="0.94488188976377963" bottom="0.55118110236220474" header="0.31496062992125984" footer="0.31496062992125984"/>
  <pageSetup paperSize="9" scale="26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35</vt:i4>
      </vt:variant>
      <vt:variant>
        <vt:lpstr>이름이 지정된 범위</vt:lpstr>
      </vt:variant>
      <vt:variant>
        <vt:i4>35</vt:i4>
      </vt:variant>
    </vt:vector>
  </HeadingPairs>
  <TitlesOfParts>
    <vt:vector size="70" baseType="lpstr">
      <vt:lpstr>양식</vt:lpstr>
      <vt:lpstr>0822</vt:lpstr>
      <vt:lpstr>0815</vt:lpstr>
      <vt:lpstr>0808</vt:lpstr>
      <vt:lpstr>0801</vt:lpstr>
      <vt:lpstr>0725</vt:lpstr>
      <vt:lpstr>0718</vt:lpstr>
      <vt:lpstr>0711</vt:lpstr>
      <vt:lpstr>0704</vt:lpstr>
      <vt:lpstr>0627</vt:lpstr>
      <vt:lpstr>0620</vt:lpstr>
      <vt:lpstr>0613</vt:lpstr>
      <vt:lpstr>0606</vt:lpstr>
      <vt:lpstr>0530</vt:lpstr>
      <vt:lpstr>0523</vt:lpstr>
      <vt:lpstr>0516</vt:lpstr>
      <vt:lpstr>0509</vt:lpstr>
      <vt:lpstr>0502</vt:lpstr>
      <vt:lpstr>0425</vt:lpstr>
      <vt:lpstr>0418</vt:lpstr>
      <vt:lpstr>0411</vt:lpstr>
      <vt:lpstr>0404</vt:lpstr>
      <vt:lpstr>0328</vt:lpstr>
      <vt:lpstr>0321</vt:lpstr>
      <vt:lpstr>0314</vt:lpstr>
      <vt:lpstr>0307</vt:lpstr>
      <vt:lpstr>0228</vt:lpstr>
      <vt:lpstr>0221</vt:lpstr>
      <vt:lpstr>0214</vt:lpstr>
      <vt:lpstr>0207</vt:lpstr>
      <vt:lpstr>0131</vt:lpstr>
      <vt:lpstr>0124</vt:lpstr>
      <vt:lpstr>0117</vt:lpstr>
      <vt:lpstr>0110</vt:lpstr>
      <vt:lpstr>0103</vt:lpstr>
      <vt:lpstr>'0103'!Print_Area</vt:lpstr>
      <vt:lpstr>'0110'!Print_Area</vt:lpstr>
      <vt:lpstr>'0117'!Print_Area</vt:lpstr>
      <vt:lpstr>'0124'!Print_Area</vt:lpstr>
      <vt:lpstr>'0131'!Print_Area</vt:lpstr>
      <vt:lpstr>'0207'!Print_Area</vt:lpstr>
      <vt:lpstr>'0214'!Print_Area</vt:lpstr>
      <vt:lpstr>'0221'!Print_Area</vt:lpstr>
      <vt:lpstr>'0228'!Print_Area</vt:lpstr>
      <vt:lpstr>'0307'!Print_Area</vt:lpstr>
      <vt:lpstr>'0314'!Print_Area</vt:lpstr>
      <vt:lpstr>'0321'!Print_Area</vt:lpstr>
      <vt:lpstr>'0328'!Print_Area</vt:lpstr>
      <vt:lpstr>'0404'!Print_Area</vt:lpstr>
      <vt:lpstr>'0411'!Print_Area</vt:lpstr>
      <vt:lpstr>'0418'!Print_Area</vt:lpstr>
      <vt:lpstr>'0425'!Print_Area</vt:lpstr>
      <vt:lpstr>'0502'!Print_Area</vt:lpstr>
      <vt:lpstr>'0509'!Print_Area</vt:lpstr>
      <vt:lpstr>'0516'!Print_Area</vt:lpstr>
      <vt:lpstr>'0523'!Print_Area</vt:lpstr>
      <vt:lpstr>'0530'!Print_Area</vt:lpstr>
      <vt:lpstr>'0606'!Print_Area</vt:lpstr>
      <vt:lpstr>'0613'!Print_Area</vt:lpstr>
      <vt:lpstr>'0620'!Print_Area</vt:lpstr>
      <vt:lpstr>'0627'!Print_Area</vt:lpstr>
      <vt:lpstr>'0704'!Print_Area</vt:lpstr>
      <vt:lpstr>'0711'!Print_Area</vt:lpstr>
      <vt:lpstr>'0718'!Print_Area</vt:lpstr>
      <vt:lpstr>'0725'!Print_Area</vt:lpstr>
      <vt:lpstr>'0801'!Print_Area</vt:lpstr>
      <vt:lpstr>'0808'!Print_Area</vt:lpstr>
      <vt:lpstr>'0815'!Print_Area</vt:lpstr>
      <vt:lpstr>'0822'!Print_Area</vt:lpstr>
      <vt:lpstr>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</dc:creator>
  <cp:lastModifiedBy>ONE</cp:lastModifiedBy>
  <cp:lastPrinted>2026-08-24T05:24:47Z</cp:lastPrinted>
  <dcterms:created xsi:type="dcterms:W3CDTF">2025-01-04T01:57:49Z</dcterms:created>
  <dcterms:modified xsi:type="dcterms:W3CDTF">2026-08-24T11:43:05Z</dcterms:modified>
</cp:coreProperties>
</file>