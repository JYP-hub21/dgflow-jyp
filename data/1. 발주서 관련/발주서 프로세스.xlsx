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AVER MYBOX\업무\지원사업\2026 충북 AX기업혁신센터 충북대 김태경 교수님\과제진행\"/>
    </mc:Choice>
  </mc:AlternateContent>
  <xr:revisionPtr revIDLastSave="0" documentId="13_ncr:1_{B736586A-910E-4C79-AF9A-D867CEBB08C6}" xr6:coauthVersionLast="47" xr6:coauthVersionMax="47" xr10:uidLastSave="{00000000-0000-0000-0000-000000000000}"/>
  <bookViews>
    <workbookView xWindow="-120" yWindow="-120" windowWidth="29040" windowHeight="15720" xr2:uid="{A096CD9A-8C6D-4711-B027-E1AF710B85B8}"/>
  </bookViews>
  <sheets>
    <sheet name="1. 발주요청" sheetId="1" r:id="rId1"/>
    <sheet name="2. 내부검토용" sheetId="2" r:id="rId2"/>
    <sheet name="3.ERP불러들이기 용" sheetId="5" r:id="rId3"/>
    <sheet name="4. ERP작업의뢰서" sheetId="3" r:id="rId4"/>
    <sheet name="4-1. 엑셀양식" sheetId="4" r:id="rId5"/>
  </sheets>
  <definedNames>
    <definedName name="_xlnm._FilterDatabase" localSheetId="1" hidden="1">'2. 내부검토용'!#REF!</definedName>
    <definedName name="_xlnm.Print_Area" localSheetId="1">'2. 내부검토용'!$A$63:$L$69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8" i="2" l="1"/>
  <c r="D58" i="2"/>
  <c r="L57" i="2"/>
  <c r="K57" i="2"/>
  <c r="E57" i="2"/>
  <c r="L56" i="2"/>
  <c r="K56" i="2"/>
  <c r="E56" i="2"/>
  <c r="L55" i="2"/>
  <c r="K55" i="2"/>
  <c r="E55" i="2"/>
  <c r="L54" i="2"/>
  <c r="K54" i="2"/>
  <c r="E54" i="2"/>
  <c r="L53" i="2"/>
  <c r="K53" i="2"/>
  <c r="E53" i="2"/>
  <c r="L52" i="2"/>
  <c r="K52" i="2"/>
  <c r="E52" i="2"/>
  <c r="L51" i="2"/>
  <c r="K51" i="2"/>
  <c r="E51" i="2"/>
  <c r="L50" i="2"/>
  <c r="K50" i="2"/>
  <c r="E50" i="2"/>
  <c r="L49" i="2"/>
  <c r="K49" i="2"/>
  <c r="E49" i="2"/>
  <c r="L48" i="2"/>
  <c r="K48" i="2"/>
  <c r="E48" i="2"/>
  <c r="L47" i="2"/>
  <c r="K47" i="2"/>
  <c r="E47" i="2"/>
  <c r="L46" i="2"/>
  <c r="K46" i="2"/>
  <c r="E46" i="2"/>
  <c r="H44" i="2"/>
  <c r="J43" i="2"/>
  <c r="D43" i="2"/>
  <c r="L42" i="2"/>
  <c r="K42" i="2"/>
  <c r="E42" i="2"/>
  <c r="L41" i="2"/>
  <c r="K41" i="2"/>
  <c r="E41" i="2"/>
  <c r="L40" i="2"/>
  <c r="K40" i="2"/>
  <c r="E40" i="2"/>
  <c r="L39" i="2"/>
  <c r="K39" i="2"/>
  <c r="E39" i="2"/>
  <c r="L38" i="2"/>
  <c r="K38" i="2"/>
  <c r="E38" i="2"/>
  <c r="L37" i="2"/>
  <c r="K37" i="2"/>
  <c r="E37" i="2"/>
  <c r="L36" i="2"/>
  <c r="K36" i="2"/>
  <c r="E36" i="2"/>
  <c r="L35" i="2"/>
  <c r="K35" i="2"/>
  <c r="E35" i="2"/>
  <c r="L34" i="2"/>
  <c r="K34" i="2"/>
  <c r="E34" i="2"/>
  <c r="L33" i="2"/>
  <c r="K33" i="2"/>
  <c r="E33" i="2"/>
  <c r="L32" i="2"/>
  <c r="K32" i="2"/>
  <c r="E32" i="2"/>
  <c r="L31" i="2"/>
  <c r="K31" i="2"/>
  <c r="E31" i="2"/>
  <c r="L30" i="2"/>
  <c r="K30" i="2"/>
  <c r="E30" i="2"/>
  <c r="L29" i="2"/>
  <c r="K29" i="2"/>
  <c r="E29" i="2"/>
  <c r="L28" i="2"/>
  <c r="K28" i="2"/>
  <c r="E28" i="2"/>
  <c r="L27" i="2"/>
  <c r="K27" i="2"/>
  <c r="K43" i="2" s="1"/>
  <c r="E27" i="2"/>
  <c r="E43" i="2" s="1"/>
  <c r="L26" i="2"/>
  <c r="L43" i="2" s="1"/>
  <c r="K26" i="2"/>
  <c r="E26" i="2"/>
  <c r="H24" i="2"/>
  <c r="J23" i="2"/>
  <c r="D23" i="2"/>
  <c r="L22" i="2"/>
  <c r="K22" i="2"/>
  <c r="E22" i="2"/>
  <c r="L21" i="2"/>
  <c r="K21" i="2"/>
  <c r="E21" i="2"/>
  <c r="L20" i="2"/>
  <c r="K20" i="2"/>
  <c r="E20" i="2"/>
  <c r="L19" i="2"/>
  <c r="K19" i="2"/>
  <c r="E19" i="2"/>
  <c r="L18" i="2"/>
  <c r="K18" i="2"/>
  <c r="K23" i="2" s="1"/>
  <c r="E18" i="2"/>
  <c r="L17" i="2"/>
  <c r="L23" i="2" s="1"/>
  <c r="K17" i="2"/>
  <c r="E17" i="2"/>
  <c r="E23" i="2" s="1"/>
  <c r="H15" i="2"/>
  <c r="J14" i="2"/>
  <c r="D14" i="2"/>
  <c r="L13" i="2"/>
  <c r="K13" i="2"/>
  <c r="E13" i="2"/>
  <c r="L12" i="2"/>
  <c r="K12" i="2"/>
  <c r="E12" i="2"/>
  <c r="L11" i="2"/>
  <c r="K11" i="2"/>
  <c r="E11" i="2"/>
  <c r="L10" i="2"/>
  <c r="K10" i="2"/>
  <c r="E10" i="2"/>
  <c r="L9" i="2"/>
  <c r="K9" i="2"/>
  <c r="E9" i="2"/>
  <c r="E14" i="2" s="1"/>
  <c r="L8" i="2"/>
  <c r="K8" i="2"/>
  <c r="E8" i="2"/>
  <c r="L7" i="2"/>
  <c r="K7" i="2"/>
  <c r="E7" i="2"/>
  <c r="L6" i="2"/>
  <c r="K6" i="2"/>
  <c r="E6" i="2"/>
  <c r="L5" i="2"/>
  <c r="K5" i="2"/>
  <c r="E5" i="2"/>
  <c r="L4" i="2"/>
  <c r="K4" i="2"/>
  <c r="E4" i="2"/>
  <c r="L3" i="2"/>
  <c r="L14" i="2" s="1"/>
  <c r="K3" i="2"/>
  <c r="K14" i="2" s="1"/>
  <c r="E3" i="2"/>
  <c r="H1" i="2"/>
  <c r="D35" i="1"/>
  <c r="K35" i="1" s="1"/>
  <c r="D34" i="1"/>
  <c r="K34" i="1" s="1"/>
  <c r="D33" i="1"/>
  <c r="K33" i="1" s="1"/>
  <c r="D32" i="1"/>
  <c r="K32" i="1" s="1"/>
  <c r="D31" i="1"/>
  <c r="K31" i="1" s="1"/>
  <c r="D30" i="1"/>
  <c r="K30" i="1" s="1"/>
  <c r="D29" i="1"/>
  <c r="K29" i="1" s="1"/>
  <c r="D28" i="1"/>
  <c r="K28" i="1" s="1"/>
  <c r="D27" i="1"/>
  <c r="K27" i="1" s="1"/>
  <c r="D26" i="1"/>
  <c r="K26" i="1" s="1"/>
  <c r="D25" i="1"/>
  <c r="K25" i="1" s="1"/>
  <c r="D24" i="1"/>
  <c r="K24" i="1" s="1"/>
  <c r="D23" i="1"/>
  <c r="K23" i="1" s="1"/>
  <c r="D22" i="1"/>
  <c r="K22" i="1" s="1"/>
  <c r="D21" i="1"/>
  <c r="K21" i="1" s="1"/>
  <c r="D20" i="1"/>
  <c r="K20" i="1" s="1"/>
  <c r="D19" i="1"/>
  <c r="K19" i="1" s="1"/>
  <c r="D18" i="1"/>
  <c r="K18" i="1" s="1"/>
  <c r="D17" i="1"/>
  <c r="K17" i="1" s="1"/>
  <c r="D16" i="1"/>
  <c r="K16" i="1" s="1"/>
  <c r="D15" i="1"/>
  <c r="K15" i="1" s="1"/>
  <c r="D14" i="1"/>
  <c r="K14" i="1" s="1"/>
  <c r="D13" i="1"/>
  <c r="K13" i="1" s="1"/>
  <c r="D12" i="1"/>
  <c r="K12" i="1" s="1"/>
  <c r="D11" i="1"/>
  <c r="K11" i="1" s="1"/>
  <c r="D10" i="1"/>
  <c r="K10" i="1" s="1"/>
  <c r="D9" i="1"/>
  <c r="K9" i="1" s="1"/>
  <c r="D8" i="1"/>
  <c r="K8" i="1" s="1"/>
  <c r="D7" i="1"/>
  <c r="K7" i="1" s="1"/>
  <c r="D6" i="1"/>
  <c r="K6" i="1" s="1"/>
  <c r="D5" i="1"/>
  <c r="K5" i="1" s="1"/>
  <c r="D4" i="1"/>
  <c r="K4" i="1" s="1"/>
  <c r="D3" i="1"/>
  <c r="K3" i="1" s="1"/>
  <c r="D2" i="1"/>
  <c r="K2" i="1" s="1"/>
  <c r="E58" i="2" l="1"/>
  <c r="K58" i="2"/>
  <c r="L58" i="2"/>
</calcChain>
</file>

<file path=xl/sharedStrings.xml><?xml version="1.0" encoding="utf-8"?>
<sst xmlns="http://schemas.openxmlformats.org/spreadsheetml/2006/main" count="591" uniqueCount="153">
  <si>
    <t>기타</t>
  </si>
  <si>
    <t>가로규격</t>
  </si>
  <si>
    <t>세로규격</t>
  </si>
  <si>
    <t>수량</t>
  </si>
  <si>
    <t>동</t>
    <phoneticPr fontId="6" type="noConversion"/>
  </si>
  <si>
    <t>호수</t>
    <phoneticPr fontId="6" type="noConversion"/>
  </si>
  <si>
    <t>창</t>
    <phoneticPr fontId="6" type="noConversion"/>
  </si>
  <si>
    <t>타입</t>
  </si>
  <si>
    <t>세대</t>
  </si>
  <si>
    <t>기본</t>
  </si>
  <si>
    <t>평</t>
  </si>
  <si>
    <t>코킹</t>
    <phoneticPr fontId="6" type="noConversion"/>
  </si>
  <si>
    <t>호이스트</t>
    <phoneticPr fontId="6" type="noConversion"/>
  </si>
  <si>
    <t>참고</t>
    <phoneticPr fontId="6" type="noConversion"/>
  </si>
  <si>
    <t>비고</t>
  </si>
  <si>
    <t>비고1</t>
    <phoneticPr fontId="4" type="noConversion"/>
  </si>
  <si>
    <t>구분</t>
    <phoneticPr fontId="6" type="noConversion"/>
  </si>
  <si>
    <t>5CL/0.76PVB/5CL+10ALC+6EMT178</t>
    <phoneticPr fontId="6" type="noConversion"/>
  </si>
  <si>
    <t>302동</t>
    <phoneticPr fontId="4" type="noConversion"/>
  </si>
  <si>
    <t>1라인(1~6층)</t>
    <phoneticPr fontId="4" type="noConversion"/>
  </si>
  <si>
    <t>발코니1</t>
  </si>
  <si>
    <t>59A</t>
    <phoneticPr fontId="4" type="noConversion"/>
  </si>
  <si>
    <t>1코어</t>
    <phoneticPr fontId="4" type="noConversion"/>
  </si>
  <si>
    <t>글레이징</t>
    <phoneticPr fontId="6" type="noConversion"/>
  </si>
  <si>
    <t>2W</t>
    <phoneticPr fontId="6" type="noConversion"/>
  </si>
  <si>
    <t>단창픽스</t>
    <phoneticPr fontId="6" type="noConversion"/>
  </si>
  <si>
    <t>2라인(1~6층)</t>
    <phoneticPr fontId="4" type="noConversion"/>
  </si>
  <si>
    <t>59B</t>
    <phoneticPr fontId="4" type="noConversion"/>
  </si>
  <si>
    <t>침실2</t>
  </si>
  <si>
    <t>외창픽스</t>
    <phoneticPr fontId="6" type="noConversion"/>
  </si>
  <si>
    <t>침실3</t>
  </si>
  <si>
    <t>3라인(2~6층)</t>
    <phoneticPr fontId="4" type="noConversion"/>
  </si>
  <si>
    <t>거실</t>
  </si>
  <si>
    <t>2WU</t>
    <phoneticPr fontId="6" type="noConversion"/>
  </si>
  <si>
    <t>6CL+12ALC+6CL</t>
    <phoneticPr fontId="4" type="noConversion"/>
  </si>
  <si>
    <t>다용도</t>
  </si>
  <si>
    <t>내창</t>
    <phoneticPr fontId="6" type="noConversion"/>
  </si>
  <si>
    <t>주방/식당</t>
  </si>
  <si>
    <t>6CL+12ALC+6EMT178</t>
    <phoneticPr fontId="4" type="noConversion"/>
  </si>
  <si>
    <t>외창</t>
    <phoneticPr fontId="6" type="noConversion"/>
  </si>
  <si>
    <t>단창밴트</t>
    <phoneticPr fontId="6" type="noConversion"/>
  </si>
  <si>
    <t>외창밴트</t>
    <phoneticPr fontId="6" type="noConversion"/>
  </si>
  <si>
    <t>26.76T 10.76투명접합+10A+6로이</t>
    <phoneticPr fontId="4" type="noConversion"/>
  </si>
  <si>
    <t>26.08.21</t>
    <phoneticPr fontId="4" type="noConversion"/>
  </si>
  <si>
    <t>위치</t>
    <phoneticPr fontId="12" type="noConversion"/>
  </si>
  <si>
    <t>규</t>
    <phoneticPr fontId="12" type="noConversion"/>
  </si>
  <si>
    <t>격</t>
    <phoneticPr fontId="12" type="noConversion"/>
  </si>
  <si>
    <t>수량</t>
    <phoneticPr fontId="12" type="noConversion"/>
  </si>
  <si>
    <t>평</t>
    <phoneticPr fontId="12" type="noConversion"/>
  </si>
  <si>
    <t>M2</t>
    <phoneticPr fontId="12" type="noConversion"/>
  </si>
  <si>
    <t>302동1라인(1~6층)발코니159A단창픽스</t>
  </si>
  <si>
    <t>302동1라인(1~6층)거실59A외창픽스</t>
  </si>
  <si>
    <t>302동2라인(1~6층)발코니159B단창픽스</t>
  </si>
  <si>
    <t>302동2라인(1~6층)거실59B외창픽스</t>
  </si>
  <si>
    <t>302동1라인(1~6층)침실259A외창픽스</t>
  </si>
  <si>
    <t>302동3라인(2~6층)거실59A외창픽스</t>
  </si>
  <si>
    <t>302동1라인(1~6층)침실359A외창픽스</t>
  </si>
  <si>
    <t>302동2라인(1~6층)침실259B외창픽스</t>
  </si>
  <si>
    <t>302동2라인(1~6층)침실359B외창픽스</t>
  </si>
  <si>
    <t>302동3라인(2~6층)침실259A외창픽스</t>
  </si>
  <si>
    <t>302동3라인(2~6층)침실359A외창픽스</t>
  </si>
  <si>
    <t>24T 6CL+12A+6CL</t>
    <phoneticPr fontId="4" type="noConversion"/>
  </si>
  <si>
    <t>302동1라인(1~6층)다용도59A내창</t>
  </si>
  <si>
    <t>302동1라인(1~6층)주방/식당59A내창</t>
  </si>
  <si>
    <t>302동2라인(1~6층)다용도59B내창</t>
  </si>
  <si>
    <t>302동2라인(1~6층)주방/식당59B내창</t>
  </si>
  <si>
    <t>302동3라인(2~6층)다용도59A내창</t>
  </si>
  <si>
    <t>302동3라인(2~6층)주방/식당59A내창</t>
  </si>
  <si>
    <t>24T 6CL+12A+6로이</t>
    <phoneticPr fontId="4" type="noConversion"/>
  </si>
  <si>
    <t>302동1라인(1~6층)다용도59A외창</t>
  </si>
  <si>
    <t>302동1라인(1~6층)거실59A외창밴트</t>
  </si>
  <si>
    <t>302동2라인(1~6층)다용도59B외창</t>
  </si>
  <si>
    <t>302동2라인(1~6층)거실59B외창밴트</t>
  </si>
  <si>
    <t>302동3라인(2~6층)다용도59A외창</t>
  </si>
  <si>
    <t>302동3라인(2~6층)거실59A외창밴트</t>
  </si>
  <si>
    <t>302동1라인(1~6층)주방/식당59A외창</t>
  </si>
  <si>
    <t>302동1라인(1~6층)침실259A외창밴트</t>
  </si>
  <si>
    <t>302동2라인(1~6층)주방/식당59B외창</t>
  </si>
  <si>
    <t>302동1라인(1~6층)침실359A외창밴트</t>
  </si>
  <si>
    <t>302동3라인(2~6층)주방/식당59A외창</t>
  </si>
  <si>
    <t>302동2라인(1~6층)침실259B외창밴트</t>
  </si>
  <si>
    <t>302동1라인(1~6층)발코니159A단창밴트</t>
  </si>
  <si>
    <t>302동2라인(1~6층)침실359B외창밴트</t>
  </si>
  <si>
    <t>302동2라인(1~6층)발코니159B단창밴트</t>
  </si>
  <si>
    <t>302동3라인(2~6층)침실259A외창밴트</t>
  </si>
  <si>
    <t>302동3라인(2~6층)침실359A외창밴트</t>
  </si>
  <si>
    <t>302동1라인(1~6층)침실2 59A내창_LS</t>
  </si>
  <si>
    <t>302동1라인(1~6층)거실 59A내창_LS</t>
  </si>
  <si>
    <t>302동1라인(1~6층)침실3 59A내창_LS</t>
  </si>
  <si>
    <t>302동2라인(1~6층)거실 59B내창_LS</t>
  </si>
  <si>
    <t>302동2라인(1~6층)침실2 59B내창_LS</t>
  </si>
  <si>
    <t>302동3라인(2~6층)거실 59A내창_LS</t>
  </si>
  <si>
    <t>302동2라인(1~6층)침실3 59B내창_LS</t>
  </si>
  <si>
    <t>302동3라인(2~6층)침실2 59A내창_LS</t>
  </si>
  <si>
    <t>302동3라인(2~6층)침실3 59A내창_LS</t>
  </si>
  <si>
    <t>No</t>
  </si>
  <si>
    <t>거래처</t>
  </si>
  <si>
    <t>품명</t>
  </si>
  <si>
    <t>규격</t>
  </si>
  <si>
    <t>면적</t>
  </si>
  <si>
    <t>26.76T 10.76투명접합+10A+6로이</t>
  </si>
  <si>
    <t>1,646 X 1,748</t>
  </si>
  <si>
    <t>302동1~3라인(1~6층)거실59A,B외창픽스</t>
  </si>
  <si>
    <t>591 X 1,748</t>
  </si>
  <si>
    <t>302동1~3라인(1~6층)침실2,3 59A,B외창픽스</t>
  </si>
  <si>
    <t>543 X 1,745</t>
  </si>
  <si>
    <t>302동1,2라인(1~6층)발코니159A,B단창픽스</t>
  </si>
  <si>
    <t>소계</t>
  </si>
  <si>
    <t>24T 6CL+12A+6CL</t>
  </si>
  <si>
    <t>435 X 794</t>
  </si>
  <si>
    <t>302동1~3라인(1~6층)주방/식당59A,B내창</t>
  </si>
  <si>
    <t>285 X 794</t>
  </si>
  <si>
    <t>302동1~3라인(1~6층)다용도59A,B내창</t>
  </si>
  <si>
    <t>24T 6CL+12A+6로이</t>
  </si>
  <si>
    <t>742 X 1,748</t>
  </si>
  <si>
    <t>302동1~3라인(1~6층)거실59A,B외창밴트</t>
  </si>
  <si>
    <t>302동1~3라인(1~6층)침실2,3 59A,B외창밴트</t>
  </si>
  <si>
    <t>302동1,2라인(1~6층)발코니1 59A.B단창밴트</t>
  </si>
  <si>
    <t>441 X 798</t>
  </si>
  <si>
    <t>302동1~3라인(1~6층)주방/식당59A,B외창</t>
  </si>
  <si>
    <t>291 X 798</t>
  </si>
  <si>
    <t>302동1~3라인(1~6층)다용도59A,B외창</t>
  </si>
  <si>
    <t>합계</t>
  </si>
  <si>
    <t>주문번호</t>
  </si>
  <si>
    <t>주문일자</t>
  </si>
  <si>
    <t>납품일자</t>
  </si>
  <si>
    <t>현장명</t>
  </si>
  <si>
    <t>구분</t>
  </si>
  <si>
    <t>두께</t>
  </si>
  <si>
    <t>주문수량</t>
  </si>
  <si>
    <t>출고수량</t>
  </si>
  <si>
    <t>잔여수량</t>
  </si>
  <si>
    <t>미출고액</t>
  </si>
  <si>
    <t>260821-08</t>
  </si>
  <si>
    <t>(주)대진글라스a</t>
  </si>
  <si>
    <t xml:space="preserve">대우건설_산성역헤리스톤3BL현장 </t>
  </si>
  <si>
    <t>TP</t>
  </si>
  <si>
    <t>10.76투명접합+10A+6로이</t>
  </si>
  <si>
    <t>6CL+12A+6CL</t>
  </si>
  <si>
    <t>6CL+12A+6로이</t>
  </si>
  <si>
    <t>위치</t>
    <phoneticPr fontId="4" type="noConversion"/>
  </si>
  <si>
    <t>규</t>
  </si>
  <si>
    <t>격</t>
  </si>
  <si>
    <t>302동1~3라인(1~6층)거실59A,B외창픽스</t>
    <phoneticPr fontId="4" type="noConversion"/>
  </si>
  <si>
    <t>302동1~3라인(1~6층)침실2,3 59A,B외창픽스</t>
    <phoneticPr fontId="4" type="noConversion"/>
  </si>
  <si>
    <t>302동1,2라인(1~6층)발코니159A,B단창픽스</t>
    <phoneticPr fontId="4" type="noConversion"/>
  </si>
  <si>
    <t>302동1~3라인(1~6층)주방/식당59A,B내창</t>
    <phoneticPr fontId="4" type="noConversion"/>
  </si>
  <si>
    <t>302동1~3라인(1~6층)다용도59A,B내창</t>
    <phoneticPr fontId="4" type="noConversion"/>
  </si>
  <si>
    <t>302동1~3라인(1~6층)거실59A,B외창밴트</t>
    <phoneticPr fontId="4" type="noConversion"/>
  </si>
  <si>
    <t>302동1~3라인(1~6층)침실2,3 59A,B외창밴트</t>
    <phoneticPr fontId="4" type="noConversion"/>
  </si>
  <si>
    <t>302동1,2라인(1~6층)발코니1 59A.B단창밴트</t>
    <phoneticPr fontId="4" type="noConversion"/>
  </si>
  <si>
    <t>302동1~3라인(1~6층)주방/식당59A,B외창</t>
    <phoneticPr fontId="4" type="noConversion"/>
  </si>
  <si>
    <t>302동1~3라인(1~6층)다용도59A,B외창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</si>
</sst>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_-;&quot;₩&quot;\!\-* #,##0_-;_-* &quot;-&quot;_-;_-@_-"/>
    <numFmt numFmtId="177" formatCode="_-* #,##0.00_-;&quot;₩&quot;\!\-* #,##0.00_-;_-* &quot;-&quot;_-;_-@_-"/>
    <numFmt numFmtId="178" formatCode="#,##0_ 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0"/>
      <color rgb="FF000000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바탕"/>
      <family val="1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name val="바탕"/>
      <family val="1"/>
      <charset val="129"/>
    </font>
    <font>
      <sz val="8"/>
      <color indexed="10"/>
      <name val="바탕"/>
      <family val="1"/>
      <charset val="129"/>
    </font>
    <font>
      <sz val="10"/>
      <color indexed="10"/>
      <name val="바탕"/>
      <family val="1"/>
      <charset val="129"/>
    </font>
    <font>
      <b/>
      <sz val="9"/>
      <color indexed="10"/>
      <name val="바탕"/>
      <family val="1"/>
      <charset val="129"/>
    </font>
    <font>
      <b/>
      <sz val="10"/>
      <name val="바탕"/>
      <family val="1"/>
      <charset val="129"/>
    </font>
    <font>
      <b/>
      <sz val="9"/>
      <color rgb="FF0000FF"/>
      <name val="바탕"/>
      <family val="1"/>
      <charset val="129"/>
    </font>
    <font>
      <b/>
      <sz val="10"/>
      <color indexed="10"/>
      <name val="바탕"/>
      <family val="1"/>
      <charset val="129"/>
    </font>
    <font>
      <b/>
      <sz val="10"/>
      <color rgb="FFFF66FF"/>
      <name val="바탕"/>
      <family val="1"/>
      <charset val="129"/>
    </font>
    <font>
      <sz val="10"/>
      <color theme="1"/>
      <name val="맑은 고딕"/>
      <family val="2"/>
      <charset val="129"/>
      <scheme val="minor"/>
    </font>
    <font>
      <sz val="12"/>
      <color rgb="FF000000"/>
      <name val="바탕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10"/>
      </top>
      <bottom style="double">
        <color indexed="64"/>
      </bottom>
      <diagonal/>
    </border>
    <border>
      <left style="hair">
        <color indexed="64"/>
      </left>
      <right/>
      <top style="double">
        <color indexed="10"/>
      </top>
      <bottom style="double">
        <color indexed="64"/>
      </bottom>
      <diagonal/>
    </border>
    <border>
      <left/>
      <right style="hair">
        <color indexed="64"/>
      </right>
      <top style="double">
        <color indexed="10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10"/>
      </top>
      <bottom style="double">
        <color indexed="64"/>
      </bottom>
      <diagonal/>
    </border>
  </borders>
  <cellStyleXfs count="8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0" fontId="13" fillId="0" borderId="0">
      <alignment vertical="center"/>
    </xf>
    <xf numFmtId="0" fontId="1" fillId="0" borderId="0">
      <alignment vertical="center"/>
    </xf>
  </cellStyleXfs>
  <cellXfs count="63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8" fillId="3" borderId="1" xfId="3" applyFont="1" applyFill="1" applyBorder="1" applyAlignment="1">
      <alignment horizontal="center" vertical="center"/>
    </xf>
    <xf numFmtId="41" fontId="3" fillId="3" borderId="1" xfId="4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1" xfId="4" applyFont="1" applyBorder="1" applyAlignment="1">
      <alignment horizontal="center" vertical="center"/>
    </xf>
    <xf numFmtId="41" fontId="0" fillId="0" borderId="1" xfId="4" applyFont="1" applyFill="1" applyBorder="1" applyAlignment="1">
      <alignment horizontal="center" vertical="center"/>
    </xf>
    <xf numFmtId="176" fontId="9" fillId="2" borderId="2" xfId="1" applyNumberFormat="1" applyFont="1" applyBorder="1" applyAlignment="1">
      <alignment horizontal="center" vertical="center"/>
    </xf>
    <xf numFmtId="176" fontId="9" fillId="2" borderId="5" xfId="1" applyNumberFormat="1" applyFont="1" applyBorder="1" applyAlignment="1">
      <alignment horizontal="center" vertical="center"/>
    </xf>
    <xf numFmtId="177" fontId="9" fillId="2" borderId="6" xfId="1" applyNumberFormat="1" applyFont="1" applyBorder="1" applyAlignment="1">
      <alignment horizontal="center" vertical="center"/>
    </xf>
    <xf numFmtId="176" fontId="9" fillId="2" borderId="7" xfId="1" applyNumberFormat="1" applyFont="1" applyBorder="1" applyAlignment="1">
      <alignment horizontal="center" vertical="center"/>
    </xf>
    <xf numFmtId="176" fontId="9" fillId="2" borderId="8" xfId="1" applyNumberFormat="1" applyFont="1" applyBorder="1" applyAlignment="1">
      <alignment vertical="center" wrapText="1"/>
    </xf>
    <xf numFmtId="0" fontId="2" fillId="2" borderId="0" xfId="1">
      <alignment vertical="center"/>
    </xf>
    <xf numFmtId="176" fontId="11" fillId="0" borderId="9" xfId="5" applyFont="1" applyFill="1" applyBorder="1" applyAlignment="1">
      <alignment horizontal="center" vertical="center"/>
    </xf>
    <xf numFmtId="176" fontId="11" fillId="0" borderId="10" xfId="5" applyFont="1" applyFill="1" applyBorder="1" applyAlignment="1">
      <alignment horizontal="center" vertical="center"/>
    </xf>
    <xf numFmtId="177" fontId="11" fillId="0" borderId="11" xfId="5" applyNumberFormat="1" applyFont="1" applyFill="1" applyBorder="1" applyAlignment="1">
      <alignment horizontal="center" vertical="center"/>
    </xf>
    <xf numFmtId="176" fontId="11" fillId="0" borderId="7" xfId="5" applyFont="1" applyFill="1" applyBorder="1" applyAlignment="1">
      <alignment horizontal="center" vertical="center"/>
    </xf>
    <xf numFmtId="177" fontId="11" fillId="0" borderId="10" xfId="5" applyNumberFormat="1" applyFont="1" applyFill="1" applyBorder="1" applyAlignment="1">
      <alignment horizontal="center" vertical="center"/>
    </xf>
    <xf numFmtId="176" fontId="11" fillId="0" borderId="12" xfId="5" applyFont="1" applyFill="1" applyBorder="1" applyAlignment="1">
      <alignment horizontal="center" vertical="center"/>
    </xf>
    <xf numFmtId="0" fontId="14" fillId="0" borderId="0" xfId="6" applyFont="1">
      <alignment vertical="center"/>
    </xf>
    <xf numFmtId="176" fontId="15" fillId="0" borderId="9" xfId="5" applyFont="1" applyFill="1" applyBorder="1" applyAlignment="1">
      <alignment horizontal="center" vertical="center"/>
    </xf>
    <xf numFmtId="177" fontId="11" fillId="0" borderId="12" xfId="5" applyNumberFormat="1" applyFont="1" applyFill="1" applyBorder="1" applyAlignment="1">
      <alignment vertical="center"/>
    </xf>
    <xf numFmtId="176" fontId="16" fillId="0" borderId="13" xfId="5" applyFont="1" applyFill="1" applyBorder="1" applyAlignment="1">
      <alignment horizontal="center" vertical="center"/>
    </xf>
    <xf numFmtId="176" fontId="11" fillId="0" borderId="13" xfId="5" applyFont="1" applyFill="1" applyBorder="1" applyAlignment="1">
      <alignment vertical="center"/>
    </xf>
    <xf numFmtId="176" fontId="17" fillId="0" borderId="13" xfId="5" applyFont="1" applyFill="1" applyBorder="1" applyAlignment="1">
      <alignment vertical="center"/>
    </xf>
    <xf numFmtId="177" fontId="17" fillId="0" borderId="14" xfId="5" applyNumberFormat="1" applyFont="1" applyFill="1" applyBorder="1" applyAlignment="1">
      <alignment horizontal="center" vertical="center"/>
    </xf>
    <xf numFmtId="176" fontId="16" fillId="0" borderId="7" xfId="5" applyFont="1" applyFill="1" applyBorder="1" applyAlignment="1">
      <alignment horizontal="center" vertical="center"/>
    </xf>
    <xf numFmtId="176" fontId="16" fillId="0" borderId="15" xfId="5" applyFont="1" applyFill="1" applyBorder="1" applyAlignment="1">
      <alignment horizontal="center" vertical="center"/>
    </xf>
    <xf numFmtId="176" fontId="11" fillId="0" borderId="2" xfId="5" applyFont="1" applyFill="1" applyBorder="1" applyAlignment="1">
      <alignment horizontal="center" vertical="center"/>
    </xf>
    <xf numFmtId="177" fontId="19" fillId="0" borderId="6" xfId="5" applyNumberFormat="1" applyFont="1" applyFill="1" applyBorder="1" applyAlignment="1">
      <alignment horizontal="center" vertical="center"/>
    </xf>
    <xf numFmtId="176" fontId="20" fillId="4" borderId="5" xfId="5" applyFont="1" applyFill="1" applyBorder="1" applyAlignment="1">
      <alignment horizontal="center" vertical="center"/>
    </xf>
    <xf numFmtId="176" fontId="22" fillId="0" borderId="5" xfId="5" applyFont="1" applyFill="1" applyBorder="1" applyAlignment="1">
      <alignment horizontal="center" vertical="center"/>
    </xf>
    <xf numFmtId="176" fontId="11" fillId="0" borderId="8" xfId="5" applyFont="1" applyFill="1" applyBorder="1" applyAlignment="1">
      <alignment vertical="center" wrapText="1"/>
    </xf>
    <xf numFmtId="176" fontId="9" fillId="2" borderId="13" xfId="1" applyNumberFormat="1" applyFont="1" applyBorder="1" applyAlignment="1">
      <alignment horizontal="center" vertical="center"/>
    </xf>
    <xf numFmtId="176" fontId="9" fillId="2" borderId="13" xfId="1" applyNumberFormat="1" applyFont="1" applyBorder="1" applyAlignment="1">
      <alignment vertical="center"/>
    </xf>
    <xf numFmtId="177" fontId="9" fillId="2" borderId="14" xfId="1" applyNumberFormat="1" applyFont="1" applyBorder="1" applyAlignment="1">
      <alignment horizontal="center" vertical="center"/>
    </xf>
    <xf numFmtId="176" fontId="9" fillId="2" borderId="15" xfId="1" applyNumberFormat="1" applyFont="1" applyBorder="1" applyAlignment="1">
      <alignment horizontal="center" vertical="center"/>
    </xf>
    <xf numFmtId="177" fontId="9" fillId="2" borderId="16" xfId="1" applyNumberFormat="1" applyFont="1" applyBorder="1" applyAlignment="1">
      <alignment vertical="center"/>
    </xf>
    <xf numFmtId="0" fontId="13" fillId="0" borderId="0" xfId="6">
      <alignment vertical="center"/>
    </xf>
    <xf numFmtId="176" fontId="24" fillId="0" borderId="9" xfId="5" applyFont="1" applyFill="1" applyBorder="1" applyAlignment="1">
      <alignment horizontal="center" vertical="top"/>
    </xf>
    <xf numFmtId="0" fontId="23" fillId="6" borderId="1" xfId="0" applyFont="1" applyFill="1" applyBorder="1">
      <alignment vertical="center"/>
    </xf>
    <xf numFmtId="0" fontId="23" fillId="0" borderId="1" xfId="0" applyFont="1" applyBorder="1">
      <alignment vertical="center"/>
    </xf>
    <xf numFmtId="178" fontId="23" fillId="6" borderId="1" xfId="0" applyNumberFormat="1" applyFont="1" applyFill="1" applyBorder="1">
      <alignment vertical="center"/>
    </xf>
    <xf numFmtId="178" fontId="23" fillId="0" borderId="1" xfId="0" applyNumberFormat="1" applyFont="1" applyBorder="1">
      <alignment vertical="center"/>
    </xf>
    <xf numFmtId="0" fontId="23" fillId="6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78" fontId="23" fillId="6" borderId="1" xfId="0" applyNumberFormat="1" applyFont="1" applyFill="1" applyBorder="1" applyAlignment="1">
      <alignment horizontal="center" vertical="center"/>
    </xf>
    <xf numFmtId="14" fontId="23" fillId="0" borderId="1" xfId="0" applyNumberFormat="1" applyFont="1" applyBorder="1" applyAlignment="1">
      <alignment horizontal="center" vertical="center"/>
    </xf>
    <xf numFmtId="176" fontId="24" fillId="0" borderId="10" xfId="5" applyFont="1" applyFill="1" applyBorder="1" applyAlignment="1">
      <alignment horizontal="center" vertical="top"/>
    </xf>
    <xf numFmtId="176" fontId="24" fillId="0" borderId="0" xfId="5" applyFont="1" applyFill="1" applyBorder="1" applyAlignment="1">
      <alignment horizontal="center" vertical="top"/>
    </xf>
    <xf numFmtId="0" fontId="1" fillId="0" borderId="0" xfId="7">
      <alignment vertical="center"/>
    </xf>
    <xf numFmtId="0" fontId="0" fillId="0" borderId="0" xfId="7" applyFont="1">
      <alignment vertical="center"/>
    </xf>
    <xf numFmtId="176" fontId="18" fillId="0" borderId="3" xfId="5" applyFont="1" applyFill="1" applyBorder="1" applyAlignment="1">
      <alignment horizontal="center" vertical="center"/>
    </xf>
    <xf numFmtId="176" fontId="18" fillId="0" borderId="4" xfId="5" applyFont="1" applyFill="1" applyBorder="1" applyAlignment="1">
      <alignment horizontal="center" vertical="center"/>
    </xf>
    <xf numFmtId="176" fontId="18" fillId="0" borderId="5" xfId="5" applyFont="1" applyFill="1" applyBorder="1" applyAlignment="1">
      <alignment horizontal="center" vertical="center"/>
    </xf>
    <xf numFmtId="176" fontId="21" fillId="0" borderId="3" xfId="5" applyFont="1" applyFill="1" applyBorder="1" applyAlignment="1">
      <alignment horizontal="center" vertical="center"/>
    </xf>
    <xf numFmtId="176" fontId="21" fillId="0" borderId="4" xfId="5" applyFont="1" applyFill="1" applyBorder="1" applyAlignment="1">
      <alignment horizontal="center" vertical="center"/>
    </xf>
    <xf numFmtId="176" fontId="16" fillId="5" borderId="0" xfId="5" applyFont="1" applyFill="1" applyBorder="1" applyAlignment="1">
      <alignment horizontal="center" vertical="center"/>
    </xf>
    <xf numFmtId="176" fontId="9" fillId="2" borderId="3" xfId="1" applyNumberFormat="1" applyFont="1" applyBorder="1" applyAlignment="1">
      <alignment horizontal="center" vertical="center"/>
    </xf>
    <xf numFmtId="176" fontId="9" fillId="2" borderId="4" xfId="1" applyNumberFormat="1" applyFont="1" applyBorder="1" applyAlignment="1">
      <alignment horizontal="center" vertical="center"/>
    </xf>
    <xf numFmtId="176" fontId="9" fillId="2" borderId="5" xfId="1" applyNumberFormat="1" applyFont="1" applyBorder="1" applyAlignment="1">
      <alignment horizontal="center" vertical="center"/>
    </xf>
  </cellXfs>
  <cellStyles count="8">
    <cellStyle name="강조색6" xfId="1" builtinId="49"/>
    <cellStyle name="쉼표 [0] 2" xfId="4" xr:uid="{DF1DB3FE-D8A6-4C23-8592-00CC0D968FBD}"/>
    <cellStyle name="쉼표 [0] 2 2" xfId="5" xr:uid="{E178B3B6-53AA-4167-86A9-E242027B6365}"/>
    <cellStyle name="표준" xfId="0" builtinId="0"/>
    <cellStyle name="표준 2" xfId="2" xr:uid="{61A0107D-DE32-419C-B3EF-F3FAA9CEC2E5}"/>
    <cellStyle name="표준 2 4" xfId="7" xr:uid="{8888E052-3571-4B69-8530-A075EF838B6F}"/>
    <cellStyle name="표준 3" xfId="6" xr:uid="{FB11D9B6-16FF-48AE-886A-558E9F39ADB2}"/>
    <cellStyle name="표준_유림건설(노인정)" xfId="3" xr:uid="{5E626299-A7C0-4DE2-B83E-6F49F54F5D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76200</xdr:colOff>
      <xdr:row>32</xdr:row>
      <xdr:rowOff>135337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EF593BE-BA6F-BCA9-AE1E-09427CD14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91600" cy="68409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B2FE9-04F4-450E-8E8D-03ED3805C4E3}">
  <dimension ref="A1:Q35"/>
  <sheetViews>
    <sheetView tabSelected="1" zoomScale="90" zoomScaleNormal="90" workbookViewId="0">
      <selection activeCell="V15" sqref="V15"/>
    </sheetView>
  </sheetViews>
  <sheetFormatPr defaultRowHeight="16.5" x14ac:dyDescent="0.3"/>
  <cols>
    <col min="1" max="1" width="34.375" bestFit="1" customWidth="1"/>
    <col min="2" max="3" width="8" bestFit="1" customWidth="1"/>
    <col min="4" max="4" width="4.75" bestFit="1" customWidth="1"/>
    <col min="5" max="5" width="6.375" bestFit="1" customWidth="1"/>
    <col min="6" max="6" width="13" bestFit="1" customWidth="1"/>
    <col min="7" max="7" width="9.75" bestFit="1" customWidth="1"/>
    <col min="8" max="10" width="4.75" bestFit="1" customWidth="1"/>
    <col min="11" max="12" width="6" bestFit="1" customWidth="1"/>
    <col min="13" max="13" width="9.25" bestFit="1" customWidth="1"/>
    <col min="15" max="16" width="5.6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5" t="s">
        <v>17</v>
      </c>
      <c r="B2" s="5">
        <v>543</v>
      </c>
      <c r="C2" s="5">
        <v>1745</v>
      </c>
      <c r="D2" s="5">
        <f>I2*J2</f>
        <v>6</v>
      </c>
      <c r="E2" s="6" t="s">
        <v>18</v>
      </c>
      <c r="F2" s="6" t="s">
        <v>19</v>
      </c>
      <c r="G2" s="5" t="s">
        <v>20</v>
      </c>
      <c r="H2" s="5" t="s">
        <v>21</v>
      </c>
      <c r="I2" s="5">
        <v>6</v>
      </c>
      <c r="J2" s="5">
        <v>1</v>
      </c>
      <c r="K2" s="7">
        <f>B2*C2*D2/91809</f>
        <v>61.924321144985782</v>
      </c>
      <c r="L2" s="7">
        <v>54.911999999999999</v>
      </c>
      <c r="M2" s="7" t="s">
        <v>22</v>
      </c>
      <c r="N2" s="5" t="s">
        <v>23</v>
      </c>
      <c r="O2" s="5" t="s">
        <v>24</v>
      </c>
      <c r="P2" s="5"/>
      <c r="Q2" s="5" t="s">
        <v>25</v>
      </c>
    </row>
    <row r="3" spans="1:17" x14ac:dyDescent="0.3">
      <c r="A3" s="5" t="s">
        <v>17</v>
      </c>
      <c r="B3" s="5">
        <v>543</v>
      </c>
      <c r="C3" s="5">
        <v>1745</v>
      </c>
      <c r="D3" s="5">
        <f t="shared" ref="D3:D35" si="0">I3*J3</f>
        <v>6</v>
      </c>
      <c r="E3" s="6" t="s">
        <v>18</v>
      </c>
      <c r="F3" s="6" t="s">
        <v>26</v>
      </c>
      <c r="G3" s="5" t="s">
        <v>20</v>
      </c>
      <c r="H3" s="5" t="s">
        <v>27</v>
      </c>
      <c r="I3" s="5">
        <v>6</v>
      </c>
      <c r="J3" s="5">
        <v>1</v>
      </c>
      <c r="K3" s="7">
        <f t="shared" ref="K3:K35" si="1">B3*C3*D3/91809</f>
        <v>61.924321144985782</v>
      </c>
      <c r="L3" s="7">
        <v>54.911999999999999</v>
      </c>
      <c r="M3" s="7" t="s">
        <v>22</v>
      </c>
      <c r="N3" s="5" t="s">
        <v>23</v>
      </c>
      <c r="O3" s="5" t="s">
        <v>24</v>
      </c>
      <c r="P3" s="5"/>
      <c r="Q3" s="5" t="s">
        <v>25</v>
      </c>
    </row>
    <row r="4" spans="1:17" x14ac:dyDescent="0.3">
      <c r="A4" s="5" t="s">
        <v>17</v>
      </c>
      <c r="B4" s="5">
        <v>591</v>
      </c>
      <c r="C4" s="5">
        <v>1748</v>
      </c>
      <c r="D4" s="5">
        <f t="shared" si="0"/>
        <v>6</v>
      </c>
      <c r="E4" s="6" t="s">
        <v>18</v>
      </c>
      <c r="F4" s="6" t="s">
        <v>19</v>
      </c>
      <c r="G4" s="5" t="s">
        <v>28</v>
      </c>
      <c r="H4" s="5" t="s">
        <v>21</v>
      </c>
      <c r="I4" s="5">
        <v>6</v>
      </c>
      <c r="J4" s="5">
        <v>1</v>
      </c>
      <c r="K4" s="7">
        <f t="shared" si="1"/>
        <v>67.514165277913932</v>
      </c>
      <c r="L4" s="8">
        <v>56.136000000000003</v>
      </c>
      <c r="M4" s="7" t="s">
        <v>22</v>
      </c>
      <c r="N4" s="5" t="s">
        <v>23</v>
      </c>
      <c r="O4" s="5" t="s">
        <v>24</v>
      </c>
      <c r="P4" s="5"/>
      <c r="Q4" s="5" t="s">
        <v>29</v>
      </c>
    </row>
    <row r="5" spans="1:17" x14ac:dyDescent="0.3">
      <c r="A5" s="5" t="s">
        <v>17</v>
      </c>
      <c r="B5" s="5">
        <v>591</v>
      </c>
      <c r="C5" s="5">
        <v>1748</v>
      </c>
      <c r="D5" s="5">
        <f t="shared" si="0"/>
        <v>6</v>
      </c>
      <c r="E5" s="6" t="s">
        <v>18</v>
      </c>
      <c r="F5" s="6" t="s">
        <v>19</v>
      </c>
      <c r="G5" s="5" t="s">
        <v>30</v>
      </c>
      <c r="H5" s="5" t="s">
        <v>21</v>
      </c>
      <c r="I5" s="5">
        <v>6</v>
      </c>
      <c r="J5" s="5">
        <v>1</v>
      </c>
      <c r="K5" s="7">
        <f t="shared" si="1"/>
        <v>67.514165277913932</v>
      </c>
      <c r="L5" s="7">
        <v>56.136000000000003</v>
      </c>
      <c r="M5" s="7" t="s">
        <v>22</v>
      </c>
      <c r="N5" s="5" t="s">
        <v>23</v>
      </c>
      <c r="O5" s="5" t="s">
        <v>24</v>
      </c>
      <c r="P5" s="5"/>
      <c r="Q5" s="5" t="s">
        <v>29</v>
      </c>
    </row>
    <row r="6" spans="1:17" x14ac:dyDescent="0.3">
      <c r="A6" s="5" t="s">
        <v>17</v>
      </c>
      <c r="B6" s="5">
        <v>591</v>
      </c>
      <c r="C6" s="5">
        <v>1748</v>
      </c>
      <c r="D6" s="5">
        <f t="shared" si="0"/>
        <v>6</v>
      </c>
      <c r="E6" s="6" t="s">
        <v>18</v>
      </c>
      <c r="F6" s="6" t="s">
        <v>26</v>
      </c>
      <c r="G6" s="5" t="s">
        <v>28</v>
      </c>
      <c r="H6" s="5" t="s">
        <v>27</v>
      </c>
      <c r="I6" s="5">
        <v>6</v>
      </c>
      <c r="J6" s="5">
        <v>1</v>
      </c>
      <c r="K6" s="7">
        <f t="shared" si="1"/>
        <v>67.514165277913932</v>
      </c>
      <c r="L6" s="7">
        <v>56.136000000000003</v>
      </c>
      <c r="M6" s="7" t="s">
        <v>22</v>
      </c>
      <c r="N6" s="5" t="s">
        <v>23</v>
      </c>
      <c r="O6" s="5" t="s">
        <v>24</v>
      </c>
      <c r="P6" s="5"/>
      <c r="Q6" s="5" t="s">
        <v>29</v>
      </c>
    </row>
    <row r="7" spans="1:17" x14ac:dyDescent="0.3">
      <c r="A7" s="5" t="s">
        <v>17</v>
      </c>
      <c r="B7" s="5">
        <v>591</v>
      </c>
      <c r="C7" s="5">
        <v>1748</v>
      </c>
      <c r="D7" s="5">
        <f t="shared" si="0"/>
        <v>6</v>
      </c>
      <c r="E7" s="6" t="s">
        <v>18</v>
      </c>
      <c r="F7" s="6" t="s">
        <v>26</v>
      </c>
      <c r="G7" s="5" t="s">
        <v>30</v>
      </c>
      <c r="H7" s="5" t="s">
        <v>27</v>
      </c>
      <c r="I7" s="5">
        <v>6</v>
      </c>
      <c r="J7" s="5">
        <v>1</v>
      </c>
      <c r="K7" s="7">
        <f t="shared" si="1"/>
        <v>67.514165277913932</v>
      </c>
      <c r="L7" s="7">
        <v>56.136000000000003</v>
      </c>
      <c r="M7" s="7" t="s">
        <v>22</v>
      </c>
      <c r="N7" s="5" t="s">
        <v>23</v>
      </c>
      <c r="O7" s="5" t="s">
        <v>24</v>
      </c>
      <c r="P7" s="5"/>
      <c r="Q7" s="5" t="s">
        <v>29</v>
      </c>
    </row>
    <row r="8" spans="1:17" x14ac:dyDescent="0.3">
      <c r="A8" s="5" t="s">
        <v>17</v>
      </c>
      <c r="B8" s="5">
        <v>591</v>
      </c>
      <c r="C8" s="5">
        <v>1748</v>
      </c>
      <c r="D8" s="5">
        <f t="shared" si="0"/>
        <v>5</v>
      </c>
      <c r="E8" s="6" t="s">
        <v>18</v>
      </c>
      <c r="F8" s="6" t="s">
        <v>31</v>
      </c>
      <c r="G8" s="5" t="s">
        <v>28</v>
      </c>
      <c r="H8" s="5" t="s">
        <v>21</v>
      </c>
      <c r="I8" s="5">
        <v>5</v>
      </c>
      <c r="J8" s="5">
        <v>1</v>
      </c>
      <c r="K8" s="7">
        <f t="shared" si="1"/>
        <v>56.26180439826161</v>
      </c>
      <c r="L8" s="7">
        <v>46.78</v>
      </c>
      <c r="M8" s="7" t="s">
        <v>22</v>
      </c>
      <c r="N8" s="5" t="s">
        <v>23</v>
      </c>
      <c r="O8" s="5" t="s">
        <v>24</v>
      </c>
      <c r="P8" s="5"/>
      <c r="Q8" s="5" t="s">
        <v>29</v>
      </c>
    </row>
    <row r="9" spans="1:17" x14ac:dyDescent="0.3">
      <c r="A9" s="5" t="s">
        <v>17</v>
      </c>
      <c r="B9" s="5">
        <v>591</v>
      </c>
      <c r="C9" s="5">
        <v>1748</v>
      </c>
      <c r="D9" s="5">
        <f t="shared" si="0"/>
        <v>5</v>
      </c>
      <c r="E9" s="6" t="s">
        <v>18</v>
      </c>
      <c r="F9" s="6" t="s">
        <v>31</v>
      </c>
      <c r="G9" s="5" t="s">
        <v>30</v>
      </c>
      <c r="H9" s="5" t="s">
        <v>21</v>
      </c>
      <c r="I9" s="5">
        <v>5</v>
      </c>
      <c r="J9" s="5">
        <v>1</v>
      </c>
      <c r="K9" s="7">
        <f t="shared" si="1"/>
        <v>56.26180439826161</v>
      </c>
      <c r="L9" s="7">
        <v>46.78</v>
      </c>
      <c r="M9" s="7" t="s">
        <v>22</v>
      </c>
      <c r="N9" s="5" t="s">
        <v>23</v>
      </c>
      <c r="O9" s="5" t="s">
        <v>24</v>
      </c>
      <c r="P9" s="5"/>
      <c r="Q9" s="5" t="s">
        <v>29</v>
      </c>
    </row>
    <row r="10" spans="1:17" x14ac:dyDescent="0.3">
      <c r="A10" s="5" t="s">
        <v>17</v>
      </c>
      <c r="B10" s="5">
        <v>1646</v>
      </c>
      <c r="C10" s="5">
        <v>1748</v>
      </c>
      <c r="D10" s="5">
        <f t="shared" si="0"/>
        <v>6</v>
      </c>
      <c r="E10" s="6" t="s">
        <v>18</v>
      </c>
      <c r="F10" s="6" t="s">
        <v>19</v>
      </c>
      <c r="G10" s="5" t="s">
        <v>32</v>
      </c>
      <c r="H10" s="5" t="s">
        <v>21</v>
      </c>
      <c r="I10" s="5">
        <v>6</v>
      </c>
      <c r="J10" s="5">
        <v>1</v>
      </c>
      <c r="K10" s="7">
        <f t="shared" si="1"/>
        <v>188.03437571479921</v>
      </c>
      <c r="L10" s="7">
        <v>81.456000000000003</v>
      </c>
      <c r="M10" s="7" t="s">
        <v>22</v>
      </c>
      <c r="N10" s="5" t="s">
        <v>23</v>
      </c>
      <c r="O10" s="5" t="s">
        <v>33</v>
      </c>
      <c r="P10" s="5"/>
      <c r="Q10" s="5" t="s">
        <v>29</v>
      </c>
    </row>
    <row r="11" spans="1:17" x14ac:dyDescent="0.3">
      <c r="A11" s="5" t="s">
        <v>17</v>
      </c>
      <c r="B11" s="5">
        <v>1646</v>
      </c>
      <c r="C11" s="5">
        <v>1748</v>
      </c>
      <c r="D11" s="5">
        <f t="shared" si="0"/>
        <v>6</v>
      </c>
      <c r="E11" s="6" t="s">
        <v>18</v>
      </c>
      <c r="F11" s="6" t="s">
        <v>26</v>
      </c>
      <c r="G11" s="5" t="s">
        <v>32</v>
      </c>
      <c r="H11" s="5" t="s">
        <v>27</v>
      </c>
      <c r="I11" s="5">
        <v>6</v>
      </c>
      <c r="J11" s="5">
        <v>1</v>
      </c>
      <c r="K11" s="7">
        <f t="shared" si="1"/>
        <v>188.03437571479921</v>
      </c>
      <c r="L11" s="7">
        <v>81.456000000000003</v>
      </c>
      <c r="M11" s="7" t="s">
        <v>22</v>
      </c>
      <c r="N11" s="5" t="s">
        <v>23</v>
      </c>
      <c r="O11" s="5" t="s">
        <v>33</v>
      </c>
      <c r="P11" s="5"/>
      <c r="Q11" s="5" t="s">
        <v>29</v>
      </c>
    </row>
    <row r="12" spans="1:17" x14ac:dyDescent="0.3">
      <c r="A12" s="5" t="s">
        <v>17</v>
      </c>
      <c r="B12" s="5">
        <v>1646</v>
      </c>
      <c r="C12" s="5">
        <v>1748</v>
      </c>
      <c r="D12" s="5">
        <f t="shared" si="0"/>
        <v>5</v>
      </c>
      <c r="E12" s="6" t="s">
        <v>18</v>
      </c>
      <c r="F12" s="6" t="s">
        <v>31</v>
      </c>
      <c r="G12" s="5" t="s">
        <v>32</v>
      </c>
      <c r="H12" s="5" t="s">
        <v>21</v>
      </c>
      <c r="I12" s="5">
        <v>5</v>
      </c>
      <c r="J12" s="5">
        <v>1</v>
      </c>
      <c r="K12" s="7">
        <f t="shared" si="1"/>
        <v>156.69531309566599</v>
      </c>
      <c r="L12" s="7">
        <v>67.88</v>
      </c>
      <c r="M12" s="7" t="s">
        <v>22</v>
      </c>
      <c r="N12" s="5" t="s">
        <v>23</v>
      </c>
      <c r="O12" s="5" t="s">
        <v>33</v>
      </c>
      <c r="P12" s="5"/>
      <c r="Q12" s="5" t="s">
        <v>29</v>
      </c>
    </row>
    <row r="13" spans="1:17" x14ac:dyDescent="0.3">
      <c r="A13" s="5" t="s">
        <v>34</v>
      </c>
      <c r="B13" s="5">
        <v>285</v>
      </c>
      <c r="C13" s="5">
        <v>794</v>
      </c>
      <c r="D13" s="5">
        <f t="shared" si="0"/>
        <v>12</v>
      </c>
      <c r="E13" s="6" t="s">
        <v>18</v>
      </c>
      <c r="F13" s="6" t="s">
        <v>19</v>
      </c>
      <c r="G13" s="5" t="s">
        <v>35</v>
      </c>
      <c r="H13" s="5" t="s">
        <v>21</v>
      </c>
      <c r="I13" s="5">
        <v>6</v>
      </c>
      <c r="J13" s="5">
        <v>2</v>
      </c>
      <c r="K13" s="7">
        <f t="shared" si="1"/>
        <v>29.577492402705616</v>
      </c>
      <c r="L13" s="7">
        <v>51.792000000000002</v>
      </c>
      <c r="M13" s="7" t="s">
        <v>22</v>
      </c>
      <c r="N13" s="5" t="s">
        <v>23</v>
      </c>
      <c r="O13" s="5" t="s">
        <v>24</v>
      </c>
      <c r="P13" s="5"/>
      <c r="Q13" s="5" t="s">
        <v>36</v>
      </c>
    </row>
    <row r="14" spans="1:17" x14ac:dyDescent="0.3">
      <c r="A14" s="5" t="s">
        <v>34</v>
      </c>
      <c r="B14" s="5">
        <v>285</v>
      </c>
      <c r="C14" s="5">
        <v>794</v>
      </c>
      <c r="D14" s="5">
        <f t="shared" si="0"/>
        <v>12</v>
      </c>
      <c r="E14" s="6" t="s">
        <v>18</v>
      </c>
      <c r="F14" s="6" t="s">
        <v>26</v>
      </c>
      <c r="G14" s="5" t="s">
        <v>35</v>
      </c>
      <c r="H14" s="5" t="s">
        <v>27</v>
      </c>
      <c r="I14" s="5">
        <v>6</v>
      </c>
      <c r="J14" s="5">
        <v>2</v>
      </c>
      <c r="K14" s="7">
        <f t="shared" si="1"/>
        <v>29.577492402705616</v>
      </c>
      <c r="L14" s="7">
        <v>51.792000000000002</v>
      </c>
      <c r="M14" s="7" t="s">
        <v>22</v>
      </c>
      <c r="N14" s="5" t="s">
        <v>23</v>
      </c>
      <c r="O14" s="5" t="s">
        <v>24</v>
      </c>
      <c r="P14" s="5"/>
      <c r="Q14" s="5" t="s">
        <v>36</v>
      </c>
    </row>
    <row r="15" spans="1:17" x14ac:dyDescent="0.3">
      <c r="A15" s="5" t="s">
        <v>34</v>
      </c>
      <c r="B15" s="5">
        <v>285</v>
      </c>
      <c r="C15" s="5">
        <v>794</v>
      </c>
      <c r="D15" s="5">
        <f t="shared" si="0"/>
        <v>10</v>
      </c>
      <c r="E15" s="6" t="s">
        <v>18</v>
      </c>
      <c r="F15" s="6" t="s">
        <v>31</v>
      </c>
      <c r="G15" s="5" t="s">
        <v>35</v>
      </c>
      <c r="H15" s="5" t="s">
        <v>21</v>
      </c>
      <c r="I15" s="5">
        <v>5</v>
      </c>
      <c r="J15" s="5">
        <v>2</v>
      </c>
      <c r="K15" s="7">
        <f t="shared" si="1"/>
        <v>24.647910335588016</v>
      </c>
      <c r="L15" s="7">
        <v>43.16</v>
      </c>
      <c r="M15" s="7" t="s">
        <v>22</v>
      </c>
      <c r="N15" s="5" t="s">
        <v>23</v>
      </c>
      <c r="O15" s="5" t="s">
        <v>24</v>
      </c>
      <c r="P15" s="5"/>
      <c r="Q15" s="5" t="s">
        <v>36</v>
      </c>
    </row>
    <row r="16" spans="1:17" x14ac:dyDescent="0.3">
      <c r="A16" s="5" t="s">
        <v>34</v>
      </c>
      <c r="B16" s="5">
        <v>435</v>
      </c>
      <c r="C16" s="5">
        <v>794</v>
      </c>
      <c r="D16" s="5">
        <f t="shared" si="0"/>
        <v>12</v>
      </c>
      <c r="E16" s="6" t="s">
        <v>18</v>
      </c>
      <c r="F16" s="6" t="s">
        <v>19</v>
      </c>
      <c r="G16" s="5" t="s">
        <v>37</v>
      </c>
      <c r="H16" s="5" t="s">
        <v>21</v>
      </c>
      <c r="I16" s="5">
        <v>6</v>
      </c>
      <c r="J16" s="5">
        <v>2</v>
      </c>
      <c r="K16" s="7">
        <f t="shared" si="1"/>
        <v>45.144593667287523</v>
      </c>
      <c r="L16" s="7">
        <v>58.991999999999997</v>
      </c>
      <c r="M16" s="7" t="s">
        <v>22</v>
      </c>
      <c r="N16" s="5" t="s">
        <v>23</v>
      </c>
      <c r="O16" s="5" t="s">
        <v>24</v>
      </c>
      <c r="P16" s="5"/>
      <c r="Q16" s="5" t="s">
        <v>36</v>
      </c>
    </row>
    <row r="17" spans="1:17" x14ac:dyDescent="0.3">
      <c r="A17" s="5" t="s">
        <v>34</v>
      </c>
      <c r="B17" s="5">
        <v>435</v>
      </c>
      <c r="C17" s="5">
        <v>794</v>
      </c>
      <c r="D17" s="5">
        <f t="shared" si="0"/>
        <v>12</v>
      </c>
      <c r="E17" s="6" t="s">
        <v>18</v>
      </c>
      <c r="F17" s="6" t="s">
        <v>26</v>
      </c>
      <c r="G17" s="5" t="s">
        <v>37</v>
      </c>
      <c r="H17" s="5" t="s">
        <v>27</v>
      </c>
      <c r="I17" s="5">
        <v>6</v>
      </c>
      <c r="J17" s="5">
        <v>2</v>
      </c>
      <c r="K17" s="7">
        <f t="shared" si="1"/>
        <v>45.144593667287523</v>
      </c>
      <c r="L17" s="7">
        <v>58.991999999999997</v>
      </c>
      <c r="M17" s="7" t="s">
        <v>22</v>
      </c>
      <c r="N17" s="5" t="s">
        <v>23</v>
      </c>
      <c r="O17" s="5" t="s">
        <v>24</v>
      </c>
      <c r="P17" s="5"/>
      <c r="Q17" s="5" t="s">
        <v>36</v>
      </c>
    </row>
    <row r="18" spans="1:17" x14ac:dyDescent="0.3">
      <c r="A18" s="5" t="s">
        <v>34</v>
      </c>
      <c r="B18" s="5">
        <v>435</v>
      </c>
      <c r="C18" s="5">
        <v>794</v>
      </c>
      <c r="D18" s="5">
        <f t="shared" si="0"/>
        <v>10</v>
      </c>
      <c r="E18" s="6" t="s">
        <v>18</v>
      </c>
      <c r="F18" s="6" t="s">
        <v>31</v>
      </c>
      <c r="G18" s="5" t="s">
        <v>37</v>
      </c>
      <c r="H18" s="5" t="s">
        <v>21</v>
      </c>
      <c r="I18" s="5">
        <v>5</v>
      </c>
      <c r="J18" s="5">
        <v>2</v>
      </c>
      <c r="K18" s="7">
        <f t="shared" si="1"/>
        <v>37.6204947227396</v>
      </c>
      <c r="L18" s="7">
        <v>49.16</v>
      </c>
      <c r="M18" s="7" t="s">
        <v>22</v>
      </c>
      <c r="N18" s="5" t="s">
        <v>23</v>
      </c>
      <c r="O18" s="5" t="s">
        <v>24</v>
      </c>
      <c r="P18" s="5"/>
      <c r="Q18" s="5" t="s">
        <v>36</v>
      </c>
    </row>
    <row r="19" spans="1:17" x14ac:dyDescent="0.3">
      <c r="A19" s="5" t="s">
        <v>38</v>
      </c>
      <c r="B19" s="5">
        <v>291</v>
      </c>
      <c r="C19" s="5">
        <v>798</v>
      </c>
      <c r="D19" s="5">
        <f t="shared" si="0"/>
        <v>12</v>
      </c>
      <c r="E19" s="6" t="s">
        <v>18</v>
      </c>
      <c r="F19" s="6" t="s">
        <v>19</v>
      </c>
      <c r="G19" s="5" t="s">
        <v>35</v>
      </c>
      <c r="H19" s="5" t="s">
        <v>21</v>
      </c>
      <c r="I19" s="5">
        <v>6</v>
      </c>
      <c r="J19" s="5">
        <v>2</v>
      </c>
      <c r="K19" s="7">
        <f t="shared" si="1"/>
        <v>30.352318400156847</v>
      </c>
      <c r="L19" s="7">
        <v>52.271999999999998</v>
      </c>
      <c r="M19" s="7" t="s">
        <v>22</v>
      </c>
      <c r="N19" s="5" t="s">
        <v>23</v>
      </c>
      <c r="O19" s="5" t="s">
        <v>24</v>
      </c>
      <c r="P19" s="5"/>
      <c r="Q19" s="5" t="s">
        <v>39</v>
      </c>
    </row>
    <row r="20" spans="1:17" x14ac:dyDescent="0.3">
      <c r="A20" s="5" t="s">
        <v>38</v>
      </c>
      <c r="B20" s="5">
        <v>291</v>
      </c>
      <c r="C20" s="5">
        <v>798</v>
      </c>
      <c r="D20" s="5">
        <f t="shared" si="0"/>
        <v>12</v>
      </c>
      <c r="E20" s="6" t="s">
        <v>18</v>
      </c>
      <c r="F20" s="6" t="s">
        <v>26</v>
      </c>
      <c r="G20" s="5" t="s">
        <v>35</v>
      </c>
      <c r="H20" s="5" t="s">
        <v>27</v>
      </c>
      <c r="I20" s="5">
        <v>6</v>
      </c>
      <c r="J20" s="5">
        <v>2</v>
      </c>
      <c r="K20" s="7">
        <f t="shared" si="1"/>
        <v>30.352318400156847</v>
      </c>
      <c r="L20" s="7">
        <v>52.271999999999998</v>
      </c>
      <c r="M20" s="7" t="s">
        <v>22</v>
      </c>
      <c r="N20" s="5" t="s">
        <v>23</v>
      </c>
      <c r="O20" s="5" t="s">
        <v>24</v>
      </c>
      <c r="P20" s="5"/>
      <c r="Q20" s="5" t="s">
        <v>39</v>
      </c>
    </row>
    <row r="21" spans="1:17" x14ac:dyDescent="0.3">
      <c r="A21" s="5" t="s">
        <v>38</v>
      </c>
      <c r="B21" s="5">
        <v>291</v>
      </c>
      <c r="C21" s="5">
        <v>798</v>
      </c>
      <c r="D21" s="5">
        <f t="shared" si="0"/>
        <v>10</v>
      </c>
      <c r="E21" s="6" t="s">
        <v>18</v>
      </c>
      <c r="F21" s="6" t="s">
        <v>31</v>
      </c>
      <c r="G21" s="5" t="s">
        <v>35</v>
      </c>
      <c r="H21" s="5" t="s">
        <v>21</v>
      </c>
      <c r="I21" s="5">
        <v>5</v>
      </c>
      <c r="J21" s="5">
        <v>2</v>
      </c>
      <c r="K21" s="7">
        <f t="shared" si="1"/>
        <v>25.293598666797372</v>
      </c>
      <c r="L21" s="7">
        <v>43.56</v>
      </c>
      <c r="M21" s="7" t="s">
        <v>22</v>
      </c>
      <c r="N21" s="5" t="s">
        <v>23</v>
      </c>
      <c r="O21" s="5" t="s">
        <v>24</v>
      </c>
      <c r="P21" s="5"/>
      <c r="Q21" s="5" t="s">
        <v>39</v>
      </c>
    </row>
    <row r="22" spans="1:17" x14ac:dyDescent="0.3">
      <c r="A22" s="5" t="s">
        <v>38</v>
      </c>
      <c r="B22" s="5">
        <v>441</v>
      </c>
      <c r="C22" s="5">
        <v>798</v>
      </c>
      <c r="D22" s="5">
        <f t="shared" si="0"/>
        <v>12</v>
      </c>
      <c r="E22" s="6" t="s">
        <v>18</v>
      </c>
      <c r="F22" s="6" t="s">
        <v>19</v>
      </c>
      <c r="G22" s="5" t="s">
        <v>37</v>
      </c>
      <c r="H22" s="5" t="s">
        <v>21</v>
      </c>
      <c r="I22" s="5">
        <v>6</v>
      </c>
      <c r="J22" s="5">
        <v>2</v>
      </c>
      <c r="K22" s="7">
        <f t="shared" si="1"/>
        <v>45.997843348691305</v>
      </c>
      <c r="L22" s="7">
        <v>59.472000000000001</v>
      </c>
      <c r="M22" s="7" t="s">
        <v>22</v>
      </c>
      <c r="N22" s="5" t="s">
        <v>23</v>
      </c>
      <c r="O22" s="5" t="s">
        <v>24</v>
      </c>
      <c r="P22" s="5"/>
      <c r="Q22" s="5" t="s">
        <v>39</v>
      </c>
    </row>
    <row r="23" spans="1:17" x14ac:dyDescent="0.3">
      <c r="A23" s="5" t="s">
        <v>38</v>
      </c>
      <c r="B23" s="5">
        <v>441</v>
      </c>
      <c r="C23" s="5">
        <v>798</v>
      </c>
      <c r="D23" s="5">
        <f t="shared" si="0"/>
        <v>12</v>
      </c>
      <c r="E23" s="6" t="s">
        <v>18</v>
      </c>
      <c r="F23" s="6" t="s">
        <v>26</v>
      </c>
      <c r="G23" s="5" t="s">
        <v>37</v>
      </c>
      <c r="H23" s="5" t="s">
        <v>27</v>
      </c>
      <c r="I23" s="5">
        <v>6</v>
      </c>
      <c r="J23" s="5">
        <v>2</v>
      </c>
      <c r="K23" s="7">
        <f t="shared" si="1"/>
        <v>45.997843348691305</v>
      </c>
      <c r="L23" s="7">
        <v>59.472000000000001</v>
      </c>
      <c r="M23" s="7" t="s">
        <v>22</v>
      </c>
      <c r="N23" s="5" t="s">
        <v>23</v>
      </c>
      <c r="O23" s="5" t="s">
        <v>24</v>
      </c>
      <c r="P23" s="5"/>
      <c r="Q23" s="5" t="s">
        <v>39</v>
      </c>
    </row>
    <row r="24" spans="1:17" x14ac:dyDescent="0.3">
      <c r="A24" s="5" t="s">
        <v>38</v>
      </c>
      <c r="B24" s="5">
        <v>441</v>
      </c>
      <c r="C24" s="5">
        <v>798</v>
      </c>
      <c r="D24" s="5">
        <f t="shared" si="0"/>
        <v>10</v>
      </c>
      <c r="E24" s="6" t="s">
        <v>18</v>
      </c>
      <c r="F24" s="6" t="s">
        <v>31</v>
      </c>
      <c r="G24" s="5" t="s">
        <v>37</v>
      </c>
      <c r="H24" s="5" t="s">
        <v>21</v>
      </c>
      <c r="I24" s="5">
        <v>5</v>
      </c>
      <c r="J24" s="5">
        <v>2</v>
      </c>
      <c r="K24" s="7">
        <f t="shared" si="1"/>
        <v>38.331536123909423</v>
      </c>
      <c r="L24" s="7">
        <v>49.56</v>
      </c>
      <c r="M24" s="7" t="s">
        <v>22</v>
      </c>
      <c r="N24" s="5" t="s">
        <v>23</v>
      </c>
      <c r="O24" s="5" t="s">
        <v>24</v>
      </c>
      <c r="P24" s="5"/>
      <c r="Q24" s="5" t="s">
        <v>39</v>
      </c>
    </row>
    <row r="25" spans="1:17" x14ac:dyDescent="0.3">
      <c r="A25" s="5" t="s">
        <v>38</v>
      </c>
      <c r="B25" s="5">
        <v>543</v>
      </c>
      <c r="C25" s="5">
        <v>1745</v>
      </c>
      <c r="D25" s="5">
        <f t="shared" si="0"/>
        <v>6</v>
      </c>
      <c r="E25" s="6" t="s">
        <v>18</v>
      </c>
      <c r="F25" s="6" t="s">
        <v>19</v>
      </c>
      <c r="G25" s="5" t="s">
        <v>20</v>
      </c>
      <c r="H25" s="5" t="s">
        <v>21</v>
      </c>
      <c r="I25" s="5">
        <v>6</v>
      </c>
      <c r="J25" s="5">
        <v>1</v>
      </c>
      <c r="K25" s="7">
        <f t="shared" si="1"/>
        <v>61.924321144985782</v>
      </c>
      <c r="L25" s="7">
        <v>54.911999999999999</v>
      </c>
      <c r="M25" s="7" t="s">
        <v>22</v>
      </c>
      <c r="N25" s="5" t="s">
        <v>23</v>
      </c>
      <c r="O25" s="5" t="s">
        <v>24</v>
      </c>
      <c r="P25" s="5"/>
      <c r="Q25" s="5" t="s">
        <v>40</v>
      </c>
    </row>
    <row r="26" spans="1:17" x14ac:dyDescent="0.3">
      <c r="A26" s="5" t="s">
        <v>38</v>
      </c>
      <c r="B26" s="5">
        <v>543</v>
      </c>
      <c r="C26" s="5">
        <v>1745</v>
      </c>
      <c r="D26" s="5">
        <f t="shared" si="0"/>
        <v>6</v>
      </c>
      <c r="E26" s="6" t="s">
        <v>18</v>
      </c>
      <c r="F26" s="6" t="s">
        <v>26</v>
      </c>
      <c r="G26" s="5" t="s">
        <v>20</v>
      </c>
      <c r="H26" s="5" t="s">
        <v>27</v>
      </c>
      <c r="I26" s="5">
        <v>6</v>
      </c>
      <c r="J26" s="5">
        <v>1</v>
      </c>
      <c r="K26" s="7">
        <f t="shared" si="1"/>
        <v>61.924321144985782</v>
      </c>
      <c r="L26" s="7">
        <v>54.911999999999999</v>
      </c>
      <c r="M26" s="7" t="s">
        <v>22</v>
      </c>
      <c r="N26" s="5" t="s">
        <v>23</v>
      </c>
      <c r="O26" s="5" t="s">
        <v>24</v>
      </c>
      <c r="P26" s="5"/>
      <c r="Q26" s="5" t="s">
        <v>40</v>
      </c>
    </row>
    <row r="27" spans="1:17" x14ac:dyDescent="0.3">
      <c r="A27" s="5" t="s">
        <v>38</v>
      </c>
      <c r="B27" s="5">
        <v>591</v>
      </c>
      <c r="C27" s="5">
        <v>1748</v>
      </c>
      <c r="D27" s="5">
        <f t="shared" si="0"/>
        <v>6</v>
      </c>
      <c r="E27" s="6" t="s">
        <v>18</v>
      </c>
      <c r="F27" s="6" t="s">
        <v>19</v>
      </c>
      <c r="G27" s="5" t="s">
        <v>28</v>
      </c>
      <c r="H27" s="5" t="s">
        <v>21</v>
      </c>
      <c r="I27" s="5">
        <v>6</v>
      </c>
      <c r="J27" s="5">
        <v>1</v>
      </c>
      <c r="K27" s="7">
        <f t="shared" si="1"/>
        <v>67.514165277913932</v>
      </c>
      <c r="L27" s="8">
        <v>56.136000000000003</v>
      </c>
      <c r="M27" s="7" t="s">
        <v>22</v>
      </c>
      <c r="N27" s="5" t="s">
        <v>23</v>
      </c>
      <c r="O27" s="5" t="s">
        <v>24</v>
      </c>
      <c r="P27" s="5"/>
      <c r="Q27" s="5" t="s">
        <v>41</v>
      </c>
    </row>
    <row r="28" spans="1:17" x14ac:dyDescent="0.3">
      <c r="A28" s="5" t="s">
        <v>38</v>
      </c>
      <c r="B28" s="5">
        <v>591</v>
      </c>
      <c r="C28" s="5">
        <v>1748</v>
      </c>
      <c r="D28" s="5">
        <f t="shared" si="0"/>
        <v>6</v>
      </c>
      <c r="E28" s="6" t="s">
        <v>18</v>
      </c>
      <c r="F28" s="6" t="s">
        <v>19</v>
      </c>
      <c r="G28" s="5" t="s">
        <v>30</v>
      </c>
      <c r="H28" s="5" t="s">
        <v>21</v>
      </c>
      <c r="I28" s="5">
        <v>6</v>
      </c>
      <c r="J28" s="5">
        <v>1</v>
      </c>
      <c r="K28" s="7">
        <f t="shared" si="1"/>
        <v>67.514165277913932</v>
      </c>
      <c r="L28" s="7">
        <v>56.136000000000003</v>
      </c>
      <c r="M28" s="7" t="s">
        <v>22</v>
      </c>
      <c r="N28" s="5" t="s">
        <v>23</v>
      </c>
      <c r="O28" s="5" t="s">
        <v>24</v>
      </c>
      <c r="P28" s="5"/>
      <c r="Q28" s="5" t="s">
        <v>41</v>
      </c>
    </row>
    <row r="29" spans="1:17" x14ac:dyDescent="0.3">
      <c r="A29" s="5" t="s">
        <v>38</v>
      </c>
      <c r="B29" s="5">
        <v>591</v>
      </c>
      <c r="C29" s="5">
        <v>1748</v>
      </c>
      <c r="D29" s="5">
        <f t="shared" si="0"/>
        <v>6</v>
      </c>
      <c r="E29" s="6" t="s">
        <v>18</v>
      </c>
      <c r="F29" s="6" t="s">
        <v>26</v>
      </c>
      <c r="G29" s="5" t="s">
        <v>28</v>
      </c>
      <c r="H29" s="5" t="s">
        <v>27</v>
      </c>
      <c r="I29" s="5">
        <v>6</v>
      </c>
      <c r="J29" s="5">
        <v>1</v>
      </c>
      <c r="K29" s="7">
        <f t="shared" si="1"/>
        <v>67.514165277913932</v>
      </c>
      <c r="L29" s="7">
        <v>56.136000000000003</v>
      </c>
      <c r="M29" s="7" t="s">
        <v>22</v>
      </c>
      <c r="N29" s="5" t="s">
        <v>23</v>
      </c>
      <c r="O29" s="5" t="s">
        <v>24</v>
      </c>
      <c r="P29" s="5"/>
      <c r="Q29" s="5" t="s">
        <v>41</v>
      </c>
    </row>
    <row r="30" spans="1:17" x14ac:dyDescent="0.3">
      <c r="A30" s="5" t="s">
        <v>38</v>
      </c>
      <c r="B30" s="5">
        <v>591</v>
      </c>
      <c r="C30" s="5">
        <v>1748</v>
      </c>
      <c r="D30" s="5">
        <f t="shared" si="0"/>
        <v>6</v>
      </c>
      <c r="E30" s="6" t="s">
        <v>18</v>
      </c>
      <c r="F30" s="6" t="s">
        <v>26</v>
      </c>
      <c r="G30" s="5" t="s">
        <v>30</v>
      </c>
      <c r="H30" s="5" t="s">
        <v>27</v>
      </c>
      <c r="I30" s="5">
        <v>6</v>
      </c>
      <c r="J30" s="5">
        <v>1</v>
      </c>
      <c r="K30" s="7">
        <f t="shared" si="1"/>
        <v>67.514165277913932</v>
      </c>
      <c r="L30" s="7">
        <v>56.136000000000003</v>
      </c>
      <c r="M30" s="7" t="s">
        <v>22</v>
      </c>
      <c r="N30" s="5" t="s">
        <v>23</v>
      </c>
      <c r="O30" s="5" t="s">
        <v>24</v>
      </c>
      <c r="P30" s="5"/>
      <c r="Q30" s="5" t="s">
        <v>41</v>
      </c>
    </row>
    <row r="31" spans="1:17" x14ac:dyDescent="0.3">
      <c r="A31" s="5" t="s">
        <v>38</v>
      </c>
      <c r="B31" s="5">
        <v>591</v>
      </c>
      <c r="C31" s="5">
        <v>1748</v>
      </c>
      <c r="D31" s="5">
        <f t="shared" si="0"/>
        <v>5</v>
      </c>
      <c r="E31" s="6" t="s">
        <v>18</v>
      </c>
      <c r="F31" s="6" t="s">
        <v>31</v>
      </c>
      <c r="G31" s="5" t="s">
        <v>28</v>
      </c>
      <c r="H31" s="5" t="s">
        <v>21</v>
      </c>
      <c r="I31" s="5">
        <v>5</v>
      </c>
      <c r="J31" s="5">
        <v>1</v>
      </c>
      <c r="K31" s="7">
        <f t="shared" si="1"/>
        <v>56.26180439826161</v>
      </c>
      <c r="L31" s="7">
        <v>46.78</v>
      </c>
      <c r="M31" s="7" t="s">
        <v>22</v>
      </c>
      <c r="N31" s="5" t="s">
        <v>23</v>
      </c>
      <c r="O31" s="5" t="s">
        <v>24</v>
      </c>
      <c r="P31" s="5"/>
      <c r="Q31" s="5" t="s">
        <v>41</v>
      </c>
    </row>
    <row r="32" spans="1:17" x14ac:dyDescent="0.3">
      <c r="A32" s="5" t="s">
        <v>38</v>
      </c>
      <c r="B32" s="5">
        <v>591</v>
      </c>
      <c r="C32" s="5">
        <v>1748</v>
      </c>
      <c r="D32" s="5">
        <f t="shared" si="0"/>
        <v>5</v>
      </c>
      <c r="E32" s="6" t="s">
        <v>18</v>
      </c>
      <c r="F32" s="6" t="s">
        <v>31</v>
      </c>
      <c r="G32" s="5" t="s">
        <v>30</v>
      </c>
      <c r="H32" s="5" t="s">
        <v>21</v>
      </c>
      <c r="I32" s="5">
        <v>5</v>
      </c>
      <c r="J32" s="5">
        <v>1</v>
      </c>
      <c r="K32" s="7">
        <f t="shared" si="1"/>
        <v>56.26180439826161</v>
      </c>
      <c r="L32" s="7">
        <v>46.78</v>
      </c>
      <c r="M32" s="7" t="s">
        <v>22</v>
      </c>
      <c r="N32" s="5" t="s">
        <v>23</v>
      </c>
      <c r="O32" s="5" t="s">
        <v>24</v>
      </c>
      <c r="P32" s="5"/>
      <c r="Q32" s="5" t="s">
        <v>41</v>
      </c>
    </row>
    <row r="33" spans="1:17" x14ac:dyDescent="0.3">
      <c r="A33" s="5" t="s">
        <v>38</v>
      </c>
      <c r="B33" s="5">
        <v>742</v>
      </c>
      <c r="C33" s="5">
        <v>1748</v>
      </c>
      <c r="D33" s="5">
        <f t="shared" si="0"/>
        <v>6</v>
      </c>
      <c r="E33" s="6" t="s">
        <v>18</v>
      </c>
      <c r="F33" s="6" t="s">
        <v>19</v>
      </c>
      <c r="G33" s="5" t="s">
        <v>32</v>
      </c>
      <c r="H33" s="5" t="s">
        <v>21</v>
      </c>
      <c r="I33" s="5">
        <v>6</v>
      </c>
      <c r="J33" s="5">
        <v>1</v>
      </c>
      <c r="K33" s="7">
        <f t="shared" si="1"/>
        <v>84.763977387837798</v>
      </c>
      <c r="L33" s="7">
        <v>59.76</v>
      </c>
      <c r="M33" s="7" t="s">
        <v>22</v>
      </c>
      <c r="N33" s="5" t="s">
        <v>23</v>
      </c>
      <c r="O33" s="5" t="s">
        <v>33</v>
      </c>
      <c r="P33" s="5"/>
      <c r="Q33" s="5" t="s">
        <v>41</v>
      </c>
    </row>
    <row r="34" spans="1:17" x14ac:dyDescent="0.3">
      <c r="A34" s="5" t="s">
        <v>38</v>
      </c>
      <c r="B34" s="5">
        <v>742</v>
      </c>
      <c r="C34" s="5">
        <v>1748</v>
      </c>
      <c r="D34" s="5">
        <f t="shared" si="0"/>
        <v>6</v>
      </c>
      <c r="E34" s="6" t="s">
        <v>18</v>
      </c>
      <c r="F34" s="6" t="s">
        <v>26</v>
      </c>
      <c r="G34" s="5" t="s">
        <v>32</v>
      </c>
      <c r="H34" s="5" t="s">
        <v>27</v>
      </c>
      <c r="I34" s="5">
        <v>6</v>
      </c>
      <c r="J34" s="5">
        <v>1</v>
      </c>
      <c r="K34" s="7">
        <f t="shared" si="1"/>
        <v>84.763977387837798</v>
      </c>
      <c r="L34" s="7">
        <v>59.76</v>
      </c>
      <c r="M34" s="7" t="s">
        <v>22</v>
      </c>
      <c r="N34" s="5" t="s">
        <v>23</v>
      </c>
      <c r="O34" s="5" t="s">
        <v>33</v>
      </c>
      <c r="P34" s="5"/>
      <c r="Q34" s="5" t="s">
        <v>41</v>
      </c>
    </row>
    <row r="35" spans="1:17" x14ac:dyDescent="0.3">
      <c r="A35" s="5" t="s">
        <v>38</v>
      </c>
      <c r="B35" s="5">
        <v>742</v>
      </c>
      <c r="C35" s="5">
        <v>1748</v>
      </c>
      <c r="D35" s="5">
        <f t="shared" si="0"/>
        <v>5</v>
      </c>
      <c r="E35" s="6" t="s">
        <v>18</v>
      </c>
      <c r="F35" s="6" t="s">
        <v>31</v>
      </c>
      <c r="G35" s="5" t="s">
        <v>32</v>
      </c>
      <c r="H35" s="5" t="s">
        <v>21</v>
      </c>
      <c r="I35" s="5">
        <v>5</v>
      </c>
      <c r="J35" s="5">
        <v>1</v>
      </c>
      <c r="K35" s="7">
        <f t="shared" si="1"/>
        <v>70.63664782319816</v>
      </c>
      <c r="L35" s="7">
        <v>49.8</v>
      </c>
      <c r="M35" s="7" t="s">
        <v>22</v>
      </c>
      <c r="N35" s="5" t="s">
        <v>23</v>
      </c>
      <c r="O35" s="5" t="s">
        <v>33</v>
      </c>
      <c r="P35" s="5"/>
      <c r="Q35" s="5" t="s">
        <v>41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C26F5-15B2-47AF-9E22-07CA7ED9AB01}">
  <sheetPr>
    <pageSetUpPr fitToPage="1"/>
  </sheetPr>
  <dimension ref="A1:N60"/>
  <sheetViews>
    <sheetView zoomScaleNormal="100" zoomScaleSheetLayoutView="80" workbookViewId="0">
      <selection activeCell="N8" sqref="N8"/>
    </sheetView>
  </sheetViews>
  <sheetFormatPr defaultRowHeight="16.5" customHeight="1" x14ac:dyDescent="0.3"/>
  <cols>
    <col min="1" max="1" width="30.75" style="40" customWidth="1"/>
    <col min="2" max="2" width="15.125" style="40" customWidth="1"/>
    <col min="3" max="3" width="12.875" style="40" customWidth="1"/>
    <col min="4" max="4" width="9.125" style="40" bestFit="1" customWidth="1"/>
    <col min="5" max="5" width="10.375" style="40" bestFit="1" customWidth="1"/>
    <col min="6" max="6" width="0.875" style="40" customWidth="1"/>
    <col min="7" max="7" width="25.25" style="40" hidden="1" customWidth="1"/>
    <col min="8" max="9" width="14.125" style="40" hidden="1" customWidth="1"/>
    <col min="10" max="10" width="9.125" style="40" hidden="1" customWidth="1"/>
    <col min="11" max="11" width="10.375" style="40" hidden="1" customWidth="1"/>
    <col min="12" max="12" width="9.5" style="40" hidden="1" customWidth="1"/>
    <col min="13" max="14" width="9" style="21"/>
    <col min="15" max="16384" width="9" style="40"/>
  </cols>
  <sheetData>
    <row r="1" spans="1:12" s="14" customFormat="1" ht="16.5" customHeight="1" x14ac:dyDescent="0.3">
      <c r="A1" s="9"/>
      <c r="B1" s="60" t="s">
        <v>42</v>
      </c>
      <c r="C1" s="61"/>
      <c r="D1" s="62"/>
      <c r="E1" s="11" t="s">
        <v>43</v>
      </c>
      <c r="F1" s="12"/>
      <c r="G1" s="10"/>
      <c r="H1" s="60" t="str">
        <f>B1</f>
        <v>26.76T 10.76투명접합+10A+6로이</v>
      </c>
      <c r="I1" s="61"/>
      <c r="J1" s="61"/>
      <c r="K1" s="10"/>
      <c r="L1" s="13"/>
    </row>
    <row r="2" spans="1:12" ht="16.5" customHeight="1" x14ac:dyDescent="0.3">
      <c r="A2" s="15" t="s">
        <v>44</v>
      </c>
      <c r="B2" s="16" t="s">
        <v>45</v>
      </c>
      <c r="C2" s="16" t="s">
        <v>46</v>
      </c>
      <c r="D2" s="16" t="s">
        <v>47</v>
      </c>
      <c r="E2" s="17" t="s">
        <v>48</v>
      </c>
      <c r="F2" s="18"/>
      <c r="G2" s="15" t="s">
        <v>44</v>
      </c>
      <c r="H2" s="16" t="s">
        <v>45</v>
      </c>
      <c r="I2" s="16" t="s">
        <v>46</v>
      </c>
      <c r="J2" s="16" t="s">
        <v>47</v>
      </c>
      <c r="K2" s="19" t="s">
        <v>48</v>
      </c>
      <c r="L2" s="20" t="s">
        <v>49</v>
      </c>
    </row>
    <row r="3" spans="1:12" ht="16.5" customHeight="1" x14ac:dyDescent="0.3">
      <c r="A3" s="22" t="s">
        <v>50</v>
      </c>
      <c r="B3" s="16">
        <v>543</v>
      </c>
      <c r="C3" s="16">
        <v>1745</v>
      </c>
      <c r="D3" s="16">
        <v>6</v>
      </c>
      <c r="E3" s="17">
        <f t="shared" ref="E3:E13" si="0">SUM(B3*C3/91809*D3)</f>
        <v>61.92432114498579</v>
      </c>
      <c r="F3" s="18"/>
      <c r="G3" s="22" t="s">
        <v>51</v>
      </c>
      <c r="H3" s="16">
        <v>1646</v>
      </c>
      <c r="I3" s="16">
        <v>1748</v>
      </c>
      <c r="J3" s="16">
        <v>6</v>
      </c>
      <c r="K3" s="19">
        <f t="shared" ref="K3:K13" si="1">SUM(H3*I3/91809*J3)</f>
        <v>188.03437571479921</v>
      </c>
      <c r="L3" s="23">
        <f t="shared" ref="L3:L13" si="2">(H3/1000*I3/1000)*J3</f>
        <v>17.263247999999997</v>
      </c>
    </row>
    <row r="4" spans="1:12" ht="16.5" customHeight="1" x14ac:dyDescent="0.3">
      <c r="A4" s="22" t="s">
        <v>52</v>
      </c>
      <c r="B4" s="16">
        <v>543</v>
      </c>
      <c r="C4" s="16">
        <v>1745</v>
      </c>
      <c r="D4" s="16">
        <v>6</v>
      </c>
      <c r="E4" s="17">
        <f t="shared" si="0"/>
        <v>61.92432114498579</v>
      </c>
      <c r="F4" s="18"/>
      <c r="G4" s="22" t="s">
        <v>53</v>
      </c>
      <c r="H4" s="16">
        <v>1646</v>
      </c>
      <c r="I4" s="16">
        <v>1748</v>
      </c>
      <c r="J4" s="16">
        <v>6</v>
      </c>
      <c r="K4" s="19">
        <f t="shared" si="1"/>
        <v>188.03437571479921</v>
      </c>
      <c r="L4" s="23">
        <f t="shared" si="2"/>
        <v>17.263247999999997</v>
      </c>
    </row>
    <row r="5" spans="1:12" ht="16.5" customHeight="1" x14ac:dyDescent="0.3">
      <c r="A5" s="22" t="s">
        <v>54</v>
      </c>
      <c r="B5" s="16">
        <v>591</v>
      </c>
      <c r="C5" s="16">
        <v>1748</v>
      </c>
      <c r="D5" s="16">
        <v>6</v>
      </c>
      <c r="E5" s="17">
        <f t="shared" si="0"/>
        <v>67.514165277913932</v>
      </c>
      <c r="F5" s="18"/>
      <c r="G5" s="22" t="s">
        <v>55</v>
      </c>
      <c r="H5" s="16">
        <v>1646</v>
      </c>
      <c r="I5" s="16">
        <v>1748</v>
      </c>
      <c r="J5" s="16">
        <v>5</v>
      </c>
      <c r="K5" s="19">
        <f t="shared" si="1"/>
        <v>156.69531309566599</v>
      </c>
      <c r="L5" s="23">
        <f t="shared" si="2"/>
        <v>14.386039999999998</v>
      </c>
    </row>
    <row r="6" spans="1:12" ht="16.5" customHeight="1" x14ac:dyDescent="0.3">
      <c r="A6" s="22" t="s">
        <v>56</v>
      </c>
      <c r="B6" s="16">
        <v>591</v>
      </c>
      <c r="C6" s="16">
        <v>1748</v>
      </c>
      <c r="D6" s="16">
        <v>6</v>
      </c>
      <c r="E6" s="17">
        <f t="shared" si="0"/>
        <v>67.514165277913932</v>
      </c>
      <c r="F6" s="18"/>
      <c r="G6" s="22" t="s">
        <v>54</v>
      </c>
      <c r="H6" s="16">
        <v>591</v>
      </c>
      <c r="I6" s="16">
        <v>1748</v>
      </c>
      <c r="J6" s="16">
        <v>6</v>
      </c>
      <c r="K6" s="19">
        <f t="shared" si="1"/>
        <v>67.514165277913932</v>
      </c>
      <c r="L6" s="23">
        <f t="shared" si="2"/>
        <v>6.1984079999999988</v>
      </c>
    </row>
    <row r="7" spans="1:12" ht="16.5" customHeight="1" x14ac:dyDescent="0.3">
      <c r="A7" s="22" t="s">
        <v>57</v>
      </c>
      <c r="B7" s="16">
        <v>591</v>
      </c>
      <c r="C7" s="16">
        <v>1748</v>
      </c>
      <c r="D7" s="16">
        <v>6</v>
      </c>
      <c r="E7" s="17">
        <f t="shared" si="0"/>
        <v>67.514165277913932</v>
      </c>
      <c r="F7" s="18"/>
      <c r="G7" s="22" t="s">
        <v>56</v>
      </c>
      <c r="H7" s="16">
        <v>591</v>
      </c>
      <c r="I7" s="16">
        <v>1748</v>
      </c>
      <c r="J7" s="16">
        <v>6</v>
      </c>
      <c r="K7" s="19">
        <f t="shared" si="1"/>
        <v>67.514165277913932</v>
      </c>
      <c r="L7" s="23">
        <f t="shared" si="2"/>
        <v>6.1984079999999988</v>
      </c>
    </row>
    <row r="8" spans="1:12" ht="16.5" customHeight="1" x14ac:dyDescent="0.3">
      <c r="A8" s="22" t="s">
        <v>58</v>
      </c>
      <c r="B8" s="16">
        <v>591</v>
      </c>
      <c r="C8" s="16">
        <v>1748</v>
      </c>
      <c r="D8" s="16">
        <v>6</v>
      </c>
      <c r="E8" s="17">
        <f t="shared" si="0"/>
        <v>67.514165277913932</v>
      </c>
      <c r="F8" s="18"/>
      <c r="G8" s="22" t="s">
        <v>57</v>
      </c>
      <c r="H8" s="16">
        <v>591</v>
      </c>
      <c r="I8" s="16">
        <v>1748</v>
      </c>
      <c r="J8" s="16">
        <v>6</v>
      </c>
      <c r="K8" s="19">
        <f t="shared" si="1"/>
        <v>67.514165277913932</v>
      </c>
      <c r="L8" s="23">
        <f t="shared" si="2"/>
        <v>6.1984079999999988</v>
      </c>
    </row>
    <row r="9" spans="1:12" ht="16.5" customHeight="1" x14ac:dyDescent="0.3">
      <c r="A9" s="22" t="s">
        <v>59</v>
      </c>
      <c r="B9" s="16">
        <v>591</v>
      </c>
      <c r="C9" s="16">
        <v>1748</v>
      </c>
      <c r="D9" s="16">
        <v>5</v>
      </c>
      <c r="E9" s="17">
        <f t="shared" si="0"/>
        <v>56.26180439826161</v>
      </c>
      <c r="F9" s="18"/>
      <c r="G9" s="22" t="s">
        <v>58</v>
      </c>
      <c r="H9" s="16">
        <v>591</v>
      </c>
      <c r="I9" s="16">
        <v>1748</v>
      </c>
      <c r="J9" s="16">
        <v>6</v>
      </c>
      <c r="K9" s="19">
        <f t="shared" si="1"/>
        <v>67.514165277913932</v>
      </c>
      <c r="L9" s="23">
        <f t="shared" si="2"/>
        <v>6.1984079999999988</v>
      </c>
    </row>
    <row r="10" spans="1:12" ht="16.5" customHeight="1" x14ac:dyDescent="0.3">
      <c r="A10" s="22" t="s">
        <v>60</v>
      </c>
      <c r="B10" s="16">
        <v>591</v>
      </c>
      <c r="C10" s="16">
        <v>1748</v>
      </c>
      <c r="D10" s="16">
        <v>5</v>
      </c>
      <c r="E10" s="17">
        <f t="shared" si="0"/>
        <v>56.26180439826161</v>
      </c>
      <c r="F10" s="18"/>
      <c r="G10" s="22" t="s">
        <v>59</v>
      </c>
      <c r="H10" s="16">
        <v>591</v>
      </c>
      <c r="I10" s="16">
        <v>1748</v>
      </c>
      <c r="J10" s="16">
        <v>5</v>
      </c>
      <c r="K10" s="19">
        <f t="shared" si="1"/>
        <v>56.26180439826161</v>
      </c>
      <c r="L10" s="23">
        <f t="shared" si="2"/>
        <v>5.1653399999999996</v>
      </c>
    </row>
    <row r="11" spans="1:12" ht="16.5" customHeight="1" x14ac:dyDescent="0.3">
      <c r="A11" s="22" t="s">
        <v>51</v>
      </c>
      <c r="B11" s="16">
        <v>1646</v>
      </c>
      <c r="C11" s="16">
        <v>1748</v>
      </c>
      <c r="D11" s="16">
        <v>6</v>
      </c>
      <c r="E11" s="17">
        <f t="shared" si="0"/>
        <v>188.03437571479921</v>
      </c>
      <c r="F11" s="18"/>
      <c r="G11" s="22" t="s">
        <v>60</v>
      </c>
      <c r="H11" s="16">
        <v>591</v>
      </c>
      <c r="I11" s="16">
        <v>1748</v>
      </c>
      <c r="J11" s="16">
        <v>5</v>
      </c>
      <c r="K11" s="19">
        <f t="shared" si="1"/>
        <v>56.26180439826161</v>
      </c>
      <c r="L11" s="23">
        <f t="shared" si="2"/>
        <v>5.1653399999999996</v>
      </c>
    </row>
    <row r="12" spans="1:12" ht="16.5" customHeight="1" x14ac:dyDescent="0.3">
      <c r="A12" s="22" t="s">
        <v>53</v>
      </c>
      <c r="B12" s="16">
        <v>1646</v>
      </c>
      <c r="C12" s="16">
        <v>1748</v>
      </c>
      <c r="D12" s="16">
        <v>6</v>
      </c>
      <c r="E12" s="17">
        <f t="shared" si="0"/>
        <v>188.03437571479921</v>
      </c>
      <c r="F12" s="18"/>
      <c r="G12" s="22" t="s">
        <v>50</v>
      </c>
      <c r="H12" s="16">
        <v>543</v>
      </c>
      <c r="I12" s="16">
        <v>1745</v>
      </c>
      <c r="J12" s="16">
        <v>6</v>
      </c>
      <c r="K12" s="19">
        <f t="shared" si="1"/>
        <v>61.92432114498579</v>
      </c>
      <c r="L12" s="23">
        <f t="shared" si="2"/>
        <v>5.6852100000000005</v>
      </c>
    </row>
    <row r="13" spans="1:12" ht="16.5" customHeight="1" thickBot="1" x14ac:dyDescent="0.35">
      <c r="A13" s="22" t="s">
        <v>55</v>
      </c>
      <c r="B13" s="16">
        <v>1646</v>
      </c>
      <c r="C13" s="16">
        <v>1748</v>
      </c>
      <c r="D13" s="16">
        <v>5</v>
      </c>
      <c r="E13" s="17">
        <f t="shared" si="0"/>
        <v>156.69531309566599</v>
      </c>
      <c r="F13" s="18"/>
      <c r="G13" s="22" t="s">
        <v>52</v>
      </c>
      <c r="H13" s="16">
        <v>543</v>
      </c>
      <c r="I13" s="16">
        <v>1745</v>
      </c>
      <c r="J13" s="16">
        <v>6</v>
      </c>
      <c r="K13" s="19">
        <f t="shared" si="1"/>
        <v>61.92432114498579</v>
      </c>
      <c r="L13" s="23">
        <f t="shared" si="2"/>
        <v>5.6852100000000005</v>
      </c>
    </row>
    <row r="14" spans="1:12" ht="16.5" customHeight="1" thickTop="1" thickBot="1" x14ac:dyDescent="0.35">
      <c r="A14" s="24"/>
      <c r="B14" s="25"/>
      <c r="C14" s="25"/>
      <c r="D14" s="26">
        <f>SUM(D3:D13)</f>
        <v>63</v>
      </c>
      <c r="E14" s="27">
        <f>SUM(E3:E13)</f>
        <v>1039.1929767234151</v>
      </c>
      <c r="F14" s="28"/>
      <c r="G14" s="29"/>
      <c r="H14" s="26"/>
      <c r="I14" s="26"/>
      <c r="J14" s="26">
        <f>SUM(J3:J13)</f>
        <v>63</v>
      </c>
      <c r="K14" s="27">
        <f>SUM(K3:K13)</f>
        <v>1039.1929767234146</v>
      </c>
      <c r="L14" s="27">
        <f>SUM(L3:L13)</f>
        <v>95.407267999999988</v>
      </c>
    </row>
    <row r="15" spans="1:12" ht="16.5" customHeight="1" thickTop="1" x14ac:dyDescent="0.3">
      <c r="A15" s="30"/>
      <c r="B15" s="54" t="s">
        <v>61</v>
      </c>
      <c r="C15" s="55"/>
      <c r="D15" s="56"/>
      <c r="E15" s="31" t="s">
        <v>43</v>
      </c>
      <c r="F15" s="18"/>
      <c r="G15" s="32"/>
      <c r="H15" s="57" t="str">
        <f>B15</f>
        <v>24T 6CL+12A+6CL</v>
      </c>
      <c r="I15" s="58"/>
      <c r="J15" s="58"/>
      <c r="K15" s="33"/>
      <c r="L15" s="34"/>
    </row>
    <row r="16" spans="1:12" ht="16.5" customHeight="1" x14ac:dyDescent="0.3">
      <c r="A16" s="15" t="s">
        <v>44</v>
      </c>
      <c r="B16" s="16" t="s">
        <v>45</v>
      </c>
      <c r="C16" s="16" t="s">
        <v>46</v>
      </c>
      <c r="D16" s="16" t="s">
        <v>47</v>
      </c>
      <c r="E16" s="17" t="s">
        <v>48</v>
      </c>
      <c r="F16" s="18"/>
      <c r="G16" s="15" t="s">
        <v>44</v>
      </c>
      <c r="H16" s="16" t="s">
        <v>45</v>
      </c>
      <c r="I16" s="16" t="s">
        <v>46</v>
      </c>
      <c r="J16" s="16" t="s">
        <v>47</v>
      </c>
      <c r="K16" s="19" t="s">
        <v>48</v>
      </c>
      <c r="L16" s="20" t="s">
        <v>49</v>
      </c>
    </row>
    <row r="17" spans="1:12" ht="16.5" customHeight="1" x14ac:dyDescent="0.3">
      <c r="A17" s="22" t="s">
        <v>62</v>
      </c>
      <c r="B17" s="16">
        <v>285</v>
      </c>
      <c r="C17" s="16">
        <v>794</v>
      </c>
      <c r="D17" s="16">
        <v>12</v>
      </c>
      <c r="E17" s="17">
        <f t="shared" ref="E17:E22" si="3">SUM(B17*C17/91809*D17)</f>
        <v>29.577492402705616</v>
      </c>
      <c r="F17" s="18"/>
      <c r="G17" s="22" t="s">
        <v>63</v>
      </c>
      <c r="H17" s="16">
        <v>435</v>
      </c>
      <c r="I17" s="16">
        <v>794</v>
      </c>
      <c r="J17" s="16">
        <v>12</v>
      </c>
      <c r="K17" s="17">
        <f t="shared" ref="K17:K22" si="4">SUM(H17*I17/91809*J17)</f>
        <v>45.144593667287523</v>
      </c>
      <c r="L17" s="23">
        <f t="shared" ref="L17:L22" si="5">(H17/1000*I17/1000)*J17</f>
        <v>4.1446799999999993</v>
      </c>
    </row>
    <row r="18" spans="1:12" ht="16.5" customHeight="1" x14ac:dyDescent="0.3">
      <c r="A18" s="22" t="s">
        <v>64</v>
      </c>
      <c r="B18" s="16">
        <v>285</v>
      </c>
      <c r="C18" s="16">
        <v>794</v>
      </c>
      <c r="D18" s="16">
        <v>12</v>
      </c>
      <c r="E18" s="17">
        <f t="shared" si="3"/>
        <v>29.577492402705616</v>
      </c>
      <c r="F18" s="18"/>
      <c r="G18" s="22" t="s">
        <v>65</v>
      </c>
      <c r="H18" s="16">
        <v>435</v>
      </c>
      <c r="I18" s="16">
        <v>794</v>
      </c>
      <c r="J18" s="16">
        <v>12</v>
      </c>
      <c r="K18" s="17">
        <f t="shared" si="4"/>
        <v>45.144593667287523</v>
      </c>
      <c r="L18" s="23">
        <f t="shared" si="5"/>
        <v>4.1446799999999993</v>
      </c>
    </row>
    <row r="19" spans="1:12" ht="16.5" customHeight="1" x14ac:dyDescent="0.3">
      <c r="A19" s="22" t="s">
        <v>66</v>
      </c>
      <c r="B19" s="16">
        <v>285</v>
      </c>
      <c r="C19" s="16">
        <v>794</v>
      </c>
      <c r="D19" s="16">
        <v>10</v>
      </c>
      <c r="E19" s="17">
        <f t="shared" si="3"/>
        <v>24.647910335588016</v>
      </c>
      <c r="F19" s="18"/>
      <c r="G19" s="22" t="s">
        <v>67</v>
      </c>
      <c r="H19" s="16">
        <v>435</v>
      </c>
      <c r="I19" s="16">
        <v>794</v>
      </c>
      <c r="J19" s="16">
        <v>10</v>
      </c>
      <c r="K19" s="17">
        <f t="shared" si="4"/>
        <v>37.6204947227396</v>
      </c>
      <c r="L19" s="23">
        <f t="shared" si="5"/>
        <v>3.4539</v>
      </c>
    </row>
    <row r="20" spans="1:12" ht="16.5" customHeight="1" x14ac:dyDescent="0.3">
      <c r="A20" s="22" t="s">
        <v>63</v>
      </c>
      <c r="B20" s="16">
        <v>435</v>
      </c>
      <c r="C20" s="16">
        <v>794</v>
      </c>
      <c r="D20" s="16">
        <v>12</v>
      </c>
      <c r="E20" s="17">
        <f t="shared" si="3"/>
        <v>45.144593667287523</v>
      </c>
      <c r="F20" s="18"/>
      <c r="G20" s="22" t="s">
        <v>62</v>
      </c>
      <c r="H20" s="16">
        <v>285</v>
      </c>
      <c r="I20" s="16">
        <v>794</v>
      </c>
      <c r="J20" s="16">
        <v>12</v>
      </c>
      <c r="K20" s="17">
        <f t="shared" si="4"/>
        <v>29.577492402705616</v>
      </c>
      <c r="L20" s="23">
        <f t="shared" si="5"/>
        <v>2.7154799999999999</v>
      </c>
    </row>
    <row r="21" spans="1:12" ht="16.5" customHeight="1" x14ac:dyDescent="0.3">
      <c r="A21" s="22" t="s">
        <v>65</v>
      </c>
      <c r="B21" s="16">
        <v>435</v>
      </c>
      <c r="C21" s="16">
        <v>794</v>
      </c>
      <c r="D21" s="16">
        <v>12</v>
      </c>
      <c r="E21" s="17">
        <f t="shared" si="3"/>
        <v>45.144593667287523</v>
      </c>
      <c r="F21" s="18"/>
      <c r="G21" s="22" t="s">
        <v>64</v>
      </c>
      <c r="H21" s="16">
        <v>285</v>
      </c>
      <c r="I21" s="16">
        <v>794</v>
      </c>
      <c r="J21" s="16">
        <v>12</v>
      </c>
      <c r="K21" s="17">
        <f t="shared" si="4"/>
        <v>29.577492402705616</v>
      </c>
      <c r="L21" s="23">
        <f t="shared" si="5"/>
        <v>2.7154799999999999</v>
      </c>
    </row>
    <row r="22" spans="1:12" ht="16.5" customHeight="1" thickBot="1" x14ac:dyDescent="0.35">
      <c r="A22" s="22" t="s">
        <v>67</v>
      </c>
      <c r="B22" s="16">
        <v>435</v>
      </c>
      <c r="C22" s="16">
        <v>794</v>
      </c>
      <c r="D22" s="16">
        <v>10</v>
      </c>
      <c r="E22" s="17">
        <f t="shared" si="3"/>
        <v>37.6204947227396</v>
      </c>
      <c r="F22" s="18"/>
      <c r="G22" s="22" t="s">
        <v>66</v>
      </c>
      <c r="H22" s="16">
        <v>285</v>
      </c>
      <c r="I22" s="16">
        <v>794</v>
      </c>
      <c r="J22" s="16">
        <v>10</v>
      </c>
      <c r="K22" s="17">
        <f t="shared" si="4"/>
        <v>24.647910335588016</v>
      </c>
      <c r="L22" s="23">
        <f t="shared" si="5"/>
        <v>2.2629000000000001</v>
      </c>
    </row>
    <row r="23" spans="1:12" ht="16.5" customHeight="1" thickTop="1" thickBot="1" x14ac:dyDescent="0.35">
      <c r="A23" s="24"/>
      <c r="B23" s="25"/>
      <c r="C23" s="25"/>
      <c r="D23" s="26">
        <f>SUM(D17:D22)</f>
        <v>68</v>
      </c>
      <c r="E23" s="27">
        <f>SUM(E17:E22)</f>
        <v>211.71257719831391</v>
      </c>
      <c r="F23" s="28"/>
      <c r="G23" s="29"/>
      <c r="H23" s="26"/>
      <c r="I23" s="26"/>
      <c r="J23" s="26">
        <f>SUM(J17:J22)</f>
        <v>68</v>
      </c>
      <c r="K23" s="27">
        <f>SUM(K17:K22)</f>
        <v>211.71257719831391</v>
      </c>
      <c r="L23" s="27">
        <f>SUM(L17:L22)</f>
        <v>19.43712</v>
      </c>
    </row>
    <row r="24" spans="1:12" ht="16.5" customHeight="1" thickTop="1" x14ac:dyDescent="0.3">
      <c r="A24" s="30"/>
      <c r="B24" s="54" t="s">
        <v>68</v>
      </c>
      <c r="C24" s="55"/>
      <c r="D24" s="56"/>
      <c r="E24" s="31" t="s">
        <v>43</v>
      </c>
      <c r="F24" s="18"/>
      <c r="G24" s="32"/>
      <c r="H24" s="57" t="str">
        <f>B24</f>
        <v>24T 6CL+12A+6로이</v>
      </c>
      <c r="I24" s="58"/>
      <c r="J24" s="58"/>
      <c r="K24" s="33"/>
      <c r="L24" s="34"/>
    </row>
    <row r="25" spans="1:12" ht="16.5" customHeight="1" x14ac:dyDescent="0.3">
      <c r="A25" s="15" t="s">
        <v>44</v>
      </c>
      <c r="B25" s="16" t="s">
        <v>45</v>
      </c>
      <c r="C25" s="16" t="s">
        <v>46</v>
      </c>
      <c r="D25" s="16" t="s">
        <v>47</v>
      </c>
      <c r="E25" s="17" t="s">
        <v>48</v>
      </c>
      <c r="F25" s="18"/>
      <c r="G25" s="15" t="s">
        <v>44</v>
      </c>
      <c r="H25" s="16" t="s">
        <v>45</v>
      </c>
      <c r="I25" s="16" t="s">
        <v>46</v>
      </c>
      <c r="J25" s="16" t="s">
        <v>47</v>
      </c>
      <c r="K25" s="19" t="s">
        <v>48</v>
      </c>
      <c r="L25" s="20" t="s">
        <v>49</v>
      </c>
    </row>
    <row r="26" spans="1:12" ht="16.5" customHeight="1" x14ac:dyDescent="0.3">
      <c r="A26" s="22" t="s">
        <v>69</v>
      </c>
      <c r="B26" s="16">
        <v>291</v>
      </c>
      <c r="C26" s="16">
        <v>798</v>
      </c>
      <c r="D26" s="16">
        <v>12</v>
      </c>
      <c r="E26" s="17">
        <f t="shared" ref="E26:E42" si="6">SUM(B26*C26/91809*D26)</f>
        <v>30.352318400156847</v>
      </c>
      <c r="F26" s="18"/>
      <c r="G26" s="22" t="s">
        <v>70</v>
      </c>
      <c r="H26" s="16">
        <v>742</v>
      </c>
      <c r="I26" s="16">
        <v>1748</v>
      </c>
      <c r="J26" s="16">
        <v>6</v>
      </c>
      <c r="K26" s="17">
        <f t="shared" ref="K26:K42" si="7">SUM(H26*I26/91809*J26)</f>
        <v>84.763977387837798</v>
      </c>
      <c r="L26" s="23">
        <f t="shared" ref="L26:L42" si="8">(H26/1000*I26/1000)*J26</f>
        <v>7.782096000000001</v>
      </c>
    </row>
    <row r="27" spans="1:12" ht="16.5" customHeight="1" x14ac:dyDescent="0.3">
      <c r="A27" s="22" t="s">
        <v>71</v>
      </c>
      <c r="B27" s="16">
        <v>291</v>
      </c>
      <c r="C27" s="16">
        <v>798</v>
      </c>
      <c r="D27" s="16">
        <v>12</v>
      </c>
      <c r="E27" s="17">
        <f t="shared" si="6"/>
        <v>30.352318400156847</v>
      </c>
      <c r="F27" s="18"/>
      <c r="G27" s="22" t="s">
        <v>72</v>
      </c>
      <c r="H27" s="16">
        <v>742</v>
      </c>
      <c r="I27" s="16">
        <v>1748</v>
      </c>
      <c r="J27" s="16">
        <v>6</v>
      </c>
      <c r="K27" s="17">
        <f t="shared" si="7"/>
        <v>84.763977387837798</v>
      </c>
      <c r="L27" s="23">
        <f t="shared" si="8"/>
        <v>7.782096000000001</v>
      </c>
    </row>
    <row r="28" spans="1:12" ht="16.5" customHeight="1" x14ac:dyDescent="0.3">
      <c r="A28" s="22" t="s">
        <v>73</v>
      </c>
      <c r="B28" s="16">
        <v>291</v>
      </c>
      <c r="C28" s="16">
        <v>798</v>
      </c>
      <c r="D28" s="16">
        <v>10</v>
      </c>
      <c r="E28" s="17">
        <f t="shared" si="6"/>
        <v>25.293598666797372</v>
      </c>
      <c r="F28" s="18"/>
      <c r="G28" s="22" t="s">
        <v>74</v>
      </c>
      <c r="H28" s="16">
        <v>742</v>
      </c>
      <c r="I28" s="16">
        <v>1748</v>
      </c>
      <c r="J28" s="16">
        <v>5</v>
      </c>
      <c r="K28" s="17">
        <f t="shared" si="7"/>
        <v>70.63664782319816</v>
      </c>
      <c r="L28" s="23">
        <f t="shared" si="8"/>
        <v>6.4850800000000008</v>
      </c>
    </row>
    <row r="29" spans="1:12" ht="16.5" customHeight="1" x14ac:dyDescent="0.3">
      <c r="A29" s="22" t="s">
        <v>75</v>
      </c>
      <c r="B29" s="16">
        <v>441</v>
      </c>
      <c r="C29" s="16">
        <v>798</v>
      </c>
      <c r="D29" s="16">
        <v>12</v>
      </c>
      <c r="E29" s="17">
        <f t="shared" si="6"/>
        <v>45.997843348691305</v>
      </c>
      <c r="F29" s="18"/>
      <c r="G29" s="22" t="s">
        <v>76</v>
      </c>
      <c r="H29" s="16">
        <v>591</v>
      </c>
      <c r="I29" s="16">
        <v>1748</v>
      </c>
      <c r="J29" s="16">
        <v>6</v>
      </c>
      <c r="K29" s="17">
        <f t="shared" si="7"/>
        <v>67.514165277913932</v>
      </c>
      <c r="L29" s="23">
        <f t="shared" si="8"/>
        <v>6.1984079999999988</v>
      </c>
    </row>
    <row r="30" spans="1:12" ht="16.5" customHeight="1" x14ac:dyDescent="0.3">
      <c r="A30" s="22" t="s">
        <v>77</v>
      </c>
      <c r="B30" s="16">
        <v>441</v>
      </c>
      <c r="C30" s="16">
        <v>798</v>
      </c>
      <c r="D30" s="16">
        <v>12</v>
      </c>
      <c r="E30" s="17">
        <f t="shared" si="6"/>
        <v>45.997843348691305</v>
      </c>
      <c r="F30" s="18"/>
      <c r="G30" s="22" t="s">
        <v>78</v>
      </c>
      <c r="H30" s="16">
        <v>591</v>
      </c>
      <c r="I30" s="16">
        <v>1748</v>
      </c>
      <c r="J30" s="16">
        <v>6</v>
      </c>
      <c r="K30" s="17">
        <f t="shared" si="7"/>
        <v>67.514165277913932</v>
      </c>
      <c r="L30" s="23">
        <f t="shared" si="8"/>
        <v>6.1984079999999988</v>
      </c>
    </row>
    <row r="31" spans="1:12" ht="16.5" customHeight="1" x14ac:dyDescent="0.3">
      <c r="A31" s="22" t="s">
        <v>79</v>
      </c>
      <c r="B31" s="16">
        <v>441</v>
      </c>
      <c r="C31" s="16">
        <v>798</v>
      </c>
      <c r="D31" s="16">
        <v>10</v>
      </c>
      <c r="E31" s="17">
        <f t="shared" si="6"/>
        <v>38.331536123909423</v>
      </c>
      <c r="F31" s="18"/>
      <c r="G31" s="22" t="s">
        <v>80</v>
      </c>
      <c r="H31" s="16">
        <v>591</v>
      </c>
      <c r="I31" s="16">
        <v>1748</v>
      </c>
      <c r="J31" s="16">
        <v>6</v>
      </c>
      <c r="K31" s="17">
        <f t="shared" si="7"/>
        <v>67.514165277913932</v>
      </c>
      <c r="L31" s="23">
        <f t="shared" si="8"/>
        <v>6.1984079999999988</v>
      </c>
    </row>
    <row r="32" spans="1:12" ht="16.5" customHeight="1" x14ac:dyDescent="0.3">
      <c r="A32" s="22" t="s">
        <v>81</v>
      </c>
      <c r="B32" s="16">
        <v>543</v>
      </c>
      <c r="C32" s="16">
        <v>1745</v>
      </c>
      <c r="D32" s="16">
        <v>6</v>
      </c>
      <c r="E32" s="17">
        <f t="shared" si="6"/>
        <v>61.92432114498579</v>
      </c>
      <c r="F32" s="18"/>
      <c r="G32" s="22" t="s">
        <v>82</v>
      </c>
      <c r="H32" s="16">
        <v>591</v>
      </c>
      <c r="I32" s="16">
        <v>1748</v>
      </c>
      <c r="J32" s="16">
        <v>6</v>
      </c>
      <c r="K32" s="17">
        <f t="shared" si="7"/>
        <v>67.514165277913932</v>
      </c>
      <c r="L32" s="23">
        <f t="shared" si="8"/>
        <v>6.1984079999999988</v>
      </c>
    </row>
    <row r="33" spans="1:12" ht="16.5" customHeight="1" x14ac:dyDescent="0.3">
      <c r="A33" s="22" t="s">
        <v>83</v>
      </c>
      <c r="B33" s="16">
        <v>543</v>
      </c>
      <c r="C33" s="16">
        <v>1745</v>
      </c>
      <c r="D33" s="16">
        <v>6</v>
      </c>
      <c r="E33" s="17">
        <f t="shared" si="6"/>
        <v>61.92432114498579</v>
      </c>
      <c r="F33" s="18"/>
      <c r="G33" s="22" t="s">
        <v>84</v>
      </c>
      <c r="H33" s="16">
        <v>591</v>
      </c>
      <c r="I33" s="16">
        <v>1748</v>
      </c>
      <c r="J33" s="16">
        <v>5</v>
      </c>
      <c r="K33" s="17">
        <f t="shared" si="7"/>
        <v>56.26180439826161</v>
      </c>
      <c r="L33" s="23">
        <f t="shared" si="8"/>
        <v>5.1653399999999996</v>
      </c>
    </row>
    <row r="34" spans="1:12" ht="16.5" customHeight="1" x14ac:dyDescent="0.3">
      <c r="A34" s="22" t="s">
        <v>76</v>
      </c>
      <c r="B34" s="16">
        <v>591</v>
      </c>
      <c r="C34" s="16">
        <v>1748</v>
      </c>
      <c r="D34" s="16">
        <v>6</v>
      </c>
      <c r="E34" s="17">
        <f t="shared" si="6"/>
        <v>67.514165277913932</v>
      </c>
      <c r="F34" s="18"/>
      <c r="G34" s="22" t="s">
        <v>85</v>
      </c>
      <c r="H34" s="16">
        <v>591</v>
      </c>
      <c r="I34" s="16">
        <v>1748</v>
      </c>
      <c r="J34" s="16">
        <v>5</v>
      </c>
      <c r="K34" s="17">
        <f t="shared" si="7"/>
        <v>56.26180439826161</v>
      </c>
      <c r="L34" s="23">
        <f t="shared" si="8"/>
        <v>5.1653399999999996</v>
      </c>
    </row>
    <row r="35" spans="1:12" ht="16.5" customHeight="1" x14ac:dyDescent="0.3">
      <c r="A35" s="22" t="s">
        <v>78</v>
      </c>
      <c r="B35" s="16">
        <v>591</v>
      </c>
      <c r="C35" s="16">
        <v>1748</v>
      </c>
      <c r="D35" s="16">
        <v>6</v>
      </c>
      <c r="E35" s="17">
        <f t="shared" si="6"/>
        <v>67.514165277913932</v>
      </c>
      <c r="F35" s="18"/>
      <c r="G35" s="22" t="s">
        <v>81</v>
      </c>
      <c r="H35" s="16">
        <v>543</v>
      </c>
      <c r="I35" s="16">
        <v>1745</v>
      </c>
      <c r="J35" s="16">
        <v>6</v>
      </c>
      <c r="K35" s="17">
        <f t="shared" si="7"/>
        <v>61.92432114498579</v>
      </c>
      <c r="L35" s="23">
        <f t="shared" si="8"/>
        <v>5.6852100000000005</v>
      </c>
    </row>
    <row r="36" spans="1:12" ht="16.5" customHeight="1" x14ac:dyDescent="0.3">
      <c r="A36" s="22" t="s">
        <v>80</v>
      </c>
      <c r="B36" s="16">
        <v>591</v>
      </c>
      <c r="C36" s="16">
        <v>1748</v>
      </c>
      <c r="D36" s="16">
        <v>6</v>
      </c>
      <c r="E36" s="17">
        <f t="shared" si="6"/>
        <v>67.514165277913932</v>
      </c>
      <c r="F36" s="18"/>
      <c r="G36" s="22" t="s">
        <v>83</v>
      </c>
      <c r="H36" s="16">
        <v>543</v>
      </c>
      <c r="I36" s="16">
        <v>1745</v>
      </c>
      <c r="J36" s="16">
        <v>6</v>
      </c>
      <c r="K36" s="17">
        <f t="shared" si="7"/>
        <v>61.92432114498579</v>
      </c>
      <c r="L36" s="23">
        <f t="shared" si="8"/>
        <v>5.6852100000000005</v>
      </c>
    </row>
    <row r="37" spans="1:12" ht="16.5" customHeight="1" x14ac:dyDescent="0.3">
      <c r="A37" s="22" t="s">
        <v>82</v>
      </c>
      <c r="B37" s="16">
        <v>591</v>
      </c>
      <c r="C37" s="16">
        <v>1748</v>
      </c>
      <c r="D37" s="16">
        <v>6</v>
      </c>
      <c r="E37" s="17">
        <f t="shared" si="6"/>
        <v>67.514165277913932</v>
      </c>
      <c r="F37" s="18"/>
      <c r="G37" s="22" t="s">
        <v>75</v>
      </c>
      <c r="H37" s="16">
        <v>441</v>
      </c>
      <c r="I37" s="16">
        <v>798</v>
      </c>
      <c r="J37" s="16">
        <v>12</v>
      </c>
      <c r="K37" s="17">
        <f t="shared" si="7"/>
        <v>45.997843348691305</v>
      </c>
      <c r="L37" s="23">
        <f t="shared" si="8"/>
        <v>4.2230160000000003</v>
      </c>
    </row>
    <row r="38" spans="1:12" ht="16.5" customHeight="1" x14ac:dyDescent="0.3">
      <c r="A38" s="22" t="s">
        <v>84</v>
      </c>
      <c r="B38" s="16">
        <v>591</v>
      </c>
      <c r="C38" s="16">
        <v>1748</v>
      </c>
      <c r="D38" s="16">
        <v>5</v>
      </c>
      <c r="E38" s="17">
        <f t="shared" si="6"/>
        <v>56.26180439826161</v>
      </c>
      <c r="F38" s="18"/>
      <c r="G38" s="22" t="s">
        <v>77</v>
      </c>
      <c r="H38" s="16">
        <v>441</v>
      </c>
      <c r="I38" s="16">
        <v>798</v>
      </c>
      <c r="J38" s="16">
        <v>12</v>
      </c>
      <c r="K38" s="17">
        <f t="shared" si="7"/>
        <v>45.997843348691305</v>
      </c>
      <c r="L38" s="23">
        <f t="shared" si="8"/>
        <v>4.2230160000000003</v>
      </c>
    </row>
    <row r="39" spans="1:12" ht="16.5" customHeight="1" x14ac:dyDescent="0.3">
      <c r="A39" s="22" t="s">
        <v>85</v>
      </c>
      <c r="B39" s="16">
        <v>591</v>
      </c>
      <c r="C39" s="16">
        <v>1748</v>
      </c>
      <c r="D39" s="16">
        <v>5</v>
      </c>
      <c r="E39" s="17">
        <f t="shared" si="6"/>
        <v>56.26180439826161</v>
      </c>
      <c r="F39" s="18"/>
      <c r="G39" s="22" t="s">
        <v>79</v>
      </c>
      <c r="H39" s="16">
        <v>441</v>
      </c>
      <c r="I39" s="16">
        <v>798</v>
      </c>
      <c r="J39" s="16">
        <v>10</v>
      </c>
      <c r="K39" s="17">
        <f t="shared" si="7"/>
        <v>38.331536123909423</v>
      </c>
      <c r="L39" s="23">
        <f t="shared" si="8"/>
        <v>3.51918</v>
      </c>
    </row>
    <row r="40" spans="1:12" ht="16.5" customHeight="1" x14ac:dyDescent="0.3">
      <c r="A40" s="22" t="s">
        <v>70</v>
      </c>
      <c r="B40" s="16">
        <v>742</v>
      </c>
      <c r="C40" s="16">
        <v>1748</v>
      </c>
      <c r="D40" s="16">
        <v>6</v>
      </c>
      <c r="E40" s="17">
        <f t="shared" si="6"/>
        <v>84.763977387837798</v>
      </c>
      <c r="F40" s="18"/>
      <c r="G40" s="22" t="s">
        <v>69</v>
      </c>
      <c r="H40" s="16">
        <v>291</v>
      </c>
      <c r="I40" s="16">
        <v>798</v>
      </c>
      <c r="J40" s="16">
        <v>12</v>
      </c>
      <c r="K40" s="17">
        <f t="shared" si="7"/>
        <v>30.352318400156847</v>
      </c>
      <c r="L40" s="23">
        <f t="shared" si="8"/>
        <v>2.7866159999999995</v>
      </c>
    </row>
    <row r="41" spans="1:12" ht="16.5" customHeight="1" x14ac:dyDescent="0.3">
      <c r="A41" s="22" t="s">
        <v>72</v>
      </c>
      <c r="B41" s="16">
        <v>742</v>
      </c>
      <c r="C41" s="16">
        <v>1748</v>
      </c>
      <c r="D41" s="16">
        <v>6</v>
      </c>
      <c r="E41" s="17">
        <f t="shared" si="6"/>
        <v>84.763977387837798</v>
      </c>
      <c r="F41" s="18"/>
      <c r="G41" s="22" t="s">
        <v>71</v>
      </c>
      <c r="H41" s="16">
        <v>291</v>
      </c>
      <c r="I41" s="16">
        <v>798</v>
      </c>
      <c r="J41" s="16">
        <v>12</v>
      </c>
      <c r="K41" s="17">
        <f t="shared" si="7"/>
        <v>30.352318400156847</v>
      </c>
      <c r="L41" s="23">
        <f t="shared" si="8"/>
        <v>2.7866159999999995</v>
      </c>
    </row>
    <row r="42" spans="1:12" ht="16.5" customHeight="1" thickBot="1" x14ac:dyDescent="0.35">
      <c r="A42" s="22" t="s">
        <v>74</v>
      </c>
      <c r="B42" s="16">
        <v>742</v>
      </c>
      <c r="C42" s="16">
        <v>1748</v>
      </c>
      <c r="D42" s="16">
        <v>5</v>
      </c>
      <c r="E42" s="17">
        <f t="shared" si="6"/>
        <v>70.63664782319816</v>
      </c>
      <c r="F42" s="18"/>
      <c r="G42" s="22" t="s">
        <v>73</v>
      </c>
      <c r="H42" s="16">
        <v>291</v>
      </c>
      <c r="I42" s="16">
        <v>798</v>
      </c>
      <c r="J42" s="16">
        <v>10</v>
      </c>
      <c r="K42" s="17">
        <f t="shared" si="7"/>
        <v>25.293598666797372</v>
      </c>
      <c r="L42" s="23">
        <f t="shared" si="8"/>
        <v>2.3221799999999999</v>
      </c>
    </row>
    <row r="43" spans="1:12" ht="16.5" customHeight="1" thickTop="1" thickBot="1" x14ac:dyDescent="0.35">
      <c r="A43" s="24"/>
      <c r="B43" s="25"/>
      <c r="C43" s="25"/>
      <c r="D43" s="26">
        <f>SUM(D26:D42)</f>
        <v>131</v>
      </c>
      <c r="E43" s="27">
        <f>SUM(E26:E42)</f>
        <v>962.9189730854273</v>
      </c>
      <c r="F43" s="28"/>
      <c r="G43" s="29"/>
      <c r="H43" s="26"/>
      <c r="I43" s="26"/>
      <c r="J43" s="26">
        <f>SUM(J26:J42)</f>
        <v>131</v>
      </c>
      <c r="K43" s="27">
        <f>SUM(K26:K42)</f>
        <v>962.91897308542741</v>
      </c>
      <c r="L43" s="27">
        <f>SUM(L26:L42)</f>
        <v>88.404628000000002</v>
      </c>
    </row>
    <row r="44" spans="1:12" ht="16.5" hidden="1" customHeight="1" thickTop="1" x14ac:dyDescent="0.3">
      <c r="A44" s="30"/>
      <c r="B44" s="54" t="s">
        <v>61</v>
      </c>
      <c r="C44" s="55"/>
      <c r="D44" s="56"/>
      <c r="E44" s="31" t="s">
        <v>43</v>
      </c>
      <c r="F44" s="18"/>
      <c r="G44" s="32"/>
      <c r="H44" s="57" t="str">
        <f>B44</f>
        <v>24T 6CL+12A+6CL</v>
      </c>
      <c r="I44" s="58"/>
      <c r="J44" s="58"/>
      <c r="K44" s="33"/>
      <c r="L44" s="34"/>
    </row>
    <row r="45" spans="1:12" ht="16.5" hidden="1" customHeight="1" x14ac:dyDescent="0.3">
      <c r="A45" s="15" t="s">
        <v>44</v>
      </c>
      <c r="B45" s="16" t="s">
        <v>45</v>
      </c>
      <c r="C45" s="16" t="s">
        <v>46</v>
      </c>
      <c r="D45" s="16" t="s">
        <v>47</v>
      </c>
      <c r="E45" s="17" t="s">
        <v>48</v>
      </c>
      <c r="F45" s="18"/>
      <c r="G45" s="15" t="s">
        <v>44</v>
      </c>
      <c r="H45" s="16" t="s">
        <v>45</v>
      </c>
      <c r="I45" s="16" t="s">
        <v>46</v>
      </c>
      <c r="J45" s="16" t="s">
        <v>47</v>
      </c>
      <c r="K45" s="19" t="s">
        <v>48</v>
      </c>
      <c r="L45" s="20" t="s">
        <v>49</v>
      </c>
    </row>
    <row r="46" spans="1:12" ht="16.5" hidden="1" customHeight="1" x14ac:dyDescent="0.3">
      <c r="A46" s="22" t="s">
        <v>86</v>
      </c>
      <c r="B46" s="16">
        <v>587</v>
      </c>
      <c r="C46" s="16">
        <v>1746</v>
      </c>
      <c r="D46" s="16">
        <v>12</v>
      </c>
      <c r="E46" s="17">
        <f t="shared" ref="E46:E57" si="9">SUM(B46*C46/91809*D46)</f>
        <v>133.9609842172336</v>
      </c>
      <c r="F46" s="18"/>
      <c r="G46" s="22" t="s">
        <v>87</v>
      </c>
      <c r="H46" s="16">
        <v>1631</v>
      </c>
      <c r="I46" s="16">
        <v>1746</v>
      </c>
      <c r="J46" s="16">
        <v>6</v>
      </c>
      <c r="K46" s="17">
        <f t="shared" ref="K46:K57" si="10">SUM(H46*I46/91809*J46)</f>
        <v>186.10763650622488</v>
      </c>
      <c r="L46" s="23">
        <f t="shared" ref="L46:L57" si="11">(H46/1000*I46/1000)*J46</f>
        <v>17.086356000000002</v>
      </c>
    </row>
    <row r="47" spans="1:12" ht="16.5" hidden="1" customHeight="1" x14ac:dyDescent="0.3">
      <c r="A47" s="22" t="s">
        <v>88</v>
      </c>
      <c r="B47" s="16">
        <v>587</v>
      </c>
      <c r="C47" s="16">
        <v>1746</v>
      </c>
      <c r="D47" s="16">
        <v>12</v>
      </c>
      <c r="E47" s="17">
        <f t="shared" si="9"/>
        <v>133.9609842172336</v>
      </c>
      <c r="F47" s="18"/>
      <c r="G47" s="22" t="s">
        <v>89</v>
      </c>
      <c r="H47" s="16">
        <v>1631</v>
      </c>
      <c r="I47" s="16">
        <v>1746</v>
      </c>
      <c r="J47" s="16">
        <v>6</v>
      </c>
      <c r="K47" s="17">
        <f t="shared" si="10"/>
        <v>186.10763650622488</v>
      </c>
      <c r="L47" s="23">
        <f t="shared" si="11"/>
        <v>17.086356000000002</v>
      </c>
    </row>
    <row r="48" spans="1:12" ht="16.5" hidden="1" customHeight="1" x14ac:dyDescent="0.3">
      <c r="A48" s="22" t="s">
        <v>90</v>
      </c>
      <c r="B48" s="16">
        <v>587</v>
      </c>
      <c r="C48" s="16">
        <v>1746</v>
      </c>
      <c r="D48" s="16">
        <v>12</v>
      </c>
      <c r="E48" s="17">
        <f t="shared" si="9"/>
        <v>133.9609842172336</v>
      </c>
      <c r="F48" s="18"/>
      <c r="G48" s="22" t="s">
        <v>91</v>
      </c>
      <c r="H48" s="16">
        <v>1631</v>
      </c>
      <c r="I48" s="16">
        <v>1746</v>
      </c>
      <c r="J48" s="16">
        <v>5</v>
      </c>
      <c r="K48" s="17">
        <f t="shared" si="10"/>
        <v>155.08969708852072</v>
      </c>
      <c r="L48" s="23">
        <f t="shared" si="11"/>
        <v>14.238630000000001</v>
      </c>
    </row>
    <row r="49" spans="1:12" ht="16.5" hidden="1" customHeight="1" x14ac:dyDescent="0.3">
      <c r="A49" s="22" t="s">
        <v>92</v>
      </c>
      <c r="B49" s="16">
        <v>587</v>
      </c>
      <c r="C49" s="16">
        <v>1746</v>
      </c>
      <c r="D49" s="16">
        <v>12</v>
      </c>
      <c r="E49" s="17">
        <f t="shared" si="9"/>
        <v>133.9609842172336</v>
      </c>
      <c r="F49" s="18"/>
      <c r="G49" s="22" t="s">
        <v>87</v>
      </c>
      <c r="H49" s="16">
        <v>742</v>
      </c>
      <c r="I49" s="16">
        <v>1746</v>
      </c>
      <c r="J49" s="16">
        <v>6</v>
      </c>
      <c r="K49" s="17">
        <f t="shared" si="10"/>
        <v>84.666993432016469</v>
      </c>
      <c r="L49" s="23">
        <f t="shared" si="11"/>
        <v>7.7731919999999999</v>
      </c>
    </row>
    <row r="50" spans="1:12" ht="16.5" hidden="1" customHeight="1" x14ac:dyDescent="0.3">
      <c r="A50" s="22" t="s">
        <v>93</v>
      </c>
      <c r="B50" s="16">
        <v>587</v>
      </c>
      <c r="C50" s="16">
        <v>1746</v>
      </c>
      <c r="D50" s="16">
        <v>10</v>
      </c>
      <c r="E50" s="17">
        <f t="shared" si="9"/>
        <v>111.63415351436134</v>
      </c>
      <c r="F50" s="18"/>
      <c r="G50" s="22" t="s">
        <v>89</v>
      </c>
      <c r="H50" s="16">
        <v>742</v>
      </c>
      <c r="I50" s="16">
        <v>1746</v>
      </c>
      <c r="J50" s="16">
        <v>6</v>
      </c>
      <c r="K50" s="17">
        <f t="shared" si="10"/>
        <v>84.666993432016469</v>
      </c>
      <c r="L50" s="23">
        <f t="shared" si="11"/>
        <v>7.7731919999999999</v>
      </c>
    </row>
    <row r="51" spans="1:12" ht="16.5" hidden="1" customHeight="1" x14ac:dyDescent="0.3">
      <c r="A51" s="22" t="s">
        <v>94</v>
      </c>
      <c r="B51" s="16">
        <v>587</v>
      </c>
      <c r="C51" s="16">
        <v>1746</v>
      </c>
      <c r="D51" s="16">
        <v>10</v>
      </c>
      <c r="E51" s="17">
        <f t="shared" si="9"/>
        <v>111.63415351436134</v>
      </c>
      <c r="F51" s="18"/>
      <c r="G51" s="22" t="s">
        <v>91</v>
      </c>
      <c r="H51" s="16">
        <v>742</v>
      </c>
      <c r="I51" s="16">
        <v>1746</v>
      </c>
      <c r="J51" s="16">
        <v>5</v>
      </c>
      <c r="K51" s="17">
        <f t="shared" si="10"/>
        <v>70.555827860013721</v>
      </c>
      <c r="L51" s="23">
        <f t="shared" si="11"/>
        <v>6.4776599999999993</v>
      </c>
    </row>
    <row r="52" spans="1:12" ht="16.5" hidden="1" customHeight="1" x14ac:dyDescent="0.3">
      <c r="A52" s="22" t="s">
        <v>87</v>
      </c>
      <c r="B52" s="16">
        <v>742</v>
      </c>
      <c r="C52" s="16">
        <v>1746</v>
      </c>
      <c r="D52" s="16">
        <v>6</v>
      </c>
      <c r="E52" s="17">
        <f t="shared" si="9"/>
        <v>84.666993432016469</v>
      </c>
      <c r="F52" s="18"/>
      <c r="G52" s="22" t="s">
        <v>86</v>
      </c>
      <c r="H52" s="16">
        <v>587</v>
      </c>
      <c r="I52" s="16">
        <v>1746</v>
      </c>
      <c r="J52" s="16">
        <v>12</v>
      </c>
      <c r="K52" s="17">
        <f t="shared" si="10"/>
        <v>133.9609842172336</v>
      </c>
      <c r="L52" s="23">
        <f t="shared" si="11"/>
        <v>12.298824</v>
      </c>
    </row>
    <row r="53" spans="1:12" ht="16.5" hidden="1" customHeight="1" x14ac:dyDescent="0.3">
      <c r="A53" s="22" t="s">
        <v>89</v>
      </c>
      <c r="B53" s="16">
        <v>742</v>
      </c>
      <c r="C53" s="16">
        <v>1746</v>
      </c>
      <c r="D53" s="16">
        <v>6</v>
      </c>
      <c r="E53" s="17">
        <f t="shared" si="9"/>
        <v>84.666993432016469</v>
      </c>
      <c r="F53" s="18"/>
      <c r="G53" s="22" t="s">
        <v>88</v>
      </c>
      <c r="H53" s="16">
        <v>587</v>
      </c>
      <c r="I53" s="16">
        <v>1746</v>
      </c>
      <c r="J53" s="16">
        <v>12</v>
      </c>
      <c r="K53" s="17">
        <f t="shared" si="10"/>
        <v>133.9609842172336</v>
      </c>
      <c r="L53" s="23">
        <f t="shared" si="11"/>
        <v>12.298824</v>
      </c>
    </row>
    <row r="54" spans="1:12" ht="16.5" hidden="1" customHeight="1" x14ac:dyDescent="0.3">
      <c r="A54" s="22" t="s">
        <v>91</v>
      </c>
      <c r="B54" s="16">
        <v>742</v>
      </c>
      <c r="C54" s="16">
        <v>1746</v>
      </c>
      <c r="D54" s="16">
        <v>5</v>
      </c>
      <c r="E54" s="17">
        <f t="shared" si="9"/>
        <v>70.555827860013721</v>
      </c>
      <c r="F54" s="18"/>
      <c r="G54" s="22" t="s">
        <v>90</v>
      </c>
      <c r="H54" s="16">
        <v>587</v>
      </c>
      <c r="I54" s="16">
        <v>1746</v>
      </c>
      <c r="J54" s="16">
        <v>12</v>
      </c>
      <c r="K54" s="17">
        <f t="shared" si="10"/>
        <v>133.9609842172336</v>
      </c>
      <c r="L54" s="23">
        <f t="shared" si="11"/>
        <v>12.298824</v>
      </c>
    </row>
    <row r="55" spans="1:12" ht="16.5" hidden="1" customHeight="1" x14ac:dyDescent="0.3">
      <c r="A55" s="22" t="s">
        <v>87</v>
      </c>
      <c r="B55" s="16">
        <v>1631</v>
      </c>
      <c r="C55" s="16">
        <v>1746</v>
      </c>
      <c r="D55" s="16">
        <v>6</v>
      </c>
      <c r="E55" s="17">
        <f t="shared" si="9"/>
        <v>186.10763650622488</v>
      </c>
      <c r="F55" s="18"/>
      <c r="G55" s="22" t="s">
        <v>92</v>
      </c>
      <c r="H55" s="16">
        <v>587</v>
      </c>
      <c r="I55" s="16">
        <v>1746</v>
      </c>
      <c r="J55" s="16">
        <v>12</v>
      </c>
      <c r="K55" s="17">
        <f t="shared" si="10"/>
        <v>133.9609842172336</v>
      </c>
      <c r="L55" s="23">
        <f t="shared" si="11"/>
        <v>12.298824</v>
      </c>
    </row>
    <row r="56" spans="1:12" ht="16.5" hidden="1" customHeight="1" x14ac:dyDescent="0.3">
      <c r="A56" s="22" t="s">
        <v>89</v>
      </c>
      <c r="B56" s="16">
        <v>1631</v>
      </c>
      <c r="C56" s="16">
        <v>1746</v>
      </c>
      <c r="D56" s="16">
        <v>6</v>
      </c>
      <c r="E56" s="17">
        <f t="shared" si="9"/>
        <v>186.10763650622488</v>
      </c>
      <c r="F56" s="18"/>
      <c r="G56" s="22" t="s">
        <v>93</v>
      </c>
      <c r="H56" s="16">
        <v>587</v>
      </c>
      <c r="I56" s="16">
        <v>1746</v>
      </c>
      <c r="J56" s="16">
        <v>10</v>
      </c>
      <c r="K56" s="17">
        <f t="shared" si="10"/>
        <v>111.63415351436134</v>
      </c>
      <c r="L56" s="23">
        <f t="shared" si="11"/>
        <v>10.24902</v>
      </c>
    </row>
    <row r="57" spans="1:12" ht="16.5" hidden="1" customHeight="1" thickBot="1" x14ac:dyDescent="0.35">
      <c r="A57" s="22" t="s">
        <v>91</v>
      </c>
      <c r="B57" s="16">
        <v>1631</v>
      </c>
      <c r="C57" s="16">
        <v>1746</v>
      </c>
      <c r="D57" s="16">
        <v>5</v>
      </c>
      <c r="E57" s="17">
        <f t="shared" si="9"/>
        <v>155.08969708852072</v>
      </c>
      <c r="F57" s="18"/>
      <c r="G57" s="22" t="s">
        <v>94</v>
      </c>
      <c r="H57" s="16">
        <v>587</v>
      </c>
      <c r="I57" s="16">
        <v>1746</v>
      </c>
      <c r="J57" s="16">
        <v>10</v>
      </c>
      <c r="K57" s="17">
        <f t="shared" si="10"/>
        <v>111.63415351436134</v>
      </c>
      <c r="L57" s="23">
        <f t="shared" si="11"/>
        <v>10.24902</v>
      </c>
    </row>
    <row r="58" spans="1:12" s="14" customFormat="1" ht="16.5" hidden="1" customHeight="1" thickTop="1" thickBot="1" x14ac:dyDescent="0.35">
      <c r="A58" s="35"/>
      <c r="B58" s="36"/>
      <c r="C58" s="36"/>
      <c r="D58" s="36">
        <f>SUM(D46:D57)</f>
        <v>102</v>
      </c>
      <c r="E58" s="37">
        <f>SUM(E46:E57)</f>
        <v>1526.3070287226744</v>
      </c>
      <c r="F58" s="12"/>
      <c r="G58" s="38"/>
      <c r="H58" s="36"/>
      <c r="I58" s="36"/>
      <c r="J58" s="36">
        <f>SUM(J46:J57)</f>
        <v>102</v>
      </c>
      <c r="K58" s="37">
        <f>SUM(K46:K57)</f>
        <v>1526.307028722674</v>
      </c>
      <c r="L58" s="39">
        <f>SUM(L46:L57)</f>
        <v>140.12872199999998</v>
      </c>
    </row>
    <row r="59" spans="1:12" ht="16.5" hidden="1" customHeight="1" thickTop="1" x14ac:dyDescent="0.3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</row>
    <row r="60" spans="1:12" ht="16.5" customHeight="1" thickTop="1" x14ac:dyDescent="0.3"/>
  </sheetData>
  <mergeCells count="9">
    <mergeCell ref="B44:D44"/>
    <mergeCell ref="H44:J44"/>
    <mergeCell ref="A59:L59"/>
    <mergeCell ref="B1:D1"/>
    <mergeCell ref="H1:J1"/>
    <mergeCell ref="B15:D15"/>
    <mergeCell ref="H15:J15"/>
    <mergeCell ref="B24:D24"/>
    <mergeCell ref="H24:J24"/>
  </mergeCells>
  <phoneticPr fontId="4" type="noConversion"/>
  <printOptions horizontalCentered="1"/>
  <pageMargins left="0.19685039370078741" right="0.15748031496062992" top="0.31496062992125984" bottom="0.35433070866141736" header="0.15748031496062992" footer="0.15748031496062992"/>
  <pageSetup paperSize="9" scale="60" fitToHeight="0" orientation="portrait" r:id="rId1"/>
  <headerFooter>
    <oddHeader>&amp;L거래처&amp;C현장&amp;R시공 :  소장</oddHeader>
    <oddFooter>&amp;N페이지 중 &amp;P페이지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94FF8-D5A6-4DDB-9630-09A92D1F77A7}">
  <dimension ref="A1:E11"/>
  <sheetViews>
    <sheetView zoomScale="80" zoomScaleNormal="80" workbookViewId="0">
      <selection sqref="A1:D11"/>
    </sheetView>
  </sheetViews>
  <sheetFormatPr defaultRowHeight="16.5" x14ac:dyDescent="0.3"/>
  <cols>
    <col min="1" max="1" width="46" style="52" customWidth="1"/>
    <col min="2" max="10" width="9" style="52"/>
    <col min="11" max="11" width="15.5" style="52" bestFit="1" customWidth="1"/>
    <col min="12" max="13" width="9" style="52"/>
    <col min="14" max="14" width="31.25" style="52" bestFit="1" customWidth="1"/>
    <col min="15" max="16384" width="9" style="52"/>
  </cols>
  <sheetData>
    <row r="1" spans="1:5" x14ac:dyDescent="0.3">
      <c r="A1" s="41" t="s">
        <v>140</v>
      </c>
      <c r="B1" s="50" t="s">
        <v>141</v>
      </c>
      <c r="C1" s="50" t="s">
        <v>142</v>
      </c>
      <c r="D1" s="50" t="s">
        <v>3</v>
      </c>
      <c r="E1" s="51"/>
    </row>
    <row r="2" spans="1:5" x14ac:dyDescent="0.3">
      <c r="A2" s="53" t="s">
        <v>143</v>
      </c>
      <c r="B2" s="52">
        <v>1646</v>
      </c>
      <c r="C2" s="52">
        <v>1748</v>
      </c>
      <c r="D2" s="52">
        <v>17</v>
      </c>
    </row>
    <row r="3" spans="1:5" x14ac:dyDescent="0.3">
      <c r="A3" s="53" t="s">
        <v>144</v>
      </c>
      <c r="B3" s="52">
        <v>591</v>
      </c>
      <c r="C3" s="52">
        <v>1748</v>
      </c>
      <c r="D3" s="52">
        <v>34</v>
      </c>
    </row>
    <row r="4" spans="1:5" x14ac:dyDescent="0.3">
      <c r="A4" s="53" t="s">
        <v>145</v>
      </c>
      <c r="B4" s="52">
        <v>543</v>
      </c>
      <c r="C4" s="52">
        <v>1745</v>
      </c>
      <c r="D4" s="52">
        <v>12</v>
      </c>
    </row>
    <row r="5" spans="1:5" x14ac:dyDescent="0.3">
      <c r="A5" s="53" t="s">
        <v>146</v>
      </c>
      <c r="B5" s="52">
        <v>435</v>
      </c>
      <c r="C5" s="52">
        <v>794</v>
      </c>
      <c r="D5" s="52">
        <v>34</v>
      </c>
    </row>
    <row r="6" spans="1:5" x14ac:dyDescent="0.3">
      <c r="A6" s="53" t="s">
        <v>147</v>
      </c>
      <c r="B6" s="52">
        <v>285</v>
      </c>
      <c r="C6" s="52">
        <v>794</v>
      </c>
      <c r="D6" s="52">
        <v>34</v>
      </c>
    </row>
    <row r="7" spans="1:5" x14ac:dyDescent="0.3">
      <c r="A7" s="53" t="s">
        <v>148</v>
      </c>
      <c r="B7" s="52">
        <v>742</v>
      </c>
      <c r="C7" s="52">
        <v>1748</v>
      </c>
      <c r="D7" s="52">
        <v>17</v>
      </c>
    </row>
    <row r="8" spans="1:5" x14ac:dyDescent="0.3">
      <c r="A8" s="53" t="s">
        <v>149</v>
      </c>
      <c r="B8" s="52">
        <v>591</v>
      </c>
      <c r="C8" s="52">
        <v>1748</v>
      </c>
      <c r="D8" s="52">
        <v>34</v>
      </c>
    </row>
    <row r="9" spans="1:5" x14ac:dyDescent="0.3">
      <c r="A9" s="53" t="s">
        <v>150</v>
      </c>
      <c r="B9" s="52">
        <v>543</v>
      </c>
      <c r="C9" s="52">
        <v>1745</v>
      </c>
      <c r="D9" s="52">
        <v>12</v>
      </c>
    </row>
    <row r="10" spans="1:5" x14ac:dyDescent="0.3">
      <c r="A10" s="53" t="s">
        <v>151</v>
      </c>
      <c r="B10" s="52">
        <v>441</v>
      </c>
      <c r="C10" s="52">
        <v>798</v>
      </c>
      <c r="D10" s="52">
        <v>34</v>
      </c>
    </row>
    <row r="11" spans="1:5" x14ac:dyDescent="0.3">
      <c r="A11" s="53" t="s">
        <v>152</v>
      </c>
      <c r="B11" s="52">
        <v>291</v>
      </c>
      <c r="C11" s="52">
        <v>798</v>
      </c>
      <c r="D11" s="52">
        <v>34</v>
      </c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EC960-3DE7-416D-8D99-0F52144F0583}">
  <dimension ref="P1:V26"/>
  <sheetViews>
    <sheetView zoomScale="90" zoomScaleNormal="90" workbookViewId="0">
      <selection activeCell="V19" sqref="V19"/>
    </sheetView>
  </sheetViews>
  <sheetFormatPr defaultRowHeight="16.5" x14ac:dyDescent="0.3"/>
  <cols>
    <col min="17" max="17" width="0" hidden="1" customWidth="1"/>
    <col min="18" max="18" width="30.125" bestFit="1" customWidth="1"/>
    <col min="19" max="19" width="13" style="6" customWidth="1"/>
    <col min="22" max="22" width="39" bestFit="1" customWidth="1"/>
  </cols>
  <sheetData>
    <row r="1" spans="16:22" x14ac:dyDescent="0.3">
      <c r="P1" s="46" t="s">
        <v>95</v>
      </c>
      <c r="Q1" s="42" t="s">
        <v>96</v>
      </c>
      <c r="R1" s="42" t="s">
        <v>97</v>
      </c>
      <c r="S1" s="46" t="s">
        <v>98</v>
      </c>
      <c r="T1" s="42" t="s">
        <v>3</v>
      </c>
      <c r="U1" s="44" t="s">
        <v>99</v>
      </c>
      <c r="V1" s="44" t="s">
        <v>14</v>
      </c>
    </row>
    <row r="2" spans="16:22" x14ac:dyDescent="0.3">
      <c r="P2" s="47">
        <v>1</v>
      </c>
      <c r="Q2" s="43"/>
      <c r="R2" s="43" t="s">
        <v>100</v>
      </c>
      <c r="S2" s="47" t="s">
        <v>101</v>
      </c>
      <c r="T2" s="43">
        <v>17</v>
      </c>
      <c r="U2" s="45">
        <v>48.96</v>
      </c>
      <c r="V2" s="45" t="s">
        <v>102</v>
      </c>
    </row>
    <row r="3" spans="16:22" x14ac:dyDescent="0.3">
      <c r="P3" s="47">
        <v>2</v>
      </c>
      <c r="Q3" s="43"/>
      <c r="R3" s="43"/>
      <c r="S3" s="47" t="s">
        <v>103</v>
      </c>
      <c r="T3" s="43">
        <v>34</v>
      </c>
      <c r="U3" s="45">
        <v>35.020000000000003</v>
      </c>
      <c r="V3" s="45" t="s">
        <v>104</v>
      </c>
    </row>
    <row r="4" spans="16:22" x14ac:dyDescent="0.3">
      <c r="P4" s="47">
        <v>3</v>
      </c>
      <c r="Q4" s="43"/>
      <c r="R4" s="43"/>
      <c r="S4" s="47" t="s">
        <v>105</v>
      </c>
      <c r="T4" s="43">
        <v>12</v>
      </c>
      <c r="U4" s="45">
        <v>11.4</v>
      </c>
      <c r="V4" s="45" t="s">
        <v>106</v>
      </c>
    </row>
    <row r="5" spans="16:22" x14ac:dyDescent="0.3">
      <c r="P5" s="47" t="s">
        <v>107</v>
      </c>
      <c r="Q5" s="43"/>
      <c r="R5" s="43"/>
      <c r="S5" s="47"/>
      <c r="T5" s="43">
        <v>63</v>
      </c>
      <c r="U5" s="45">
        <v>95.38</v>
      </c>
      <c r="V5" s="45"/>
    </row>
    <row r="6" spans="16:22" x14ac:dyDescent="0.3">
      <c r="P6" s="47">
        <v>4</v>
      </c>
      <c r="Q6" s="43"/>
      <c r="R6" s="43" t="s">
        <v>108</v>
      </c>
      <c r="S6" s="47" t="s">
        <v>109</v>
      </c>
      <c r="T6" s="43">
        <v>34</v>
      </c>
      <c r="U6" s="45">
        <v>11.9</v>
      </c>
      <c r="V6" s="45" t="s">
        <v>110</v>
      </c>
    </row>
    <row r="7" spans="16:22" x14ac:dyDescent="0.3">
      <c r="P7" s="47">
        <v>5</v>
      </c>
      <c r="Q7" s="43"/>
      <c r="R7" s="43"/>
      <c r="S7" s="47" t="s">
        <v>111</v>
      </c>
      <c r="T7" s="43">
        <v>34</v>
      </c>
      <c r="U7" s="45">
        <v>9.52</v>
      </c>
      <c r="V7" s="45" t="s">
        <v>112</v>
      </c>
    </row>
    <row r="8" spans="16:22" x14ac:dyDescent="0.3">
      <c r="P8" s="47" t="s">
        <v>107</v>
      </c>
      <c r="Q8" s="43"/>
      <c r="R8" s="43"/>
      <c r="S8" s="47"/>
      <c r="T8" s="43">
        <v>68</v>
      </c>
      <c r="U8" s="45">
        <v>21.42</v>
      </c>
      <c r="V8" s="45"/>
    </row>
    <row r="9" spans="16:22" x14ac:dyDescent="0.3">
      <c r="P9" s="47">
        <v>6</v>
      </c>
      <c r="Q9" s="43"/>
      <c r="R9" s="43" t="s">
        <v>113</v>
      </c>
      <c r="S9" s="47" t="s">
        <v>114</v>
      </c>
      <c r="T9" s="43">
        <v>17</v>
      </c>
      <c r="U9" s="45">
        <v>22.1</v>
      </c>
      <c r="V9" s="45" t="s">
        <v>115</v>
      </c>
    </row>
    <row r="10" spans="16:22" x14ac:dyDescent="0.3">
      <c r="P10" s="47">
        <v>7</v>
      </c>
      <c r="Q10" s="43"/>
      <c r="R10" s="43"/>
      <c r="S10" s="47" t="s">
        <v>103</v>
      </c>
      <c r="T10" s="43">
        <v>34</v>
      </c>
      <c r="U10" s="45">
        <v>35.020000000000003</v>
      </c>
      <c r="V10" s="45" t="s">
        <v>116</v>
      </c>
    </row>
    <row r="11" spans="16:22" x14ac:dyDescent="0.3">
      <c r="P11" s="47">
        <v>8</v>
      </c>
      <c r="Q11" s="43"/>
      <c r="R11" s="43"/>
      <c r="S11" s="47" t="s">
        <v>105</v>
      </c>
      <c r="T11" s="43">
        <v>12</v>
      </c>
      <c r="U11" s="45">
        <v>11.4</v>
      </c>
      <c r="V11" s="45" t="s">
        <v>117</v>
      </c>
    </row>
    <row r="12" spans="16:22" x14ac:dyDescent="0.3">
      <c r="P12" s="47">
        <v>9</v>
      </c>
      <c r="Q12" s="43"/>
      <c r="R12" s="43"/>
      <c r="S12" s="47" t="s">
        <v>118</v>
      </c>
      <c r="T12" s="43">
        <v>34</v>
      </c>
      <c r="U12" s="45">
        <v>11.9</v>
      </c>
      <c r="V12" s="45" t="s">
        <v>119</v>
      </c>
    </row>
    <row r="13" spans="16:22" x14ac:dyDescent="0.3">
      <c r="P13" s="47">
        <v>10</v>
      </c>
      <c r="Q13" s="43"/>
      <c r="R13" s="43"/>
      <c r="S13" s="47" t="s">
        <v>120</v>
      </c>
      <c r="T13" s="43">
        <v>34</v>
      </c>
      <c r="U13" s="45">
        <v>9.52</v>
      </c>
      <c r="V13" s="45" t="s">
        <v>121</v>
      </c>
    </row>
    <row r="14" spans="16:22" x14ac:dyDescent="0.3">
      <c r="P14" s="47" t="s">
        <v>107</v>
      </c>
      <c r="Q14" s="43"/>
      <c r="R14" s="43"/>
      <c r="S14" s="47"/>
      <c r="T14" s="43">
        <v>131</v>
      </c>
      <c r="U14" s="45">
        <v>89.94</v>
      </c>
      <c r="V14" s="45"/>
    </row>
    <row r="15" spans="16:22" x14ac:dyDescent="0.3">
      <c r="P15" s="47" t="s">
        <v>122</v>
      </c>
      <c r="Q15" s="43"/>
      <c r="R15" s="43"/>
      <c r="S15" s="47"/>
      <c r="T15" s="43">
        <v>262</v>
      </c>
      <c r="U15" s="45">
        <v>206.74</v>
      </c>
      <c r="V15" s="45"/>
    </row>
    <row r="16" spans="16:22" x14ac:dyDescent="0.3">
      <c r="P16" s="47"/>
      <c r="Q16" s="43"/>
      <c r="R16" s="43"/>
      <c r="S16" s="47"/>
      <c r="T16" s="43"/>
      <c r="U16" s="45"/>
      <c r="V16" s="45"/>
    </row>
    <row r="17" spans="16:22" x14ac:dyDescent="0.3">
      <c r="P17" s="47"/>
      <c r="Q17" s="43"/>
      <c r="R17" s="43"/>
      <c r="S17" s="47"/>
      <c r="T17" s="43"/>
      <c r="U17" s="45"/>
      <c r="V17" s="45"/>
    </row>
    <row r="18" spans="16:22" x14ac:dyDescent="0.3">
      <c r="P18" s="47"/>
      <c r="Q18" s="43"/>
      <c r="R18" s="43"/>
      <c r="S18" s="47"/>
      <c r="T18" s="43"/>
      <c r="U18" s="45"/>
      <c r="V18" s="45"/>
    </row>
    <row r="19" spans="16:22" x14ac:dyDescent="0.3">
      <c r="P19" s="47"/>
      <c r="Q19" s="43"/>
      <c r="R19" s="43"/>
      <c r="S19" s="47"/>
      <c r="T19" s="43"/>
      <c r="U19" s="45"/>
      <c r="V19" s="45"/>
    </row>
    <row r="20" spans="16:22" x14ac:dyDescent="0.3">
      <c r="P20" s="47"/>
      <c r="Q20" s="43"/>
      <c r="R20" s="43"/>
      <c r="S20" s="47"/>
      <c r="T20" s="43"/>
      <c r="U20" s="45"/>
      <c r="V20" s="45"/>
    </row>
    <row r="21" spans="16:22" x14ac:dyDescent="0.3">
      <c r="P21" s="47"/>
      <c r="Q21" s="43"/>
      <c r="R21" s="43"/>
      <c r="S21" s="47"/>
      <c r="T21" s="43"/>
      <c r="U21" s="45"/>
      <c r="V21" s="45"/>
    </row>
    <row r="22" spans="16:22" x14ac:dyDescent="0.3">
      <c r="P22" s="47"/>
      <c r="Q22" s="43"/>
      <c r="R22" s="43"/>
      <c r="S22" s="47"/>
      <c r="T22" s="43"/>
      <c r="U22" s="45"/>
      <c r="V22" s="45"/>
    </row>
    <row r="23" spans="16:22" x14ac:dyDescent="0.3">
      <c r="P23" s="47"/>
      <c r="Q23" s="43"/>
      <c r="R23" s="43"/>
      <c r="S23" s="47"/>
      <c r="T23" s="43"/>
      <c r="U23" s="45"/>
      <c r="V23" s="45"/>
    </row>
    <row r="24" spans="16:22" x14ac:dyDescent="0.3">
      <c r="P24" s="47"/>
      <c r="Q24" s="43"/>
      <c r="R24" s="43"/>
      <c r="S24" s="47"/>
      <c r="T24" s="43"/>
      <c r="U24" s="45"/>
      <c r="V24" s="45"/>
    </row>
    <row r="25" spans="16:22" x14ac:dyDescent="0.3">
      <c r="P25" s="47"/>
      <c r="Q25" s="43"/>
      <c r="R25" s="43"/>
      <c r="S25" s="47"/>
      <c r="T25" s="43"/>
      <c r="U25" s="45"/>
      <c r="V25" s="45"/>
    </row>
    <row r="26" spans="16:22" x14ac:dyDescent="0.3">
      <c r="P26" s="47"/>
      <c r="Q26" s="43"/>
      <c r="R26" s="43"/>
      <c r="S26" s="47"/>
      <c r="T26" s="43"/>
      <c r="U26" s="45"/>
      <c r="V26" s="45"/>
    </row>
  </sheetData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DB928-85FD-4728-8237-CB0765C0E0C9}">
  <dimension ref="A1:P11"/>
  <sheetViews>
    <sheetView workbookViewId="0">
      <selection activeCell="E19" sqref="E19"/>
    </sheetView>
  </sheetViews>
  <sheetFormatPr defaultRowHeight="16.5" x14ac:dyDescent="0.3"/>
  <cols>
    <col min="4" max="4" width="13.5" bestFit="1" customWidth="1"/>
    <col min="5" max="5" width="28.375" bestFit="1" customWidth="1"/>
    <col min="7" max="7" width="22.375" bestFit="1" customWidth="1"/>
    <col min="16" max="16" width="36.75" bestFit="1" customWidth="1"/>
  </cols>
  <sheetData>
    <row r="1" spans="1:16" x14ac:dyDescent="0.3">
      <c r="A1" s="46" t="s">
        <v>123</v>
      </c>
      <c r="B1" s="46" t="s">
        <v>124</v>
      </c>
      <c r="C1" s="46" t="s">
        <v>125</v>
      </c>
      <c r="D1" s="46" t="s">
        <v>96</v>
      </c>
      <c r="E1" s="46" t="s">
        <v>126</v>
      </c>
      <c r="F1" s="46" t="s">
        <v>127</v>
      </c>
      <c r="G1" s="46" t="s">
        <v>97</v>
      </c>
      <c r="H1" s="46" t="s">
        <v>128</v>
      </c>
      <c r="I1" s="48" t="s">
        <v>1</v>
      </c>
      <c r="J1" s="48" t="s">
        <v>2</v>
      </c>
      <c r="K1" s="48" t="s">
        <v>129</v>
      </c>
      <c r="L1" s="48" t="s">
        <v>130</v>
      </c>
      <c r="M1" s="48" t="s">
        <v>131</v>
      </c>
      <c r="N1" s="48" t="s">
        <v>99</v>
      </c>
      <c r="O1" s="48" t="s">
        <v>132</v>
      </c>
      <c r="P1" s="48" t="s">
        <v>14</v>
      </c>
    </row>
    <row r="2" spans="1:16" x14ac:dyDescent="0.3">
      <c r="A2" s="47" t="s">
        <v>133</v>
      </c>
      <c r="B2" s="49">
        <v>46255</v>
      </c>
      <c r="C2" s="47"/>
      <c r="D2" s="43" t="s">
        <v>134</v>
      </c>
      <c r="E2" s="43" t="s">
        <v>135</v>
      </c>
      <c r="F2" s="43" t="s">
        <v>136</v>
      </c>
      <c r="G2" s="43" t="s">
        <v>137</v>
      </c>
      <c r="H2" s="43">
        <v>26.76</v>
      </c>
      <c r="I2" s="45">
        <v>1646</v>
      </c>
      <c r="J2" s="45">
        <v>1748</v>
      </c>
      <c r="K2" s="45">
        <v>17</v>
      </c>
      <c r="L2" s="45"/>
      <c r="M2" s="45">
        <v>17</v>
      </c>
      <c r="N2" s="45">
        <v>532.76</v>
      </c>
      <c r="O2" s="45"/>
      <c r="P2" s="45" t="s">
        <v>102</v>
      </c>
    </row>
    <row r="3" spans="1:16" x14ac:dyDescent="0.3">
      <c r="A3" s="47" t="s">
        <v>133</v>
      </c>
      <c r="B3" s="49">
        <v>46255</v>
      </c>
      <c r="C3" s="47"/>
      <c r="D3" s="43" t="s">
        <v>134</v>
      </c>
      <c r="E3" s="43" t="s">
        <v>135</v>
      </c>
      <c r="F3" s="43" t="s">
        <v>136</v>
      </c>
      <c r="G3" s="43" t="s">
        <v>137</v>
      </c>
      <c r="H3" s="43">
        <v>26.76</v>
      </c>
      <c r="I3" s="45">
        <v>591</v>
      </c>
      <c r="J3" s="45">
        <v>1748</v>
      </c>
      <c r="K3" s="45">
        <v>34</v>
      </c>
      <c r="L3" s="45"/>
      <c r="M3" s="45">
        <v>34</v>
      </c>
      <c r="N3" s="45">
        <v>382.58</v>
      </c>
      <c r="O3" s="45"/>
      <c r="P3" s="45" t="s">
        <v>104</v>
      </c>
    </row>
    <row r="4" spans="1:16" x14ac:dyDescent="0.3">
      <c r="A4" s="47" t="s">
        <v>133</v>
      </c>
      <c r="B4" s="49">
        <v>46255</v>
      </c>
      <c r="C4" s="47"/>
      <c r="D4" s="43" t="s">
        <v>134</v>
      </c>
      <c r="E4" s="43" t="s">
        <v>135</v>
      </c>
      <c r="F4" s="43" t="s">
        <v>136</v>
      </c>
      <c r="G4" s="43" t="s">
        <v>137</v>
      </c>
      <c r="H4" s="43">
        <v>26.76</v>
      </c>
      <c r="I4" s="45">
        <v>543</v>
      </c>
      <c r="J4" s="45">
        <v>1745</v>
      </c>
      <c r="K4" s="45">
        <v>12</v>
      </c>
      <c r="L4" s="45"/>
      <c r="M4" s="45">
        <v>12</v>
      </c>
      <c r="N4" s="45">
        <v>123.85</v>
      </c>
      <c r="O4" s="45"/>
      <c r="P4" s="45" t="s">
        <v>106</v>
      </c>
    </row>
    <row r="5" spans="1:16" x14ac:dyDescent="0.3">
      <c r="A5" s="47" t="s">
        <v>133</v>
      </c>
      <c r="B5" s="49">
        <v>46255</v>
      </c>
      <c r="C5" s="47"/>
      <c r="D5" s="43" t="s">
        <v>134</v>
      </c>
      <c r="E5" s="43" t="s">
        <v>135</v>
      </c>
      <c r="F5" s="43" t="s">
        <v>136</v>
      </c>
      <c r="G5" s="43" t="s">
        <v>138</v>
      </c>
      <c r="H5" s="43">
        <v>24</v>
      </c>
      <c r="I5" s="45">
        <v>435</v>
      </c>
      <c r="J5" s="45">
        <v>794</v>
      </c>
      <c r="K5" s="45">
        <v>34</v>
      </c>
      <c r="L5" s="45"/>
      <c r="M5" s="45">
        <v>34</v>
      </c>
      <c r="N5" s="45">
        <v>127.91</v>
      </c>
      <c r="O5" s="45"/>
      <c r="P5" s="45" t="s">
        <v>110</v>
      </c>
    </row>
    <row r="6" spans="1:16" x14ac:dyDescent="0.3">
      <c r="A6" s="47" t="s">
        <v>133</v>
      </c>
      <c r="B6" s="49">
        <v>46255</v>
      </c>
      <c r="C6" s="47"/>
      <c r="D6" s="43" t="s">
        <v>134</v>
      </c>
      <c r="E6" s="43" t="s">
        <v>135</v>
      </c>
      <c r="F6" s="43" t="s">
        <v>136</v>
      </c>
      <c r="G6" s="43" t="s">
        <v>138</v>
      </c>
      <c r="H6" s="43">
        <v>24</v>
      </c>
      <c r="I6" s="45">
        <v>285</v>
      </c>
      <c r="J6" s="45">
        <v>794</v>
      </c>
      <c r="K6" s="45">
        <v>34</v>
      </c>
      <c r="L6" s="45"/>
      <c r="M6" s="45">
        <v>34</v>
      </c>
      <c r="N6" s="45">
        <v>83.8</v>
      </c>
      <c r="O6" s="45"/>
      <c r="P6" s="45" t="s">
        <v>112</v>
      </c>
    </row>
    <row r="7" spans="1:16" x14ac:dyDescent="0.3">
      <c r="A7" s="47" t="s">
        <v>133</v>
      </c>
      <c r="B7" s="49">
        <v>46255</v>
      </c>
      <c r="C7" s="47"/>
      <c r="D7" s="43" t="s">
        <v>134</v>
      </c>
      <c r="E7" s="43" t="s">
        <v>135</v>
      </c>
      <c r="F7" s="43" t="s">
        <v>136</v>
      </c>
      <c r="G7" s="43" t="s">
        <v>139</v>
      </c>
      <c r="H7" s="43">
        <v>24</v>
      </c>
      <c r="I7" s="45">
        <v>742</v>
      </c>
      <c r="J7" s="45">
        <v>1748</v>
      </c>
      <c r="K7" s="45">
        <v>17</v>
      </c>
      <c r="L7" s="45"/>
      <c r="M7" s="45">
        <v>17</v>
      </c>
      <c r="N7" s="45">
        <v>240.16</v>
      </c>
      <c r="O7" s="45"/>
      <c r="P7" s="45" t="s">
        <v>115</v>
      </c>
    </row>
    <row r="8" spans="1:16" x14ac:dyDescent="0.3">
      <c r="A8" s="47" t="s">
        <v>133</v>
      </c>
      <c r="B8" s="49">
        <v>46255</v>
      </c>
      <c r="C8" s="47"/>
      <c r="D8" s="43" t="s">
        <v>134</v>
      </c>
      <c r="E8" s="43" t="s">
        <v>135</v>
      </c>
      <c r="F8" s="43" t="s">
        <v>136</v>
      </c>
      <c r="G8" s="43" t="s">
        <v>139</v>
      </c>
      <c r="H8" s="43">
        <v>24</v>
      </c>
      <c r="I8" s="45">
        <v>591</v>
      </c>
      <c r="J8" s="45">
        <v>1748</v>
      </c>
      <c r="K8" s="45">
        <v>34</v>
      </c>
      <c r="L8" s="45"/>
      <c r="M8" s="45">
        <v>34</v>
      </c>
      <c r="N8" s="45">
        <v>382.58</v>
      </c>
      <c r="O8" s="45"/>
      <c r="P8" s="45" t="s">
        <v>116</v>
      </c>
    </row>
    <row r="9" spans="1:16" x14ac:dyDescent="0.3">
      <c r="A9" s="47" t="s">
        <v>133</v>
      </c>
      <c r="B9" s="49">
        <v>46255</v>
      </c>
      <c r="C9" s="47"/>
      <c r="D9" s="43" t="s">
        <v>134</v>
      </c>
      <c r="E9" s="43" t="s">
        <v>135</v>
      </c>
      <c r="F9" s="43" t="s">
        <v>136</v>
      </c>
      <c r="G9" s="43" t="s">
        <v>139</v>
      </c>
      <c r="H9" s="43">
        <v>24</v>
      </c>
      <c r="I9" s="45">
        <v>543</v>
      </c>
      <c r="J9" s="45">
        <v>1745</v>
      </c>
      <c r="K9" s="45">
        <v>12</v>
      </c>
      <c r="L9" s="45"/>
      <c r="M9" s="45">
        <v>12</v>
      </c>
      <c r="N9" s="45">
        <v>123.85</v>
      </c>
      <c r="O9" s="45"/>
      <c r="P9" s="45" t="s">
        <v>117</v>
      </c>
    </row>
    <row r="10" spans="1:16" x14ac:dyDescent="0.3">
      <c r="A10" s="47" t="s">
        <v>133</v>
      </c>
      <c r="B10" s="49">
        <v>46255</v>
      </c>
      <c r="C10" s="47"/>
      <c r="D10" s="43" t="s">
        <v>134</v>
      </c>
      <c r="E10" s="43" t="s">
        <v>135</v>
      </c>
      <c r="F10" s="43" t="s">
        <v>136</v>
      </c>
      <c r="G10" s="43" t="s">
        <v>139</v>
      </c>
      <c r="H10" s="43">
        <v>24</v>
      </c>
      <c r="I10" s="45">
        <v>441</v>
      </c>
      <c r="J10" s="45">
        <v>798</v>
      </c>
      <c r="K10" s="45">
        <v>34</v>
      </c>
      <c r="L10" s="45"/>
      <c r="M10" s="45">
        <v>34</v>
      </c>
      <c r="N10" s="45">
        <v>130.33000000000001</v>
      </c>
      <c r="O10" s="45"/>
      <c r="P10" s="45" t="s">
        <v>119</v>
      </c>
    </row>
    <row r="11" spans="1:16" x14ac:dyDescent="0.3">
      <c r="A11" s="47" t="s">
        <v>133</v>
      </c>
      <c r="B11" s="49">
        <v>46255</v>
      </c>
      <c r="C11" s="47"/>
      <c r="D11" s="43" t="s">
        <v>134</v>
      </c>
      <c r="E11" s="43" t="s">
        <v>135</v>
      </c>
      <c r="F11" s="43" t="s">
        <v>136</v>
      </c>
      <c r="G11" s="43" t="s">
        <v>139</v>
      </c>
      <c r="H11" s="43">
        <v>24</v>
      </c>
      <c r="I11" s="45">
        <v>291</v>
      </c>
      <c r="J11" s="45">
        <v>798</v>
      </c>
      <c r="K11" s="45">
        <v>34</v>
      </c>
      <c r="L11" s="45"/>
      <c r="M11" s="45">
        <v>34</v>
      </c>
      <c r="N11" s="45">
        <v>86</v>
      </c>
      <c r="O11" s="45"/>
      <c r="P11" s="45" t="s">
        <v>121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1. 발주요청</vt:lpstr>
      <vt:lpstr>2. 내부검토용</vt:lpstr>
      <vt:lpstr>3.ERP불러들이기 용</vt:lpstr>
      <vt:lpstr>4. ERP작업의뢰서</vt:lpstr>
      <vt:lpstr>4-1. 엑셀양식</vt:lpstr>
      <vt:lpstr>'2. 내부검토용'!Print_Area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 Yoon Kim</dc:creator>
  <cp:lastModifiedBy>Tae Yoon Kim</cp:lastModifiedBy>
  <dcterms:created xsi:type="dcterms:W3CDTF">2026-08-26T01:43:49Z</dcterms:created>
  <dcterms:modified xsi:type="dcterms:W3CDTF">2026-08-26T02:42:54Z</dcterms:modified>
</cp:coreProperties>
</file>